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ig data\Desktop\10902求職\10902_中華電信\"/>
    </mc:Choice>
  </mc:AlternateContent>
  <bookViews>
    <workbookView xWindow="810" yWindow="-120" windowWidth="19800" windowHeight="11760" firstSheet="1" activeTab="1"/>
  </bookViews>
  <sheets>
    <sheet name="s01data" sheetId="31" state="hidden" r:id="rId1"/>
    <sheet name="s01" sheetId="18" r:id="rId2"/>
    <sheet name="a00" sheetId="27" r:id="rId3"/>
    <sheet name="a01" sheetId="29" r:id="rId4"/>
    <sheet name="a02" sheetId="24" r:id="rId5"/>
    <sheet name="a03" sheetId="25" r:id="rId6"/>
    <sheet name="a04" sheetId="3" r:id="rId7"/>
    <sheet name="i01" sheetId="2" r:id="rId8"/>
    <sheet name="m01" sheetId="13" state="hidden" r:id="rId9"/>
    <sheet name="m02" sheetId="22" state="hidden" r:id="rId10"/>
    <sheet name="m03" sheetId="23" state="hidden" r:id="rId11"/>
    <sheet name="p01" sheetId="8" state="hidden" r:id="rId12"/>
    <sheet name="t01" sheetId="7" state="hidden" r:id="rId13"/>
    <sheet name="appendix" sheetId="26" r:id="rId14"/>
    <sheet name="筆記" sheetId="30" r:id="rId15"/>
    <sheet name="5.0" sheetId="1" state="hidden" r:id="rId16"/>
  </sheets>
  <definedNames>
    <definedName name="_xlnm._FilterDatabase" localSheetId="8" hidden="1">'m01'!$A$3:$JB$3</definedName>
    <definedName name="_xlnm._FilterDatabase" localSheetId="11" hidden="1">'p01'!$A$1:$E$253</definedName>
    <definedName name="_xlnm._FilterDatabase" localSheetId="12" hidden="1">'t01'!$A$1:$AR$143</definedName>
    <definedName name="a02_All">'a02'!$A$1:$AO$352</definedName>
    <definedName name="a02_大">'a02'!$A$2:$AO$352</definedName>
    <definedName name="a02_子清單範圍">OFFSET('a02'!B1,,,COUNTBLANK('a02'!A1:A12)+1,1)</definedName>
    <definedName name="a02_小">'a02'!$B$2:$AO$352</definedName>
    <definedName name="a03_子清單範圍">OFFSET('a03'!A2,,,,COUNTBLANK('a03'!A1:L1)+1)</definedName>
    <definedName name="a04_子清單範圍">OFFSET('a04'!A2,,,,COUNTBLANK('a04'!A1:L1)+1)</definedName>
    <definedName name="a04_知識領域">'a04'!$C:$C</definedName>
    <definedName name="a04_過程組">'a04'!$B:$B</definedName>
    <definedName name="a04_過程組ITO">'a04'!$E:$E</definedName>
    <definedName name="a04_過程組組件">'a04'!$A:$A</definedName>
    <definedName name="a04_過程組資料寬度">'a04'!$D:$D</definedName>
    <definedName name="E">'a04'!$F:$F</definedName>
    <definedName name="F">'a04'!$G:$G</definedName>
    <definedName name="G">'a04'!$H:$H</definedName>
    <definedName name="H">'a04'!$I:$I</definedName>
    <definedName name="I">'a04'!$J:$J</definedName>
    <definedName name="i01_工具與技術元件清單開頭位置">'i01'!$R$2:$R$7</definedName>
    <definedName name="i01_工具與技術元件清單數量">'i01'!$S$2:$S$7</definedName>
    <definedName name="i01_工具與技術元件標誌碼">'i01'!$T:$T</definedName>
    <definedName name="i01_工具與技術元件選單">OFFSET('i01'!$V$2,INDEX(i01_工具與技術元件清單開頭位置,MATCH(s01_工具1,i01_清單工具與技術,0)),,INDEX(i01_工具與技術元件清單數量,MATCH(s01_工具1,i01_清單工具與技術,0)),)</definedName>
    <definedName name="i01_工具與技術標誌碼">'i01'!$P:$P</definedName>
    <definedName name="i01_投入與產出元件清單開頭位置">'i01'!$K$2:$K$5</definedName>
    <definedName name="i01_投入與產出元件清單數量">'i01'!$L$2:$L$5</definedName>
    <definedName name="i01_投入與產出元件選單">OFFSET('i01'!$O$2,INDEX(i01_投入與產出元件清單開頭位置,MATCH(s01_查找1,i01_清單投入與產出,0)),,INDEX(i01_投入與產出元件清單數量,MATCH(s01_查找1,i01_清單投入與產出,0)),)</definedName>
    <definedName name="i01_投產元件標誌碼">'i01'!$M$2:$M$60</definedName>
    <definedName name="i01_投產標誌碼">'i01'!$I$2:$I$27</definedName>
    <definedName name="i01_知識領域標誌碼">'i01'!$C$2:$C$11</definedName>
    <definedName name="i01_清單工具與技術">'i01'!$Q$2:$Q$66</definedName>
    <definedName name="i01_清單工具與技術元件">'i01'!$V$2:$V$77</definedName>
    <definedName name="i01_清單投入與產出">'i01'!$J$2:$J$27</definedName>
    <definedName name="i01_清單投入與產出元件">'i01'!$O$2:$O$60</definedName>
    <definedName name="i01_清單知識領域">'i01'!$D$2:$D$11</definedName>
    <definedName name="i01_清單商業文件">'i01'!$O$55:$O$56</definedName>
    <definedName name="i01_清單專案文件">'i01'!$O$22:$O$54</definedName>
    <definedName name="i01_清單專案管理計畫書">'i01'!$O$2:$O$21</definedName>
    <definedName name="i01_清單採購相關文件">'i01'!$O$57:$O$60</definedName>
    <definedName name="i01_清單過程">'i01'!$B$2:$B$6</definedName>
    <definedName name="i01_清單過程組">'i01'!$H$2:$H$50</definedName>
    <definedName name="i01_過程組知識領域">'i01'!$G$2:$G$50</definedName>
    <definedName name="i01_過程組過程">'i01'!$F$2:$F$50</definedName>
    <definedName name="i01_過程組標誌碼">'i01'!$A$2:$A$6</definedName>
    <definedName name="J">'a04'!$K:$K</definedName>
    <definedName name="K">'a04'!$L:$L</definedName>
    <definedName name="L">'a04'!$M:$M</definedName>
    <definedName name="M">'a04'!$N:$N</definedName>
    <definedName name="m01_All">'m01'!$1:$1048576</definedName>
    <definedName name="m01_ITO起點">'m01'!$B$3</definedName>
    <definedName name="m01_全IOT">'m01'!$B:$B</definedName>
    <definedName name="m01_全ITO索引">'m01'!$A$4:$A$228</definedName>
    <definedName name="m01_投入索引">'m01'!$IY$4:$IY$228</definedName>
    <definedName name="m01_更新索引">'m01'!$JA$4:$JA$228</definedName>
    <definedName name="m01_產出索引">'m01'!$IZ$4:$IZ$228</definedName>
    <definedName name="m01_過程組I或O">'m01'!$3:$3</definedName>
    <definedName name="m01_過程組知識組建">'m01'!$2:$2</definedName>
    <definedName name="m02_全IOT">'m02'!$B:$B</definedName>
    <definedName name="m02_組件文字">'m02'!$GQ:$GS</definedName>
    <definedName name="m03_All">'m03'!$A:$T</definedName>
    <definedName name="m03_全IOT">'m03'!$B:$B</definedName>
    <definedName name="m03_過程組知識組件">'m03'!$2:$2</definedName>
    <definedName name="N">'a04'!$O:$O</definedName>
    <definedName name="O">'a04'!$P:$P</definedName>
    <definedName name="P">'a04'!$Q:$Q</definedName>
    <definedName name="p01_投產與元件">'p01'!$D:$D</definedName>
    <definedName name="p01_知識過程組組件">'p01'!$1:$1</definedName>
    <definedName name="_xlnm.Print_Titles" localSheetId="4">'a02'!$1:$1</definedName>
    <definedName name="Q">'a04'!$R:$R</definedName>
    <definedName name="RR">'a04'!$S:$S</definedName>
    <definedName name="S">'a04'!$T:$T</definedName>
    <definedName name="s01_子清單範圍">OFFSET('s01'!B1,,,COUNTBLANK('s01'!A1:A11)+1)</definedName>
    <definedName name="s01_工具_組件">s01data!$C$20</definedName>
    <definedName name="s01_工具1">'s01'!$B$4</definedName>
    <definedName name="s01_工具2">'s01'!$C$4</definedName>
    <definedName name="s01_知識領域清單">IF(s01_查詢過程組&lt;&gt;"",OFFSET(s01data!$D$49,,,SUM(N(ISTEXT(s01data!$D$49:$D$58))),),i01_清單知識領域)</definedName>
    <definedName name="s01_查找1">'s01'!$B$2</definedName>
    <definedName name="s01_查找2">'s01'!$C$2</definedName>
    <definedName name="s01_查詢知識領域">'s01'!$B$7</definedName>
    <definedName name="s01_查詢矩陣資料1">s01data!$B$27:$I$47</definedName>
    <definedName name="s01_查詢矩陣資料2">s01data!$K$27:$R$102</definedName>
    <definedName name="s01_查詢程序">'s01'!$C$7</definedName>
    <definedName name="s01_查詢過程組">'s01'!$A$7</definedName>
    <definedName name="s01_程序清單">OFFSET(s01data!$E$49,,,SUM(N(ISTEXT(s01data!$E$49:$E$97))),)</definedName>
    <definedName name="s01_過程組清單">IF(s01_查詢知識領域&lt;&gt;"",OFFSET(s01data!$H$49,,,SUM(N(ISTEXT(s01data!$H$49:$H$53))),),i01_清單過程)</definedName>
    <definedName name="s01d_工具">s01data!$B$18</definedName>
    <definedName name="s01d_工具2_組件">s01data!$C$24</definedName>
    <definedName name="s01d_查找">s01data!$A$1</definedName>
    <definedName name="s01d_查找_投入">s01data!$C$6</definedName>
    <definedName name="s01d_查找_更新">s01data!$C$7</definedName>
    <definedName name="s01d_查找_產出">s01data!$C$5</definedName>
    <definedName name="s01d_查找2_投入">s01data!$C$15:$U$15</definedName>
    <definedName name="s01d_查找2_更新">s01data!$C$16:$U$16</definedName>
    <definedName name="s01d_查找2_產出">s01data!$C$14</definedName>
    <definedName name="s01d_查找文字">s01data!$B$1</definedName>
    <definedName name="s01d_查找全">s01data!$B$8</definedName>
    <definedName name="T">'a04'!$U:$U</definedName>
    <definedName name="t01_工具與技術與元件">'t01'!$D:$D</definedName>
    <definedName name="t01_知識過程組組件">'t01'!$1:$1</definedName>
    <definedName name="test">'i01'!$F$2</definedName>
    <definedName name="test2">'m01'!$C$2:$IX$228</definedName>
    <definedName name="U">'a04'!$V:$V</definedName>
    <definedName name="V">'a04'!$W:$W</definedName>
    <definedName name="W">'a04'!$X:$X</definedName>
    <definedName name="X">'a04'!$Y:$Y</definedName>
    <definedName name="Y">'a04'!$Z:$Z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5" i="31" l="1" a="1"/>
  <c r="F55" i="31" s="1"/>
  <c r="F54" i="31" a="1"/>
  <c r="F54" i="31" s="1"/>
  <c r="F53" i="31" a="1"/>
  <c r="F53" i="31" s="1"/>
  <c r="F52" i="31" a="1"/>
  <c r="F52" i="31" s="1"/>
  <c r="F51" i="31" a="1"/>
  <c r="F51" i="31" s="1"/>
  <c r="F50" i="31" a="1"/>
  <c r="F50" i="31" s="1"/>
  <c r="F49" i="31" a="1"/>
  <c r="F49" i="31" s="1"/>
  <c r="E97" i="31" a="1"/>
  <c r="E97" i="31" s="1"/>
  <c r="E96" i="31" a="1"/>
  <c r="E96" i="31" s="1"/>
  <c r="E95" i="31" a="1"/>
  <c r="E95" i="31" s="1"/>
  <c r="E94" i="31" a="1"/>
  <c r="E94" i="31" s="1"/>
  <c r="E93" i="31" a="1"/>
  <c r="E93" i="31" s="1"/>
  <c r="E92" i="31" a="1"/>
  <c r="E92" i="31" s="1"/>
  <c r="E91" i="31" a="1"/>
  <c r="E91" i="31" s="1"/>
  <c r="E90" i="31" a="1"/>
  <c r="E90" i="31" s="1"/>
  <c r="E89" i="31" a="1"/>
  <c r="E89" i="31" s="1"/>
  <c r="E88" i="31" a="1"/>
  <c r="E88" i="31" s="1"/>
  <c r="E87" i="31" a="1"/>
  <c r="E87" i="31" s="1"/>
  <c r="E86" i="31" a="1"/>
  <c r="E86" i="31" s="1"/>
  <c r="E85" i="31" a="1"/>
  <c r="E85" i="31" s="1"/>
  <c r="E84" i="31" a="1"/>
  <c r="E84" i="31" s="1"/>
  <c r="E83" i="31" a="1"/>
  <c r="E83" i="31" s="1"/>
  <c r="E82" i="31" a="1"/>
  <c r="E82" i="31" s="1"/>
  <c r="E81" i="31" a="1"/>
  <c r="E81" i="31" s="1"/>
  <c r="E80" i="31" a="1"/>
  <c r="E80" i="31" s="1"/>
  <c r="E79" i="31" a="1"/>
  <c r="E79" i="31" s="1"/>
  <c r="E78" i="31" a="1"/>
  <c r="E78" i="31" s="1"/>
  <c r="E77" i="31" a="1"/>
  <c r="E77" i="31" s="1"/>
  <c r="E76" i="31" a="1"/>
  <c r="E76" i="31" s="1"/>
  <c r="E75" i="31" a="1"/>
  <c r="E75" i="31" s="1"/>
  <c r="E74" i="31" a="1"/>
  <c r="E74" i="31" s="1"/>
  <c r="E73" i="31" a="1"/>
  <c r="E73" i="31" s="1"/>
  <c r="E72" i="31" a="1"/>
  <c r="E72" i="31" s="1"/>
  <c r="E71" i="31" a="1"/>
  <c r="E71" i="31" s="1"/>
  <c r="E70" i="31" a="1"/>
  <c r="E70" i="31" s="1"/>
  <c r="E69" i="31" a="1"/>
  <c r="E69" i="31" s="1"/>
  <c r="E68" i="31" a="1"/>
  <c r="E68" i="31" s="1"/>
  <c r="E67" i="31" a="1"/>
  <c r="E67" i="31" s="1"/>
  <c r="E66" i="31" a="1"/>
  <c r="E66" i="31" s="1"/>
  <c r="E65" i="31" a="1"/>
  <c r="E65" i="31" s="1"/>
  <c r="E64" i="31" a="1"/>
  <c r="E64" i="31" s="1"/>
  <c r="E63" i="31" a="1"/>
  <c r="E63" i="31" s="1"/>
  <c r="E62" i="31" a="1"/>
  <c r="E62" i="31" s="1"/>
  <c r="E61" i="31" a="1"/>
  <c r="E61" i="31" s="1"/>
  <c r="E60" i="31" a="1"/>
  <c r="E60" i="31" s="1"/>
  <c r="E59" i="31" a="1"/>
  <c r="E59" i="31" s="1"/>
  <c r="E58" i="31" a="1"/>
  <c r="E58" i="31" s="1"/>
  <c r="E57" i="31" a="1"/>
  <c r="E57" i="31" s="1"/>
  <c r="E56" i="31" a="1"/>
  <c r="E56" i="31" s="1"/>
  <c r="E55" i="31" a="1"/>
  <c r="E55" i="31" s="1"/>
  <c r="E54" i="31" a="1"/>
  <c r="E54" i="31" s="1"/>
  <c r="E53" i="31" a="1"/>
  <c r="E53" i="31" s="1"/>
  <c r="E52" i="31" a="1"/>
  <c r="E52" i="31" s="1"/>
  <c r="E51" i="31" a="1"/>
  <c r="E51" i="31" s="1"/>
  <c r="E50" i="31" a="1"/>
  <c r="E50" i="31" s="1"/>
  <c r="E49" i="31" a="1"/>
  <c r="E49" i="31" s="1"/>
  <c r="A72" i="31" a="1"/>
  <c r="A72" i="31" s="1"/>
  <c r="A71" i="31" a="1"/>
  <c r="A71" i="31" s="1"/>
  <c r="A70" i="31" a="1"/>
  <c r="A70" i="31" s="1"/>
  <c r="A69" i="31" a="1"/>
  <c r="A69" i="31" s="1"/>
  <c r="A68" i="31" a="1"/>
  <c r="A68" i="31" s="1"/>
  <c r="A67" i="31" a="1"/>
  <c r="A67" i="31" s="1"/>
  <c r="A66" i="31" a="1"/>
  <c r="A66" i="31" s="1"/>
  <c r="A65" i="31" a="1"/>
  <c r="A65" i="31" s="1"/>
  <c r="A64" i="31" a="1"/>
  <c r="A64" i="31" s="1"/>
  <c r="A63" i="31" a="1"/>
  <c r="A63" i="31" s="1"/>
  <c r="A62" i="31" a="1"/>
  <c r="A62" i="31" s="1"/>
  <c r="A61" i="31" a="1"/>
  <c r="A61" i="31" s="1"/>
  <c r="A60" i="31" a="1"/>
  <c r="A60" i="31" s="1"/>
  <c r="A59" i="31" a="1"/>
  <c r="A59" i="31" s="1"/>
  <c r="A58" i="31" a="1"/>
  <c r="A58" i="31" s="1"/>
  <c r="A57" i="31" a="1"/>
  <c r="A57" i="31" s="1"/>
  <c r="A56" i="31" a="1"/>
  <c r="A56" i="31" s="1"/>
  <c r="A55" i="31" a="1"/>
  <c r="A55" i="31" s="1"/>
  <c r="A54" i="31" a="1"/>
  <c r="A54" i="31" s="1"/>
  <c r="A53" i="31" a="1"/>
  <c r="A53" i="31" s="1"/>
  <c r="A52" i="31" a="1"/>
  <c r="A52" i="31" s="1"/>
  <c r="A51" i="31" a="1"/>
  <c r="A51" i="31" s="1"/>
  <c r="A50" i="31" a="1"/>
  <c r="A50" i="31" s="1"/>
  <c r="A49" i="31" a="1"/>
  <c r="A49" i="31" s="1"/>
  <c r="B27" i="31" a="1"/>
  <c r="B27" i="31" s="1"/>
  <c r="J34" i="31" a="1"/>
  <c r="J36" i="31" s="1"/>
  <c r="J37" i="31"/>
  <c r="B49" i="31" a="1"/>
  <c r="B53" i="31" s="1"/>
  <c r="C24" i="31"/>
  <c r="U23" i="31"/>
  <c r="T23" i="31"/>
  <c r="S23" i="31"/>
  <c r="R23" i="31"/>
  <c r="Q23" i="31"/>
  <c r="P23" i="31"/>
  <c r="O23" i="31"/>
  <c r="N23" i="31"/>
  <c r="M23" i="31"/>
  <c r="L23" i="31"/>
  <c r="K23" i="31"/>
  <c r="H23" i="31"/>
  <c r="G23" i="31"/>
  <c r="F23" i="31"/>
  <c r="E23" i="31"/>
  <c r="D23" i="31"/>
  <c r="C23" i="31"/>
  <c r="B18" i="31"/>
  <c r="F19" i="31" s="1"/>
  <c r="C16" i="31"/>
  <c r="C15" i="31"/>
  <c r="C14" i="31"/>
  <c r="U13" i="31"/>
  <c r="T13" i="31"/>
  <c r="S13" i="31"/>
  <c r="R13" i="31"/>
  <c r="Q13" i="31"/>
  <c r="P13" i="31"/>
  <c r="O13" i="31"/>
  <c r="N13" i="31"/>
  <c r="M13" i="31"/>
  <c r="L13" i="31"/>
  <c r="K13" i="31"/>
  <c r="H13" i="31"/>
  <c r="G13" i="31"/>
  <c r="F13" i="31"/>
  <c r="E13" i="31"/>
  <c r="D13" i="31"/>
  <c r="C13" i="31"/>
  <c r="U12" i="31"/>
  <c r="T12" i="31"/>
  <c r="S12" i="31"/>
  <c r="R12" i="31"/>
  <c r="Q12" i="31"/>
  <c r="P12" i="31"/>
  <c r="O12" i="31"/>
  <c r="N12" i="31"/>
  <c r="M12" i="31"/>
  <c r="L12" i="31"/>
  <c r="K12" i="31"/>
  <c r="H12" i="31"/>
  <c r="G12" i="31"/>
  <c r="F12" i="31"/>
  <c r="E12" i="31"/>
  <c r="D12" i="31"/>
  <c r="C12" i="31"/>
  <c r="U11" i="31"/>
  <c r="T11" i="31"/>
  <c r="S11" i="31"/>
  <c r="R11" i="31"/>
  <c r="Q11" i="31"/>
  <c r="P11" i="31"/>
  <c r="O11" i="31"/>
  <c r="N11" i="31"/>
  <c r="M11" i="31"/>
  <c r="L11" i="31"/>
  <c r="K11" i="31"/>
  <c r="H11" i="31"/>
  <c r="G11" i="31"/>
  <c r="F11" i="31"/>
  <c r="E11" i="31"/>
  <c r="D11" i="31"/>
  <c r="C11" i="31"/>
  <c r="B1" i="31"/>
  <c r="A1" i="31"/>
  <c r="O4" i="31" s="1"/>
  <c r="G55" i="31" l="1"/>
  <c r="G53" i="31"/>
  <c r="G54" i="31"/>
  <c r="B36" i="31"/>
  <c r="I35" i="31"/>
  <c r="D36" i="31"/>
  <c r="H35" i="31"/>
  <c r="H44" i="31"/>
  <c r="I34" i="31"/>
  <c r="F44" i="31"/>
  <c r="F34" i="31"/>
  <c r="B44" i="31"/>
  <c r="H34" i="31"/>
  <c r="G44" i="31"/>
  <c r="H43" i="31"/>
  <c r="D35" i="31"/>
  <c r="C36" i="31"/>
  <c r="E32" i="31"/>
  <c r="I41" i="31"/>
  <c r="G34" i="31"/>
  <c r="B45" i="31"/>
  <c r="G43" i="31"/>
  <c r="F41" i="31"/>
  <c r="D44" i="31"/>
  <c r="E41" i="31"/>
  <c r="E36" i="31"/>
  <c r="I43" i="31"/>
  <c r="D41" i="31"/>
  <c r="F35" i="31"/>
  <c r="H32" i="31"/>
  <c r="I44" i="31"/>
  <c r="C41" i="31"/>
  <c r="B41" i="31"/>
  <c r="D32" i="31"/>
  <c r="I40" i="31"/>
  <c r="C32" i="31"/>
  <c r="H40" i="31"/>
  <c r="B32" i="31"/>
  <c r="G40" i="31"/>
  <c r="H31" i="31"/>
  <c r="B40" i="31"/>
  <c r="I30" i="31"/>
  <c r="I39" i="31"/>
  <c r="H30" i="31"/>
  <c r="H39" i="31"/>
  <c r="G30" i="31"/>
  <c r="G39" i="31"/>
  <c r="F30" i="31"/>
  <c r="F39" i="31"/>
  <c r="E30" i="31"/>
  <c r="I47" i="31"/>
  <c r="A47" i="31" s="1"/>
  <c r="E39" i="31"/>
  <c r="D30" i="31"/>
  <c r="C46" i="31"/>
  <c r="D39" i="31"/>
  <c r="C30" i="31"/>
  <c r="H45" i="31"/>
  <c r="C39" i="31"/>
  <c r="B30" i="31"/>
  <c r="G45" i="31"/>
  <c r="I29" i="31"/>
  <c r="F45" i="31"/>
  <c r="F37" i="31"/>
  <c r="H29" i="31"/>
  <c r="E45" i="31"/>
  <c r="C37" i="31"/>
  <c r="G29" i="31"/>
  <c r="D45" i="31"/>
  <c r="B37" i="31"/>
  <c r="C45" i="31"/>
  <c r="F36" i="31"/>
  <c r="G51" i="31"/>
  <c r="H47" i="31"/>
  <c r="F43" i="31"/>
  <c r="B39" i="31"/>
  <c r="E34" i="31"/>
  <c r="F29" i="31"/>
  <c r="G47" i="31"/>
  <c r="E43" i="31"/>
  <c r="I38" i="31"/>
  <c r="D34" i="31"/>
  <c r="E29" i="31"/>
  <c r="F47" i="31"/>
  <c r="D43" i="31"/>
  <c r="H38" i="31"/>
  <c r="C34" i="31"/>
  <c r="D29" i="31"/>
  <c r="G50" i="31"/>
  <c r="E47" i="31"/>
  <c r="C43" i="31"/>
  <c r="G38" i="31"/>
  <c r="B34" i="31"/>
  <c r="C29" i="31"/>
  <c r="D47" i="31"/>
  <c r="B43" i="31"/>
  <c r="F38" i="31"/>
  <c r="I33" i="31"/>
  <c r="B29" i="31"/>
  <c r="C47" i="31"/>
  <c r="I42" i="31"/>
  <c r="E38" i="31"/>
  <c r="H33" i="31"/>
  <c r="I28" i="31"/>
  <c r="B47" i="31"/>
  <c r="H42" i="31"/>
  <c r="D38" i="31"/>
  <c r="G33" i="31"/>
  <c r="H28" i="31"/>
  <c r="I46" i="31"/>
  <c r="G42" i="31"/>
  <c r="C38" i="31"/>
  <c r="F33" i="31"/>
  <c r="G28" i="31"/>
  <c r="H46" i="31"/>
  <c r="F42" i="31"/>
  <c r="B38" i="31"/>
  <c r="E33" i="31"/>
  <c r="F28" i="31"/>
  <c r="B71" i="31"/>
  <c r="G46" i="31"/>
  <c r="E42" i="31"/>
  <c r="D33" i="31"/>
  <c r="E28" i="31"/>
  <c r="F46" i="31"/>
  <c r="D42" i="31"/>
  <c r="I37" i="31"/>
  <c r="C33" i="31"/>
  <c r="D28" i="31"/>
  <c r="E46" i="31"/>
  <c r="C42" i="31"/>
  <c r="H37" i="31"/>
  <c r="B33" i="31"/>
  <c r="C28" i="31"/>
  <c r="D46" i="31"/>
  <c r="B42" i="31"/>
  <c r="G37" i="31"/>
  <c r="I32" i="31"/>
  <c r="B28" i="31"/>
  <c r="B46" i="31"/>
  <c r="H41" i="31"/>
  <c r="E37" i="31"/>
  <c r="G32" i="31"/>
  <c r="I45" i="31"/>
  <c r="G41" i="31"/>
  <c r="D37" i="31"/>
  <c r="F32" i="31"/>
  <c r="G52" i="31"/>
  <c r="B58" i="31"/>
  <c r="B54" i="31"/>
  <c r="G49" i="31"/>
  <c r="B62" i="31"/>
  <c r="B55" i="31"/>
  <c r="J38" i="31"/>
  <c r="B49" i="31"/>
  <c r="C49" i="31" s="1"/>
  <c r="J34" i="31"/>
  <c r="B69" i="31"/>
  <c r="B56" i="31"/>
  <c r="B50" i="31"/>
  <c r="C50" i="31" s="1"/>
  <c r="B66" i="31"/>
  <c r="J39" i="31"/>
  <c r="B59" i="31"/>
  <c r="B63" i="31"/>
  <c r="B60" i="31"/>
  <c r="B51" i="31"/>
  <c r="J35" i="31"/>
  <c r="B65" i="31"/>
  <c r="J40" i="31"/>
  <c r="G35" i="31"/>
  <c r="I31" i="31"/>
  <c r="I27" i="31"/>
  <c r="B57" i="31"/>
  <c r="H27" i="31"/>
  <c r="B68" i="31"/>
  <c r="B70" i="31"/>
  <c r="B52" i="31"/>
  <c r="E35" i="31"/>
  <c r="G31" i="31"/>
  <c r="G27" i="31"/>
  <c r="B72" i="31"/>
  <c r="B67" i="31"/>
  <c r="F31" i="31"/>
  <c r="F27" i="31"/>
  <c r="E44" i="31"/>
  <c r="F40" i="31"/>
  <c r="C35" i="31"/>
  <c r="E31" i="31"/>
  <c r="E27" i="31"/>
  <c r="B64" i="31"/>
  <c r="E40" i="31"/>
  <c r="I36" i="31"/>
  <c r="B35" i="31"/>
  <c r="D31" i="31"/>
  <c r="D27" i="31"/>
  <c r="C44" i="31"/>
  <c r="D40" i="31"/>
  <c r="H36" i="31"/>
  <c r="C31" i="31"/>
  <c r="C27" i="31"/>
  <c r="B61" i="31"/>
  <c r="C40" i="31"/>
  <c r="G36" i="31"/>
  <c r="B31" i="31"/>
  <c r="T4" i="31"/>
  <c r="U4" i="31"/>
  <c r="C5" i="31"/>
  <c r="C7" i="31"/>
  <c r="C6" i="31"/>
  <c r="H19" i="31"/>
  <c r="G19" i="31"/>
  <c r="K19" i="31"/>
  <c r="L19" i="31"/>
  <c r="M19" i="31"/>
  <c r="N19" i="31"/>
  <c r="O19" i="31"/>
  <c r="P19" i="31"/>
  <c r="Q19" i="31"/>
  <c r="R19" i="31"/>
  <c r="S19" i="31"/>
  <c r="T19" i="31"/>
  <c r="U19" i="31"/>
  <c r="C20" i="31"/>
  <c r="C19" i="31"/>
  <c r="P4" i="31"/>
  <c r="Q4" i="31"/>
  <c r="D19" i="31"/>
  <c r="Q3" i="31"/>
  <c r="E19" i="31"/>
  <c r="R4" i="31"/>
  <c r="S4" i="31"/>
  <c r="R2" i="31"/>
  <c r="T2" i="31"/>
  <c r="D3" i="31"/>
  <c r="E3" i="31"/>
  <c r="F3" i="31"/>
  <c r="L3" i="31"/>
  <c r="O3" i="31"/>
  <c r="S2" i="31"/>
  <c r="U2" i="31"/>
  <c r="C3" i="31"/>
  <c r="G3" i="31"/>
  <c r="H3" i="31"/>
  <c r="K3" i="31"/>
  <c r="M3" i="31"/>
  <c r="N3" i="31"/>
  <c r="P3" i="31"/>
  <c r="S3" i="31"/>
  <c r="T3" i="31"/>
  <c r="D4" i="31"/>
  <c r="E4" i="31"/>
  <c r="R3" i="31"/>
  <c r="F2" i="31"/>
  <c r="M2" i="31"/>
  <c r="K4" i="31"/>
  <c r="L4" i="31"/>
  <c r="C2" i="31"/>
  <c r="G2" i="31"/>
  <c r="H2" i="31"/>
  <c r="F4" i="31"/>
  <c r="O2" i="31"/>
  <c r="M4" i="31"/>
  <c r="C4" i="31"/>
  <c r="K2" i="31"/>
  <c r="G4" i="31"/>
  <c r="N2" i="31"/>
  <c r="P2" i="31"/>
  <c r="N4" i="31"/>
  <c r="D2" i="31"/>
  <c r="U3" i="31"/>
  <c r="E2" i="31"/>
  <c r="L2" i="31"/>
  <c r="H4" i="31"/>
  <c r="Q2" i="31"/>
  <c r="B230" i="13"/>
  <c r="JA230" i="13" s="1" a="1"/>
  <c r="JA230" i="13" s="1"/>
  <c r="C66" i="31" l="1"/>
  <c r="C56" i="31"/>
  <c r="C59" i="31"/>
  <c r="C63" i="31"/>
  <c r="C69" i="31"/>
  <c r="C64" i="31"/>
  <c r="C54" i="31"/>
  <c r="C52" i="31"/>
  <c r="H49" i="31" a="1"/>
  <c r="H49" i="31" s="1"/>
  <c r="H53" i="31" a="1"/>
  <c r="H53" i="31" s="1"/>
  <c r="H52" i="31" a="1"/>
  <c r="H52" i="31" s="1"/>
  <c r="H51" i="31" a="1"/>
  <c r="H51" i="31" s="1"/>
  <c r="H50" i="31" a="1"/>
  <c r="H50" i="31" s="1"/>
  <c r="C71" i="31"/>
  <c r="C57" i="31"/>
  <c r="C58" i="31"/>
  <c r="C61" i="31"/>
  <c r="C55" i="31"/>
  <c r="C72" i="31"/>
  <c r="C68" i="31"/>
  <c r="C65" i="31"/>
  <c r="C67" i="31"/>
  <c r="C70" i="31"/>
  <c r="C51" i="31"/>
  <c r="C62" i="31"/>
  <c r="C60" i="31"/>
  <c r="C53" i="31"/>
  <c r="IX1" i="13"/>
  <c r="HR1" i="13"/>
  <c r="GL1" i="13"/>
  <c r="FF1" i="13"/>
  <c r="DZ1" i="13"/>
  <c r="CT1" i="13"/>
  <c r="BN1" i="13"/>
  <c r="IV1" i="13"/>
  <c r="FD1" i="13"/>
  <c r="BL1" i="13"/>
  <c r="HO1" i="13"/>
  <c r="FC1" i="13"/>
  <c r="CQ1" i="13"/>
  <c r="CP1" i="13"/>
  <c r="DU1" i="13"/>
  <c r="GF1" i="13"/>
  <c r="IQ1" i="13"/>
  <c r="CM1" i="13"/>
  <c r="DR1" i="13"/>
  <c r="DQ1" i="13"/>
  <c r="HH1" i="13"/>
  <c r="CI1" i="13"/>
  <c r="HF1" i="13"/>
  <c r="ES1" i="13"/>
  <c r="HD1" i="13"/>
  <c r="HB1" i="13"/>
  <c r="DJ1" i="13"/>
  <c r="IF1" i="13"/>
  <c r="EM1" i="13"/>
  <c r="FR1" i="13"/>
  <c r="FP1" i="13"/>
  <c r="FO1" i="13"/>
  <c r="FM1" i="13"/>
  <c r="EE1" i="13"/>
  <c r="HT1" i="13"/>
  <c r="IW1" i="13"/>
  <c r="HQ1" i="13"/>
  <c r="GK1" i="13"/>
  <c r="FE1" i="13"/>
  <c r="DY1" i="13"/>
  <c r="CS1" i="13"/>
  <c r="BM1" i="13"/>
  <c r="HP1" i="13"/>
  <c r="GJ1" i="13"/>
  <c r="CR1" i="13"/>
  <c r="IU1" i="13"/>
  <c r="GI1" i="13"/>
  <c r="DW1" i="13"/>
  <c r="DV1" i="13"/>
  <c r="FA1" i="13"/>
  <c r="HL1" i="13"/>
  <c r="CN1" i="13"/>
  <c r="EY1" i="13"/>
  <c r="GD1" i="13"/>
  <c r="HI1" i="13"/>
  <c r="IN1" i="13"/>
  <c r="DO1" i="13"/>
  <c r="IL1" i="13"/>
  <c r="CH1" i="13"/>
  <c r="CG1" i="13"/>
  <c r="DL1" i="13"/>
  <c r="IH1" i="13"/>
  <c r="IG1" i="13"/>
  <c r="FT1" i="13"/>
  <c r="DG1" i="13"/>
  <c r="GX1" i="13"/>
  <c r="IB1" i="13"/>
  <c r="EI1" i="13"/>
  <c r="EH1" i="13"/>
  <c r="BU1" i="13"/>
  <c r="CZ1" i="13"/>
  <c r="GP1" i="13"/>
  <c r="GN1" i="13"/>
  <c r="DX1" i="13"/>
  <c r="HM1" i="13"/>
  <c r="IR1" i="13"/>
  <c r="DT1" i="13"/>
  <c r="GE1" i="13"/>
  <c r="HJ1" i="13"/>
  <c r="CL1" i="13"/>
  <c r="CK1" i="13"/>
  <c r="DP1" i="13"/>
  <c r="GA1" i="13"/>
  <c r="FZ1" i="13"/>
  <c r="FY1" i="13"/>
  <c r="FX1" i="13"/>
  <c r="DK1" i="13"/>
  <c r="FV1" i="13"/>
  <c r="GZ1" i="13"/>
  <c r="FS1" i="13"/>
  <c r="DF1" i="13"/>
  <c r="DE1" i="13"/>
  <c r="DD1" i="13"/>
  <c r="HZ1" i="13"/>
  <c r="BV1" i="13"/>
  <c r="GR1" i="13"/>
  <c r="BS1" i="13"/>
  <c r="CX1" i="13"/>
  <c r="EC1" i="13"/>
  <c r="BP1" i="13"/>
  <c r="CU1" i="13"/>
  <c r="IS1" i="13"/>
  <c r="IP1" i="13"/>
  <c r="GC1" i="13"/>
  <c r="GB1" i="13"/>
  <c r="EU1" i="13"/>
  <c r="ET1" i="13"/>
  <c r="HE1" i="13"/>
  <c r="ER1" i="13"/>
  <c r="EQ1" i="13"/>
  <c r="CD1" i="13"/>
  <c r="DI1" i="13"/>
  <c r="DH1" i="13"/>
  <c r="CA1" i="13"/>
  <c r="EL1" i="13"/>
  <c r="GV1" i="13"/>
  <c r="DC1" i="13"/>
  <c r="DB1" i="13"/>
  <c r="EG1" i="13"/>
  <c r="EF1" i="13"/>
  <c r="FJ1" i="13"/>
  <c r="FI1" i="13"/>
  <c r="HS1" i="13"/>
  <c r="IT1" i="13"/>
  <c r="HN1" i="13"/>
  <c r="GH1" i="13"/>
  <c r="FB1" i="13"/>
  <c r="GG1" i="13"/>
  <c r="CO1" i="13"/>
  <c r="EZ1" i="13"/>
  <c r="HK1" i="13"/>
  <c r="DS1" i="13"/>
  <c r="EX1" i="13"/>
  <c r="EW1" i="13"/>
  <c r="EV1" i="13"/>
  <c r="HG1" i="13"/>
  <c r="DN1" i="13"/>
  <c r="IK1" i="13"/>
  <c r="IJ1" i="13"/>
  <c r="CE1" i="13"/>
  <c r="EP1" i="13"/>
  <c r="CC1" i="13"/>
  <c r="EN1" i="13"/>
  <c r="ID1" i="13"/>
  <c r="EK1" i="13"/>
  <c r="BX1" i="13"/>
  <c r="BW1" i="13"/>
  <c r="FN1" i="13"/>
  <c r="DA1" i="13"/>
  <c r="BT1" i="13"/>
  <c r="HV1" i="13"/>
  <c r="CW1" i="13"/>
  <c r="CV1" i="13"/>
  <c r="BO1" i="13"/>
  <c r="CJ1" i="13"/>
  <c r="II1" i="13"/>
  <c r="HA1" i="13"/>
  <c r="GY1" i="13"/>
  <c r="GW1" i="13"/>
  <c r="GU1" i="13"/>
  <c r="GS1" i="13"/>
  <c r="GQ1" i="13"/>
  <c r="HU1" i="13"/>
  <c r="FG1" i="13"/>
  <c r="IM1" i="13"/>
  <c r="HC1" i="13"/>
  <c r="EO1" i="13"/>
  <c r="IE1" i="13"/>
  <c r="FQ1" i="13"/>
  <c r="IA1" i="13"/>
  <c r="HY1" i="13"/>
  <c r="HW1" i="13"/>
  <c r="GO1" i="13"/>
  <c r="GM1" i="13"/>
  <c r="IO1" i="13"/>
  <c r="DM1" i="13"/>
  <c r="FW1" i="13"/>
  <c r="FU1" i="13"/>
  <c r="CB1" i="13"/>
  <c r="BZ1" i="13"/>
  <c r="EJ1" i="13"/>
  <c r="GT1" i="13"/>
  <c r="FL1" i="13"/>
  <c r="ED1" i="13"/>
  <c r="FH1" i="13"/>
  <c r="CF1" i="13"/>
  <c r="IC1" i="13"/>
  <c r="HX1" i="13"/>
  <c r="BR1" i="13"/>
  <c r="EB1" i="13"/>
  <c r="BY1" i="13"/>
  <c r="CY1" i="13"/>
  <c r="BQ1" i="13"/>
  <c r="EA1" i="13"/>
  <c r="FK1" i="13"/>
  <c r="BK1" i="13"/>
  <c r="AB17" i="7" a="1"/>
  <c r="AB17" i="7" s="1"/>
  <c r="AB16" i="7" a="1"/>
  <c r="AB16" i="7" s="1"/>
  <c r="AB15" i="7" a="1"/>
  <c r="AB15" i="7" s="1"/>
  <c r="AB14" i="7" a="1"/>
  <c r="AB14" i="7" s="1"/>
  <c r="AB13" i="7" a="1"/>
  <c r="AB13" i="7" s="1"/>
  <c r="AB12" i="7" a="1"/>
  <c r="AB12" i="7" s="1"/>
  <c r="AB11" i="7" a="1"/>
  <c r="AB11" i="7" s="1"/>
  <c r="AB10" i="7" a="1"/>
  <c r="AB10" i="7" s="1"/>
  <c r="AB9" i="7" a="1"/>
  <c r="AB9" i="7" s="1"/>
  <c r="AB8" i="7" a="1"/>
  <c r="AB8" i="7" s="1"/>
  <c r="AB7" i="7" a="1"/>
  <c r="AB7" i="7" s="1"/>
  <c r="AB6" i="7" a="1"/>
  <c r="AB6" i="7" s="1"/>
  <c r="AB5" i="7" a="1"/>
  <c r="AB5" i="7" s="1"/>
  <c r="AB4" i="7" a="1"/>
  <c r="AB4" i="7" s="1"/>
  <c r="AB3" i="7" a="1"/>
  <c r="AB3" i="7" s="1"/>
  <c r="AB2" i="7" a="1"/>
  <c r="AB2" i="7" s="1"/>
  <c r="AD2" i="7" a="1"/>
  <c r="AD2" i="7" s="1"/>
  <c r="D53" i="31" l="1" a="1"/>
  <c r="D53" i="31" s="1"/>
  <c r="D56" i="31" a="1"/>
  <c r="D56" i="31" s="1"/>
  <c r="D54" i="31" a="1"/>
  <c r="D54" i="31" s="1"/>
  <c r="D50" i="31" a="1"/>
  <c r="D50" i="31" s="1"/>
  <c r="D52" i="31" a="1"/>
  <c r="D52" i="31" s="1"/>
  <c r="D58" i="31" a="1"/>
  <c r="D58" i="31" s="1"/>
  <c r="D51" i="31" a="1"/>
  <c r="D51" i="31" s="1"/>
  <c r="D49" i="31" a="1"/>
  <c r="D49" i="31" s="1"/>
  <c r="D55" i="31" a="1"/>
  <c r="D55" i="31" s="1"/>
  <c r="D57" i="31" a="1"/>
  <c r="D57" i="31" s="1"/>
  <c r="JA32" i="13"/>
  <c r="JA47" i="13"/>
  <c r="JA69" i="13"/>
  <c r="JA219" i="13"/>
  <c r="JA225" i="13"/>
  <c r="JA217" i="13"/>
  <c r="JA205" i="13"/>
  <c r="JA192" i="13"/>
  <c r="JA171" i="13"/>
  <c r="JA175" i="13"/>
  <c r="JA186" i="13"/>
  <c r="JA178" i="13"/>
  <c r="JA159" i="13"/>
  <c r="JA126" i="13"/>
  <c r="JA104" i="13"/>
  <c r="JA140" i="13"/>
  <c r="JA97" i="13"/>
  <c r="JA119" i="13"/>
  <c r="JA145" i="13"/>
  <c r="JA99" i="13"/>
  <c r="JA92" i="13"/>
  <c r="JA84" i="13"/>
  <c r="JA80" i="13"/>
  <c r="JA68" i="13"/>
  <c r="JA75" i="13"/>
  <c r="JA60" i="13"/>
  <c r="JA44" i="13"/>
  <c r="JA36" i="13"/>
  <c r="JA28" i="13"/>
  <c r="JA18" i="13"/>
  <c r="JA9" i="13"/>
  <c r="JA16" i="13"/>
  <c r="JA15" i="13"/>
  <c r="JA29" i="13"/>
  <c r="JA52" i="13"/>
  <c r="JA41" i="13"/>
  <c r="JA45" i="13"/>
  <c r="JA8" i="13"/>
  <c r="JA6" i="13"/>
  <c r="JA26" i="13"/>
  <c r="JA17" i="13"/>
  <c r="JA57" i="13"/>
  <c r="JA56" i="13"/>
  <c r="JA19" i="13"/>
  <c r="JA62" i="13"/>
  <c r="JA223" i="13"/>
  <c r="JA224" i="13"/>
  <c r="JA211" i="13"/>
  <c r="JA200" i="13"/>
  <c r="JA191" i="13"/>
  <c r="JA166" i="13"/>
  <c r="JA179" i="13"/>
  <c r="JA173" i="13"/>
  <c r="JA181" i="13"/>
  <c r="JA158" i="13"/>
  <c r="JA122" i="13"/>
  <c r="JA142" i="13"/>
  <c r="JA98" i="13"/>
  <c r="JA107" i="13"/>
  <c r="JA120" i="13"/>
  <c r="JA100" i="13"/>
  <c r="JA111" i="13"/>
  <c r="JA91" i="13"/>
  <c r="JA83" i="13"/>
  <c r="JA79" i="13"/>
  <c r="JA71" i="13"/>
  <c r="JA58" i="13"/>
  <c r="JA49" i="13"/>
  <c r="JA43" i="13"/>
  <c r="JA35" i="13"/>
  <c r="JA11" i="13"/>
  <c r="JA42" i="13"/>
  <c r="JA24" i="13"/>
  <c r="JA63" i="13"/>
  <c r="JA61" i="13"/>
  <c r="JA34" i="13"/>
  <c r="JA20" i="13"/>
  <c r="JA23" i="13"/>
  <c r="JA10" i="13"/>
  <c r="JA25" i="13"/>
  <c r="JA33" i="13"/>
  <c r="JA27" i="13"/>
  <c r="JA152" i="13"/>
  <c r="JA216" i="13"/>
  <c r="JA212" i="13"/>
  <c r="JA210" i="13"/>
  <c r="JA202" i="13"/>
  <c r="JA195" i="13"/>
  <c r="JA165" i="13"/>
  <c r="JA180" i="13"/>
  <c r="JA182" i="13"/>
  <c r="JA162" i="13"/>
  <c r="JA154" i="13"/>
  <c r="JA147" i="13"/>
  <c r="JA116" i="13"/>
  <c r="JA102" i="13"/>
  <c r="JA95" i="13"/>
  <c r="JA96" i="13"/>
  <c r="JA136" i="13"/>
  <c r="JA150" i="13"/>
  <c r="JA90" i="13"/>
  <c r="JA82" i="13"/>
  <c r="JA72" i="13"/>
  <c r="JA76" i="13"/>
  <c r="JA48" i="13"/>
  <c r="JA50" i="13"/>
  <c r="JA22" i="13"/>
  <c r="JA40" i="13"/>
  <c r="JA67" i="13"/>
  <c r="JA151" i="13"/>
  <c r="JA215" i="13"/>
  <c r="JA221" i="13"/>
  <c r="JA209" i="13"/>
  <c r="JA203" i="13"/>
  <c r="JA198" i="13"/>
  <c r="JA185" i="13"/>
  <c r="JA169" i="13"/>
  <c r="JA164" i="13"/>
  <c r="JA160" i="13"/>
  <c r="JA157" i="13"/>
  <c r="JA144" i="13"/>
  <c r="JA143" i="13"/>
  <c r="JA128" i="13"/>
  <c r="JA127" i="13"/>
  <c r="JA123" i="13"/>
  <c r="JA139" i="13"/>
  <c r="JA124" i="13"/>
  <c r="JA89" i="13"/>
  <c r="JA70" i="13"/>
  <c r="JA77" i="13"/>
  <c r="JA53" i="13"/>
  <c r="JA37" i="13"/>
  <c r="JA13" i="13"/>
  <c r="JA117" i="13"/>
  <c r="JA7" i="13"/>
  <c r="JA228" i="13"/>
  <c r="JA214" i="13"/>
  <c r="JA208" i="13"/>
  <c r="JA196" i="13"/>
  <c r="JA193" i="13"/>
  <c r="JA177" i="13"/>
  <c r="JA167" i="13"/>
  <c r="JA168" i="13"/>
  <c r="JA156" i="13"/>
  <c r="JA131" i="13"/>
  <c r="JA146" i="13"/>
  <c r="JA135" i="13"/>
  <c r="JA106" i="13"/>
  <c r="JA94" i="13"/>
  <c r="JA105" i="13"/>
  <c r="JA137" i="13"/>
  <c r="JA108" i="13"/>
  <c r="JA88" i="13"/>
  <c r="JA74" i="13"/>
  <c r="JA73" i="13"/>
  <c r="JA59" i="13"/>
  <c r="JA14" i="13"/>
  <c r="JA39" i="13"/>
  <c r="JA85" i="13"/>
  <c r="JA31" i="13"/>
  <c r="JA227" i="13"/>
  <c r="JA222" i="13"/>
  <c r="JA207" i="13"/>
  <c r="JA201" i="13"/>
  <c r="JA197" i="13"/>
  <c r="JA188" i="13"/>
  <c r="JA187" i="13"/>
  <c r="JA184" i="13"/>
  <c r="JA161" i="13"/>
  <c r="JA134" i="13"/>
  <c r="JA148" i="13"/>
  <c r="JA125" i="13"/>
  <c r="JA130" i="13"/>
  <c r="JA133" i="13"/>
  <c r="JA103" i="13"/>
  <c r="JA138" i="13"/>
  <c r="JA114" i="13"/>
  <c r="JA87" i="13"/>
  <c r="JA81" i="13"/>
  <c r="JA55" i="13"/>
  <c r="JA64" i="13"/>
  <c r="JA12" i="13"/>
  <c r="JA5" i="13"/>
  <c r="JA30" i="13"/>
  <c r="JA226" i="13"/>
  <c r="JA220" i="13"/>
  <c r="JA206" i="13"/>
  <c r="JA189" i="13"/>
  <c r="JA194" i="13"/>
  <c r="JA170" i="13"/>
  <c r="JA176" i="13"/>
  <c r="JA163" i="13"/>
  <c r="JA155" i="13"/>
  <c r="JA121" i="13"/>
  <c r="JA112" i="13"/>
  <c r="JA101" i="13"/>
  <c r="JA109" i="13"/>
  <c r="JA118" i="13"/>
  <c r="JA113" i="13"/>
  <c r="JA132" i="13"/>
  <c r="JA149" i="13"/>
  <c r="JA86" i="13"/>
  <c r="JA65" i="13"/>
  <c r="JA54" i="13"/>
  <c r="JA78" i="13"/>
  <c r="JA66" i="13"/>
  <c r="JA46" i="13"/>
  <c r="JA38" i="13"/>
  <c r="JA21" i="13"/>
  <c r="JA93" i="13"/>
  <c r="JA51" i="13"/>
  <c r="JA213" i="13"/>
  <c r="JA218" i="13"/>
  <c r="JA204" i="13"/>
  <c r="JA199" i="13"/>
  <c r="JA190" i="13"/>
  <c r="JA183" i="13"/>
  <c r="JA172" i="13"/>
  <c r="JA174" i="13"/>
  <c r="JA153" i="13"/>
  <c r="JA110" i="13"/>
  <c r="JA115" i="13"/>
  <c r="JA141" i="13"/>
  <c r="JA129" i="13"/>
  <c r="IZ9" i="13"/>
  <c r="IZ25" i="13"/>
  <c r="IZ18" i="13"/>
  <c r="IZ17" i="13"/>
  <c r="IZ27" i="13"/>
  <c r="IZ219" i="13"/>
  <c r="IZ225" i="13"/>
  <c r="IZ217" i="13"/>
  <c r="IZ205" i="13"/>
  <c r="IZ192" i="13"/>
  <c r="IZ171" i="13"/>
  <c r="IZ175" i="13"/>
  <c r="IZ186" i="13"/>
  <c r="IZ178" i="13"/>
  <c r="IZ159" i="13"/>
  <c r="IZ126" i="13"/>
  <c r="IZ104" i="13"/>
  <c r="IZ140" i="13"/>
  <c r="IZ97" i="13"/>
  <c r="IZ119" i="13"/>
  <c r="IZ145" i="13"/>
  <c r="IZ99" i="13"/>
  <c r="IZ92" i="13"/>
  <c r="IZ84" i="13"/>
  <c r="IZ80" i="13"/>
  <c r="IZ68" i="13"/>
  <c r="IZ75" i="13"/>
  <c r="IZ60" i="13"/>
  <c r="IZ44" i="13"/>
  <c r="IZ36" i="13"/>
  <c r="IZ28" i="13"/>
  <c r="IZ47" i="13"/>
  <c r="IZ33" i="13"/>
  <c r="IZ93" i="13"/>
  <c r="IZ54" i="13"/>
  <c r="IZ51" i="13"/>
  <c r="IZ39" i="13"/>
  <c r="IZ223" i="13"/>
  <c r="IZ224" i="13"/>
  <c r="IZ211" i="13"/>
  <c r="IZ200" i="13"/>
  <c r="IZ191" i="13"/>
  <c r="IZ166" i="13"/>
  <c r="IZ179" i="13"/>
  <c r="IZ173" i="13"/>
  <c r="IZ181" i="13"/>
  <c r="IZ158" i="13"/>
  <c r="IZ122" i="13"/>
  <c r="IZ142" i="13"/>
  <c r="IZ98" i="13"/>
  <c r="IZ107" i="13"/>
  <c r="IZ120" i="13"/>
  <c r="IZ100" i="13"/>
  <c r="IZ111" i="13"/>
  <c r="IZ91" i="13"/>
  <c r="IZ83" i="13"/>
  <c r="IZ79" i="13"/>
  <c r="IZ71" i="13"/>
  <c r="IZ58" i="13"/>
  <c r="IZ49" i="13"/>
  <c r="IZ43" i="13"/>
  <c r="IZ35" i="13"/>
  <c r="IZ26" i="13"/>
  <c r="IZ11" i="13"/>
  <c r="IZ42" i="13"/>
  <c r="IZ41" i="13"/>
  <c r="IZ113" i="13"/>
  <c r="IZ85" i="13"/>
  <c r="IZ34" i="13"/>
  <c r="IZ24" i="13"/>
  <c r="IZ62" i="13"/>
  <c r="IZ65" i="13"/>
  <c r="IZ37" i="13"/>
  <c r="IZ19" i="13"/>
  <c r="IZ12" i="13"/>
  <c r="IZ16" i="13"/>
  <c r="IZ15" i="13"/>
  <c r="IZ7" i="13"/>
  <c r="IZ69" i="13"/>
  <c r="IZ216" i="13"/>
  <c r="IZ212" i="13"/>
  <c r="IZ210" i="13"/>
  <c r="IZ202" i="13"/>
  <c r="IZ195" i="13"/>
  <c r="IZ165" i="13"/>
  <c r="IZ180" i="13"/>
  <c r="IZ182" i="13"/>
  <c r="IZ162" i="13"/>
  <c r="IZ154" i="13"/>
  <c r="IZ147" i="13"/>
  <c r="IZ116" i="13"/>
  <c r="IZ102" i="13"/>
  <c r="IZ95" i="13"/>
  <c r="IZ96" i="13"/>
  <c r="IZ136" i="13"/>
  <c r="IZ150" i="13"/>
  <c r="IZ90" i="13"/>
  <c r="IZ82" i="13"/>
  <c r="IZ72" i="13"/>
  <c r="IZ76" i="13"/>
  <c r="IZ52" i="13"/>
  <c r="IZ57" i="13"/>
  <c r="IZ8" i="13"/>
  <c r="IZ67" i="13"/>
  <c r="IZ23" i="13"/>
  <c r="IZ87" i="13"/>
  <c r="IZ117" i="13"/>
  <c r="IZ20" i="13"/>
  <c r="IZ6" i="13"/>
  <c r="IZ56" i="13"/>
  <c r="IZ31" i="13"/>
  <c r="IZ215" i="13"/>
  <c r="IZ221" i="13"/>
  <c r="IZ209" i="13"/>
  <c r="IZ203" i="13"/>
  <c r="IZ198" i="13"/>
  <c r="IZ185" i="13"/>
  <c r="IZ169" i="13"/>
  <c r="IZ164" i="13"/>
  <c r="IZ160" i="13"/>
  <c r="IZ157" i="13"/>
  <c r="IZ144" i="13"/>
  <c r="IZ143" i="13"/>
  <c r="IZ128" i="13"/>
  <c r="IZ127" i="13"/>
  <c r="IZ123" i="13"/>
  <c r="IZ139" i="13"/>
  <c r="IZ124" i="13"/>
  <c r="IZ89" i="13"/>
  <c r="IZ70" i="13"/>
  <c r="IZ77" i="13"/>
  <c r="IZ53" i="13"/>
  <c r="IZ50" i="13"/>
  <c r="IZ32" i="13"/>
  <c r="IZ149" i="13"/>
  <c r="IZ45" i="13"/>
  <c r="IZ21" i="13"/>
  <c r="IZ14" i="13"/>
  <c r="IZ30" i="13"/>
  <c r="IZ5" i="13"/>
  <c r="IZ46" i="13"/>
  <c r="IZ228" i="13"/>
  <c r="IZ214" i="13"/>
  <c r="IZ208" i="13"/>
  <c r="IZ196" i="13"/>
  <c r="IZ193" i="13"/>
  <c r="IZ177" i="13"/>
  <c r="IZ167" i="13"/>
  <c r="IZ168" i="13"/>
  <c r="IZ156" i="13"/>
  <c r="IZ131" i="13"/>
  <c r="IZ146" i="13"/>
  <c r="IZ135" i="13"/>
  <c r="IZ106" i="13"/>
  <c r="IZ94" i="13"/>
  <c r="IZ105" i="13"/>
  <c r="IZ137" i="13"/>
  <c r="IZ108" i="13"/>
  <c r="IZ88" i="13"/>
  <c r="IZ74" i="13"/>
  <c r="IZ73" i="13"/>
  <c r="IZ59" i="13"/>
  <c r="IZ61" i="13"/>
  <c r="IZ48" i="13"/>
  <c r="IZ40" i="13"/>
  <c r="IZ81" i="13"/>
  <c r="IZ66" i="13"/>
  <c r="IZ10" i="13"/>
  <c r="IZ86" i="13"/>
  <c r="IZ22" i="13"/>
  <c r="IZ55" i="13"/>
  <c r="IZ227" i="13"/>
  <c r="IZ222" i="13"/>
  <c r="IZ207" i="13"/>
  <c r="IZ201" i="13"/>
  <c r="IZ197" i="13"/>
  <c r="IZ188" i="13"/>
  <c r="IZ187" i="13"/>
  <c r="IZ184" i="13"/>
  <c r="IZ161" i="13"/>
  <c r="IZ134" i="13"/>
  <c r="IZ148" i="13"/>
  <c r="IZ125" i="13"/>
  <c r="IZ130" i="13"/>
  <c r="IZ133" i="13"/>
  <c r="IZ103" i="13"/>
  <c r="IZ138" i="13"/>
  <c r="IZ114" i="13"/>
  <c r="IZ13" i="13"/>
  <c r="IZ64" i="13"/>
  <c r="IZ78" i="13"/>
  <c r="IZ152" i="13"/>
  <c r="IZ38" i="13"/>
  <c r="IZ151" i="13"/>
  <c r="IZ226" i="13"/>
  <c r="IZ220" i="13"/>
  <c r="IZ206" i="13"/>
  <c r="IZ189" i="13"/>
  <c r="IZ194" i="13"/>
  <c r="IZ170" i="13"/>
  <c r="IZ176" i="13"/>
  <c r="IZ163" i="13"/>
  <c r="IZ155" i="13"/>
  <c r="IZ121" i="13"/>
  <c r="IZ112" i="13"/>
  <c r="IZ101" i="13"/>
  <c r="IZ109" i="13"/>
  <c r="IZ118" i="13"/>
  <c r="IZ132" i="13"/>
  <c r="IZ63" i="13"/>
  <c r="IZ29" i="13"/>
  <c r="IZ213" i="13"/>
  <c r="IZ218" i="13"/>
  <c r="IZ204" i="13"/>
  <c r="IZ199" i="13"/>
  <c r="IZ190" i="13"/>
  <c r="IZ183" i="13"/>
  <c r="IZ172" i="13"/>
  <c r="IZ174" i="13"/>
  <c r="IZ153" i="13"/>
  <c r="IZ110" i="13"/>
  <c r="IZ115" i="13"/>
  <c r="IZ141" i="13"/>
  <c r="IZ129" i="13"/>
  <c r="JB219" i="13"/>
  <c r="JB225" i="13"/>
  <c r="JB217" i="13"/>
  <c r="JB205" i="13"/>
  <c r="JB192" i="13"/>
  <c r="JB171" i="13"/>
  <c r="JB175" i="13"/>
  <c r="JB186" i="13"/>
  <c r="JB178" i="13"/>
  <c r="JB159" i="13"/>
  <c r="JB126" i="13"/>
  <c r="JB104" i="13"/>
  <c r="JB140" i="13"/>
  <c r="JB97" i="13"/>
  <c r="JB119" i="13"/>
  <c r="JB145" i="13"/>
  <c r="JB99" i="13"/>
  <c r="JB92" i="13"/>
  <c r="JB84" i="13"/>
  <c r="JB80" i="13"/>
  <c r="JB68" i="13"/>
  <c r="JB75" i="13"/>
  <c r="JB60" i="13"/>
  <c r="JB44" i="13"/>
  <c r="JB36" i="13"/>
  <c r="JB28" i="13"/>
  <c r="JB18" i="13"/>
  <c r="JB9" i="13"/>
  <c r="JB8" i="13"/>
  <c r="JB33" i="13"/>
  <c r="JB32" i="13"/>
  <c r="JB87" i="13"/>
  <c r="JB40" i="13"/>
  <c r="JB62" i="13"/>
  <c r="JB56" i="13"/>
  <c r="JB19" i="13"/>
  <c r="JB47" i="13"/>
  <c r="JB151" i="13"/>
  <c r="JB223" i="13"/>
  <c r="JB224" i="13"/>
  <c r="JB211" i="13"/>
  <c r="JB200" i="13"/>
  <c r="JB191" i="13"/>
  <c r="JB166" i="13"/>
  <c r="JB179" i="13"/>
  <c r="JB173" i="13"/>
  <c r="JB181" i="13"/>
  <c r="JB158" i="13"/>
  <c r="JB122" i="13"/>
  <c r="JB142" i="13"/>
  <c r="JB98" i="13"/>
  <c r="JB107" i="13"/>
  <c r="JB120" i="13"/>
  <c r="JB100" i="13"/>
  <c r="JB111" i="13"/>
  <c r="JB91" i="13"/>
  <c r="JB83" i="13"/>
  <c r="JB79" i="13"/>
  <c r="JB71" i="13"/>
  <c r="JB58" i="13"/>
  <c r="JB49" i="13"/>
  <c r="JB43" i="13"/>
  <c r="JB35" i="13"/>
  <c r="JB26" i="13"/>
  <c r="JB17" i="13"/>
  <c r="JB11" i="13"/>
  <c r="JB63" i="13"/>
  <c r="JB48" i="13"/>
  <c r="JB55" i="13"/>
  <c r="JB50" i="13"/>
  <c r="JB31" i="13"/>
  <c r="JB93" i="13"/>
  <c r="JB16" i="13"/>
  <c r="JB41" i="13"/>
  <c r="JB23" i="13"/>
  <c r="JB13" i="13"/>
  <c r="JB51" i="13"/>
  <c r="JB216" i="13"/>
  <c r="JB212" i="13"/>
  <c r="JB210" i="13"/>
  <c r="JB202" i="13"/>
  <c r="JB195" i="13"/>
  <c r="JB165" i="13"/>
  <c r="JB180" i="13"/>
  <c r="JB182" i="13"/>
  <c r="JB162" i="13"/>
  <c r="JB154" i="13"/>
  <c r="JB147" i="13"/>
  <c r="JB116" i="13"/>
  <c r="JB102" i="13"/>
  <c r="JB95" i="13"/>
  <c r="JB96" i="13"/>
  <c r="JB136" i="13"/>
  <c r="JB150" i="13"/>
  <c r="JB90" i="13"/>
  <c r="JB82" i="13"/>
  <c r="JB72" i="13"/>
  <c r="JB76" i="13"/>
  <c r="JB52" i="13"/>
  <c r="JB57" i="13"/>
  <c r="JB42" i="13"/>
  <c r="JB34" i="13"/>
  <c r="JB25" i="13"/>
  <c r="JB15" i="13"/>
  <c r="JB39" i="13"/>
  <c r="JB152" i="13"/>
  <c r="JB61" i="13"/>
  <c r="JB67" i="13"/>
  <c r="JB20" i="13"/>
  <c r="JB215" i="13"/>
  <c r="JB221" i="13"/>
  <c r="JB209" i="13"/>
  <c r="JB203" i="13"/>
  <c r="JB198" i="13"/>
  <c r="JB185" i="13"/>
  <c r="JB169" i="13"/>
  <c r="JB164" i="13"/>
  <c r="JB160" i="13"/>
  <c r="JB157" i="13"/>
  <c r="JB144" i="13"/>
  <c r="JB143" i="13"/>
  <c r="JB128" i="13"/>
  <c r="JB127" i="13"/>
  <c r="JB123" i="13"/>
  <c r="JB139" i="13"/>
  <c r="JB124" i="13"/>
  <c r="JB89" i="13"/>
  <c r="JB70" i="13"/>
  <c r="JB77" i="13"/>
  <c r="JB53" i="13"/>
  <c r="JB24" i="13"/>
  <c r="JB14" i="13"/>
  <c r="JB81" i="13"/>
  <c r="JB7" i="13"/>
  <c r="JB69" i="13"/>
  <c r="JB228" i="13"/>
  <c r="JB214" i="13"/>
  <c r="JB208" i="13"/>
  <c r="JB196" i="13"/>
  <c r="JB193" i="13"/>
  <c r="JB177" i="13"/>
  <c r="JB167" i="13"/>
  <c r="JB168" i="13"/>
  <c r="JB156" i="13"/>
  <c r="JB131" i="13"/>
  <c r="JB146" i="13"/>
  <c r="JB135" i="13"/>
  <c r="JB106" i="13"/>
  <c r="JB94" i="13"/>
  <c r="JB105" i="13"/>
  <c r="JB137" i="13"/>
  <c r="JB108" i="13"/>
  <c r="JB88" i="13"/>
  <c r="JB74" i="13"/>
  <c r="JB73" i="13"/>
  <c r="JB59" i="13"/>
  <c r="JB37" i="13"/>
  <c r="JB45" i="13"/>
  <c r="JB5" i="13"/>
  <c r="JB227" i="13"/>
  <c r="JB222" i="13"/>
  <c r="JB207" i="13"/>
  <c r="JB201" i="13"/>
  <c r="JB197" i="13"/>
  <c r="JB188" i="13"/>
  <c r="JB187" i="13"/>
  <c r="JB184" i="13"/>
  <c r="JB161" i="13"/>
  <c r="JB134" i="13"/>
  <c r="JB148" i="13"/>
  <c r="JB125" i="13"/>
  <c r="JB130" i="13"/>
  <c r="JB133" i="13"/>
  <c r="JB103" i="13"/>
  <c r="JB138" i="13"/>
  <c r="JB114" i="13"/>
  <c r="JB27" i="13"/>
  <c r="JB29" i="13"/>
  <c r="JB117" i="13"/>
  <c r="JB38" i="13"/>
  <c r="JB21" i="13"/>
  <c r="JB6" i="13"/>
  <c r="JB85" i="13"/>
  <c r="JB226" i="13"/>
  <c r="JB220" i="13"/>
  <c r="JB206" i="13"/>
  <c r="JB189" i="13"/>
  <c r="JB194" i="13"/>
  <c r="JB170" i="13"/>
  <c r="JB176" i="13"/>
  <c r="JB163" i="13"/>
  <c r="JB155" i="13"/>
  <c r="JB121" i="13"/>
  <c r="JB112" i="13"/>
  <c r="JB101" i="13"/>
  <c r="JB109" i="13"/>
  <c r="JB118" i="13"/>
  <c r="JB113" i="13"/>
  <c r="JB132" i="13"/>
  <c r="JB149" i="13"/>
  <c r="JB86" i="13"/>
  <c r="JB65" i="13"/>
  <c r="JB54" i="13"/>
  <c r="JB78" i="13"/>
  <c r="JB66" i="13"/>
  <c r="JB46" i="13"/>
  <c r="JB30" i="13"/>
  <c r="JB12" i="13"/>
  <c r="JB10" i="13"/>
  <c r="JB64" i="13"/>
  <c r="JB213" i="13"/>
  <c r="JB218" i="13"/>
  <c r="JB204" i="13"/>
  <c r="JB199" i="13"/>
  <c r="JB190" i="13"/>
  <c r="JB183" i="13"/>
  <c r="JB172" i="13"/>
  <c r="JB174" i="13"/>
  <c r="JB153" i="13"/>
  <c r="JB110" i="13"/>
  <c r="JB115" i="13"/>
  <c r="JB141" i="13"/>
  <c r="JB129" i="13"/>
  <c r="JB22" i="13"/>
  <c r="IY56" i="13"/>
  <c r="IY113" i="13"/>
  <c r="IY10" i="13"/>
  <c r="IY8" i="13"/>
  <c r="IY38" i="13"/>
  <c r="IY29" i="13"/>
  <c r="IY9" i="13"/>
  <c r="IY34" i="13"/>
  <c r="IY46" i="13"/>
  <c r="IY37" i="13"/>
  <c r="IY219" i="13"/>
  <c r="IY225" i="13"/>
  <c r="IY217" i="13"/>
  <c r="IY205" i="13"/>
  <c r="IY192" i="13"/>
  <c r="IY171" i="13"/>
  <c r="IY175" i="13"/>
  <c r="IY186" i="13"/>
  <c r="IY178" i="13"/>
  <c r="IY159" i="13"/>
  <c r="IY126" i="13"/>
  <c r="IY104" i="13"/>
  <c r="IY140" i="13"/>
  <c r="IY97" i="13"/>
  <c r="IY119" i="13"/>
  <c r="IY145" i="13"/>
  <c r="IY99" i="13"/>
  <c r="IY92" i="13"/>
  <c r="IY84" i="13"/>
  <c r="IY80" i="13"/>
  <c r="IY68" i="13"/>
  <c r="IY75" i="13"/>
  <c r="IY60" i="13"/>
  <c r="IY44" i="13"/>
  <c r="IY36" i="13"/>
  <c r="IY28" i="13"/>
  <c r="IY18" i="13"/>
  <c r="IY11" i="13"/>
  <c r="IY57" i="13"/>
  <c r="IY24" i="13"/>
  <c r="IY42" i="13"/>
  <c r="IY30" i="13"/>
  <c r="IY45" i="13"/>
  <c r="IY223" i="13"/>
  <c r="IY224" i="13"/>
  <c r="IY211" i="13"/>
  <c r="IY200" i="13"/>
  <c r="IY191" i="13"/>
  <c r="IY166" i="13"/>
  <c r="IY179" i="13"/>
  <c r="IY173" i="13"/>
  <c r="IY181" i="13"/>
  <c r="IY158" i="13"/>
  <c r="IY122" i="13"/>
  <c r="IY142" i="13"/>
  <c r="IY98" i="13"/>
  <c r="IY107" i="13"/>
  <c r="IY120" i="13"/>
  <c r="IY100" i="13"/>
  <c r="IY111" i="13"/>
  <c r="IY91" i="13"/>
  <c r="IY83" i="13"/>
  <c r="IY79" i="13"/>
  <c r="IY71" i="13"/>
  <c r="IY58" i="13"/>
  <c r="IY49" i="13"/>
  <c r="IY43" i="13"/>
  <c r="IY35" i="13"/>
  <c r="IY26" i="13"/>
  <c r="IY17" i="13"/>
  <c r="IY25" i="13"/>
  <c r="IY19" i="13"/>
  <c r="IY21" i="13"/>
  <c r="IY16" i="13"/>
  <c r="IY20" i="13"/>
  <c r="IY69" i="13"/>
  <c r="IY54" i="13"/>
  <c r="IY5" i="13"/>
  <c r="IY216" i="13"/>
  <c r="IY212" i="13"/>
  <c r="IY210" i="13"/>
  <c r="IY202" i="13"/>
  <c r="IY195" i="13"/>
  <c r="IY165" i="13"/>
  <c r="IY180" i="13"/>
  <c r="IY182" i="13"/>
  <c r="IY162" i="13"/>
  <c r="IY154" i="13"/>
  <c r="IY147" i="13"/>
  <c r="IY116" i="13"/>
  <c r="IY102" i="13"/>
  <c r="IY95" i="13"/>
  <c r="IY96" i="13"/>
  <c r="IY136" i="13"/>
  <c r="IY150" i="13"/>
  <c r="IY90" i="13"/>
  <c r="IY82" i="13"/>
  <c r="IY72" i="13"/>
  <c r="IY76" i="13"/>
  <c r="IY52" i="13"/>
  <c r="IY33" i="13"/>
  <c r="IY65" i="13"/>
  <c r="IY151" i="13"/>
  <c r="IY66" i="13"/>
  <c r="IY22" i="13"/>
  <c r="IY41" i="13"/>
  <c r="IY215" i="13"/>
  <c r="IY221" i="13"/>
  <c r="IY209" i="13"/>
  <c r="IY203" i="13"/>
  <c r="IY198" i="13"/>
  <c r="IY185" i="13"/>
  <c r="IY169" i="13"/>
  <c r="IY164" i="13"/>
  <c r="IY160" i="13"/>
  <c r="IY157" i="13"/>
  <c r="IY144" i="13"/>
  <c r="IY143" i="13"/>
  <c r="IY128" i="13"/>
  <c r="IY127" i="13"/>
  <c r="IY123" i="13"/>
  <c r="IY139" i="13"/>
  <c r="IY124" i="13"/>
  <c r="IY89" i="13"/>
  <c r="IY70" i="13"/>
  <c r="IY77" i="13"/>
  <c r="IY53" i="13"/>
  <c r="IY50" i="13"/>
  <c r="IY15" i="13"/>
  <c r="IY23" i="13"/>
  <c r="IY64" i="13"/>
  <c r="IY117" i="13"/>
  <c r="IY14" i="13"/>
  <c r="IY132" i="13"/>
  <c r="IY51" i="13"/>
  <c r="IY228" i="13"/>
  <c r="IY214" i="13"/>
  <c r="IY208" i="13"/>
  <c r="IY196" i="13"/>
  <c r="IY193" i="13"/>
  <c r="IY177" i="13"/>
  <c r="IY167" i="13"/>
  <c r="IY168" i="13"/>
  <c r="IY156" i="13"/>
  <c r="IY131" i="13"/>
  <c r="IY146" i="13"/>
  <c r="IY135" i="13"/>
  <c r="IY106" i="13"/>
  <c r="IY94" i="13"/>
  <c r="IY105" i="13"/>
  <c r="IY137" i="13"/>
  <c r="IY108" i="13"/>
  <c r="IY88" i="13"/>
  <c r="IY74" i="13"/>
  <c r="IY73" i="13"/>
  <c r="IY59" i="13"/>
  <c r="IY61" i="13"/>
  <c r="IY48" i="13"/>
  <c r="IY40" i="13"/>
  <c r="IY32" i="13"/>
  <c r="IY149" i="13"/>
  <c r="IY63" i="13"/>
  <c r="IY227" i="13"/>
  <c r="IY222" i="13"/>
  <c r="IY207" i="13"/>
  <c r="IY201" i="13"/>
  <c r="IY197" i="13"/>
  <c r="IY188" i="13"/>
  <c r="IY187" i="13"/>
  <c r="IY184" i="13"/>
  <c r="IY161" i="13"/>
  <c r="IY134" i="13"/>
  <c r="IY148" i="13"/>
  <c r="IY125" i="13"/>
  <c r="IY130" i="13"/>
  <c r="IY133" i="13"/>
  <c r="IY103" i="13"/>
  <c r="IY138" i="13"/>
  <c r="IY114" i="13"/>
  <c r="IY87" i="13"/>
  <c r="IY81" i="13"/>
  <c r="IY55" i="13"/>
  <c r="IY62" i="13"/>
  <c r="IY67" i="13"/>
  <c r="IY47" i="13"/>
  <c r="IY39" i="13"/>
  <c r="IY31" i="13"/>
  <c r="IY27" i="13"/>
  <c r="IY13" i="13"/>
  <c r="IY7" i="13"/>
  <c r="IY86" i="13"/>
  <c r="IY152" i="13"/>
  <c r="IY12" i="13"/>
  <c r="IY85" i="13"/>
  <c r="IY6" i="13"/>
  <c r="IY226" i="13"/>
  <c r="IY220" i="13"/>
  <c r="IY206" i="13"/>
  <c r="IY189" i="13"/>
  <c r="IY194" i="13"/>
  <c r="IY170" i="13"/>
  <c r="IY176" i="13"/>
  <c r="IY163" i="13"/>
  <c r="IY155" i="13"/>
  <c r="IY121" i="13"/>
  <c r="IY112" i="13"/>
  <c r="IY101" i="13"/>
  <c r="IY109" i="13"/>
  <c r="IY118" i="13"/>
  <c r="IY78" i="13"/>
  <c r="IY93" i="13"/>
  <c r="IY213" i="13"/>
  <c r="IY218" i="13"/>
  <c r="IY204" i="13"/>
  <c r="IY199" i="13"/>
  <c r="IY190" i="13"/>
  <c r="IY183" i="13"/>
  <c r="IY172" i="13"/>
  <c r="IY174" i="13"/>
  <c r="IY153" i="13"/>
  <c r="IY110" i="13"/>
  <c r="IY115" i="13"/>
  <c r="IY141" i="13"/>
  <c r="IY129" i="13"/>
  <c r="JA4" i="13"/>
  <c r="IZ4" i="13"/>
  <c r="JB4" i="13"/>
  <c r="IY4" i="13"/>
  <c r="AR2" i="7" a="1"/>
  <c r="AR2" i="7" s="1"/>
  <c r="AQ2" i="7" a="1"/>
  <c r="AQ2" i="7" s="1"/>
  <c r="AP2" i="7" a="1"/>
  <c r="AP2" i="7" s="1"/>
  <c r="AO2" i="7" a="1"/>
  <c r="AO2" i="7" s="1"/>
  <c r="AN2" i="7" a="1"/>
  <c r="AN2" i="7" s="1"/>
  <c r="AM2" i="7" a="1"/>
  <c r="AM2" i="7" s="1"/>
  <c r="AL2" i="7" a="1"/>
  <c r="AL2" i="7" s="1"/>
  <c r="AK2" i="7" a="1"/>
  <c r="AK2" i="7" s="1"/>
  <c r="AJ2" i="7" a="1"/>
  <c r="AJ2" i="7" s="1"/>
  <c r="AI2" i="7" a="1"/>
  <c r="AI2" i="7" s="1"/>
  <c r="AH2" i="7" a="1"/>
  <c r="AH2" i="7" s="1"/>
  <c r="AG2" i="7" a="1"/>
  <c r="AG2" i="7" s="1"/>
  <c r="AF2" i="7" a="1"/>
  <c r="AF2" i="7" s="1"/>
  <c r="AE2" i="7" a="1"/>
  <c r="AE2" i="7" s="1"/>
  <c r="AB18" i="7" a="1"/>
  <c r="AB18" i="7" s="1"/>
  <c r="AB142" i="7" a="1"/>
  <c r="AB142" i="7" s="1"/>
  <c r="AB141" i="7" a="1"/>
  <c r="AB141" i="7" s="1"/>
  <c r="AB140" i="7" a="1"/>
  <c r="AB140" i="7" s="1"/>
  <c r="AB139" i="7" a="1"/>
  <c r="AB139" i="7" s="1"/>
  <c r="AB138" i="7" a="1"/>
  <c r="AB138" i="7" s="1"/>
  <c r="AB137" i="7" a="1"/>
  <c r="AB137" i="7" s="1"/>
  <c r="AB136" i="7" a="1"/>
  <c r="AB136" i="7" s="1"/>
  <c r="AB135" i="7" a="1"/>
  <c r="AB135" i="7" s="1"/>
  <c r="AB134" i="7" a="1"/>
  <c r="AB134" i="7" s="1"/>
  <c r="AB133" i="7" a="1"/>
  <c r="AB133" i="7" s="1"/>
  <c r="AB132" i="7" a="1"/>
  <c r="AB132" i="7" s="1"/>
  <c r="AB131" i="7" a="1"/>
  <c r="AB131" i="7" s="1"/>
  <c r="AB130" i="7" a="1"/>
  <c r="AB130" i="7" s="1"/>
  <c r="AB129" i="7" a="1"/>
  <c r="AB129" i="7" s="1"/>
  <c r="AB128" i="7" a="1"/>
  <c r="AB128" i="7" s="1"/>
  <c r="AB127" i="7" a="1"/>
  <c r="AB127" i="7" s="1"/>
  <c r="AB126" i="7" a="1"/>
  <c r="AB126" i="7" s="1"/>
  <c r="AB125" i="7" a="1"/>
  <c r="AB125" i="7" s="1"/>
  <c r="AB124" i="7" a="1"/>
  <c r="AB124" i="7" s="1"/>
  <c r="AB123" i="7" a="1"/>
  <c r="AB123" i="7" s="1"/>
  <c r="AB122" i="7" a="1"/>
  <c r="AB122" i="7" s="1"/>
  <c r="AB121" i="7" a="1"/>
  <c r="AB121" i="7" s="1"/>
  <c r="AB120" i="7" a="1"/>
  <c r="AB120" i="7" s="1"/>
  <c r="AB119" i="7" a="1"/>
  <c r="AB119" i="7" s="1"/>
  <c r="AB118" i="7" a="1"/>
  <c r="AB118" i="7" s="1"/>
  <c r="AB117" i="7" a="1"/>
  <c r="AB117" i="7" s="1"/>
  <c r="AB116" i="7" a="1"/>
  <c r="AB116" i="7" s="1"/>
  <c r="AB115" i="7" a="1"/>
  <c r="AB115" i="7" s="1"/>
  <c r="AB114" i="7" a="1"/>
  <c r="AB114" i="7" s="1"/>
  <c r="AB113" i="7" a="1"/>
  <c r="AB113" i="7" s="1"/>
  <c r="AB112" i="7" a="1"/>
  <c r="AB112" i="7" s="1"/>
  <c r="AB111" i="7" a="1"/>
  <c r="AB111" i="7" s="1"/>
  <c r="AB110" i="7" a="1"/>
  <c r="AB110" i="7" s="1"/>
  <c r="AB109" i="7" a="1"/>
  <c r="AB109" i="7" s="1"/>
  <c r="AB108" i="7" a="1"/>
  <c r="AB108" i="7" s="1"/>
  <c r="AB107" i="7" a="1"/>
  <c r="AB107" i="7" s="1"/>
  <c r="AB106" i="7" a="1"/>
  <c r="AB106" i="7" s="1"/>
  <c r="AB105" i="7" a="1"/>
  <c r="AB105" i="7" s="1"/>
  <c r="AB104" i="7" a="1"/>
  <c r="AB104" i="7" s="1"/>
  <c r="AB103" i="7" a="1"/>
  <c r="AB103" i="7" s="1"/>
  <c r="AB102" i="7" a="1"/>
  <c r="AB102" i="7" s="1"/>
  <c r="AB101" i="7" a="1"/>
  <c r="AB101" i="7" s="1"/>
  <c r="AB100" i="7" a="1"/>
  <c r="AB100" i="7" s="1"/>
  <c r="AB99" i="7" a="1"/>
  <c r="AB99" i="7" s="1"/>
  <c r="AB98" i="7" a="1"/>
  <c r="AB98" i="7" s="1"/>
  <c r="AB97" i="7" a="1"/>
  <c r="AB97" i="7" s="1"/>
  <c r="AB96" i="7" a="1"/>
  <c r="AB96" i="7" s="1"/>
  <c r="AB95" i="7" a="1"/>
  <c r="AB95" i="7" s="1"/>
  <c r="AB94" i="7" a="1"/>
  <c r="AB94" i="7" s="1"/>
  <c r="AB93" i="7" a="1"/>
  <c r="AB93" i="7" s="1"/>
  <c r="AB92" i="7" a="1"/>
  <c r="AB92" i="7" s="1"/>
  <c r="AB91" i="7" a="1"/>
  <c r="AB91" i="7" s="1"/>
  <c r="AB90" i="7" a="1"/>
  <c r="AB90" i="7" s="1"/>
  <c r="AB89" i="7" a="1"/>
  <c r="AB89" i="7" s="1"/>
  <c r="AB88" i="7" a="1"/>
  <c r="AB88" i="7" s="1"/>
  <c r="AB87" i="7" a="1"/>
  <c r="AB87" i="7" s="1"/>
  <c r="AB86" i="7" a="1"/>
  <c r="AB86" i="7" s="1"/>
  <c r="AB85" i="7" a="1"/>
  <c r="AB85" i="7" s="1"/>
  <c r="AB84" i="7" a="1"/>
  <c r="AB84" i="7" s="1"/>
  <c r="AB83" i="7" a="1"/>
  <c r="AB83" i="7" s="1"/>
  <c r="AB82" i="7" a="1"/>
  <c r="AB82" i="7" s="1"/>
  <c r="AB81" i="7" a="1"/>
  <c r="AB81" i="7" s="1"/>
  <c r="AB80" i="7" a="1"/>
  <c r="AB80" i="7" s="1"/>
  <c r="AB79" i="7" a="1"/>
  <c r="AB79" i="7" s="1"/>
  <c r="AB78" i="7" a="1"/>
  <c r="AB78" i="7" s="1"/>
  <c r="AB77" i="7" a="1"/>
  <c r="AB77" i="7" s="1"/>
  <c r="AB76" i="7" a="1"/>
  <c r="AB76" i="7" s="1"/>
  <c r="AB75" i="7" a="1"/>
  <c r="AB75" i="7" s="1"/>
  <c r="AB74" i="7" a="1"/>
  <c r="AB74" i="7" s="1"/>
  <c r="AB73" i="7" a="1"/>
  <c r="AB73" i="7" s="1"/>
  <c r="AB72" i="7" a="1"/>
  <c r="AB72" i="7" s="1"/>
  <c r="AB71" i="7" a="1"/>
  <c r="AB71" i="7" s="1"/>
  <c r="AB70" i="7" a="1"/>
  <c r="AB70" i="7" s="1"/>
  <c r="AB69" i="7" a="1"/>
  <c r="AB69" i="7" s="1"/>
  <c r="AB68" i="7" a="1"/>
  <c r="AB68" i="7" s="1"/>
  <c r="AB67" i="7" a="1"/>
  <c r="AB67" i="7" s="1"/>
  <c r="AB66" i="7" a="1"/>
  <c r="AB66" i="7" s="1"/>
  <c r="AB65" i="7" a="1"/>
  <c r="AB65" i="7" s="1"/>
  <c r="AB64" i="7" a="1"/>
  <c r="AB64" i="7" s="1"/>
  <c r="AB63" i="7" a="1"/>
  <c r="AB63" i="7" s="1"/>
  <c r="AB62" i="7" a="1"/>
  <c r="AB62" i="7" s="1"/>
  <c r="AB61" i="7" a="1"/>
  <c r="AB61" i="7" s="1"/>
  <c r="AB60" i="7" a="1"/>
  <c r="AB60" i="7" s="1"/>
  <c r="AB59" i="7" a="1"/>
  <c r="AB59" i="7" s="1"/>
  <c r="AB58" i="7" a="1"/>
  <c r="AB58" i="7" s="1"/>
  <c r="AB57" i="7" a="1"/>
  <c r="AB57" i="7" s="1"/>
  <c r="AB56" i="7" a="1"/>
  <c r="AB56" i="7" s="1"/>
  <c r="AB55" i="7" a="1"/>
  <c r="AB55" i="7" s="1"/>
  <c r="AB54" i="7" a="1"/>
  <c r="AB54" i="7" s="1"/>
  <c r="AB53" i="7" a="1"/>
  <c r="AB53" i="7" s="1"/>
  <c r="AB52" i="7" a="1"/>
  <c r="AB52" i="7" s="1"/>
  <c r="AB51" i="7" a="1"/>
  <c r="AB51" i="7" s="1"/>
  <c r="AB50" i="7" a="1"/>
  <c r="AB50" i="7" s="1"/>
  <c r="AB49" i="7" a="1"/>
  <c r="AB49" i="7" s="1"/>
  <c r="AB48" i="7" a="1"/>
  <c r="AB48" i="7" s="1"/>
  <c r="AB47" i="7" a="1"/>
  <c r="AB47" i="7" s="1"/>
  <c r="AB46" i="7" a="1"/>
  <c r="AB46" i="7" s="1"/>
  <c r="AB45" i="7" a="1"/>
  <c r="AB45" i="7" s="1"/>
  <c r="AB44" i="7" a="1"/>
  <c r="AB44" i="7" s="1"/>
  <c r="AB43" i="7" a="1"/>
  <c r="AB43" i="7" s="1"/>
  <c r="AB42" i="7" a="1"/>
  <c r="AB42" i="7" s="1"/>
  <c r="AB41" i="7" a="1"/>
  <c r="AB41" i="7" s="1"/>
  <c r="AB40" i="7" a="1"/>
  <c r="AB40" i="7" s="1"/>
  <c r="AB39" i="7" a="1"/>
  <c r="AB39" i="7" s="1"/>
  <c r="AB38" i="7" a="1"/>
  <c r="AB38" i="7" s="1"/>
  <c r="AB37" i="7" a="1"/>
  <c r="AB37" i="7" s="1"/>
  <c r="AB36" i="7" a="1"/>
  <c r="AB36" i="7" s="1"/>
  <c r="AB35" i="7" a="1"/>
  <c r="AB35" i="7" s="1"/>
  <c r="AB34" i="7" a="1"/>
  <c r="AB34" i="7" s="1"/>
  <c r="AB33" i="7" a="1"/>
  <c r="AB33" i="7" s="1"/>
  <c r="AB32" i="7" a="1"/>
  <c r="AB32" i="7" s="1"/>
  <c r="AB31" i="7" a="1"/>
  <c r="AB31" i="7" s="1"/>
  <c r="AB30" i="7" a="1"/>
  <c r="AB30" i="7" s="1"/>
  <c r="AB29" i="7" a="1"/>
  <c r="AB29" i="7" s="1"/>
  <c r="AB28" i="7" a="1"/>
  <c r="AB28" i="7" s="1"/>
  <c r="AB27" i="7" a="1"/>
  <c r="AB27" i="7" s="1"/>
  <c r="AB26" i="7" a="1"/>
  <c r="AB26" i="7" s="1"/>
  <c r="AB25" i="7" a="1"/>
  <c r="AB25" i="7" s="1"/>
  <c r="AB24" i="7" a="1"/>
  <c r="AB24" i="7" s="1"/>
  <c r="AB23" i="7" a="1"/>
  <c r="AB23" i="7" s="1"/>
  <c r="AB22" i="7" a="1"/>
  <c r="AB22" i="7" s="1"/>
  <c r="AB21" i="7" a="1"/>
  <c r="AB21" i="7" s="1"/>
  <c r="AB20" i="7" a="1"/>
  <c r="AB20" i="7" s="1"/>
  <c r="AB19" i="7" a="1"/>
  <c r="AB19" i="7" s="1"/>
  <c r="K32" i="31" l="1" a="1"/>
  <c r="K32" i="31" s="1"/>
  <c r="N85" i="31" a="1"/>
  <c r="N85" i="31" s="1"/>
  <c r="N53" i="31" a="1"/>
  <c r="N53" i="31" s="1"/>
  <c r="M59" i="31" a="1"/>
  <c r="M59" i="31" s="1"/>
  <c r="K61" i="31" a="1"/>
  <c r="K61" i="31" s="1"/>
  <c r="N79" i="31" a="1"/>
  <c r="N79" i="31" s="1"/>
  <c r="N47" i="31" a="1"/>
  <c r="N47" i="31" s="1"/>
  <c r="M69" i="31" a="1"/>
  <c r="M69" i="31" s="1"/>
  <c r="M45" i="31" a="1"/>
  <c r="M45" i="31" s="1"/>
  <c r="L69" i="31" a="1"/>
  <c r="L69" i="31" s="1"/>
  <c r="L47" i="31" a="1"/>
  <c r="L47" i="31" s="1"/>
  <c r="K73" i="31" a="1"/>
  <c r="K73" i="31" s="1"/>
  <c r="K33" i="31" a="1"/>
  <c r="K33" i="31" s="1"/>
  <c r="N30" i="31" a="1"/>
  <c r="N30" i="31" s="1"/>
  <c r="N69" i="31" a="1"/>
  <c r="N69" i="31" s="1"/>
  <c r="N39" i="31" a="1"/>
  <c r="N39" i="31" s="1"/>
  <c r="M73" i="31" a="1"/>
  <c r="M73" i="31" s="1"/>
  <c r="M35" i="31" a="1"/>
  <c r="M35" i="31" s="1"/>
  <c r="L79" i="31" a="1"/>
  <c r="L79" i="31" s="1"/>
  <c r="L37" i="31" a="1"/>
  <c r="L37" i="31" s="1"/>
  <c r="K69" i="31" a="1"/>
  <c r="K69" i="31" s="1"/>
  <c r="N65" i="31" a="1"/>
  <c r="N65" i="31" s="1"/>
  <c r="N33" i="31" a="1"/>
  <c r="N33" i="31" s="1"/>
  <c r="M81" i="31" a="1"/>
  <c r="M81" i="31" s="1"/>
  <c r="M37" i="31" a="1"/>
  <c r="M37" i="31" s="1"/>
  <c r="L73" i="31" a="1"/>
  <c r="L73" i="31" s="1"/>
  <c r="L43" i="31" a="1"/>
  <c r="L43" i="31" s="1"/>
  <c r="K81" i="31" a="1"/>
  <c r="K81" i="31" s="1"/>
  <c r="K49" i="31" a="1"/>
  <c r="K49" i="31" s="1"/>
  <c r="N73" i="31" a="1"/>
  <c r="N73" i="31" s="1"/>
  <c r="N49" i="31" a="1"/>
  <c r="N49" i="31" s="1"/>
  <c r="M85" i="31" a="1"/>
  <c r="M85" i="31" s="1"/>
  <c r="M47" i="31" a="1"/>
  <c r="M47" i="31" s="1"/>
  <c r="L67" i="31" a="1"/>
  <c r="L67" i="31" s="1"/>
  <c r="L51" i="31" a="1"/>
  <c r="L51" i="31" s="1"/>
  <c r="K85" i="31" a="1"/>
  <c r="K85" i="31" s="1"/>
  <c r="K47" i="31" a="1"/>
  <c r="K47" i="31" s="1"/>
  <c r="N81" i="31" a="1"/>
  <c r="N81" i="31" s="1"/>
  <c r="N43" i="31" a="1"/>
  <c r="N43" i="31" s="1"/>
  <c r="M61" i="31" a="1"/>
  <c r="M61" i="31" s="1"/>
  <c r="M41" i="31" a="1"/>
  <c r="M41" i="31" s="1"/>
  <c r="L83" i="31" a="1"/>
  <c r="L83" i="31" s="1"/>
  <c r="L33" i="31" a="1"/>
  <c r="L33" i="31" s="1"/>
  <c r="K65" i="31" a="1"/>
  <c r="K65" i="31" s="1"/>
  <c r="K37" i="31" a="1"/>
  <c r="K37" i="31" s="1"/>
  <c r="K36" i="31" a="1"/>
  <c r="K36" i="31" s="1"/>
  <c r="N29" i="31" a="1"/>
  <c r="N29" i="31" s="1"/>
  <c r="M51" i="31" a="1"/>
  <c r="M51" i="31" s="1"/>
  <c r="K57" i="31" a="1"/>
  <c r="K57" i="31" s="1"/>
  <c r="N75" i="31" a="1"/>
  <c r="N75" i="31" s="1"/>
  <c r="N51" i="31" a="1"/>
  <c r="N51" i="31" s="1"/>
  <c r="M83" i="31" a="1"/>
  <c r="M83" i="31" s="1"/>
  <c r="M49" i="31" a="1"/>
  <c r="M49" i="31" s="1"/>
  <c r="L65" i="31" a="1"/>
  <c r="L65" i="31" s="1"/>
  <c r="L49" i="31" a="1"/>
  <c r="L49" i="31" s="1"/>
  <c r="K83" i="31" a="1"/>
  <c r="K83" i="31" s="1"/>
  <c r="K51" i="31" a="1"/>
  <c r="K51" i="31" s="1"/>
  <c r="N86" i="31" a="1"/>
  <c r="N86" i="31" s="1"/>
  <c r="N80" i="31" a="1"/>
  <c r="N80" i="31" s="1"/>
  <c r="N76" i="31" a="1"/>
  <c r="N76" i="31" s="1"/>
  <c r="N72" i="31" a="1"/>
  <c r="N72" i="31" s="1"/>
  <c r="N68" i="31" a="1"/>
  <c r="N68" i="31" s="1"/>
  <c r="N64" i="31" a="1"/>
  <c r="N64" i="31" s="1"/>
  <c r="N60" i="31" a="1"/>
  <c r="N60" i="31" s="1"/>
  <c r="N56" i="31" a="1"/>
  <c r="N56" i="31" s="1"/>
  <c r="N52" i="31" a="1"/>
  <c r="N52" i="31" s="1"/>
  <c r="N48" i="31" a="1"/>
  <c r="N48" i="31" s="1"/>
  <c r="N44" i="31" a="1"/>
  <c r="N44" i="31" s="1"/>
  <c r="N40" i="31" a="1"/>
  <c r="N40" i="31" s="1"/>
  <c r="N36" i="31" a="1"/>
  <c r="N36" i="31" s="1"/>
  <c r="N32" i="31" a="1"/>
  <c r="N32" i="31" s="1"/>
  <c r="N83" i="31" a="1"/>
  <c r="N83" i="31" s="1"/>
  <c r="N41" i="31" a="1"/>
  <c r="N41" i="31" s="1"/>
  <c r="M63" i="31" a="1"/>
  <c r="M63" i="31" s="1"/>
  <c r="M33" i="31" a="1"/>
  <c r="M33" i="31" s="1"/>
  <c r="L75" i="31" a="1"/>
  <c r="L75" i="31" s="1"/>
  <c r="L31" i="31" a="1"/>
  <c r="L31" i="31" s="1"/>
  <c r="K67" i="31" a="1"/>
  <c r="K67" i="31" s="1"/>
  <c r="K29" i="31" a="1"/>
  <c r="K29" i="31" s="1"/>
  <c r="N102" i="31" a="1"/>
  <c r="N102" i="31" s="1"/>
  <c r="N100" i="31" a="1"/>
  <c r="N100" i="31" s="1"/>
  <c r="N98" i="31" a="1"/>
  <c r="N98" i="31" s="1"/>
  <c r="N96" i="31" a="1"/>
  <c r="N96" i="31" s="1"/>
  <c r="N94" i="31" a="1"/>
  <c r="N94" i="31" s="1"/>
  <c r="N92" i="31" a="1"/>
  <c r="N92" i="31" s="1"/>
  <c r="N90" i="31" a="1"/>
  <c r="N90" i="31" s="1"/>
  <c r="N88" i="31" a="1"/>
  <c r="N88" i="31" s="1"/>
  <c r="N84" i="31" a="1"/>
  <c r="N84" i="31" s="1"/>
  <c r="N82" i="31" a="1"/>
  <c r="N82" i="31" s="1"/>
  <c r="N78" i="31" a="1"/>
  <c r="N78" i="31" s="1"/>
  <c r="N74" i="31" a="1"/>
  <c r="N74" i="31" s="1"/>
  <c r="N70" i="31" a="1"/>
  <c r="N70" i="31" s="1"/>
  <c r="N66" i="31" a="1"/>
  <c r="N66" i="31" s="1"/>
  <c r="N62" i="31" a="1"/>
  <c r="N62" i="31" s="1"/>
  <c r="N58" i="31" a="1"/>
  <c r="N58" i="31" s="1"/>
  <c r="N54" i="31" a="1"/>
  <c r="N54" i="31" s="1"/>
  <c r="N50" i="31" a="1"/>
  <c r="N50" i="31" s="1"/>
  <c r="N46" i="31" a="1"/>
  <c r="N46" i="31" s="1"/>
  <c r="N42" i="31" a="1"/>
  <c r="N42" i="31" s="1"/>
  <c r="N38" i="31" a="1"/>
  <c r="N38" i="31" s="1"/>
  <c r="N34" i="31" a="1"/>
  <c r="N34" i="31" s="1"/>
  <c r="N28" i="31" a="1"/>
  <c r="N28" i="31" s="1"/>
  <c r="M30" i="31" a="1"/>
  <c r="M30" i="31" s="1"/>
  <c r="N67" i="31" a="1"/>
  <c r="N67" i="31" s="1"/>
  <c r="N37" i="31" a="1"/>
  <c r="N37" i="31" s="1"/>
  <c r="M65" i="31" a="1"/>
  <c r="M65" i="31" s="1"/>
  <c r="M29" i="31" a="1"/>
  <c r="M29" i="31" s="1"/>
  <c r="L63" i="31" a="1"/>
  <c r="L63" i="31" s="1"/>
  <c r="L53" i="31" a="1"/>
  <c r="L53" i="31" s="1"/>
  <c r="K87" i="31" a="1"/>
  <c r="K87" i="31" s="1"/>
  <c r="K39" i="31" a="1"/>
  <c r="K39" i="31" s="1"/>
  <c r="M88" i="31" a="1"/>
  <c r="M88" i="31" s="1"/>
  <c r="M82" i="31" a="1"/>
  <c r="M82" i="31" s="1"/>
  <c r="M78" i="31" a="1"/>
  <c r="M78" i="31" s="1"/>
  <c r="M74" i="31" a="1"/>
  <c r="M74" i="31" s="1"/>
  <c r="M68" i="31" a="1"/>
  <c r="M68" i="31" s="1"/>
  <c r="M64" i="31" a="1"/>
  <c r="M64" i="31" s="1"/>
  <c r="M60" i="31" a="1"/>
  <c r="M60" i="31" s="1"/>
  <c r="M56" i="31" a="1"/>
  <c r="M56" i="31" s="1"/>
  <c r="M52" i="31" a="1"/>
  <c r="M52" i="31" s="1"/>
  <c r="M48" i="31" a="1"/>
  <c r="M48" i="31" s="1"/>
  <c r="M44" i="31" a="1"/>
  <c r="M44" i="31" s="1"/>
  <c r="M40" i="31" a="1"/>
  <c r="M40" i="31" s="1"/>
  <c r="M36" i="31" a="1"/>
  <c r="M36" i="31" s="1"/>
  <c r="M32" i="31" a="1"/>
  <c r="M32" i="31" s="1"/>
  <c r="M55" i="31" a="1"/>
  <c r="M55" i="31" s="1"/>
  <c r="K59" i="31" a="1"/>
  <c r="K59" i="31" s="1"/>
  <c r="M102" i="31" a="1"/>
  <c r="M102" i="31" s="1"/>
  <c r="M100" i="31" a="1"/>
  <c r="M100" i="31" s="1"/>
  <c r="M98" i="31" a="1"/>
  <c r="M98" i="31" s="1"/>
  <c r="M96" i="31" a="1"/>
  <c r="M96" i="31" s="1"/>
  <c r="M94" i="31" a="1"/>
  <c r="M94" i="31" s="1"/>
  <c r="M92" i="31" a="1"/>
  <c r="M92" i="31" s="1"/>
  <c r="M90" i="31" a="1"/>
  <c r="M90" i="31" s="1"/>
  <c r="M86" i="31" a="1"/>
  <c r="M86" i="31" s="1"/>
  <c r="M84" i="31" a="1"/>
  <c r="M84" i="31" s="1"/>
  <c r="M80" i="31" a="1"/>
  <c r="M80" i="31" s="1"/>
  <c r="M76" i="31" a="1"/>
  <c r="M76" i="31" s="1"/>
  <c r="M72" i="31" a="1"/>
  <c r="M72" i="31" s="1"/>
  <c r="M70" i="31" a="1"/>
  <c r="M70" i="31" s="1"/>
  <c r="M66" i="31" a="1"/>
  <c r="M66" i="31" s="1"/>
  <c r="M62" i="31" a="1"/>
  <c r="M62" i="31" s="1"/>
  <c r="M58" i="31" a="1"/>
  <c r="M58" i="31" s="1"/>
  <c r="M54" i="31" a="1"/>
  <c r="M54" i="31" s="1"/>
  <c r="M50" i="31" a="1"/>
  <c r="M50" i="31" s="1"/>
  <c r="M46" i="31" a="1"/>
  <c r="M46" i="31" s="1"/>
  <c r="M42" i="31" a="1"/>
  <c r="M42" i="31" s="1"/>
  <c r="M38" i="31" a="1"/>
  <c r="M38" i="31" s="1"/>
  <c r="M34" i="31" a="1"/>
  <c r="M34" i="31" s="1"/>
  <c r="M28" i="31" a="1"/>
  <c r="M28" i="31" s="1"/>
  <c r="L28" i="31" a="1"/>
  <c r="L28" i="31" s="1"/>
  <c r="K30" i="31" a="1"/>
  <c r="K30" i="31" s="1"/>
  <c r="N77" i="31" a="1"/>
  <c r="N77" i="31" s="1"/>
  <c r="N45" i="31" a="1"/>
  <c r="N45" i="31" s="1"/>
  <c r="M71" i="31" a="1"/>
  <c r="M71" i="31" s="1"/>
  <c r="M43" i="31" a="1"/>
  <c r="M43" i="31" s="1"/>
  <c r="L81" i="31" a="1"/>
  <c r="L81" i="31" s="1"/>
  <c r="L39" i="31" a="1"/>
  <c r="L39" i="31" s="1"/>
  <c r="K77" i="31" a="1"/>
  <c r="K77" i="31" s="1"/>
  <c r="K31" i="31" a="1"/>
  <c r="K31" i="31" s="1"/>
  <c r="L88" i="31" a="1"/>
  <c r="L88" i="31" s="1"/>
  <c r="L82" i="31" a="1"/>
  <c r="L82" i="31" s="1"/>
  <c r="L78" i="31" a="1"/>
  <c r="L78" i="31" s="1"/>
  <c r="L74" i="31" a="1"/>
  <c r="L74" i="31" s="1"/>
  <c r="L70" i="31" a="1"/>
  <c r="L70" i="31" s="1"/>
  <c r="L66" i="31" a="1"/>
  <c r="L66" i="31" s="1"/>
  <c r="L62" i="31" a="1"/>
  <c r="L62" i="31" s="1"/>
  <c r="L58" i="31" a="1"/>
  <c r="L58" i="31" s="1"/>
  <c r="L54" i="31" a="1"/>
  <c r="L54" i="31" s="1"/>
  <c r="L50" i="31" a="1"/>
  <c r="L50" i="31" s="1"/>
  <c r="L46" i="31" a="1"/>
  <c r="L46" i="31" s="1"/>
  <c r="L42" i="31" a="1"/>
  <c r="L42" i="31" s="1"/>
  <c r="L38" i="31" a="1"/>
  <c r="L38" i="31" s="1"/>
  <c r="L34" i="31" a="1"/>
  <c r="L34" i="31" s="1"/>
  <c r="L30" i="31" a="1"/>
  <c r="L30" i="31" s="1"/>
  <c r="N57" i="31" a="1"/>
  <c r="N57" i="31" s="1"/>
  <c r="L57" i="31" a="1"/>
  <c r="L57" i="31" s="1"/>
  <c r="K75" i="31" a="1"/>
  <c r="K75" i="31" s="1"/>
  <c r="L102" i="31" a="1"/>
  <c r="L102" i="31" s="1"/>
  <c r="L100" i="31" a="1"/>
  <c r="L100" i="31" s="1"/>
  <c r="L98" i="31" a="1"/>
  <c r="L98" i="31" s="1"/>
  <c r="L96" i="31" a="1"/>
  <c r="L96" i="31" s="1"/>
  <c r="L94" i="31" a="1"/>
  <c r="L94" i="31" s="1"/>
  <c r="L92" i="31" a="1"/>
  <c r="L92" i="31" s="1"/>
  <c r="L90" i="31" a="1"/>
  <c r="L90" i="31" s="1"/>
  <c r="L86" i="31" a="1"/>
  <c r="L86" i="31" s="1"/>
  <c r="L84" i="31" a="1"/>
  <c r="L84" i="31" s="1"/>
  <c r="L80" i="31" a="1"/>
  <c r="L80" i="31" s="1"/>
  <c r="L76" i="31" a="1"/>
  <c r="L76" i="31" s="1"/>
  <c r="L72" i="31" a="1"/>
  <c r="L72" i="31" s="1"/>
  <c r="L68" i="31" a="1"/>
  <c r="L68" i="31" s="1"/>
  <c r="L64" i="31" a="1"/>
  <c r="L64" i="31" s="1"/>
  <c r="L60" i="31" a="1"/>
  <c r="L60" i="31" s="1"/>
  <c r="L56" i="31" a="1"/>
  <c r="L56" i="31" s="1"/>
  <c r="L52" i="31" a="1"/>
  <c r="L52" i="31" s="1"/>
  <c r="L48" i="31" a="1"/>
  <c r="L48" i="31" s="1"/>
  <c r="L44" i="31" a="1"/>
  <c r="L44" i="31" s="1"/>
  <c r="L40" i="31" a="1"/>
  <c r="L40" i="31" s="1"/>
  <c r="L36" i="31" a="1"/>
  <c r="L36" i="31" s="1"/>
  <c r="L32" i="31" a="1"/>
  <c r="L32" i="31" s="1"/>
  <c r="N71" i="31" a="1"/>
  <c r="N71" i="31" s="1"/>
  <c r="N31" i="31" a="1"/>
  <c r="N31" i="31" s="1"/>
  <c r="M75" i="31" a="1"/>
  <c r="M75" i="31" s="1"/>
  <c r="M31" i="31" a="1"/>
  <c r="M31" i="31" s="1"/>
  <c r="L77" i="31" a="1"/>
  <c r="L77" i="31" s="1"/>
  <c r="L35" i="31" a="1"/>
  <c r="L35" i="31" s="1"/>
  <c r="K71" i="31" a="1"/>
  <c r="K71" i="31" s="1"/>
  <c r="K86" i="31" a="1"/>
  <c r="K86" i="31" s="1"/>
  <c r="K80" i="31" a="1"/>
  <c r="K80" i="31" s="1"/>
  <c r="K76" i="31" a="1"/>
  <c r="K76" i="31" s="1"/>
  <c r="K72" i="31" a="1"/>
  <c r="K72" i="31" s="1"/>
  <c r="K68" i="31" a="1"/>
  <c r="K68" i="31" s="1"/>
  <c r="K64" i="31" a="1"/>
  <c r="K64" i="31" s="1"/>
  <c r="K60" i="31" a="1"/>
  <c r="K60" i="31" s="1"/>
  <c r="K56" i="31" a="1"/>
  <c r="K56" i="31" s="1"/>
  <c r="K52" i="31" a="1"/>
  <c r="K52" i="31" s="1"/>
  <c r="K48" i="31" a="1"/>
  <c r="K48" i="31" s="1"/>
  <c r="K44" i="31" a="1"/>
  <c r="K44" i="31" s="1"/>
  <c r="K38" i="31" a="1"/>
  <c r="K38" i="31" s="1"/>
  <c r="K28" i="31" a="1"/>
  <c r="K28" i="31" s="1"/>
  <c r="N61" i="31" a="1"/>
  <c r="N61" i="31" s="1"/>
  <c r="K55" i="31" a="1"/>
  <c r="K55" i="31" s="1"/>
  <c r="K102" i="31" a="1"/>
  <c r="K102" i="31" s="1"/>
  <c r="K100" i="31" a="1"/>
  <c r="K100" i="31" s="1"/>
  <c r="K98" i="31" a="1"/>
  <c r="K98" i="31" s="1"/>
  <c r="K96" i="31" a="1"/>
  <c r="K96" i="31" s="1"/>
  <c r="K94" i="31" a="1"/>
  <c r="K94" i="31" s="1"/>
  <c r="K92" i="31" a="1"/>
  <c r="K92" i="31" s="1"/>
  <c r="K90" i="31" a="1"/>
  <c r="K90" i="31" s="1"/>
  <c r="K88" i="31" a="1"/>
  <c r="K88" i="31" s="1"/>
  <c r="K84" i="31" a="1"/>
  <c r="K84" i="31" s="1"/>
  <c r="K82" i="31" a="1"/>
  <c r="K82" i="31" s="1"/>
  <c r="K78" i="31" a="1"/>
  <c r="K78" i="31" s="1"/>
  <c r="K74" i="31" a="1"/>
  <c r="K74" i="31" s="1"/>
  <c r="K70" i="31" a="1"/>
  <c r="K70" i="31" s="1"/>
  <c r="K66" i="31" a="1"/>
  <c r="K66" i="31" s="1"/>
  <c r="K62" i="31" a="1"/>
  <c r="K62" i="31" s="1"/>
  <c r="K58" i="31" a="1"/>
  <c r="K58" i="31" s="1"/>
  <c r="K54" i="31" a="1"/>
  <c r="K54" i="31" s="1"/>
  <c r="K50" i="31" a="1"/>
  <c r="K50" i="31" s="1"/>
  <c r="K46" i="31" a="1"/>
  <c r="K46" i="31" s="1"/>
  <c r="K42" i="31" a="1"/>
  <c r="K42" i="31" s="1"/>
  <c r="K40" i="31" a="1"/>
  <c r="K40" i="31" s="1"/>
  <c r="K34" i="31" a="1"/>
  <c r="K34" i="31" s="1"/>
  <c r="N63" i="31" a="1"/>
  <c r="N63" i="31" s="1"/>
  <c r="N35" i="31" a="1"/>
  <c r="N35" i="31" s="1"/>
  <c r="M79" i="31" a="1"/>
  <c r="M79" i="31" s="1"/>
  <c r="M39" i="31" a="1"/>
  <c r="M39" i="31" s="1"/>
  <c r="L71" i="31" a="1"/>
  <c r="L71" i="31" s="1"/>
  <c r="L41" i="31" a="1"/>
  <c r="L41" i="31" s="1"/>
  <c r="K79" i="31" a="1"/>
  <c r="K79" i="31" s="1"/>
  <c r="K45" i="31" a="1"/>
  <c r="K45" i="31" s="1"/>
  <c r="N59" i="31" a="1"/>
  <c r="N59" i="31" s="1"/>
  <c r="L61" i="31" a="1"/>
  <c r="L61" i="31" s="1"/>
  <c r="K41" i="31" a="1"/>
  <c r="K41" i="31" s="1"/>
  <c r="M53" i="31" a="1"/>
  <c r="M53" i="31" s="1"/>
  <c r="M57" i="31" a="1"/>
  <c r="M57" i="31" s="1"/>
  <c r="L55" i="31" a="1"/>
  <c r="L55" i="31" s="1"/>
  <c r="K53" i="31" a="1"/>
  <c r="K53" i="31" s="1"/>
  <c r="N55" i="31" a="1"/>
  <c r="N55" i="31" s="1"/>
  <c r="L59" i="31" a="1"/>
  <c r="L59" i="31" s="1"/>
  <c r="K43" i="31" a="1"/>
  <c r="K43" i="31" s="1"/>
  <c r="N101" i="31" a="1"/>
  <c r="N101" i="31" s="1"/>
  <c r="N99" i="31" a="1"/>
  <c r="N99" i="31" s="1"/>
  <c r="N97" i="31" a="1"/>
  <c r="N97" i="31" s="1"/>
  <c r="N95" i="31" a="1"/>
  <c r="N95" i="31" s="1"/>
  <c r="N93" i="31" a="1"/>
  <c r="N93" i="31" s="1"/>
  <c r="N91" i="31" a="1"/>
  <c r="N91" i="31" s="1"/>
  <c r="N89" i="31" a="1"/>
  <c r="N89" i="31" s="1"/>
  <c r="N87" i="31" a="1"/>
  <c r="N87" i="31" s="1"/>
  <c r="M67" i="31" a="1"/>
  <c r="M67" i="31" s="1"/>
  <c r="M101" i="31" a="1"/>
  <c r="M101" i="31" s="1"/>
  <c r="M99" i="31" a="1"/>
  <c r="M99" i="31" s="1"/>
  <c r="M97" i="31" a="1"/>
  <c r="M97" i="31" s="1"/>
  <c r="M95" i="31" a="1"/>
  <c r="M95" i="31" s="1"/>
  <c r="M93" i="31" a="1"/>
  <c r="M93" i="31" s="1"/>
  <c r="M91" i="31" a="1"/>
  <c r="M91" i="31" s="1"/>
  <c r="M89" i="31" a="1"/>
  <c r="M89" i="31" s="1"/>
  <c r="M87" i="31" a="1"/>
  <c r="M87" i="31" s="1"/>
  <c r="M77" i="31" a="1"/>
  <c r="M77" i="31" s="1"/>
  <c r="L45" i="31" a="1"/>
  <c r="L45" i="31" s="1"/>
  <c r="K35" i="31" a="1"/>
  <c r="K35" i="31" s="1"/>
  <c r="L101" i="31" a="1"/>
  <c r="L101" i="31" s="1"/>
  <c r="L99" i="31" a="1"/>
  <c r="L99" i="31" s="1"/>
  <c r="L97" i="31" a="1"/>
  <c r="L97" i="31" s="1"/>
  <c r="L95" i="31" a="1"/>
  <c r="L95" i="31" s="1"/>
  <c r="L93" i="31" a="1"/>
  <c r="L93" i="31" s="1"/>
  <c r="L91" i="31" a="1"/>
  <c r="L91" i="31" s="1"/>
  <c r="L89" i="31" a="1"/>
  <c r="L89" i="31" s="1"/>
  <c r="L87" i="31" a="1"/>
  <c r="L87" i="31" s="1"/>
  <c r="L85" i="31" a="1"/>
  <c r="L85" i="31" s="1"/>
  <c r="L29" i="31" a="1"/>
  <c r="L29" i="31" s="1"/>
  <c r="K101" i="31" a="1"/>
  <c r="K101" i="31" s="1"/>
  <c r="K99" i="31" a="1"/>
  <c r="K99" i="31" s="1"/>
  <c r="K97" i="31" a="1"/>
  <c r="K97" i="31" s="1"/>
  <c r="K95" i="31" a="1"/>
  <c r="K95" i="31" s="1"/>
  <c r="K93" i="31" a="1"/>
  <c r="K93" i="31" s="1"/>
  <c r="K91" i="31" a="1"/>
  <c r="K91" i="31" s="1"/>
  <c r="K89" i="31" a="1"/>
  <c r="K89" i="31" s="1"/>
  <c r="K63" i="31" a="1"/>
  <c r="K63" i="31" s="1"/>
  <c r="O59" i="31" a="1"/>
  <c r="O59" i="31" s="1"/>
  <c r="P69" i="31" a="1"/>
  <c r="P69" i="31" s="1"/>
  <c r="P41" i="31" a="1"/>
  <c r="P41" i="31" s="1"/>
  <c r="O77" i="31" a="1"/>
  <c r="O77" i="31" s="1"/>
  <c r="O45" i="31" a="1"/>
  <c r="O45" i="31" s="1"/>
  <c r="P30" i="31" a="1"/>
  <c r="P30" i="31" s="1"/>
  <c r="P81" i="31" a="1"/>
  <c r="P81" i="31" s="1"/>
  <c r="P53" i="31" a="1"/>
  <c r="P53" i="31" s="1"/>
  <c r="O81" i="31" a="1"/>
  <c r="O81" i="31" s="1"/>
  <c r="O37" i="31" a="1"/>
  <c r="O37" i="31" s="1"/>
  <c r="P35" i="31" a="1"/>
  <c r="P35" i="31" s="1"/>
  <c r="O67" i="31" a="1"/>
  <c r="O67" i="31" s="1"/>
  <c r="O33" i="31" a="1"/>
  <c r="O33" i="31" s="1"/>
  <c r="P86" i="31" a="1"/>
  <c r="P86" i="31" s="1"/>
  <c r="P80" i="31" a="1"/>
  <c r="P80" i="31" s="1"/>
  <c r="P76" i="31" a="1"/>
  <c r="P76" i="31" s="1"/>
  <c r="P72" i="31" a="1"/>
  <c r="P72" i="31" s="1"/>
  <c r="P68" i="31" a="1"/>
  <c r="P68" i="31" s="1"/>
  <c r="P64" i="31" a="1"/>
  <c r="P64" i="31" s="1"/>
  <c r="P60" i="31" a="1"/>
  <c r="P60" i="31" s="1"/>
  <c r="P56" i="31" a="1"/>
  <c r="P56" i="31" s="1"/>
  <c r="P52" i="31" a="1"/>
  <c r="P52" i="31" s="1"/>
  <c r="P48" i="31" a="1"/>
  <c r="P48" i="31" s="1"/>
  <c r="P44" i="31" a="1"/>
  <c r="P44" i="31" s="1"/>
  <c r="P40" i="31" a="1"/>
  <c r="P40" i="31" s="1"/>
  <c r="P36" i="31" a="1"/>
  <c r="P36" i="31" s="1"/>
  <c r="P32" i="31" a="1"/>
  <c r="P32" i="31" s="1"/>
  <c r="P79" i="31" a="1"/>
  <c r="P79" i="31" s="1"/>
  <c r="P45" i="31" a="1"/>
  <c r="P45" i="31" s="1"/>
  <c r="O85" i="31" a="1"/>
  <c r="O85" i="31" s="1"/>
  <c r="O47" i="31" a="1"/>
  <c r="O47" i="31" s="1"/>
  <c r="P102" i="31" a="1"/>
  <c r="P102" i="31" s="1"/>
  <c r="P100" i="31" a="1"/>
  <c r="P100" i="31" s="1"/>
  <c r="P98" i="31" a="1"/>
  <c r="P98" i="31" s="1"/>
  <c r="P96" i="31" a="1"/>
  <c r="P96" i="31" s="1"/>
  <c r="P94" i="31" a="1"/>
  <c r="P94" i="31" s="1"/>
  <c r="P92" i="31" a="1"/>
  <c r="P92" i="31" s="1"/>
  <c r="P90" i="31" a="1"/>
  <c r="P90" i="31" s="1"/>
  <c r="P88" i="31" a="1"/>
  <c r="P88" i="31" s="1"/>
  <c r="P84" i="31" a="1"/>
  <c r="P84" i="31" s="1"/>
  <c r="P82" i="31" a="1"/>
  <c r="P82" i="31" s="1"/>
  <c r="P78" i="31" a="1"/>
  <c r="P78" i="31" s="1"/>
  <c r="P74" i="31" a="1"/>
  <c r="P74" i="31" s="1"/>
  <c r="P70" i="31" a="1"/>
  <c r="P70" i="31" s="1"/>
  <c r="P66" i="31" a="1"/>
  <c r="P66" i="31" s="1"/>
  <c r="P62" i="31" a="1"/>
  <c r="P62" i="31" s="1"/>
  <c r="P58" i="31" a="1"/>
  <c r="P58" i="31" s="1"/>
  <c r="P54" i="31" a="1"/>
  <c r="P54" i="31" s="1"/>
  <c r="P50" i="31" a="1"/>
  <c r="P50" i="31" s="1"/>
  <c r="P46" i="31" a="1"/>
  <c r="P46" i="31" s="1"/>
  <c r="P42" i="31" a="1"/>
  <c r="P42" i="31" s="1"/>
  <c r="P38" i="31" a="1"/>
  <c r="P38" i="31" s="1"/>
  <c r="P34" i="31" a="1"/>
  <c r="P34" i="31" s="1"/>
  <c r="P28" i="31" a="1"/>
  <c r="P28" i="31" s="1"/>
  <c r="P85" i="31" a="1"/>
  <c r="P85" i="31" s="1"/>
  <c r="P51" i="31" a="1"/>
  <c r="P51" i="31" s="1"/>
  <c r="O75" i="31" a="1"/>
  <c r="O75" i="31" s="1"/>
  <c r="O41" i="31" a="1"/>
  <c r="O41" i="31" s="1"/>
  <c r="O86" i="31" a="1"/>
  <c r="O86" i="31" s="1"/>
  <c r="O82" i="31" a="1"/>
  <c r="O82" i="31" s="1"/>
  <c r="O78" i="31" a="1"/>
  <c r="O78" i="31" s="1"/>
  <c r="O74" i="31" a="1"/>
  <c r="O74" i="31" s="1"/>
  <c r="O70" i="31" a="1"/>
  <c r="O70" i="31" s="1"/>
  <c r="O66" i="31" a="1"/>
  <c r="O66" i="31" s="1"/>
  <c r="O62" i="31" a="1"/>
  <c r="O62" i="31" s="1"/>
  <c r="O58" i="31" a="1"/>
  <c r="O58" i="31" s="1"/>
  <c r="O54" i="31" a="1"/>
  <c r="O54" i="31" s="1"/>
  <c r="O50" i="31" a="1"/>
  <c r="O50" i="31" s="1"/>
  <c r="O46" i="31" a="1"/>
  <c r="O46" i="31" s="1"/>
  <c r="O42" i="31" a="1"/>
  <c r="O42" i="31" s="1"/>
  <c r="O38" i="31" a="1"/>
  <c r="O38" i="31" s="1"/>
  <c r="O34" i="31" a="1"/>
  <c r="O34" i="31" s="1"/>
  <c r="O30" i="31" a="1"/>
  <c r="O30" i="31" s="1"/>
  <c r="P87" i="31" a="1"/>
  <c r="P87" i="31" s="1"/>
  <c r="P57" i="31" a="1"/>
  <c r="P57" i="31" s="1"/>
  <c r="O102" i="31" a="1"/>
  <c r="O102" i="31" s="1"/>
  <c r="O100" i="31" a="1"/>
  <c r="O100" i="31" s="1"/>
  <c r="O98" i="31" a="1"/>
  <c r="O98" i="31" s="1"/>
  <c r="O96" i="31" a="1"/>
  <c r="O96" i="31" s="1"/>
  <c r="O94" i="31" a="1"/>
  <c r="O94" i="31" s="1"/>
  <c r="O92" i="31" a="1"/>
  <c r="O92" i="31" s="1"/>
  <c r="O90" i="31" a="1"/>
  <c r="O90" i="31" s="1"/>
  <c r="O88" i="31" a="1"/>
  <c r="O88" i="31" s="1"/>
  <c r="O84" i="31" a="1"/>
  <c r="O84" i="31" s="1"/>
  <c r="O80" i="31" a="1"/>
  <c r="O80" i="31" s="1"/>
  <c r="O76" i="31" a="1"/>
  <c r="O76" i="31" s="1"/>
  <c r="O72" i="31" a="1"/>
  <c r="O72" i="31" s="1"/>
  <c r="O68" i="31" a="1"/>
  <c r="O68" i="31" s="1"/>
  <c r="O64" i="31" a="1"/>
  <c r="O64" i="31" s="1"/>
  <c r="O60" i="31" a="1"/>
  <c r="O60" i="31" s="1"/>
  <c r="O56" i="31" a="1"/>
  <c r="O56" i="31" s="1"/>
  <c r="O52" i="31" a="1"/>
  <c r="O52" i="31" s="1"/>
  <c r="O48" i="31" a="1"/>
  <c r="O48" i="31" s="1"/>
  <c r="O44" i="31" a="1"/>
  <c r="O44" i="31" s="1"/>
  <c r="O40" i="31" a="1"/>
  <c r="O40" i="31" s="1"/>
  <c r="O36" i="31" a="1"/>
  <c r="O36" i="31" s="1"/>
  <c r="O32" i="31" a="1"/>
  <c r="O32" i="31" s="1"/>
  <c r="O28" i="31" a="1"/>
  <c r="O28" i="31" s="1"/>
  <c r="P77" i="31" a="1"/>
  <c r="P77" i="31" s="1"/>
  <c r="P47" i="31" a="1"/>
  <c r="P47" i="31" s="1"/>
  <c r="O83" i="31" a="1"/>
  <c r="O83" i="31" s="1"/>
  <c r="O49" i="31" a="1"/>
  <c r="O49" i="31" s="1"/>
  <c r="P73" i="31" a="1"/>
  <c r="P73" i="31" s="1"/>
  <c r="P39" i="31" a="1"/>
  <c r="P39" i="31" s="1"/>
  <c r="O71" i="31" a="1"/>
  <c r="O71" i="31" s="1"/>
  <c r="O39" i="31" a="1"/>
  <c r="O39" i="31" s="1"/>
  <c r="P71" i="31" a="1"/>
  <c r="P71" i="31" s="1"/>
  <c r="P37" i="31" a="1"/>
  <c r="P37" i="31" s="1"/>
  <c r="O69" i="31" a="1"/>
  <c r="O69" i="31" s="1"/>
  <c r="O35" i="31" a="1"/>
  <c r="O35" i="31" s="1"/>
  <c r="O57" i="31" a="1"/>
  <c r="O57" i="31" s="1"/>
  <c r="P75" i="31" a="1"/>
  <c r="P75" i="31" s="1"/>
  <c r="P49" i="31" a="1"/>
  <c r="P49" i="31" s="1"/>
  <c r="O79" i="31" a="1"/>
  <c r="O79" i="31" s="1"/>
  <c r="O43" i="31" a="1"/>
  <c r="O43" i="31" s="1"/>
  <c r="P83" i="31" a="1"/>
  <c r="P83" i="31" s="1"/>
  <c r="P59" i="31" a="1"/>
  <c r="P59" i="31" s="1"/>
  <c r="P65" i="31" a="1"/>
  <c r="P65" i="31" s="1"/>
  <c r="P33" i="31" a="1"/>
  <c r="P33" i="31" s="1"/>
  <c r="O63" i="31" a="1"/>
  <c r="O63" i="31" s="1"/>
  <c r="O29" i="31" a="1"/>
  <c r="O29" i="31" s="1"/>
  <c r="P67" i="31" a="1"/>
  <c r="P67" i="31" s="1"/>
  <c r="P55" i="31" a="1"/>
  <c r="P55" i="31" s="1"/>
  <c r="O55" i="31" a="1"/>
  <c r="O55" i="31" s="1"/>
  <c r="P63" i="31" a="1"/>
  <c r="P63" i="31" s="1"/>
  <c r="P31" i="31" a="1"/>
  <c r="P31" i="31" s="1"/>
  <c r="O61" i="31" a="1"/>
  <c r="O61" i="31" s="1"/>
  <c r="O31" i="31" a="1"/>
  <c r="O31" i="31" s="1"/>
  <c r="P29" i="31" a="1"/>
  <c r="P29" i="31" s="1"/>
  <c r="O53" i="31" a="1"/>
  <c r="O53" i="31" s="1"/>
  <c r="O51" i="31" a="1"/>
  <c r="O51" i="31" s="1"/>
  <c r="P43" i="31" a="1"/>
  <c r="P43" i="31" s="1"/>
  <c r="P101" i="31" a="1"/>
  <c r="P101" i="31" s="1"/>
  <c r="P99" i="31" a="1"/>
  <c r="P99" i="31" s="1"/>
  <c r="P97" i="31" a="1"/>
  <c r="P97" i="31" s="1"/>
  <c r="P95" i="31" a="1"/>
  <c r="P95" i="31" s="1"/>
  <c r="P93" i="31" a="1"/>
  <c r="P93" i="31" s="1"/>
  <c r="P91" i="31" a="1"/>
  <c r="P91" i="31" s="1"/>
  <c r="P89" i="31" a="1"/>
  <c r="P89" i="31" s="1"/>
  <c r="P61" i="31" a="1"/>
  <c r="P61" i="31" s="1"/>
  <c r="O73" i="31" a="1"/>
  <c r="O73" i="31" s="1"/>
  <c r="O101" i="31" a="1"/>
  <c r="O101" i="31" s="1"/>
  <c r="O99" i="31" a="1"/>
  <c r="O99" i="31" s="1"/>
  <c r="O97" i="31" a="1"/>
  <c r="O97" i="31" s="1"/>
  <c r="O95" i="31" a="1"/>
  <c r="O95" i="31" s="1"/>
  <c r="O93" i="31" a="1"/>
  <c r="O93" i="31" s="1"/>
  <c r="O91" i="31" a="1"/>
  <c r="O91" i="31" s="1"/>
  <c r="O89" i="31" a="1"/>
  <c r="O89" i="31" s="1"/>
  <c r="O87" i="31" a="1"/>
  <c r="O87" i="31" s="1"/>
  <c r="O65" i="31" a="1"/>
  <c r="O65" i="31" s="1"/>
  <c r="R60" i="31" a="1"/>
  <c r="R60" i="31" s="1"/>
  <c r="R54" i="31" a="1"/>
  <c r="R54" i="31" s="1"/>
  <c r="R50" i="31" a="1"/>
  <c r="R50" i="31" s="1"/>
  <c r="R46" i="31" a="1"/>
  <c r="R46" i="31" s="1"/>
  <c r="R42" i="31" a="1"/>
  <c r="R42" i="31" s="1"/>
  <c r="R38" i="31" a="1"/>
  <c r="R38" i="31" s="1"/>
  <c r="R34" i="31" a="1"/>
  <c r="R34" i="31" s="1"/>
  <c r="R30" i="31" a="1"/>
  <c r="R30" i="31" s="1"/>
  <c r="R67" i="31" a="1"/>
  <c r="R67" i="31" s="1"/>
  <c r="R43" i="31" a="1"/>
  <c r="R43" i="31" s="1"/>
  <c r="Q75" i="31" a="1"/>
  <c r="Q75" i="31" s="1"/>
  <c r="Q53" i="31" a="1"/>
  <c r="Q53" i="31" s="1"/>
  <c r="R102" i="31" a="1"/>
  <c r="R102" i="31" s="1"/>
  <c r="R100" i="31" a="1"/>
  <c r="R100" i="31" s="1"/>
  <c r="R98" i="31" a="1"/>
  <c r="R98" i="31" s="1"/>
  <c r="R96" i="31" a="1"/>
  <c r="R96" i="31" s="1"/>
  <c r="R94" i="31" a="1"/>
  <c r="R94" i="31" s="1"/>
  <c r="R92" i="31" a="1"/>
  <c r="R92" i="31" s="1"/>
  <c r="R90" i="31" a="1"/>
  <c r="R90" i="31" s="1"/>
  <c r="R88" i="31" a="1"/>
  <c r="R88" i="31" s="1"/>
  <c r="R86" i="31" a="1"/>
  <c r="R86" i="31" s="1"/>
  <c r="R84" i="31" a="1"/>
  <c r="R84" i="31" s="1"/>
  <c r="R82" i="31" a="1"/>
  <c r="R82" i="31" s="1"/>
  <c r="R80" i="31" a="1"/>
  <c r="R80" i="31" s="1"/>
  <c r="R78" i="31" a="1"/>
  <c r="R78" i="31" s="1"/>
  <c r="R76" i="31" a="1"/>
  <c r="R76" i="31" s="1"/>
  <c r="R74" i="31" a="1"/>
  <c r="R74" i="31" s="1"/>
  <c r="R72" i="31" a="1"/>
  <c r="R72" i="31" s="1"/>
  <c r="R70" i="31" a="1"/>
  <c r="R70" i="31" s="1"/>
  <c r="R68" i="31" a="1"/>
  <c r="R68" i="31" s="1"/>
  <c r="R66" i="31" a="1"/>
  <c r="R66" i="31" s="1"/>
  <c r="R64" i="31" a="1"/>
  <c r="R64" i="31" s="1"/>
  <c r="R62" i="31" a="1"/>
  <c r="R62" i="31" s="1"/>
  <c r="R58" i="31" a="1"/>
  <c r="R58" i="31" s="1"/>
  <c r="R56" i="31" a="1"/>
  <c r="R56" i="31" s="1"/>
  <c r="R52" i="31" a="1"/>
  <c r="R52" i="31" s="1"/>
  <c r="R48" i="31" a="1"/>
  <c r="R48" i="31" s="1"/>
  <c r="R44" i="31" a="1"/>
  <c r="R44" i="31" s="1"/>
  <c r="R40" i="31" a="1"/>
  <c r="R40" i="31" s="1"/>
  <c r="R36" i="31" a="1"/>
  <c r="R36" i="31" s="1"/>
  <c r="R32" i="31" a="1"/>
  <c r="R32" i="31" s="1"/>
  <c r="R28" i="31" a="1"/>
  <c r="R28" i="31" s="1"/>
  <c r="R59" i="31" a="1"/>
  <c r="R59" i="31" s="1"/>
  <c r="R31" i="31" a="1"/>
  <c r="R31" i="31" s="1"/>
  <c r="Q63" i="31" a="1"/>
  <c r="Q63" i="31" s="1"/>
  <c r="Q35" i="31" a="1"/>
  <c r="Q35" i="31" s="1"/>
  <c r="Q80" i="31" a="1"/>
  <c r="Q80" i="31" s="1"/>
  <c r="Q72" i="31" a="1"/>
  <c r="Q72" i="31" s="1"/>
  <c r="Q68" i="31" a="1"/>
  <c r="Q68" i="31" s="1"/>
  <c r="Q64" i="31" a="1"/>
  <c r="Q64" i="31" s="1"/>
  <c r="Q60" i="31" a="1"/>
  <c r="Q60" i="31" s="1"/>
  <c r="Q56" i="31" a="1"/>
  <c r="Q56" i="31" s="1"/>
  <c r="Q52" i="31" a="1"/>
  <c r="Q52" i="31" s="1"/>
  <c r="Q48" i="31" a="1"/>
  <c r="Q48" i="31" s="1"/>
  <c r="Q44" i="31" a="1"/>
  <c r="Q44" i="31" s="1"/>
  <c r="Q40" i="31" a="1"/>
  <c r="Q40" i="31" s="1"/>
  <c r="Q36" i="31" a="1"/>
  <c r="Q36" i="31" s="1"/>
  <c r="Q32" i="31" a="1"/>
  <c r="Q32" i="31" s="1"/>
  <c r="Q28" i="31" a="1"/>
  <c r="Q28" i="31" s="1"/>
  <c r="R79" i="31" a="1"/>
  <c r="R79" i="31" s="1"/>
  <c r="R53" i="31" a="1"/>
  <c r="R53" i="31" s="1"/>
  <c r="Q87" i="31" a="1"/>
  <c r="Q87" i="31" s="1"/>
  <c r="Q49" i="31" a="1"/>
  <c r="Q49" i="31" s="1"/>
  <c r="Q102" i="31" a="1"/>
  <c r="Q102" i="31" s="1"/>
  <c r="Q100" i="31" a="1"/>
  <c r="Q100" i="31" s="1"/>
  <c r="Q98" i="31" a="1"/>
  <c r="Q98" i="31" s="1"/>
  <c r="Q96" i="31" a="1"/>
  <c r="Q96" i="31" s="1"/>
  <c r="Q94" i="31" a="1"/>
  <c r="Q94" i="31" s="1"/>
  <c r="Q92" i="31" a="1"/>
  <c r="Q92" i="31" s="1"/>
  <c r="Q90" i="31" a="1"/>
  <c r="Q90" i="31" s="1"/>
  <c r="Q88" i="31" a="1"/>
  <c r="Q88" i="31" s="1"/>
  <c r="Q86" i="31" a="1"/>
  <c r="Q86" i="31" s="1"/>
  <c r="Q84" i="31" a="1"/>
  <c r="Q84" i="31" s="1"/>
  <c r="Q82" i="31" a="1"/>
  <c r="Q82" i="31" s="1"/>
  <c r="Q78" i="31" a="1"/>
  <c r="Q78" i="31" s="1"/>
  <c r="Q76" i="31" a="1"/>
  <c r="Q76" i="31" s="1"/>
  <c r="Q74" i="31" a="1"/>
  <c r="Q74" i="31" s="1"/>
  <c r="Q70" i="31" a="1"/>
  <c r="Q70" i="31" s="1"/>
  <c r="Q66" i="31" a="1"/>
  <c r="Q66" i="31" s="1"/>
  <c r="Q62" i="31" a="1"/>
  <c r="Q62" i="31" s="1"/>
  <c r="Q58" i="31" a="1"/>
  <c r="Q58" i="31" s="1"/>
  <c r="Q54" i="31" a="1"/>
  <c r="Q54" i="31" s="1"/>
  <c r="Q50" i="31" a="1"/>
  <c r="Q50" i="31" s="1"/>
  <c r="Q46" i="31" a="1"/>
  <c r="Q46" i="31" s="1"/>
  <c r="Q42" i="31" a="1"/>
  <c r="Q42" i="31" s="1"/>
  <c r="Q38" i="31" a="1"/>
  <c r="Q38" i="31" s="1"/>
  <c r="Q34" i="31" a="1"/>
  <c r="Q34" i="31" s="1"/>
  <c r="Q30" i="31" a="1"/>
  <c r="Q30" i="31" s="1"/>
  <c r="R69" i="31" a="1"/>
  <c r="R69" i="31" s="1"/>
  <c r="R45" i="31" a="1"/>
  <c r="R45" i="31" s="1"/>
  <c r="Q83" i="31" a="1"/>
  <c r="Q83" i="31" s="1"/>
  <c r="Q57" i="31" a="1"/>
  <c r="Q57" i="31" s="1"/>
  <c r="R35" i="31" a="1"/>
  <c r="R35" i="31" s="1"/>
  <c r="Q69" i="31" a="1"/>
  <c r="Q69" i="31" s="1"/>
  <c r="Q39" i="31" a="1"/>
  <c r="Q39" i="31" s="1"/>
  <c r="Q79" i="31" a="1"/>
  <c r="Q79" i="31" s="1"/>
  <c r="Q47" i="31" a="1"/>
  <c r="Q47" i="31" s="1"/>
  <c r="R71" i="31" a="1"/>
  <c r="R71" i="31" s="1"/>
  <c r="R51" i="31" a="1"/>
  <c r="R51" i="31" s="1"/>
  <c r="Q85" i="31" a="1"/>
  <c r="Q85" i="31" s="1"/>
  <c r="Q51" i="31" a="1"/>
  <c r="Q51" i="31" s="1"/>
  <c r="R65" i="31" a="1"/>
  <c r="R65" i="31" s="1"/>
  <c r="R33" i="31" a="1"/>
  <c r="R33" i="31" s="1"/>
  <c r="Q61" i="31" a="1"/>
  <c r="Q61" i="31" s="1"/>
  <c r="Q37" i="31" a="1"/>
  <c r="Q37" i="31" s="1"/>
  <c r="R81" i="31" a="1"/>
  <c r="R81" i="31" s="1"/>
  <c r="R55" i="31" a="1"/>
  <c r="R55" i="31" s="1"/>
  <c r="Q41" i="31" a="1"/>
  <c r="Q41" i="31" s="1"/>
  <c r="R63" i="31" a="1"/>
  <c r="R63" i="31" s="1"/>
  <c r="R37" i="31" a="1"/>
  <c r="R37" i="31" s="1"/>
  <c r="Q77" i="31" a="1"/>
  <c r="Q77" i="31" s="1"/>
  <c r="Q55" i="31" a="1"/>
  <c r="Q55" i="31" s="1"/>
  <c r="R75" i="31" a="1"/>
  <c r="R75" i="31" s="1"/>
  <c r="R41" i="31" a="1"/>
  <c r="R41" i="31" s="1"/>
  <c r="Q71" i="31" a="1"/>
  <c r="Q71" i="31" s="1"/>
  <c r="Q45" i="31" a="1"/>
  <c r="Q45" i="31" s="1"/>
  <c r="Q73" i="31" a="1"/>
  <c r="Q73" i="31" s="1"/>
  <c r="Q43" i="31" a="1"/>
  <c r="Q43" i="31" s="1"/>
  <c r="R29" i="31" a="1"/>
  <c r="R29" i="31" s="1"/>
  <c r="Q65" i="31" a="1"/>
  <c r="Q65" i="31" s="1"/>
  <c r="Q33" i="31" a="1"/>
  <c r="Q33" i="31" s="1"/>
  <c r="R77" i="31" a="1"/>
  <c r="R77" i="31" s="1"/>
  <c r="R57" i="31" a="1"/>
  <c r="R57" i="31" s="1"/>
  <c r="R39" i="31" a="1"/>
  <c r="R39" i="31" s="1"/>
  <c r="Q29" i="31" a="1"/>
  <c r="Q29" i="31" s="1"/>
  <c r="R73" i="31" a="1"/>
  <c r="R73" i="31" s="1"/>
  <c r="R47" i="31" a="1"/>
  <c r="R47" i="31" s="1"/>
  <c r="Q81" i="31" a="1"/>
  <c r="Q81" i="31" s="1"/>
  <c r="Q59" i="31" a="1"/>
  <c r="Q59" i="31" s="1"/>
  <c r="Q31" i="31" a="1"/>
  <c r="Q31" i="31" s="1"/>
  <c r="R95" i="31" a="1"/>
  <c r="R95" i="31" s="1"/>
  <c r="R91" i="31" a="1"/>
  <c r="R91" i="31" s="1"/>
  <c r="R87" i="31" a="1"/>
  <c r="R87" i="31" s="1"/>
  <c r="R83" i="31" a="1"/>
  <c r="R83" i="31" s="1"/>
  <c r="R61" i="31" a="1"/>
  <c r="R61" i="31" s="1"/>
  <c r="R101" i="31" a="1"/>
  <c r="R101" i="31" s="1"/>
  <c r="R99" i="31" a="1"/>
  <c r="R99" i="31" s="1"/>
  <c r="R97" i="31" a="1"/>
  <c r="R97" i="31" s="1"/>
  <c r="R93" i="31" a="1"/>
  <c r="R93" i="31" s="1"/>
  <c r="R89" i="31" a="1"/>
  <c r="R89" i="31" s="1"/>
  <c r="R85" i="31" a="1"/>
  <c r="R85" i="31" s="1"/>
  <c r="R49" i="31" a="1"/>
  <c r="R49" i="31" s="1"/>
  <c r="Q101" i="31" a="1"/>
  <c r="Q101" i="31" s="1"/>
  <c r="Q99" i="31" a="1"/>
  <c r="Q99" i="31" s="1"/>
  <c r="Q97" i="31" a="1"/>
  <c r="Q97" i="31" s="1"/>
  <c r="Q95" i="31" a="1"/>
  <c r="Q95" i="31" s="1"/>
  <c r="Q93" i="31" a="1"/>
  <c r="Q93" i="31" s="1"/>
  <c r="Q91" i="31" a="1"/>
  <c r="Q91" i="31" s="1"/>
  <c r="Q89" i="31" a="1"/>
  <c r="Q89" i="31" s="1"/>
  <c r="Q67" i="31" a="1"/>
  <c r="Q67" i="31" s="1"/>
  <c r="N27" i="31" a="1"/>
  <c r="N27" i="31" s="1"/>
  <c r="M27" i="31" a="1"/>
  <c r="M27" i="31" s="1"/>
  <c r="L27" i="31" a="1"/>
  <c r="L27" i="31" s="1"/>
  <c r="K27" i="31" a="1"/>
  <c r="K27" i="31" s="1"/>
  <c r="P27" i="31" a="1"/>
  <c r="P27" i="31" s="1"/>
  <c r="O27" i="31" a="1"/>
  <c r="O27" i="31" s="1"/>
  <c r="R27" i="31" a="1"/>
  <c r="R27" i="31" s="1"/>
  <c r="Q27" i="31" a="1"/>
  <c r="Q27" i="31" s="1"/>
  <c r="D7" i="18" l="1"/>
  <c r="A10" i="18" l="1" a="1"/>
  <c r="B8" i="31"/>
  <c r="H13" i="18" l="1"/>
  <c r="H17" i="18"/>
  <c r="H21" i="18"/>
  <c r="H25" i="18"/>
  <c r="H29" i="18"/>
  <c r="H33" i="18"/>
  <c r="H37" i="18"/>
  <c r="H41" i="18"/>
  <c r="H45" i="18"/>
  <c r="H49" i="18"/>
  <c r="H53" i="18"/>
  <c r="H57" i="18"/>
  <c r="H61" i="18"/>
  <c r="H65" i="18"/>
  <c r="H69" i="18"/>
  <c r="H73" i="18"/>
  <c r="H77" i="18"/>
  <c r="H81" i="18"/>
  <c r="H85" i="18"/>
  <c r="A10" i="18"/>
  <c r="A14" i="18"/>
  <c r="A18" i="18"/>
  <c r="A22" i="18"/>
  <c r="A26" i="18"/>
  <c r="A30" i="18"/>
  <c r="A34" i="18"/>
  <c r="A38" i="18"/>
  <c r="A42" i="18"/>
  <c r="A46" i="18"/>
  <c r="A50" i="18"/>
  <c r="A54" i="18"/>
  <c r="A58" i="18"/>
  <c r="A62" i="18"/>
  <c r="A66" i="18"/>
  <c r="A70" i="18"/>
  <c r="A74" i="18"/>
  <c r="A78" i="18"/>
  <c r="A82" i="18"/>
  <c r="B10" i="18"/>
  <c r="B14" i="18"/>
  <c r="B18" i="18"/>
  <c r="B22" i="18"/>
  <c r="B26" i="18"/>
  <c r="B30" i="18"/>
  <c r="B34" i="18"/>
  <c r="B38" i="18"/>
  <c r="B42" i="18"/>
  <c r="B46" i="18"/>
  <c r="B50" i="18"/>
  <c r="B54" i="18"/>
  <c r="B58" i="18"/>
  <c r="B62" i="18"/>
  <c r="B66" i="18"/>
  <c r="B70" i="18"/>
  <c r="B74" i="18"/>
  <c r="B78" i="18"/>
  <c r="B82" i="18"/>
  <c r="C10" i="18"/>
  <c r="C14" i="18"/>
  <c r="C18" i="18"/>
  <c r="C22" i="18"/>
  <c r="C26" i="18"/>
  <c r="C30" i="18"/>
  <c r="C34" i="18"/>
  <c r="C38" i="18"/>
  <c r="C42" i="18"/>
  <c r="C46" i="18"/>
  <c r="C50" i="18"/>
  <c r="C54" i="18"/>
  <c r="C58" i="18"/>
  <c r="C62" i="18"/>
  <c r="C66" i="18"/>
  <c r="C70" i="18"/>
  <c r="C74" i="18"/>
  <c r="C78" i="18"/>
  <c r="C82" i="18"/>
  <c r="D10" i="18"/>
  <c r="D14" i="18"/>
  <c r="D18" i="18"/>
  <c r="D22" i="18"/>
  <c r="D26" i="18"/>
  <c r="D30" i="18"/>
  <c r="D34" i="18"/>
  <c r="D38" i="18"/>
  <c r="E10" i="18"/>
  <c r="B15" i="18"/>
  <c r="F10" i="18"/>
  <c r="C15" i="18"/>
  <c r="H19" i="18"/>
  <c r="E24" i="18"/>
  <c r="B29" i="18"/>
  <c r="G33" i="18"/>
  <c r="A39" i="18"/>
  <c r="E43" i="18"/>
  <c r="A48" i="18"/>
  <c r="E52" i="18"/>
  <c r="A57" i="18"/>
  <c r="E61" i="18"/>
  <c r="E66" i="18"/>
  <c r="A71" i="18"/>
  <c r="E75" i="18"/>
  <c r="A80" i="18"/>
  <c r="E84" i="18"/>
  <c r="G10" i="18"/>
  <c r="D15" i="18"/>
  <c r="A20" i="18"/>
  <c r="F24" i="18"/>
  <c r="C29" i="18"/>
  <c r="E34" i="18"/>
  <c r="B39" i="18"/>
  <c r="F43" i="18"/>
  <c r="B48" i="18"/>
  <c r="F52" i="18"/>
  <c r="B57" i="18"/>
  <c r="F61" i="18"/>
  <c r="F66" i="18"/>
  <c r="B71" i="18"/>
  <c r="F75" i="18"/>
  <c r="B80" i="18"/>
  <c r="F84" i="18"/>
  <c r="H10" i="18"/>
  <c r="E15" i="18"/>
  <c r="B20" i="18"/>
  <c r="G24" i="18"/>
  <c r="D29" i="18"/>
  <c r="F34" i="18"/>
  <c r="C39" i="18"/>
  <c r="G43" i="18"/>
  <c r="C48" i="18"/>
  <c r="G52" i="18"/>
  <c r="C57" i="18"/>
  <c r="G61" i="18"/>
  <c r="G66" i="18"/>
  <c r="C71" i="18"/>
  <c r="G75" i="18"/>
  <c r="C80" i="18"/>
  <c r="G84" i="18"/>
  <c r="A11" i="18"/>
  <c r="F15" i="18"/>
  <c r="C20" i="18"/>
  <c r="H24" i="18"/>
  <c r="E29" i="18"/>
  <c r="G34" i="18"/>
  <c r="D39" i="18"/>
  <c r="H43" i="18"/>
  <c r="D48" i="18"/>
  <c r="H52" i="18"/>
  <c r="D57" i="18"/>
  <c r="D62" i="18"/>
  <c r="H66" i="18"/>
  <c r="D71" i="18"/>
  <c r="H75" i="18"/>
  <c r="D80" i="18"/>
  <c r="H84" i="18"/>
  <c r="B11" i="18"/>
  <c r="G15" i="18"/>
  <c r="D20" i="18"/>
  <c r="A25" i="18"/>
  <c r="F29" i="18"/>
  <c r="H34" i="18"/>
  <c r="E39" i="18"/>
  <c r="A44" i="18"/>
  <c r="E48" i="18"/>
  <c r="A53" i="18"/>
  <c r="E57" i="18"/>
  <c r="E62" i="18"/>
  <c r="A67" i="18"/>
  <c r="E71" i="18"/>
  <c r="A76" i="18"/>
  <c r="E80" i="18"/>
  <c r="A85" i="18"/>
  <c r="C11" i="18"/>
  <c r="F16" i="18"/>
  <c r="E22" i="18"/>
  <c r="G27" i="18"/>
  <c r="A33" i="18"/>
  <c r="H38" i="18"/>
  <c r="F44" i="18"/>
  <c r="G49" i="18"/>
  <c r="D55" i="18"/>
  <c r="E60" i="18"/>
  <c r="F65" i="18"/>
  <c r="H71" i="18"/>
  <c r="A77" i="18"/>
  <c r="F82" i="18"/>
  <c r="D11" i="18"/>
  <c r="G16" i="18"/>
  <c r="F22" i="18"/>
  <c r="H27" i="18"/>
  <c r="B33" i="18"/>
  <c r="F39" i="18"/>
  <c r="G44" i="18"/>
  <c r="D50" i="18"/>
  <c r="E55" i="18"/>
  <c r="F60" i="18"/>
  <c r="G65" i="18"/>
  <c r="A72" i="18"/>
  <c r="B77" i="18"/>
  <c r="G82" i="18"/>
  <c r="E11" i="18"/>
  <c r="H16" i="18"/>
  <c r="G22" i="18"/>
  <c r="A28" i="18"/>
  <c r="C33" i="18"/>
  <c r="G39" i="18"/>
  <c r="H44" i="18"/>
  <c r="E50" i="18"/>
  <c r="F55" i="18"/>
  <c r="G60" i="18"/>
  <c r="D66" i="18"/>
  <c r="B72" i="18"/>
  <c r="C77" i="18"/>
  <c r="H82" i="18"/>
  <c r="F11" i="18"/>
  <c r="A17" i="18"/>
  <c r="H22" i="18"/>
  <c r="B28" i="18"/>
  <c r="D33" i="18"/>
  <c r="H39" i="18"/>
  <c r="A45" i="18"/>
  <c r="F50" i="18"/>
  <c r="G55" i="18"/>
  <c r="H60" i="18"/>
  <c r="B67" i="18"/>
  <c r="C72" i="18"/>
  <c r="D77" i="18"/>
  <c r="A83" i="18"/>
  <c r="G11" i="18"/>
  <c r="A23" i="18"/>
  <c r="C28" i="18"/>
  <c r="E33" i="18"/>
  <c r="A40" i="18"/>
  <c r="B45" i="18"/>
  <c r="G50" i="18"/>
  <c r="H55" i="18"/>
  <c r="A61" i="18"/>
  <c r="C67" i="18"/>
  <c r="D72" i="18"/>
  <c r="E77" i="18"/>
  <c r="H11" i="18"/>
  <c r="B23" i="18"/>
  <c r="D28" i="18"/>
  <c r="F33" i="18"/>
  <c r="B40" i="18"/>
  <c r="H50" i="18"/>
  <c r="B61" i="18"/>
  <c r="D67" i="18"/>
  <c r="F77" i="18"/>
  <c r="A12" i="18"/>
  <c r="E28" i="18"/>
  <c r="C40" i="18"/>
  <c r="A51" i="18"/>
  <c r="C61" i="18"/>
  <c r="F72" i="18"/>
  <c r="D83" i="18"/>
  <c r="E17" i="18"/>
  <c r="F28" i="18"/>
  <c r="D40" i="18"/>
  <c r="B51" i="18"/>
  <c r="D61" i="18"/>
  <c r="G72" i="18"/>
  <c r="E83" i="18"/>
  <c r="F17" i="18"/>
  <c r="G28" i="18"/>
  <c r="E40" i="18"/>
  <c r="C51" i="18"/>
  <c r="F62" i="18"/>
  <c r="H72" i="18"/>
  <c r="F83" i="18"/>
  <c r="D12" i="18"/>
  <c r="D35" i="18"/>
  <c r="G45" i="18"/>
  <c r="E56" i="18"/>
  <c r="H67" i="18"/>
  <c r="F78" i="18"/>
  <c r="E18" i="18"/>
  <c r="A29" i="18"/>
  <c r="G40" i="18"/>
  <c r="E51" i="18"/>
  <c r="H62" i="18"/>
  <c r="B73" i="18"/>
  <c r="H83" i="18"/>
  <c r="F12" i="18"/>
  <c r="F35" i="18"/>
  <c r="F51" i="18"/>
  <c r="B68" i="18"/>
  <c r="A84" i="18"/>
  <c r="G18" i="18"/>
  <c r="G35" i="18"/>
  <c r="G51" i="18"/>
  <c r="C68" i="18"/>
  <c r="B84" i="18"/>
  <c r="B24" i="18"/>
  <c r="H35" i="18"/>
  <c r="H51" i="18"/>
  <c r="C63" i="18"/>
  <c r="B79" i="18"/>
  <c r="A13" i="18"/>
  <c r="H46" i="18"/>
  <c r="E68" i="18"/>
  <c r="D84" i="18"/>
  <c r="D24" i="18"/>
  <c r="H30" i="18"/>
  <c r="D41" i="18"/>
  <c r="D58" i="18"/>
  <c r="F68" i="18"/>
  <c r="B85" i="18"/>
  <c r="C13" i="18"/>
  <c r="E41" i="18"/>
  <c r="F63" i="18"/>
  <c r="C25" i="18"/>
  <c r="D36" i="18"/>
  <c r="D52" i="18"/>
  <c r="H68" i="18"/>
  <c r="D85" i="18"/>
  <c r="E13" i="18"/>
  <c r="B53" i="18"/>
  <c r="E85" i="18"/>
  <c r="D31" i="18"/>
  <c r="F36" i="18"/>
  <c r="C53" i="18"/>
  <c r="B69" i="18"/>
  <c r="H79" i="18"/>
  <c r="G13" i="18"/>
  <c r="F47" i="18"/>
  <c r="F80" i="18"/>
  <c r="F31" i="18"/>
  <c r="G47" i="18"/>
  <c r="C64" i="18"/>
  <c r="G80" i="18"/>
  <c r="F14" i="18"/>
  <c r="H47" i="18"/>
  <c r="H80" i="18"/>
  <c r="H31" i="18"/>
  <c r="F48" i="18"/>
  <c r="E64" i="18"/>
  <c r="A81" i="18"/>
  <c r="H20" i="18"/>
  <c r="D54" i="18"/>
  <c r="H26" i="18"/>
  <c r="E54" i="18"/>
  <c r="B17" i="18"/>
  <c r="B83" i="18"/>
  <c r="C17" i="18"/>
  <c r="C45" i="18"/>
  <c r="A56" i="18"/>
  <c r="E72" i="18"/>
  <c r="C83" i="18"/>
  <c r="D17" i="18"/>
  <c r="C23" i="18"/>
  <c r="A35" i="18"/>
  <c r="D45" i="18"/>
  <c r="B56" i="18"/>
  <c r="E67" i="18"/>
  <c r="G77" i="18"/>
  <c r="B12" i="18"/>
  <c r="D23" i="18"/>
  <c r="B35" i="18"/>
  <c r="E45" i="18"/>
  <c r="C56" i="18"/>
  <c r="F67" i="18"/>
  <c r="D78" i="18"/>
  <c r="C12" i="18"/>
  <c r="E23" i="18"/>
  <c r="C35" i="18"/>
  <c r="F45" i="18"/>
  <c r="D56" i="18"/>
  <c r="G67" i="18"/>
  <c r="E78" i="18"/>
  <c r="G17" i="18"/>
  <c r="H28" i="18"/>
  <c r="F40" i="18"/>
  <c r="D51" i="18"/>
  <c r="G62" i="18"/>
  <c r="A73" i="18"/>
  <c r="G83" i="18"/>
  <c r="E12" i="18"/>
  <c r="G23" i="18"/>
  <c r="E35" i="18"/>
  <c r="D46" i="18"/>
  <c r="F56" i="18"/>
  <c r="A68" i="18"/>
  <c r="G78" i="18"/>
  <c r="F18" i="18"/>
  <c r="G29" i="18"/>
  <c r="E46" i="18"/>
  <c r="A63" i="18"/>
  <c r="H78" i="18"/>
  <c r="G12" i="18"/>
  <c r="E30" i="18"/>
  <c r="F46" i="18"/>
  <c r="B63" i="18"/>
  <c r="A79" i="18"/>
  <c r="H18" i="18"/>
  <c r="F30" i="18"/>
  <c r="G46" i="18"/>
  <c r="F57" i="18"/>
  <c r="E73" i="18"/>
  <c r="C84" i="18"/>
  <c r="A19" i="18"/>
  <c r="G30" i="18"/>
  <c r="A52" i="18"/>
  <c r="D63" i="18"/>
  <c r="C79" i="18"/>
  <c r="B19" i="18"/>
  <c r="B36" i="18"/>
  <c r="B52" i="18"/>
  <c r="E63" i="18"/>
  <c r="D79" i="18"/>
  <c r="C19" i="18"/>
  <c r="C36" i="18"/>
  <c r="E58" i="18"/>
  <c r="D74" i="18"/>
  <c r="D13" i="18"/>
  <c r="F41" i="18"/>
  <c r="G63" i="18"/>
  <c r="E19" i="18"/>
  <c r="G41" i="18"/>
  <c r="A69" i="18"/>
  <c r="F19" i="18"/>
  <c r="D42" i="18"/>
  <c r="A64" i="18"/>
  <c r="F85" i="18"/>
  <c r="F25" i="18"/>
  <c r="G36" i="18"/>
  <c r="A59" i="18"/>
  <c r="H74" i="18"/>
  <c r="E14" i="18"/>
  <c r="F42" i="18"/>
  <c r="D69" i="18"/>
  <c r="E26" i="18"/>
  <c r="A37" i="18"/>
  <c r="C59" i="18"/>
  <c r="B75" i="18"/>
  <c r="G14" i="18"/>
  <c r="D59" i="18"/>
  <c r="A32" i="18"/>
  <c r="A43" i="18"/>
  <c r="F64" i="18"/>
  <c r="B81" i="18"/>
  <c r="A15" i="18"/>
  <c r="F59" i="18"/>
  <c r="F23" i="18"/>
  <c r="H23" i="18"/>
  <c r="H40" i="18"/>
  <c r="G56" i="18"/>
  <c r="C73" i="18"/>
  <c r="A24" i="18"/>
  <c r="A41" i="18"/>
  <c r="H56" i="18"/>
  <c r="D73" i="18"/>
  <c r="H12" i="18"/>
  <c r="B41" i="18"/>
  <c r="D68" i="18"/>
  <c r="C24" i="18"/>
  <c r="C41" i="18"/>
  <c r="G57" i="18"/>
  <c r="F73" i="18"/>
  <c r="B13" i="18"/>
  <c r="A47" i="18"/>
  <c r="G73" i="18"/>
  <c r="B25" i="18"/>
  <c r="A31" i="18"/>
  <c r="C52" i="18"/>
  <c r="G68" i="18"/>
  <c r="C85" i="18"/>
  <c r="D19" i="18"/>
  <c r="C47" i="18"/>
  <c r="E74" i="18"/>
  <c r="D25" i="18"/>
  <c r="E36" i="18"/>
  <c r="G58" i="18"/>
  <c r="F74" i="18"/>
  <c r="E25" i="18"/>
  <c r="E47" i="18"/>
  <c r="G74" i="18"/>
  <c r="G19" i="18"/>
  <c r="E42" i="18"/>
  <c r="B64" i="18"/>
  <c r="G25" i="18"/>
  <c r="E53" i="18"/>
  <c r="A75" i="18"/>
  <c r="F20" i="18"/>
  <c r="G42" i="18"/>
  <c r="D64" i="18"/>
  <c r="F26" i="18"/>
  <c r="G53" i="18"/>
  <c r="C75" i="18"/>
  <c r="G26" i="18"/>
  <c r="E59" i="18"/>
  <c r="A21" i="18"/>
  <c r="D70" i="18"/>
  <c r="A36" i="18"/>
  <c r="B47" i="18"/>
  <c r="E79" i="18"/>
  <c r="B31" i="18"/>
  <c r="F58" i="18"/>
  <c r="F79" i="18"/>
  <c r="C31" i="18"/>
  <c r="D47" i="18"/>
  <c r="H63" i="18"/>
  <c r="G79" i="18"/>
  <c r="F13" i="18"/>
  <c r="H58" i="18"/>
  <c r="E31" i="18"/>
  <c r="D53" i="18"/>
  <c r="C69" i="18"/>
  <c r="G85" i="18"/>
  <c r="E20" i="18"/>
  <c r="B59" i="18"/>
  <c r="G31" i="18"/>
  <c r="F53" i="18"/>
  <c r="E69" i="18"/>
  <c r="G20" i="18"/>
  <c r="H42" i="18"/>
  <c r="F69" i="18"/>
  <c r="H14" i="18"/>
  <c r="G48" i="18"/>
  <c r="D75" i="18"/>
  <c r="B32" i="18"/>
  <c r="H48" i="18"/>
  <c r="B76" i="18"/>
  <c r="H36" i="18"/>
  <c r="B37" i="18"/>
  <c r="C37" i="18"/>
  <c r="G69" i="18"/>
  <c r="D37" i="18"/>
  <c r="B43" i="18"/>
  <c r="G64" i="18"/>
  <c r="H15" i="18"/>
  <c r="B44" i="18"/>
  <c r="F71" i="18"/>
  <c r="A16" i="18"/>
  <c r="C44" i="18"/>
  <c r="G71" i="18"/>
  <c r="B16" i="18"/>
  <c r="D44" i="18"/>
  <c r="C76" i="18"/>
  <c r="C16" i="18"/>
  <c r="E44" i="18"/>
  <c r="D76" i="18"/>
  <c r="D16" i="18"/>
  <c r="A49" i="18"/>
  <c r="E76" i="18"/>
  <c r="E16" i="18"/>
  <c r="B49" i="18"/>
  <c r="F76" i="18"/>
  <c r="B21" i="18"/>
  <c r="C49" i="18"/>
  <c r="G76" i="18"/>
  <c r="C21" i="18"/>
  <c r="D49" i="18"/>
  <c r="H76" i="18"/>
  <c r="D21" i="18"/>
  <c r="E49" i="18"/>
  <c r="C81" i="18"/>
  <c r="E21" i="18"/>
  <c r="F49" i="18"/>
  <c r="D81" i="18"/>
  <c r="F21" i="18"/>
  <c r="F54" i="18"/>
  <c r="E81" i="18"/>
  <c r="G21" i="18"/>
  <c r="G54" i="18"/>
  <c r="F81" i="18"/>
  <c r="A27" i="18"/>
  <c r="H54" i="18"/>
  <c r="G81" i="18"/>
  <c r="B27" i="18"/>
  <c r="A55" i="18"/>
  <c r="D82" i="18"/>
  <c r="C27" i="18"/>
  <c r="B55" i="18"/>
  <c r="E82" i="18"/>
  <c r="D27" i="18"/>
  <c r="C55" i="18"/>
  <c r="E27" i="18"/>
  <c r="G59" i="18"/>
  <c r="F27" i="18"/>
  <c r="H59" i="18"/>
  <c r="C32" i="18"/>
  <c r="A60" i="18"/>
  <c r="D32" i="18"/>
  <c r="B60" i="18"/>
  <c r="E32" i="18"/>
  <c r="C60" i="18"/>
  <c r="F32" i="18"/>
  <c r="G32" i="18"/>
  <c r="H64" i="18"/>
  <c r="H32" i="18"/>
  <c r="A65" i="18"/>
  <c r="E37" i="18"/>
  <c r="C65" i="18"/>
  <c r="G37" i="18"/>
  <c r="D65" i="18"/>
  <c r="E65" i="18"/>
  <c r="E70" i="18"/>
  <c r="F70" i="18"/>
  <c r="C43" i="18"/>
  <c r="H70" i="18"/>
  <c r="D60" i="18"/>
  <c r="B65" i="18"/>
  <c r="F37" i="18"/>
  <c r="E38" i="18"/>
  <c r="F38" i="18"/>
  <c r="G38" i="18"/>
  <c r="G70" i="18"/>
  <c r="D43" i="18"/>
  <c r="S7" i="2" l="1"/>
  <c r="S6" i="2"/>
  <c r="S5" i="2"/>
  <c r="S4" i="2"/>
  <c r="S3" i="2"/>
  <c r="S2" i="2"/>
  <c r="R3" i="2" s="1"/>
  <c r="R4" i="2" l="1"/>
  <c r="R5" i="2"/>
  <c r="L5" i="2"/>
  <c r="L4" i="2"/>
  <c r="L3" i="2"/>
  <c r="L2" i="2"/>
  <c r="K3" i="2" s="1"/>
  <c r="D2" i="18" s="1"/>
  <c r="R6" i="2" l="1"/>
  <c r="R7" i="2" s="1"/>
  <c r="D4" i="18"/>
  <c r="K4" i="2"/>
  <c r="K5" i="2" s="1"/>
</calcChain>
</file>

<file path=xl/sharedStrings.xml><?xml version="1.0" encoding="utf-8"?>
<sst xmlns="http://schemas.openxmlformats.org/spreadsheetml/2006/main" count="48077" uniqueCount="1916">
  <si>
    <t>五大流程</t>
  </si>
  <si>
    <t>十大知識領域</t>
  </si>
  <si>
    <t>起始</t>
  </si>
  <si>
    <t>規劃</t>
  </si>
  <si>
    <t>執行</t>
  </si>
  <si>
    <t>監控</t>
  </si>
  <si>
    <t>結束</t>
  </si>
  <si>
    <t>整合管理</t>
  </si>
  <si>
    <t>4.3 指導與管理專案工作</t>
  </si>
  <si>
    <t>4.4 監視和控制專案工作</t>
  </si>
  <si>
    <t>4.5 執行整合變更控制</t>
  </si>
  <si>
    <t>4.6 結束專案或階段</t>
  </si>
  <si>
    <t>範疇管理</t>
  </si>
  <si>
    <t>5.5 驗證範疇</t>
  </si>
  <si>
    <t>5.6 控制範疇</t>
  </si>
  <si>
    <t>時間管理</t>
  </si>
  <si>
    <t>6.7 控制時程</t>
  </si>
  <si>
    <t>成本管理</t>
  </si>
  <si>
    <t>7.4 控制成本</t>
  </si>
  <si>
    <t>品質管理</t>
  </si>
  <si>
    <t>8.2 實施品質保證</t>
  </si>
  <si>
    <t>8.3 控制品質</t>
  </si>
  <si>
    <t>人力資源管理管理</t>
  </si>
  <si>
    <t>9.2 獲得專案團隊</t>
  </si>
  <si>
    <t>9.3 發展專案團隊</t>
  </si>
  <si>
    <t>9.4 管理專案團隊</t>
  </si>
  <si>
    <t>溝通管理</t>
  </si>
  <si>
    <t>10.2 管理溝通</t>
  </si>
  <si>
    <t>10.3 控制溝通</t>
  </si>
  <si>
    <t>風險管理</t>
  </si>
  <si>
    <t>11.6 控制風險</t>
  </si>
  <si>
    <t>採購管理</t>
  </si>
  <si>
    <t>12.2 執行採購</t>
  </si>
  <si>
    <t>12.3 控制採購</t>
  </si>
  <si>
    <t>12.4 結束採購</t>
  </si>
  <si>
    <t>利害關係人管理</t>
  </si>
  <si>
    <t>13.1 識別利害關係人</t>
  </si>
  <si>
    <t>13.3 管理利害關係人參與</t>
  </si>
  <si>
    <t>13.4 控制利害關係人參與</t>
  </si>
  <si>
    <r>
      <t xml:space="preserve">4.1 </t>
    </r>
    <r>
      <rPr>
        <sz val="9"/>
        <color rgb="FF333333"/>
        <rFont val="細明體"/>
        <family val="3"/>
        <charset val="136"/>
      </rPr>
      <t>發展專案章程</t>
    </r>
    <phoneticPr fontId="3" type="noConversion"/>
  </si>
  <si>
    <r>
      <t xml:space="preserve">4.2 </t>
    </r>
    <r>
      <rPr>
        <sz val="9"/>
        <color rgb="FF333333"/>
        <rFont val="細明體"/>
        <family val="3"/>
        <charset val="136"/>
      </rPr>
      <t>發展專案管理計劃</t>
    </r>
    <phoneticPr fontId="3" type="noConversion"/>
  </si>
  <si>
    <r>
      <t xml:space="preserve">5.1 </t>
    </r>
    <r>
      <rPr>
        <sz val="9"/>
        <color rgb="FF333333"/>
        <rFont val="細明體"/>
        <family val="3"/>
        <charset val="136"/>
      </rPr>
      <t>規劃範疇管理計劃</t>
    </r>
    <phoneticPr fontId="3" type="noConversion"/>
  </si>
  <si>
    <r>
      <t xml:space="preserve">5.2 </t>
    </r>
    <r>
      <rPr>
        <sz val="9"/>
        <color rgb="FF333333"/>
        <rFont val="細明體"/>
        <family val="3"/>
        <charset val="136"/>
      </rPr>
      <t>蒐集需求</t>
    </r>
    <phoneticPr fontId="3" type="noConversion"/>
  </si>
  <si>
    <r>
      <t xml:space="preserve">5.3 </t>
    </r>
    <r>
      <rPr>
        <sz val="9"/>
        <color rgb="FF333333"/>
        <rFont val="細明體"/>
        <family val="3"/>
        <charset val="136"/>
      </rPr>
      <t>定義範疇</t>
    </r>
    <phoneticPr fontId="3" type="noConversion"/>
  </si>
  <si>
    <r>
      <t xml:space="preserve">5.4 </t>
    </r>
    <r>
      <rPr>
        <sz val="9"/>
        <color rgb="FF333333"/>
        <rFont val="細明體"/>
        <family val="3"/>
        <charset val="136"/>
      </rPr>
      <t>建立</t>
    </r>
    <r>
      <rPr>
        <sz val="9"/>
        <color rgb="FF333333"/>
        <rFont val="Arial"/>
        <family val="2"/>
      </rPr>
      <t>WBS</t>
    </r>
    <phoneticPr fontId="3" type="noConversion"/>
  </si>
  <si>
    <r>
      <t xml:space="preserve">6.1 </t>
    </r>
    <r>
      <rPr>
        <sz val="9"/>
        <color rgb="FF333333"/>
        <rFont val="細明體"/>
        <family val="3"/>
        <charset val="136"/>
      </rPr>
      <t>規劃時程管理計劃</t>
    </r>
    <phoneticPr fontId="3" type="noConversion"/>
  </si>
  <si>
    <r>
      <t xml:space="preserve">6.2 </t>
    </r>
    <r>
      <rPr>
        <sz val="9"/>
        <color rgb="FF333333"/>
        <rFont val="細明體"/>
        <family val="3"/>
        <charset val="136"/>
      </rPr>
      <t>定義活動</t>
    </r>
    <phoneticPr fontId="3" type="noConversion"/>
  </si>
  <si>
    <r>
      <t xml:space="preserve">6.3 </t>
    </r>
    <r>
      <rPr>
        <sz val="9"/>
        <color rgb="FF333333"/>
        <rFont val="細明體"/>
        <family val="3"/>
        <charset val="136"/>
      </rPr>
      <t>排序活動</t>
    </r>
    <phoneticPr fontId="3" type="noConversion"/>
  </si>
  <si>
    <r>
      <t xml:space="preserve">6.4 </t>
    </r>
    <r>
      <rPr>
        <sz val="9"/>
        <color rgb="FF333333"/>
        <rFont val="細明體"/>
        <family val="3"/>
        <charset val="136"/>
      </rPr>
      <t>估算活動資源</t>
    </r>
    <phoneticPr fontId="3" type="noConversion"/>
  </si>
  <si>
    <r>
      <t xml:space="preserve">6.5 </t>
    </r>
    <r>
      <rPr>
        <sz val="9"/>
        <color rgb="FF333333"/>
        <rFont val="細明體"/>
        <family val="3"/>
        <charset val="136"/>
      </rPr>
      <t>估算活動期程</t>
    </r>
    <phoneticPr fontId="3" type="noConversion"/>
  </si>
  <si>
    <r>
      <t xml:space="preserve">6.6 </t>
    </r>
    <r>
      <rPr>
        <sz val="9"/>
        <color rgb="FF333333"/>
        <rFont val="細明體"/>
        <family val="3"/>
        <charset val="136"/>
      </rPr>
      <t>發展時程</t>
    </r>
    <phoneticPr fontId="3" type="noConversion"/>
  </si>
  <si>
    <r>
      <t xml:space="preserve">7.1 </t>
    </r>
    <r>
      <rPr>
        <sz val="9"/>
        <color rgb="FF333333"/>
        <rFont val="細明體"/>
        <family val="3"/>
        <charset val="136"/>
      </rPr>
      <t>規劃成本管理計劃</t>
    </r>
    <phoneticPr fontId="3" type="noConversion"/>
  </si>
  <si>
    <r>
      <t xml:space="preserve">7.2 </t>
    </r>
    <r>
      <rPr>
        <sz val="9"/>
        <color rgb="FF333333"/>
        <rFont val="細明體"/>
        <family val="3"/>
        <charset val="136"/>
      </rPr>
      <t>估算成本</t>
    </r>
    <phoneticPr fontId="3" type="noConversion"/>
  </si>
  <si>
    <r>
      <t xml:space="preserve">7.3 </t>
    </r>
    <r>
      <rPr>
        <sz val="9"/>
        <color rgb="FF333333"/>
        <rFont val="細明體"/>
        <family val="3"/>
        <charset val="136"/>
      </rPr>
      <t>制定預算</t>
    </r>
    <phoneticPr fontId="3" type="noConversion"/>
  </si>
  <si>
    <r>
      <t xml:space="preserve">8.1 </t>
    </r>
    <r>
      <rPr>
        <sz val="9"/>
        <color rgb="FF333333"/>
        <rFont val="細明體"/>
        <family val="3"/>
        <charset val="136"/>
      </rPr>
      <t>規劃品質管理計劃</t>
    </r>
    <phoneticPr fontId="3" type="noConversion"/>
  </si>
  <si>
    <r>
      <t xml:space="preserve">9.1 </t>
    </r>
    <r>
      <rPr>
        <sz val="9"/>
        <color rgb="FF333333"/>
        <rFont val="細明體"/>
        <family val="3"/>
        <charset val="136"/>
      </rPr>
      <t>規劃人力資源管理計劃</t>
    </r>
    <phoneticPr fontId="3" type="noConversion"/>
  </si>
  <si>
    <r>
      <t xml:space="preserve">10.1 </t>
    </r>
    <r>
      <rPr>
        <sz val="9"/>
        <color rgb="FF333333"/>
        <rFont val="細明體"/>
        <family val="3"/>
        <charset val="136"/>
      </rPr>
      <t>規劃溝通管理計劃</t>
    </r>
    <phoneticPr fontId="3" type="noConversion"/>
  </si>
  <si>
    <r>
      <t xml:space="preserve">11.1 </t>
    </r>
    <r>
      <rPr>
        <sz val="9"/>
        <color rgb="FF333333"/>
        <rFont val="細明體"/>
        <family val="3"/>
        <charset val="136"/>
      </rPr>
      <t>規劃風險管理計劃</t>
    </r>
    <phoneticPr fontId="3" type="noConversion"/>
  </si>
  <si>
    <r>
      <t xml:space="preserve">11.2 </t>
    </r>
    <r>
      <rPr>
        <sz val="9"/>
        <color rgb="FF333333"/>
        <rFont val="細明體"/>
        <family val="3"/>
        <charset val="136"/>
      </rPr>
      <t>識別風險</t>
    </r>
    <phoneticPr fontId="3" type="noConversion"/>
  </si>
  <si>
    <r>
      <t xml:space="preserve">11.3 </t>
    </r>
    <r>
      <rPr>
        <sz val="9"/>
        <color rgb="FF333333"/>
        <rFont val="細明體"/>
        <family val="3"/>
        <charset val="136"/>
      </rPr>
      <t>執行風險定性分析</t>
    </r>
    <phoneticPr fontId="3" type="noConversion"/>
  </si>
  <si>
    <r>
      <t xml:space="preserve">11.4 </t>
    </r>
    <r>
      <rPr>
        <sz val="9"/>
        <color rgb="FF333333"/>
        <rFont val="細明體"/>
        <family val="3"/>
        <charset val="136"/>
      </rPr>
      <t>執行風險定量風分析</t>
    </r>
    <phoneticPr fontId="3" type="noConversion"/>
  </si>
  <si>
    <r>
      <t xml:space="preserve">11.5 </t>
    </r>
    <r>
      <rPr>
        <sz val="9"/>
        <color rgb="FF333333"/>
        <rFont val="細明體"/>
        <family val="3"/>
        <charset val="136"/>
      </rPr>
      <t>規劃風險應對</t>
    </r>
    <phoneticPr fontId="3" type="noConversion"/>
  </si>
  <si>
    <r>
      <t xml:space="preserve">12.1 </t>
    </r>
    <r>
      <rPr>
        <sz val="9"/>
        <color rgb="FF333333"/>
        <rFont val="細明體"/>
        <family val="3"/>
        <charset val="136"/>
      </rPr>
      <t>規劃採購管理計劃</t>
    </r>
    <phoneticPr fontId="3" type="noConversion"/>
  </si>
  <si>
    <r>
      <t xml:space="preserve">13.2 </t>
    </r>
    <r>
      <rPr>
        <sz val="9"/>
        <color rgb="FF333333"/>
        <rFont val="細明體"/>
        <family val="3"/>
        <charset val="136"/>
      </rPr>
      <t>規劃利害關係人管理計劃</t>
    </r>
    <phoneticPr fontId="3" type="noConversion"/>
  </si>
  <si>
    <t>標誌碼</t>
    <phoneticPr fontId="3" type="noConversion"/>
  </si>
  <si>
    <t>過程組</t>
    <phoneticPr fontId="3" type="noConversion"/>
  </si>
  <si>
    <t>知識領域</t>
    <phoneticPr fontId="3" type="noConversion"/>
  </si>
  <si>
    <t>發展專案章程</t>
    <phoneticPr fontId="3" type="noConversion"/>
  </si>
  <si>
    <t>規劃範疇管理</t>
    <phoneticPr fontId="3" type="noConversion"/>
  </si>
  <si>
    <t>定義範疇</t>
    <phoneticPr fontId="3" type="noConversion"/>
  </si>
  <si>
    <t>建立工作分解結構</t>
    <phoneticPr fontId="3" type="noConversion"/>
  </si>
  <si>
    <t>規劃時程管理</t>
    <phoneticPr fontId="3" type="noConversion"/>
  </si>
  <si>
    <t>定義活動</t>
    <phoneticPr fontId="3" type="noConversion"/>
  </si>
  <si>
    <t>排序活動</t>
    <phoneticPr fontId="3" type="noConversion"/>
  </si>
  <si>
    <t>估算活動期程</t>
    <phoneticPr fontId="3" type="noConversion"/>
  </si>
  <si>
    <t>發展時程</t>
    <phoneticPr fontId="3" type="noConversion"/>
  </si>
  <si>
    <t>規劃成本管理</t>
    <phoneticPr fontId="3" type="noConversion"/>
  </si>
  <si>
    <t>估算成本</t>
    <phoneticPr fontId="3" type="noConversion"/>
  </si>
  <si>
    <t>決定預算</t>
    <phoneticPr fontId="3" type="noConversion"/>
  </si>
  <si>
    <t>規劃品質管理</t>
    <phoneticPr fontId="3" type="noConversion"/>
  </si>
  <si>
    <t>規劃資源管理</t>
    <phoneticPr fontId="3" type="noConversion"/>
  </si>
  <si>
    <t>估算活動資源</t>
    <phoneticPr fontId="3" type="noConversion"/>
  </si>
  <si>
    <t>規劃溝通管理</t>
    <phoneticPr fontId="3" type="noConversion"/>
  </si>
  <si>
    <t>規劃風險管理</t>
    <phoneticPr fontId="3" type="noConversion"/>
  </si>
  <si>
    <t>辨識風險</t>
    <phoneticPr fontId="3" type="noConversion"/>
  </si>
  <si>
    <t>進行定性風險分析</t>
    <phoneticPr fontId="3" type="noConversion"/>
  </si>
  <si>
    <t>進行定量風險分析</t>
    <phoneticPr fontId="3" type="noConversion"/>
  </si>
  <si>
    <t>規劃風險回應</t>
    <phoneticPr fontId="3" type="noConversion"/>
  </si>
  <si>
    <t>規劃採購管理</t>
    <phoneticPr fontId="3" type="noConversion"/>
  </si>
  <si>
    <t>指導與管理專案工作</t>
    <phoneticPr fontId="3" type="noConversion"/>
  </si>
  <si>
    <t>管理專案知識</t>
    <phoneticPr fontId="3" type="noConversion"/>
  </si>
  <si>
    <t>管理品質</t>
    <phoneticPr fontId="3" type="noConversion"/>
  </si>
  <si>
    <t>獲得資源</t>
    <phoneticPr fontId="3" type="noConversion"/>
  </si>
  <si>
    <t>發展團隊</t>
    <phoneticPr fontId="3" type="noConversion"/>
  </si>
  <si>
    <t>管理團隊</t>
    <phoneticPr fontId="3" type="noConversion"/>
  </si>
  <si>
    <t>管理溝通</t>
    <phoneticPr fontId="3" type="noConversion"/>
  </si>
  <si>
    <t>實施風險回應</t>
    <phoneticPr fontId="3" type="noConversion"/>
  </si>
  <si>
    <t>執行採購</t>
    <phoneticPr fontId="3" type="noConversion"/>
  </si>
  <si>
    <t>監視與管制專案工作</t>
    <phoneticPr fontId="3" type="noConversion"/>
  </si>
  <si>
    <t>進行整合變更管制</t>
    <phoneticPr fontId="3" type="noConversion"/>
  </si>
  <si>
    <t>確認範疇</t>
    <phoneticPr fontId="3" type="noConversion"/>
  </si>
  <si>
    <t>管制範疇</t>
    <phoneticPr fontId="3" type="noConversion"/>
  </si>
  <si>
    <t>管制時程</t>
    <phoneticPr fontId="3" type="noConversion"/>
  </si>
  <si>
    <t>管制成本</t>
    <phoneticPr fontId="3" type="noConversion"/>
  </si>
  <si>
    <t>管制資源</t>
    <phoneticPr fontId="3" type="noConversion"/>
  </si>
  <si>
    <t>監視溝通</t>
    <phoneticPr fontId="3" type="noConversion"/>
  </si>
  <si>
    <t>監視風險</t>
    <phoneticPr fontId="3" type="noConversion"/>
  </si>
  <si>
    <t>管制採購</t>
    <phoneticPr fontId="3" type="noConversion"/>
  </si>
  <si>
    <t>結束專案或階段</t>
    <phoneticPr fontId="3" type="noConversion"/>
  </si>
  <si>
    <t>範疇基準</t>
    <phoneticPr fontId="3" type="noConversion"/>
  </si>
  <si>
    <t>時程基準</t>
    <phoneticPr fontId="3" type="noConversion"/>
  </si>
  <si>
    <t>成本基準</t>
    <phoneticPr fontId="3" type="noConversion"/>
  </si>
  <si>
    <t>績效衡量基準</t>
    <phoneticPr fontId="3" type="noConversion"/>
  </si>
  <si>
    <t>專案生命週期描述</t>
    <phoneticPr fontId="3" type="noConversion"/>
  </si>
  <si>
    <t>開發手法</t>
    <phoneticPr fontId="3" type="noConversion"/>
  </si>
  <si>
    <t>專案文件</t>
    <phoneticPr fontId="3" type="noConversion"/>
  </si>
  <si>
    <t>活動屬性</t>
    <phoneticPr fontId="3" type="noConversion"/>
  </si>
  <si>
    <t>活動清單</t>
    <phoneticPr fontId="3" type="noConversion"/>
  </si>
  <si>
    <t>假設紀錄</t>
    <phoneticPr fontId="3" type="noConversion"/>
  </si>
  <si>
    <t>估算基礎</t>
    <phoneticPr fontId="3" type="noConversion"/>
  </si>
  <si>
    <t>變更紀錄</t>
    <phoneticPr fontId="3" type="noConversion"/>
  </si>
  <si>
    <t>成本估算</t>
    <phoneticPr fontId="3" type="noConversion"/>
  </si>
  <si>
    <t>成本預測值</t>
    <phoneticPr fontId="3" type="noConversion"/>
  </si>
  <si>
    <t>期程估算</t>
    <phoneticPr fontId="3" type="noConversion"/>
  </si>
  <si>
    <t>議題紀錄</t>
    <phoneticPr fontId="3" type="noConversion"/>
  </si>
  <si>
    <t>經驗學習登錄表</t>
    <phoneticPr fontId="3" type="noConversion"/>
  </si>
  <si>
    <t>里程碑清單</t>
    <phoneticPr fontId="3" type="noConversion"/>
  </si>
  <si>
    <t>實體資源分派</t>
    <phoneticPr fontId="3" type="noConversion"/>
  </si>
  <si>
    <t>專案行事曆</t>
    <phoneticPr fontId="3" type="noConversion"/>
  </si>
  <si>
    <t>專案溝通</t>
    <phoneticPr fontId="3" type="noConversion"/>
  </si>
  <si>
    <t>專案時程</t>
    <phoneticPr fontId="3" type="noConversion"/>
  </si>
  <si>
    <t>專案時程網路圖</t>
    <phoneticPr fontId="3" type="noConversion"/>
  </si>
  <si>
    <t>專案範疇說明書</t>
    <phoneticPr fontId="3" type="noConversion"/>
  </si>
  <si>
    <t>專案團隊分派</t>
    <phoneticPr fontId="3" type="noConversion"/>
  </si>
  <si>
    <t>品質管制衡量值</t>
    <phoneticPr fontId="3" type="noConversion"/>
  </si>
  <si>
    <t>品質報告</t>
    <phoneticPr fontId="3" type="noConversion"/>
  </si>
  <si>
    <t>需求相關文件</t>
    <phoneticPr fontId="3" type="noConversion"/>
  </si>
  <si>
    <t>需求追溯矩陣</t>
    <phoneticPr fontId="3" type="noConversion"/>
  </si>
  <si>
    <t>資源分解結構</t>
    <phoneticPr fontId="3" type="noConversion"/>
  </si>
  <si>
    <t>資源行事曆</t>
    <phoneticPr fontId="3" type="noConversion"/>
  </si>
  <si>
    <t>資源需求</t>
    <phoneticPr fontId="3" type="noConversion"/>
  </si>
  <si>
    <t>風險登錄表</t>
    <phoneticPr fontId="3" type="noConversion"/>
  </si>
  <si>
    <t>風險報告</t>
    <phoneticPr fontId="3" type="noConversion"/>
  </si>
  <si>
    <t>時程資料</t>
    <phoneticPr fontId="3" type="noConversion"/>
  </si>
  <si>
    <t>時程預測值</t>
    <phoneticPr fontId="3" type="noConversion"/>
  </si>
  <si>
    <t>利害關係人登錄表</t>
    <phoneticPr fontId="3" type="noConversion"/>
  </si>
  <si>
    <t>測試與評估文件</t>
    <phoneticPr fontId="3" type="noConversion"/>
  </si>
  <si>
    <t>商業文件</t>
    <phoneticPr fontId="3" type="noConversion"/>
  </si>
  <si>
    <t>協議</t>
    <phoneticPr fontId="3" type="noConversion"/>
  </si>
  <si>
    <t>企業環境因素</t>
    <phoneticPr fontId="3" type="noConversion"/>
  </si>
  <si>
    <t>組織過程資產</t>
    <phoneticPr fontId="3" type="noConversion"/>
  </si>
  <si>
    <t>專案章程</t>
    <phoneticPr fontId="3" type="noConversion"/>
  </si>
  <si>
    <t>獲准的變更申請</t>
    <phoneticPr fontId="3" type="noConversion"/>
  </si>
  <si>
    <t>可交付成果</t>
    <phoneticPr fontId="3" type="noConversion"/>
  </si>
  <si>
    <t>工作績效資料</t>
    <phoneticPr fontId="3" type="noConversion"/>
  </si>
  <si>
    <t>變更申請</t>
    <phoneticPr fontId="3" type="noConversion"/>
  </si>
  <si>
    <t>工作績效資訊</t>
    <phoneticPr fontId="3" type="noConversion"/>
  </si>
  <si>
    <t>工作績效報告</t>
    <phoneticPr fontId="3" type="noConversion"/>
  </si>
  <si>
    <t>已接受的可交付成果</t>
    <phoneticPr fontId="3" type="noConversion"/>
  </si>
  <si>
    <t>採購相關文件</t>
    <phoneticPr fontId="3" type="noConversion"/>
  </si>
  <si>
    <t>最終產品、服務或成果轉移</t>
    <phoneticPr fontId="3" type="noConversion"/>
  </si>
  <si>
    <t>最終報告</t>
    <phoneticPr fontId="3" type="noConversion"/>
  </si>
  <si>
    <t>專案資金需求</t>
    <phoneticPr fontId="3" type="noConversion"/>
  </si>
  <si>
    <t>品質指標</t>
    <phoneticPr fontId="3" type="noConversion"/>
  </si>
  <si>
    <t>已驗證的可交付成果</t>
    <phoneticPr fontId="3" type="noConversion"/>
  </si>
  <si>
    <t>團隊績效評量</t>
    <phoneticPr fontId="3" type="noConversion"/>
  </si>
  <si>
    <t>採購策略</t>
    <phoneticPr fontId="3" type="noConversion"/>
  </si>
  <si>
    <t>自製或外購決策</t>
    <phoneticPr fontId="3" type="noConversion"/>
  </si>
  <si>
    <t>賣方提案書</t>
    <phoneticPr fontId="3" type="noConversion"/>
  </si>
  <si>
    <t>選定的賣方</t>
    <phoneticPr fontId="3" type="noConversion"/>
  </si>
  <si>
    <t>結束的採購</t>
    <phoneticPr fontId="3" type="noConversion"/>
  </si>
  <si>
    <t>工具與技術</t>
    <phoneticPr fontId="3" type="noConversion"/>
  </si>
  <si>
    <t>投入</t>
    <phoneticPr fontId="3" type="noConversion"/>
  </si>
  <si>
    <t>產出</t>
    <phoneticPr fontId="3" type="noConversion"/>
  </si>
  <si>
    <t>規劃利害關係人參與</t>
    <phoneticPr fontId="3" type="noConversion"/>
  </si>
  <si>
    <t>管理利害關係人參與</t>
    <phoneticPr fontId="3" type="noConversion"/>
  </si>
  <si>
    <t>監視利害關係人參與</t>
    <phoneticPr fontId="3" type="noConversion"/>
  </si>
  <si>
    <t>蒐集需求</t>
    <phoneticPr fontId="3" type="noConversion"/>
  </si>
  <si>
    <t>管制品質</t>
    <phoneticPr fontId="3" type="noConversion"/>
  </si>
  <si>
    <t>辨識利害關係人</t>
    <phoneticPr fontId="3" type="noConversion"/>
  </si>
  <si>
    <t>商業企劃案</t>
    <phoneticPr fontId="3" type="noConversion"/>
  </si>
  <si>
    <t>效益管理計畫書</t>
    <phoneticPr fontId="3" type="noConversion"/>
  </si>
  <si>
    <t>專家判斷</t>
    <phoneticPr fontId="3" type="noConversion"/>
  </si>
  <si>
    <t>腦力激盪</t>
    <phoneticPr fontId="3" type="noConversion"/>
  </si>
  <si>
    <t>焦點團體</t>
    <phoneticPr fontId="3" type="noConversion"/>
  </si>
  <si>
    <t>訪談</t>
    <phoneticPr fontId="3" type="noConversion"/>
  </si>
  <si>
    <t>人際關係與團隊技巧</t>
    <phoneticPr fontId="3" type="noConversion"/>
  </si>
  <si>
    <t>衝突管理</t>
    <phoneticPr fontId="3" type="noConversion"/>
  </si>
  <si>
    <t>促進</t>
    <phoneticPr fontId="3" type="noConversion"/>
  </si>
  <si>
    <t>會議管理</t>
    <phoneticPr fontId="3" type="noConversion"/>
  </si>
  <si>
    <t>會議</t>
    <phoneticPr fontId="3" type="noConversion"/>
  </si>
  <si>
    <t>專案管理資訊系統</t>
    <phoneticPr fontId="3" type="noConversion"/>
  </si>
  <si>
    <t>所有組件</t>
    <phoneticPr fontId="3" type="noConversion"/>
  </si>
  <si>
    <t>資訊管理</t>
    <phoneticPr fontId="3" type="noConversion"/>
  </si>
  <si>
    <t>主動傾聽</t>
    <phoneticPr fontId="3" type="noConversion"/>
  </si>
  <si>
    <t>領導</t>
    <phoneticPr fontId="3" type="noConversion"/>
  </si>
  <si>
    <t>政治意識</t>
    <phoneticPr fontId="3" type="noConversion"/>
  </si>
  <si>
    <t>備選方案分析</t>
    <phoneticPr fontId="3" type="noConversion"/>
  </si>
  <si>
    <t>成本效益分析</t>
    <phoneticPr fontId="3" type="noConversion"/>
  </si>
  <si>
    <t>實獲值分析</t>
    <phoneticPr fontId="3" type="noConversion"/>
  </si>
  <si>
    <t>肇因分析</t>
    <phoneticPr fontId="3" type="noConversion"/>
  </si>
  <si>
    <t>趨勢分析</t>
    <phoneticPr fontId="3" type="noConversion"/>
  </si>
  <si>
    <t>變異分析</t>
    <phoneticPr fontId="3" type="noConversion"/>
  </si>
  <si>
    <t>決策制定</t>
    <phoneticPr fontId="3" type="noConversion"/>
  </si>
  <si>
    <t>變更管制工具</t>
    <phoneticPr fontId="3" type="noConversion"/>
  </si>
  <si>
    <t>投票</t>
    <phoneticPr fontId="3" type="noConversion"/>
  </si>
  <si>
    <t>獨裁式決策制定</t>
    <phoneticPr fontId="3" type="noConversion"/>
  </si>
  <si>
    <t>迴歸分析</t>
    <phoneticPr fontId="3" type="noConversion"/>
  </si>
  <si>
    <t>利害關係人參與計畫書</t>
    <phoneticPr fontId="3" type="noConversion"/>
  </si>
  <si>
    <t>標竿比對</t>
    <phoneticPr fontId="3" type="noConversion"/>
  </si>
  <si>
    <t>多準則決策分析</t>
    <phoneticPr fontId="3" type="noConversion"/>
  </si>
  <si>
    <t>心智圖法</t>
    <phoneticPr fontId="3" type="noConversion"/>
  </si>
  <si>
    <t>集體發想表決法</t>
    <phoneticPr fontId="3" type="noConversion"/>
  </si>
  <si>
    <t>系統關聯圖</t>
    <phoneticPr fontId="3" type="noConversion"/>
  </si>
  <si>
    <t>雛形</t>
    <phoneticPr fontId="3" type="noConversion"/>
  </si>
  <si>
    <t>產品分析</t>
    <phoneticPr fontId="3" type="noConversion"/>
  </si>
  <si>
    <t>分解</t>
    <phoneticPr fontId="3" type="noConversion"/>
  </si>
  <si>
    <t>檢驗</t>
    <phoneticPr fontId="3" type="noConversion"/>
  </si>
  <si>
    <t>湧浪規劃法</t>
    <phoneticPr fontId="3" type="noConversion"/>
  </si>
  <si>
    <t>類比估算法</t>
    <phoneticPr fontId="3" type="noConversion"/>
  </si>
  <si>
    <t>參數估算法</t>
    <phoneticPr fontId="3" type="noConversion"/>
  </si>
  <si>
    <t>三點估算法</t>
    <phoneticPr fontId="3" type="noConversion"/>
  </si>
  <si>
    <t>儲備分析</t>
    <phoneticPr fontId="3" type="noConversion"/>
  </si>
  <si>
    <t>時程網路分析</t>
    <phoneticPr fontId="3" type="noConversion"/>
  </si>
  <si>
    <t>資源優化</t>
    <phoneticPr fontId="3" type="noConversion"/>
  </si>
  <si>
    <t>假設情境分析</t>
    <phoneticPr fontId="3" type="noConversion"/>
  </si>
  <si>
    <t>模擬</t>
    <phoneticPr fontId="3" type="noConversion"/>
  </si>
  <si>
    <t>時程壓縮</t>
    <phoneticPr fontId="3" type="noConversion"/>
  </si>
  <si>
    <t>要逕法</t>
    <phoneticPr fontId="3" type="noConversion"/>
  </si>
  <si>
    <t>迭代燃盡圖</t>
    <phoneticPr fontId="3" type="noConversion"/>
  </si>
  <si>
    <t>績效審查</t>
    <phoneticPr fontId="3" type="noConversion"/>
  </si>
  <si>
    <t>品質成本</t>
    <phoneticPr fontId="3" type="noConversion"/>
  </si>
  <si>
    <t>歷史資訊審查</t>
    <phoneticPr fontId="3" type="noConversion"/>
  </si>
  <si>
    <t>資金限制平衡</t>
    <phoneticPr fontId="3" type="noConversion"/>
  </si>
  <si>
    <t>融資</t>
    <phoneticPr fontId="3" type="noConversion"/>
  </si>
  <si>
    <t>剩餘工作績效指標</t>
    <phoneticPr fontId="3" type="noConversion"/>
  </si>
  <si>
    <t>邏輯資料模型</t>
    <phoneticPr fontId="3" type="noConversion"/>
  </si>
  <si>
    <t>測試與檢驗規劃</t>
    <phoneticPr fontId="3" type="noConversion"/>
  </si>
  <si>
    <t>K01</t>
    <phoneticPr fontId="3" type="noConversion"/>
  </si>
  <si>
    <t>K02</t>
    <phoneticPr fontId="3" type="noConversion"/>
  </si>
  <si>
    <t>K03</t>
  </si>
  <si>
    <t>K04</t>
  </si>
  <si>
    <t>K05</t>
  </si>
  <si>
    <t>K06</t>
  </si>
  <si>
    <t>K07</t>
  </si>
  <si>
    <t>K08</t>
  </si>
  <si>
    <t>K09</t>
  </si>
  <si>
    <t>K10</t>
  </si>
  <si>
    <t>假設與限制分析</t>
    <phoneticPr fontId="3" type="noConversion"/>
  </si>
  <si>
    <t>文件分析</t>
    <phoneticPr fontId="3" type="noConversion"/>
  </si>
  <si>
    <t>影響圖</t>
    <phoneticPr fontId="3" type="noConversion"/>
  </si>
  <si>
    <t>自製或外購分析</t>
    <phoneticPr fontId="3" type="noConversion"/>
  </si>
  <si>
    <t>過程分析</t>
    <phoneticPr fontId="3" type="noConversion"/>
  </si>
  <si>
    <t>提案書評估</t>
    <phoneticPr fontId="3" type="noConversion"/>
  </si>
  <si>
    <t>風險資料品質評量</t>
    <phoneticPr fontId="3" type="noConversion"/>
  </si>
  <si>
    <t>風險機率與衝擊評量</t>
    <phoneticPr fontId="3" type="noConversion"/>
  </si>
  <si>
    <t>敏感度分析</t>
    <phoneticPr fontId="3" type="noConversion"/>
  </si>
  <si>
    <t>利害關係人分析</t>
    <phoneticPr fontId="3" type="noConversion"/>
  </si>
  <si>
    <t>SWOT分析</t>
    <phoneticPr fontId="3" type="noConversion"/>
  </si>
  <si>
    <t>技術績效分析</t>
    <phoneticPr fontId="3" type="noConversion"/>
  </si>
  <si>
    <t>組織理論</t>
    <phoneticPr fontId="3" type="noConversion"/>
  </si>
  <si>
    <t>順序圖示法</t>
    <phoneticPr fontId="3" type="noConversion"/>
  </si>
  <si>
    <t>專案報告</t>
    <phoneticPr fontId="3" type="noConversion"/>
  </si>
  <si>
    <t>提示清單</t>
    <phoneticPr fontId="3" type="noConversion"/>
  </si>
  <si>
    <t>品質改善方法</t>
    <phoneticPr fontId="3" type="noConversion"/>
  </si>
  <si>
    <t>不確定性的呈現方式</t>
    <phoneticPr fontId="3" type="noConversion"/>
  </si>
  <si>
    <t>風險分類</t>
    <phoneticPr fontId="3" type="noConversion"/>
  </si>
  <si>
    <t>個人與團隊評量</t>
    <phoneticPr fontId="3" type="noConversion"/>
  </si>
  <si>
    <t>測試/產品評估</t>
    <phoneticPr fontId="3" type="noConversion"/>
  </si>
  <si>
    <t>P1</t>
    <phoneticPr fontId="3" type="noConversion"/>
  </si>
  <si>
    <t>P2</t>
    <phoneticPr fontId="3" type="noConversion"/>
  </si>
  <si>
    <t>P4</t>
  </si>
  <si>
    <t>P5</t>
  </si>
  <si>
    <t>整合</t>
  </si>
  <si>
    <t>整合</t>
    <phoneticPr fontId="3" type="noConversion"/>
  </si>
  <si>
    <t>範疇</t>
  </si>
  <si>
    <t>時程</t>
  </si>
  <si>
    <t>成本</t>
  </si>
  <si>
    <t>品質</t>
  </si>
  <si>
    <t>資源</t>
  </si>
  <si>
    <t>溝通</t>
  </si>
  <si>
    <t>風險</t>
  </si>
  <si>
    <t>採購</t>
  </si>
  <si>
    <t>範疇</t>
    <phoneticPr fontId="3" type="noConversion"/>
  </si>
  <si>
    <t>時程</t>
    <phoneticPr fontId="3" type="noConversion"/>
  </si>
  <si>
    <t>成本</t>
    <phoneticPr fontId="3" type="noConversion"/>
  </si>
  <si>
    <t>品質</t>
    <phoneticPr fontId="3" type="noConversion"/>
  </si>
  <si>
    <t>資源</t>
    <phoneticPr fontId="3" type="noConversion"/>
  </si>
  <si>
    <t>溝通</t>
    <phoneticPr fontId="3" type="noConversion"/>
  </si>
  <si>
    <t>風險</t>
    <phoneticPr fontId="3" type="noConversion"/>
  </si>
  <si>
    <t>採購</t>
    <phoneticPr fontId="3" type="noConversion"/>
  </si>
  <si>
    <t>利害關係人</t>
  </si>
  <si>
    <t>利害關係人</t>
    <phoneticPr fontId="3" type="noConversion"/>
  </si>
  <si>
    <t>起始</t>
    <phoneticPr fontId="3" type="noConversion"/>
  </si>
  <si>
    <t>規劃</t>
    <phoneticPr fontId="3" type="noConversion"/>
  </si>
  <si>
    <t>執行</t>
    <phoneticPr fontId="3" type="noConversion"/>
  </si>
  <si>
    <t>監視與管制</t>
  </si>
  <si>
    <t>監視與管制</t>
    <phoneticPr fontId="3" type="noConversion"/>
  </si>
  <si>
    <t>結束</t>
    <phoneticPr fontId="3" type="noConversion"/>
  </si>
  <si>
    <t>決策樹分析</t>
  </si>
  <si>
    <t>決策樹分析</t>
    <phoneticPr fontId="3" type="noConversion"/>
  </si>
  <si>
    <t>親合圖</t>
  </si>
  <si>
    <t>親合圖</t>
    <phoneticPr fontId="3" type="noConversion"/>
  </si>
  <si>
    <t>因果圖</t>
  </si>
  <si>
    <t>因果圖</t>
    <phoneticPr fontId="3" type="noConversion"/>
  </si>
  <si>
    <t>管制圖</t>
  </si>
  <si>
    <t>管制圖</t>
    <phoneticPr fontId="3" type="noConversion"/>
  </si>
  <si>
    <t>階層圖</t>
  </si>
  <si>
    <t>階層圖</t>
    <phoneticPr fontId="3" type="noConversion"/>
  </si>
  <si>
    <t>直方圖</t>
  </si>
  <si>
    <t>直方圖</t>
    <phoneticPr fontId="3" type="noConversion"/>
  </si>
  <si>
    <t>邏輯資料模型</t>
  </si>
  <si>
    <t>矩陣圖</t>
  </si>
  <si>
    <t>矩陣圖</t>
    <phoneticPr fontId="3" type="noConversion"/>
  </si>
  <si>
    <t>心智圖法</t>
  </si>
  <si>
    <t>機率與衝擊矩陣</t>
  </si>
  <si>
    <t>機率與衝擊矩陣</t>
    <phoneticPr fontId="3" type="noConversion"/>
  </si>
  <si>
    <t>散布圖</t>
  </si>
  <si>
    <t>散布圖</t>
    <phoneticPr fontId="3" type="noConversion"/>
  </si>
  <si>
    <t>利害關係人參與評量矩陣</t>
  </si>
  <si>
    <t>利害關係人參與評量矩陣</t>
    <phoneticPr fontId="3" type="noConversion"/>
  </si>
  <si>
    <t>利害關係人對應/呈現</t>
  </si>
  <si>
    <t>利害關係人對應/呈現</t>
    <phoneticPr fontId="3" type="noConversion"/>
  </si>
  <si>
    <t>文字導向的格式</t>
  </si>
  <si>
    <t>文字導向的格式</t>
    <phoneticPr fontId="3" type="noConversion"/>
  </si>
  <si>
    <t>決策制定</t>
  </si>
  <si>
    <t>多準則決策分析</t>
  </si>
  <si>
    <t>投票</t>
  </si>
  <si>
    <t>回饋</t>
  </si>
  <si>
    <t>回饋</t>
    <phoneticPr fontId="3" type="noConversion"/>
  </si>
  <si>
    <t>簡報</t>
  </si>
  <si>
    <t>簡報</t>
    <phoneticPr fontId="3" type="noConversion"/>
  </si>
  <si>
    <t>主動傾聽</t>
  </si>
  <si>
    <t>溝通風格評量</t>
  </si>
  <si>
    <t>溝通風格評量</t>
    <phoneticPr fontId="3" type="noConversion"/>
  </si>
  <si>
    <t>衝突管理</t>
  </si>
  <si>
    <t>文化意識</t>
  </si>
  <si>
    <t>文化意識</t>
    <phoneticPr fontId="3" type="noConversion"/>
  </si>
  <si>
    <t>情緒智商</t>
  </si>
  <si>
    <t>情緒智商</t>
    <phoneticPr fontId="3" type="noConversion"/>
  </si>
  <si>
    <t>促進</t>
  </si>
  <si>
    <t>影響力</t>
  </si>
  <si>
    <t>影響力</t>
    <phoneticPr fontId="3" type="noConversion"/>
  </si>
  <si>
    <t>領導</t>
  </si>
  <si>
    <t>會議管理</t>
  </si>
  <si>
    <t>動機</t>
  </si>
  <si>
    <t>動機</t>
    <phoneticPr fontId="3" type="noConversion"/>
  </si>
  <si>
    <t>協商</t>
  </si>
  <si>
    <t>協商</t>
    <phoneticPr fontId="3" type="noConversion"/>
  </si>
  <si>
    <t>人脈建立</t>
  </si>
  <si>
    <t>人脈建立</t>
    <phoneticPr fontId="3" type="noConversion"/>
  </si>
  <si>
    <t>集體發想表決法</t>
  </si>
  <si>
    <t>觀察/交談</t>
  </si>
  <si>
    <t>觀察/交談</t>
    <phoneticPr fontId="3" type="noConversion"/>
  </si>
  <si>
    <t>政治意識</t>
  </si>
  <si>
    <t>團隊組建</t>
  </si>
  <si>
    <t>團隊組建</t>
    <phoneticPr fontId="3" type="noConversion"/>
  </si>
  <si>
    <t>廣告</t>
  </si>
  <si>
    <t>敏捷發布規劃</t>
  </si>
  <si>
    <t>類比估算法</t>
  </si>
  <si>
    <t>稽核</t>
  </si>
  <si>
    <t>稽核</t>
    <phoneticPr fontId="3" type="noConversion"/>
  </si>
  <si>
    <t>投標人會議</t>
  </si>
  <si>
    <t>變更管制工具</t>
  </si>
  <si>
    <t>求償管理</t>
  </si>
  <si>
    <t>求償管理</t>
    <phoneticPr fontId="3" type="noConversion"/>
  </si>
  <si>
    <t>溝通方法</t>
  </si>
  <si>
    <t>溝通模式</t>
  </si>
  <si>
    <t>溝通模式</t>
    <phoneticPr fontId="3" type="noConversion"/>
  </si>
  <si>
    <t>溝通需求分析</t>
  </si>
  <si>
    <t>溝通需求分析</t>
    <phoneticPr fontId="3" type="noConversion"/>
  </si>
  <si>
    <t>溝通科技</t>
  </si>
  <si>
    <t>系統關聯圖</t>
  </si>
  <si>
    <t>應變回應策略</t>
  </si>
  <si>
    <t>成本匯總</t>
  </si>
  <si>
    <t>成本匯總</t>
    <phoneticPr fontId="3" type="noConversion"/>
  </si>
  <si>
    <t>要逕法</t>
  </si>
  <si>
    <t>備註</t>
    <phoneticPr fontId="3" type="noConversion"/>
  </si>
  <si>
    <t>專案文件</t>
  </si>
  <si>
    <t>專案管理計畫書</t>
  </si>
  <si>
    <t>範疇管理計畫書</t>
  </si>
  <si>
    <t>需求管理計畫書</t>
  </si>
  <si>
    <t>時程管理計畫書</t>
  </si>
  <si>
    <t>成本管理計畫書</t>
  </si>
  <si>
    <t>品質管理計畫書</t>
  </si>
  <si>
    <t>資源管理計畫書</t>
  </si>
  <si>
    <t>溝通管理計畫書</t>
  </si>
  <si>
    <t>風險管理計畫書</t>
  </si>
  <si>
    <t>採購管理計畫書</t>
  </si>
  <si>
    <t>利害關係人參與計畫書</t>
  </si>
  <si>
    <t>變更管理計畫書</t>
  </si>
  <si>
    <t>構型管理計畫書</t>
  </si>
  <si>
    <t>發展專案管理計畫書</t>
  </si>
  <si>
    <t>效益管理計畫書</t>
  </si>
  <si>
    <t>腦力激盪</t>
  </si>
  <si>
    <t>人際關係與團隊技巧</t>
  </si>
  <si>
    <t>品質指標</t>
  </si>
  <si>
    <t>假設紀錄</t>
  </si>
  <si>
    <t>投入與產出</t>
    <phoneticPr fontId="3" type="noConversion"/>
  </si>
  <si>
    <t>投入與產出元件</t>
    <phoneticPr fontId="3" type="noConversion"/>
  </si>
  <si>
    <t>工具與技術</t>
    <phoneticPr fontId="3" type="noConversion"/>
  </si>
  <si>
    <t>工具與技術元件</t>
    <phoneticPr fontId="3" type="noConversion"/>
  </si>
  <si>
    <t>商業文件</t>
  </si>
  <si>
    <t>專案章程</t>
  </si>
  <si>
    <t>企業環境因素</t>
  </si>
  <si>
    <t>組織過程資產</t>
  </si>
  <si>
    <t>可交付成果</t>
  </si>
  <si>
    <t>變更申請</t>
  </si>
  <si>
    <t>獲准的變更申請</t>
  </si>
  <si>
    <t>已驗證的可交付成果</t>
  </si>
  <si>
    <t>已接受的可交付成果</t>
  </si>
  <si>
    <t>最終產品、服務或成果轉移</t>
  </si>
  <si>
    <t>工作績效資料</t>
  </si>
  <si>
    <t>工作績效資訊</t>
  </si>
  <si>
    <t>工作績效報告</t>
  </si>
  <si>
    <t>最終報告</t>
  </si>
  <si>
    <t>團隊績效評量</t>
  </si>
  <si>
    <t>獨立成本估算</t>
  </si>
  <si>
    <t>專案資金需求</t>
  </si>
  <si>
    <t>協議</t>
  </si>
  <si>
    <t>採購工作說明書</t>
  </si>
  <si>
    <t>採購策略</t>
  </si>
  <si>
    <t>自製或外購決策</t>
  </si>
  <si>
    <t>投(招)標文件</t>
  </si>
  <si>
    <t>採購相關文件</t>
  </si>
  <si>
    <t>商源評選準則</t>
  </si>
  <si>
    <t>賣方提案書</t>
  </si>
  <si>
    <t>選定的賣方</t>
  </si>
  <si>
    <t>結束的採購</t>
  </si>
  <si>
    <t>其他過程的產出</t>
  </si>
  <si>
    <t>範疇基準</t>
  </si>
  <si>
    <t>時程基準</t>
  </si>
  <si>
    <t>成本基準</t>
  </si>
  <si>
    <t>績效衡量基準</t>
  </si>
  <si>
    <t>專案生命週期描述</t>
  </si>
  <si>
    <t>開發手法</t>
  </si>
  <si>
    <t>活動屬性</t>
  </si>
  <si>
    <t>活動清單</t>
  </si>
  <si>
    <t>估算基礎</t>
  </si>
  <si>
    <t>變更紀錄</t>
  </si>
  <si>
    <t>成本估算</t>
  </si>
  <si>
    <t>成本預測值</t>
  </si>
  <si>
    <t>期程估算</t>
  </si>
  <si>
    <t>議題紀錄</t>
  </si>
  <si>
    <t>經驗學習登錄表</t>
  </si>
  <si>
    <t>里程碑清單</t>
  </si>
  <si>
    <t>實體資源分派</t>
  </si>
  <si>
    <t>專案行事曆</t>
  </si>
  <si>
    <t>專案溝通</t>
  </si>
  <si>
    <t>專案時程</t>
  </si>
  <si>
    <t>專案時程網路圖</t>
  </si>
  <si>
    <t>專案範疇說明書</t>
  </si>
  <si>
    <t>專案團隊分派</t>
  </si>
  <si>
    <t>品質管制衡量值</t>
  </si>
  <si>
    <t>品質報告</t>
  </si>
  <si>
    <t>需求相關文件</t>
  </si>
  <si>
    <t>需求追溯矩陣</t>
  </si>
  <si>
    <t>資源分解結構</t>
  </si>
  <si>
    <t>資源行事曆</t>
  </si>
  <si>
    <t>資源需求</t>
  </si>
  <si>
    <t>風險登錄表</t>
  </si>
  <si>
    <t>風險報告</t>
  </si>
  <si>
    <t>時程資料</t>
  </si>
  <si>
    <t>時程預測值</t>
  </si>
  <si>
    <t>利害關係人登錄表</t>
  </si>
  <si>
    <t>團隊章程</t>
  </si>
  <si>
    <t>測試與評估文件</t>
  </si>
  <si>
    <t>商業企劃案</t>
  </si>
  <si>
    <t>分解</t>
  </si>
  <si>
    <t>專家判斷</t>
  </si>
  <si>
    <t>融資</t>
  </si>
  <si>
    <t>資金限制平衡</t>
  </si>
  <si>
    <t>基本規則</t>
  </si>
  <si>
    <t>歷史資訊審查</t>
  </si>
  <si>
    <t>個人與團隊評量</t>
  </si>
  <si>
    <t>資訊管理</t>
  </si>
  <si>
    <t>檢驗</t>
  </si>
  <si>
    <t>知識管理</t>
  </si>
  <si>
    <t>提前與延後</t>
  </si>
  <si>
    <t>會議</t>
  </si>
  <si>
    <t>組織理論</t>
  </si>
  <si>
    <t>參數估算法</t>
  </si>
  <si>
    <t>預分派</t>
  </si>
  <si>
    <t>順序圖示法</t>
  </si>
  <si>
    <t>問題解決</t>
  </si>
  <si>
    <t>產品分析</t>
  </si>
  <si>
    <t>專案管理資訊系統</t>
  </si>
  <si>
    <t>專案報告</t>
  </si>
  <si>
    <t>提示清單</t>
  </si>
  <si>
    <t>雛形</t>
  </si>
  <si>
    <t>品質改善方法</t>
  </si>
  <si>
    <t>表彰與獎勵</t>
  </si>
  <si>
    <t>不確定性的呈現方式</t>
  </si>
  <si>
    <t>資源優化</t>
  </si>
  <si>
    <t>風險分類</t>
  </si>
  <si>
    <t>湧浪規劃法</t>
  </si>
  <si>
    <t>時程壓縮</t>
  </si>
  <si>
    <t>時程網路分析</t>
  </si>
  <si>
    <t>機會回應策略</t>
  </si>
  <si>
    <t>專案整體風險回應策略</t>
  </si>
  <si>
    <t>威脅回應策略</t>
  </si>
  <si>
    <t>測試與檢驗規劃</t>
  </si>
  <si>
    <t>測試/產品評估</t>
  </si>
  <si>
    <t>三點估算法</t>
  </si>
  <si>
    <t>剩餘工作績效指標</t>
  </si>
  <si>
    <t>訓練</t>
  </si>
  <si>
    <t>虛擬團隊</t>
  </si>
  <si>
    <t>標竿比對</t>
  </si>
  <si>
    <t>檢核單</t>
  </si>
  <si>
    <t>檢核表</t>
  </si>
  <si>
    <t>焦點團體</t>
  </si>
  <si>
    <t>訪談</t>
  </si>
  <si>
    <t>市場調查</t>
  </si>
  <si>
    <t>統計抽樣</t>
  </si>
  <si>
    <t>備選方案分析</t>
  </si>
  <si>
    <t>其他風險參數評量</t>
  </si>
  <si>
    <t>假設與限制分析</t>
  </si>
  <si>
    <t>品質成本</t>
  </si>
  <si>
    <t>成本效益分析</t>
  </si>
  <si>
    <t>文件分析</t>
  </si>
  <si>
    <t>實獲值分析</t>
  </si>
  <si>
    <t>影響圖</t>
  </si>
  <si>
    <t>迭代燃盡圖</t>
  </si>
  <si>
    <t>自製或外購分析</t>
  </si>
  <si>
    <t>績效審查</t>
  </si>
  <si>
    <t>過程分析</t>
  </si>
  <si>
    <t>提案書評估</t>
  </si>
  <si>
    <t>迴歸分析</t>
  </si>
  <si>
    <t>儲備分析</t>
  </si>
  <si>
    <t>風險資料品質評量</t>
  </si>
  <si>
    <t>風險機率與衝擊評量</t>
  </si>
  <si>
    <t>肇因分析</t>
  </si>
  <si>
    <t>敏感度分析</t>
  </si>
  <si>
    <t>模擬</t>
  </si>
  <si>
    <t>利害關係人分析</t>
  </si>
  <si>
    <t>SWOT分析</t>
  </si>
  <si>
    <t>技術績效分析</t>
  </si>
  <si>
    <t>趨勢分析</t>
  </si>
  <si>
    <t>變異分析</t>
  </si>
  <si>
    <t>投入與產出元件</t>
    <phoneticPr fontId="3" type="noConversion"/>
  </si>
  <si>
    <t>團隊章程</t>
    <phoneticPr fontId="3" type="noConversion"/>
  </si>
  <si>
    <t>廣告</t>
    <phoneticPr fontId="3" type="noConversion"/>
  </si>
  <si>
    <t>敏捷發布規劃</t>
    <phoneticPr fontId="3" type="noConversion"/>
  </si>
  <si>
    <t>投標人會議</t>
    <phoneticPr fontId="3" type="noConversion"/>
  </si>
  <si>
    <t>溝通方法</t>
    <phoneticPr fontId="3" type="noConversion"/>
  </si>
  <si>
    <t>溝通科技</t>
    <phoneticPr fontId="3" type="noConversion"/>
  </si>
  <si>
    <t>基本規則</t>
    <phoneticPr fontId="3" type="noConversion"/>
  </si>
  <si>
    <t>知識管理</t>
    <phoneticPr fontId="3" type="noConversion"/>
  </si>
  <si>
    <t>提前與延後</t>
    <phoneticPr fontId="3" type="noConversion"/>
  </si>
  <si>
    <t>預分派</t>
    <phoneticPr fontId="3" type="noConversion"/>
  </si>
  <si>
    <t>問題解決</t>
    <phoneticPr fontId="3" type="noConversion"/>
  </si>
  <si>
    <t>表彰與獎勵</t>
    <phoneticPr fontId="3" type="noConversion"/>
  </si>
  <si>
    <t>訓練</t>
    <phoneticPr fontId="3" type="noConversion"/>
  </si>
  <si>
    <t>虛擬團隊</t>
    <phoneticPr fontId="3" type="noConversion"/>
  </si>
  <si>
    <t>檢核單</t>
    <phoneticPr fontId="3" type="noConversion"/>
  </si>
  <si>
    <t>檢核表</t>
    <phoneticPr fontId="3" type="noConversion"/>
  </si>
  <si>
    <t>市場調查</t>
    <phoneticPr fontId="3" type="noConversion"/>
  </si>
  <si>
    <t>統計抽樣</t>
    <phoneticPr fontId="3" type="noConversion"/>
  </si>
  <si>
    <t>專案管理計畫書</t>
    <phoneticPr fontId="3" type="noConversion"/>
  </si>
  <si>
    <t>時程管理計畫書</t>
    <phoneticPr fontId="3" type="noConversion"/>
  </si>
  <si>
    <t>相依關係判定與整合</t>
  </si>
  <si>
    <t>相依關係判定與整合</t>
    <phoneticPr fontId="3" type="noConversion"/>
  </si>
  <si>
    <t>由下而上估算法</t>
    <phoneticPr fontId="3" type="noConversion"/>
  </si>
  <si>
    <t>問卷調查</t>
  </si>
  <si>
    <t>問卷調查</t>
    <phoneticPr fontId="3" type="noConversion"/>
  </si>
  <si>
    <t>流程圖</t>
    <phoneticPr fontId="3" type="noConversion"/>
  </si>
  <si>
    <t>風險管理計畫書</t>
    <phoneticPr fontId="3" type="noConversion"/>
  </si>
  <si>
    <t>面向X的設計</t>
    <phoneticPr fontId="3" type="noConversion"/>
  </si>
  <si>
    <t>品質管理計畫書</t>
    <phoneticPr fontId="3" type="noConversion"/>
  </si>
  <si>
    <t>責任分派矩陣</t>
    <phoneticPr fontId="3" type="noConversion"/>
  </si>
  <si>
    <t>資源管理計畫書</t>
    <phoneticPr fontId="3" type="noConversion"/>
  </si>
  <si>
    <t>採購管理計畫書</t>
    <phoneticPr fontId="3" type="noConversion"/>
  </si>
  <si>
    <t>集中作業</t>
    <phoneticPr fontId="3" type="noConversion"/>
  </si>
  <si>
    <t>溝通管理計畫書</t>
    <phoneticPr fontId="3" type="noConversion"/>
  </si>
  <si>
    <t>所有組件</t>
  </si>
  <si>
    <t>其他風險參數評量</t>
    <phoneticPr fontId="3" type="noConversion"/>
  </si>
  <si>
    <t>範疇管理計畫書</t>
    <phoneticPr fontId="3" type="noConversion"/>
  </si>
  <si>
    <t>商源評選分析</t>
    <phoneticPr fontId="3" type="noConversion"/>
  </si>
  <si>
    <t>投(招)標文件</t>
    <phoneticPr fontId="3" type="noConversion"/>
  </si>
  <si>
    <t>獨立成本估算</t>
    <phoneticPr fontId="3" type="noConversion"/>
  </si>
  <si>
    <t>需求管理計畫書</t>
    <phoneticPr fontId="3" type="noConversion"/>
  </si>
  <si>
    <t>構型管理計畫書</t>
    <phoneticPr fontId="3" type="noConversion"/>
  </si>
  <si>
    <t>變更管理計畫書</t>
    <phoneticPr fontId="3" type="noConversion"/>
  </si>
  <si>
    <t>優先順序/排名</t>
  </si>
  <si>
    <t>溝通能力</t>
    <phoneticPr fontId="3" type="noConversion"/>
  </si>
  <si>
    <t>非語言</t>
    <phoneticPr fontId="3" type="noConversion"/>
  </si>
  <si>
    <t>威脅回應策略</t>
    <phoneticPr fontId="3" type="noConversion"/>
  </si>
  <si>
    <t>應變回應策略</t>
    <phoneticPr fontId="3" type="noConversion"/>
  </si>
  <si>
    <t>專案整體風險回應策略</t>
    <phoneticPr fontId="3" type="noConversion"/>
  </si>
  <si>
    <t>工具與技術</t>
  </si>
  <si>
    <t>由下而上估算法</t>
  </si>
  <si>
    <t>集中作業</t>
  </si>
  <si>
    <t>面向X的設計</t>
  </si>
  <si>
    <t>工具與技術元件</t>
  </si>
  <si>
    <t>商源評選分析</t>
  </si>
  <si>
    <t>假設情境分析</t>
  </si>
  <si>
    <t>流程圖</t>
  </si>
  <si>
    <t>責任分派矩陣</t>
  </si>
  <si>
    <t>獨裁式決策制定</t>
  </si>
  <si>
    <t>溝通能力</t>
  </si>
  <si>
    <t>非語言</t>
  </si>
  <si>
    <t>其他過程的產出</t>
    <phoneticPr fontId="3" type="noConversion"/>
  </si>
  <si>
    <t>管制品質</t>
  </si>
  <si>
    <t>發展專案章程</t>
  </si>
  <si>
    <t>辨識利害關係人</t>
  </si>
  <si>
    <t>規劃範疇管理</t>
  </si>
  <si>
    <t>蒐集需求</t>
  </si>
  <si>
    <t>定義範疇</t>
  </si>
  <si>
    <t>建立工作分解結構</t>
  </si>
  <si>
    <t>規劃時程管理</t>
  </si>
  <si>
    <t>定義活動</t>
  </si>
  <si>
    <t>排序活動</t>
  </si>
  <si>
    <t>估算活動期程</t>
  </si>
  <si>
    <t>發展時程</t>
  </si>
  <si>
    <t>規劃成本管理</t>
  </si>
  <si>
    <t>估算成本</t>
  </si>
  <si>
    <t>決定預算</t>
  </si>
  <si>
    <t>規劃品質管理</t>
  </si>
  <si>
    <t>規劃資源管理</t>
  </si>
  <si>
    <t>估算活動資源</t>
  </si>
  <si>
    <t>規劃溝通管理</t>
  </si>
  <si>
    <t>規劃風險管理</t>
  </si>
  <si>
    <t>辨識風險</t>
  </si>
  <si>
    <t>進行定性風險分析</t>
  </si>
  <si>
    <t>進行定量風險分析</t>
  </si>
  <si>
    <t>規劃風險回應</t>
  </si>
  <si>
    <t>規劃採購管理</t>
  </si>
  <si>
    <t>規劃利害關係人參與</t>
  </si>
  <si>
    <t>指導與管理專案工作</t>
  </si>
  <si>
    <t>管理專案知識</t>
  </si>
  <si>
    <t>管理品質</t>
  </si>
  <si>
    <t>獲得資源</t>
  </si>
  <si>
    <t>發展團隊</t>
  </si>
  <si>
    <t>管理團隊</t>
  </si>
  <si>
    <t>管理溝通</t>
  </si>
  <si>
    <t>實施風險回應</t>
  </si>
  <si>
    <t>執行採購</t>
  </si>
  <si>
    <t>管理利害關係人參與</t>
  </si>
  <si>
    <t>監視與管制專案工作</t>
  </si>
  <si>
    <t>進行整合變更管制</t>
  </si>
  <si>
    <t>確認範疇</t>
  </si>
  <si>
    <t>管制範疇</t>
  </si>
  <si>
    <t>管制時程</t>
  </si>
  <si>
    <t>管制成本</t>
  </si>
  <si>
    <t>管制資源</t>
  </si>
  <si>
    <t>監視溝通</t>
  </si>
  <si>
    <t>監視風險</t>
  </si>
  <si>
    <t>管制採購</t>
  </si>
  <si>
    <t>監視利害關係人參與</t>
  </si>
  <si>
    <t>結束專案或階段</t>
  </si>
  <si>
    <t>標誌碼</t>
  </si>
  <si>
    <t>P1K01-0</t>
  </si>
  <si>
    <t>P1K10-0</t>
  </si>
  <si>
    <t>P2K01-0</t>
  </si>
  <si>
    <t>P2K02-1</t>
  </si>
  <si>
    <t>P2K02-2</t>
  </si>
  <si>
    <t>P2K02-3</t>
  </si>
  <si>
    <t>P2K02-4</t>
  </si>
  <si>
    <t>P2K03-1</t>
  </si>
  <si>
    <t>P2K03-2</t>
  </si>
  <si>
    <t>P2K03-3</t>
  </si>
  <si>
    <t>P2K03-4</t>
  </si>
  <si>
    <t>P2K03-5</t>
  </si>
  <si>
    <t>P2K04-1</t>
  </si>
  <si>
    <t>P2K04-2</t>
  </si>
  <si>
    <t>P2K04-3</t>
  </si>
  <si>
    <t>P2K05-0</t>
  </si>
  <si>
    <t>P2K06-1</t>
  </si>
  <si>
    <t>P2K06-2</t>
  </si>
  <si>
    <t>P2K07-0</t>
  </si>
  <si>
    <t>P2K08-1</t>
  </si>
  <si>
    <t>P2K08-2</t>
  </si>
  <si>
    <t>P2K08-3</t>
  </si>
  <si>
    <t>P2K08-4</t>
  </si>
  <si>
    <t>P2K08-5</t>
  </si>
  <si>
    <t>P2K09-0</t>
  </si>
  <si>
    <t>P2K10-0</t>
  </si>
  <si>
    <t>P3K01-1</t>
  </si>
  <si>
    <t>P3K01-2</t>
  </si>
  <si>
    <t>P3K05-0</t>
  </si>
  <si>
    <t>P3K06-1</t>
  </si>
  <si>
    <t>P3K06-2</t>
  </si>
  <si>
    <t>P3K06-3</t>
  </si>
  <si>
    <t>P3K07-0</t>
  </si>
  <si>
    <t>P3K08-0</t>
  </si>
  <si>
    <t>P3K09-0</t>
  </si>
  <si>
    <t>P3K10-0</t>
  </si>
  <si>
    <t>P4K01-1</t>
  </si>
  <si>
    <t>P4K01-2</t>
  </si>
  <si>
    <t>P4K02-1</t>
  </si>
  <si>
    <t>P4K02-2</t>
  </si>
  <si>
    <t>P4K03-0</t>
  </si>
  <si>
    <t>P4K04-0</t>
  </si>
  <si>
    <t>P4K05-0</t>
  </si>
  <si>
    <t>P4K06-0</t>
  </si>
  <si>
    <t>P4K07-0</t>
  </si>
  <si>
    <t>P4K08-0</t>
  </si>
  <si>
    <t>P4K09-0</t>
  </si>
  <si>
    <t>P4K10-0</t>
  </si>
  <si>
    <t>P5K01-0</t>
  </si>
  <si>
    <t>知識領域</t>
    <phoneticPr fontId="3" type="noConversion"/>
  </si>
  <si>
    <t>小記</t>
    <phoneticPr fontId="3" type="noConversion"/>
  </si>
  <si>
    <t>資料蒐集工具</t>
  </si>
  <si>
    <t>資料分析工具</t>
  </si>
  <si>
    <t>資料呈現工具</t>
  </si>
  <si>
    <t>決策制定工具</t>
  </si>
  <si>
    <t>決策制定工具</t>
    <phoneticPr fontId="3" type="noConversion"/>
  </si>
  <si>
    <t>溝通技巧工具</t>
  </si>
  <si>
    <t>機會回應策略</t>
    <phoneticPr fontId="3" type="noConversion"/>
  </si>
  <si>
    <t>資料蒐集工具</t>
    <phoneticPr fontId="3" type="noConversion"/>
  </si>
  <si>
    <t>產出(更新)</t>
    <phoneticPr fontId="3" type="noConversion"/>
  </si>
  <si>
    <t>過程組組件</t>
    <phoneticPr fontId="3" type="noConversion"/>
  </si>
  <si>
    <t>過程組ITO</t>
    <phoneticPr fontId="3" type="noConversion"/>
  </si>
  <si>
    <t>過程組</t>
  </si>
  <si>
    <t>過程組元件</t>
  </si>
  <si>
    <t>更新</t>
    <phoneticPr fontId="3" type="noConversion"/>
  </si>
  <si>
    <t>投入</t>
  </si>
  <si>
    <t>產出</t>
  </si>
  <si>
    <t>小記</t>
  </si>
  <si>
    <t>投入：</t>
    <phoneticPr fontId="3" type="noConversion"/>
  </si>
  <si>
    <t>產出：</t>
    <phoneticPr fontId="3" type="noConversion"/>
  </si>
  <si>
    <t>更新：</t>
    <phoneticPr fontId="3" type="noConversion"/>
  </si>
  <si>
    <t>過程組</t>
    <phoneticPr fontId="3" type="noConversion"/>
  </si>
  <si>
    <t>知識領域</t>
    <phoneticPr fontId="3" type="noConversion"/>
  </si>
  <si>
    <t>組件</t>
    <phoneticPr fontId="3" type="noConversion"/>
  </si>
  <si>
    <t>採購工作說明書</t>
    <phoneticPr fontId="3" type="noConversion"/>
  </si>
  <si>
    <t>商源評選準則</t>
    <phoneticPr fontId="3" type="noConversion"/>
  </si>
  <si>
    <t>工具</t>
    <phoneticPr fontId="3" type="noConversion"/>
  </si>
  <si>
    <t>組件</t>
  </si>
  <si>
    <t>知識領域</t>
    <phoneticPr fontId="3" type="noConversion"/>
  </si>
  <si>
    <t>a專書10</t>
  </si>
  <si>
    <t>a專書11</t>
  </si>
  <si>
    <t>a專書12</t>
  </si>
  <si>
    <t>a專書13</t>
  </si>
  <si>
    <t>a專書14</t>
  </si>
  <si>
    <t>a專書15</t>
  </si>
  <si>
    <t>a專書16</t>
  </si>
  <si>
    <t>a專書17</t>
  </si>
  <si>
    <t>a專書18</t>
  </si>
  <si>
    <t>a專書19</t>
  </si>
  <si>
    <t>a專書20</t>
  </si>
  <si>
    <t>b專件10</t>
  </si>
  <si>
    <t>b專件11</t>
  </si>
  <si>
    <t>b專件12</t>
  </si>
  <si>
    <t>b專件13</t>
  </si>
  <si>
    <t>b專件14</t>
  </si>
  <si>
    <t>b專件15</t>
  </si>
  <si>
    <t>b專件16</t>
  </si>
  <si>
    <t>b專件17</t>
  </si>
  <si>
    <t>b專件18</t>
  </si>
  <si>
    <t>b專件19</t>
  </si>
  <si>
    <t>b專件20</t>
  </si>
  <si>
    <t>b專件21</t>
  </si>
  <si>
    <t>b專件22</t>
  </si>
  <si>
    <t>b專件23</t>
  </si>
  <si>
    <t>b專件24</t>
  </si>
  <si>
    <t>b專件25</t>
  </si>
  <si>
    <t>b專件26</t>
  </si>
  <si>
    <t>b專件27</t>
  </si>
  <si>
    <t>b專件28</t>
  </si>
  <si>
    <t>b專件29</t>
  </si>
  <si>
    <t>b專件30</t>
  </si>
  <si>
    <t>b專件31</t>
  </si>
  <si>
    <t>b專件32</t>
  </si>
  <si>
    <t>b專件33</t>
  </si>
  <si>
    <t>e投產10</t>
  </si>
  <si>
    <t>e投產11</t>
  </si>
  <si>
    <t>e投產12</t>
  </si>
  <si>
    <t>e投產13</t>
  </si>
  <si>
    <t>e投產14</t>
  </si>
  <si>
    <t>e投產15</t>
  </si>
  <si>
    <t>e投產16</t>
  </si>
  <si>
    <t>e投產17</t>
  </si>
  <si>
    <t>e投產18</t>
  </si>
  <si>
    <t>e投產19</t>
  </si>
  <si>
    <t>e投產20</t>
  </si>
  <si>
    <t>e投產21</t>
  </si>
  <si>
    <t>e投產22</t>
  </si>
  <si>
    <t>e投產23</t>
  </si>
  <si>
    <t>e投產24</t>
  </si>
  <si>
    <t>e投產25</t>
  </si>
  <si>
    <t>e投產26</t>
  </si>
  <si>
    <t>a專書01</t>
    <phoneticPr fontId="3" type="noConversion"/>
  </si>
  <si>
    <t>a專書02</t>
    <phoneticPr fontId="3" type="noConversion"/>
  </si>
  <si>
    <t>a專書03</t>
  </si>
  <si>
    <t>a專書04</t>
  </si>
  <si>
    <t>a專書05</t>
  </si>
  <si>
    <t>a專書06</t>
  </si>
  <si>
    <t>a專書07</t>
  </si>
  <si>
    <t>a專書08</t>
  </si>
  <si>
    <t>a專書09</t>
  </si>
  <si>
    <t>b專件01</t>
    <phoneticPr fontId="3" type="noConversion"/>
  </si>
  <si>
    <t>b專件02</t>
    <phoneticPr fontId="3" type="noConversion"/>
  </si>
  <si>
    <t>b專件03</t>
  </si>
  <si>
    <t>b專件04</t>
  </si>
  <si>
    <t>b專件05</t>
  </si>
  <si>
    <t>b專件06</t>
  </si>
  <si>
    <t>b專件07</t>
  </si>
  <si>
    <t>b專件08</t>
  </si>
  <si>
    <t>b專件09</t>
  </si>
  <si>
    <t>c商件01</t>
    <phoneticPr fontId="3" type="noConversion"/>
  </si>
  <si>
    <t>c商件02</t>
    <phoneticPr fontId="3" type="noConversion"/>
  </si>
  <si>
    <t>d採件01</t>
    <phoneticPr fontId="3" type="noConversion"/>
  </si>
  <si>
    <t>d採件02</t>
    <phoneticPr fontId="3" type="noConversion"/>
  </si>
  <si>
    <t>d採件03</t>
    <phoneticPr fontId="3" type="noConversion"/>
  </si>
  <si>
    <t>d採件04</t>
    <phoneticPr fontId="3" type="noConversion"/>
  </si>
  <si>
    <t>e投產01</t>
    <phoneticPr fontId="3" type="noConversion"/>
  </si>
  <si>
    <t>e投產02</t>
    <phoneticPr fontId="3" type="noConversion"/>
  </si>
  <si>
    <t>e投產03</t>
  </si>
  <si>
    <t>e投產04</t>
  </si>
  <si>
    <t>e投產05</t>
  </si>
  <si>
    <t>e投產06</t>
  </si>
  <si>
    <t>e投產07</t>
  </si>
  <si>
    <t>e投產08</t>
  </si>
  <si>
    <t>e投產09</t>
  </si>
  <si>
    <t>產出</t>
    <phoneticPr fontId="3" type="noConversion"/>
  </si>
  <si>
    <t>投入</t>
    <phoneticPr fontId="3" type="noConversion"/>
  </si>
  <si>
    <t>更新</t>
    <phoneticPr fontId="3" type="noConversion"/>
  </si>
  <si>
    <t>類型</t>
    <phoneticPr fontId="3" type="noConversion"/>
  </si>
  <si>
    <t>計畫書</t>
    <phoneticPr fontId="3" type="noConversion"/>
  </si>
  <si>
    <t>登錄表</t>
    <phoneticPr fontId="3" type="noConversion"/>
  </si>
  <si>
    <t>清單</t>
    <phoneticPr fontId="3" type="noConversion"/>
  </si>
  <si>
    <t>值</t>
    <phoneticPr fontId="3" type="noConversion"/>
  </si>
  <si>
    <t>策略</t>
    <phoneticPr fontId="3" type="noConversion"/>
  </si>
  <si>
    <t>書</t>
    <phoneticPr fontId="3" type="noConversion"/>
  </si>
  <si>
    <t>資料</t>
    <phoneticPr fontId="3" type="noConversion"/>
  </si>
  <si>
    <t>更新</t>
    <phoneticPr fontId="3" type="noConversion"/>
  </si>
  <si>
    <t>產出</t>
    <phoneticPr fontId="3" type="noConversion"/>
  </si>
  <si>
    <t>投入</t>
    <phoneticPr fontId="3" type="noConversion"/>
  </si>
  <si>
    <t>基準</t>
    <phoneticPr fontId="3" type="noConversion"/>
  </si>
  <si>
    <t>分派</t>
    <phoneticPr fontId="3" type="noConversion"/>
  </si>
  <si>
    <t>圖</t>
    <phoneticPr fontId="3" type="noConversion"/>
  </si>
  <si>
    <t>報告</t>
    <phoneticPr fontId="3" type="noConversion"/>
  </si>
  <si>
    <t>需求</t>
    <phoneticPr fontId="3" type="noConversion"/>
  </si>
  <si>
    <t>章程</t>
    <phoneticPr fontId="3" type="noConversion"/>
  </si>
  <si>
    <t>成本管理計畫書</t>
    <phoneticPr fontId="3" type="noConversion"/>
  </si>
  <si>
    <t>b資分10</t>
  </si>
  <si>
    <t>b資分11</t>
  </si>
  <si>
    <t>b資分12</t>
  </si>
  <si>
    <t>b資分13</t>
  </si>
  <si>
    <t>b資分14</t>
  </si>
  <si>
    <t>b資分15</t>
  </si>
  <si>
    <t>b資分16</t>
  </si>
  <si>
    <t>b資分17</t>
  </si>
  <si>
    <t>b資分18</t>
  </si>
  <si>
    <t>b資分19</t>
  </si>
  <si>
    <t>b資分20</t>
  </si>
  <si>
    <t>b資分21</t>
  </si>
  <si>
    <t>b資分22</t>
  </si>
  <si>
    <t>b資分23</t>
  </si>
  <si>
    <t>b資分24</t>
  </si>
  <si>
    <t>b資分25</t>
  </si>
  <si>
    <t>b資分26</t>
  </si>
  <si>
    <t>b資分27</t>
  </si>
  <si>
    <t>c資呈10</t>
  </si>
  <si>
    <t>c資呈11</t>
  </si>
  <si>
    <t>c資呈12</t>
  </si>
  <si>
    <t>c資呈13</t>
  </si>
  <si>
    <t>c資呈14</t>
  </si>
  <si>
    <t>c資呈15</t>
  </si>
  <si>
    <t>f人團10</t>
  </si>
  <si>
    <t>f人團11</t>
  </si>
  <si>
    <t>f人團12</t>
  </si>
  <si>
    <t>f人團13</t>
  </si>
  <si>
    <t>f人團14</t>
  </si>
  <si>
    <t>f人團15</t>
  </si>
  <si>
    <t>f人團16</t>
  </si>
  <si>
    <t>f人團17</t>
  </si>
  <si>
    <t>a資蒐01</t>
  </si>
  <si>
    <t>b資分01</t>
  </si>
  <si>
    <t>b資分02</t>
  </si>
  <si>
    <t>b資分03</t>
  </si>
  <si>
    <t>b資分04</t>
  </si>
  <si>
    <t>b資分05</t>
  </si>
  <si>
    <t>b資分06</t>
  </si>
  <si>
    <t>b資分07</t>
  </si>
  <si>
    <t>b資分08</t>
  </si>
  <si>
    <t>b資分09</t>
  </si>
  <si>
    <t>c資呈01</t>
  </si>
  <si>
    <t>c資呈02</t>
  </si>
  <si>
    <t>c資呈03</t>
  </si>
  <si>
    <t>c資呈04</t>
  </si>
  <si>
    <t>c資呈05</t>
  </si>
  <si>
    <t>c資呈06</t>
  </si>
  <si>
    <t>c資呈07</t>
  </si>
  <si>
    <t>c資呈08</t>
  </si>
  <si>
    <t>c資呈09</t>
  </si>
  <si>
    <t>d決定01</t>
  </si>
  <si>
    <t>d決定02</t>
  </si>
  <si>
    <t>d決定03</t>
  </si>
  <si>
    <t>e溝巧01</t>
  </si>
  <si>
    <t>e溝巧02</t>
  </si>
  <si>
    <t>e溝巧03</t>
  </si>
  <si>
    <t>e溝巧04</t>
  </si>
  <si>
    <t>e溝巧05</t>
  </si>
  <si>
    <t>f人團01</t>
  </si>
  <si>
    <t>f人團02</t>
  </si>
  <si>
    <t>f人團03</t>
  </si>
  <si>
    <t>f人團04</t>
  </si>
  <si>
    <t>f人團05</t>
  </si>
  <si>
    <t>f人團06</t>
  </si>
  <si>
    <t>f人團07</t>
  </si>
  <si>
    <t>f人團08</t>
  </si>
  <si>
    <t>f人團09</t>
  </si>
  <si>
    <t>工具與技巧</t>
    <phoneticPr fontId="3" type="noConversion"/>
  </si>
  <si>
    <t>調查</t>
    <phoneticPr fontId="3" type="noConversion"/>
  </si>
  <si>
    <t>分析</t>
    <phoneticPr fontId="3" type="noConversion"/>
  </si>
  <si>
    <t>評量</t>
    <phoneticPr fontId="3" type="noConversion"/>
  </si>
  <si>
    <t>矩陣</t>
    <phoneticPr fontId="3" type="noConversion"/>
  </si>
  <si>
    <t>估算法</t>
    <phoneticPr fontId="3" type="noConversion"/>
  </si>
  <si>
    <t>管理</t>
    <phoneticPr fontId="3" type="noConversion"/>
  </si>
  <si>
    <t>分析</t>
    <phoneticPr fontId="3" type="noConversion"/>
  </si>
  <si>
    <t>評量</t>
    <phoneticPr fontId="3" type="noConversion"/>
  </si>
  <si>
    <t>法</t>
    <phoneticPr fontId="3" type="noConversion"/>
  </si>
  <si>
    <t>產出：</t>
  </si>
  <si>
    <t>更新：</t>
  </si>
  <si>
    <t>小記</t>
    <phoneticPr fontId="3" type="noConversion"/>
  </si>
  <si>
    <t>過程組：</t>
    <phoneticPr fontId="3" type="noConversion"/>
  </si>
  <si>
    <t>知識領域：</t>
    <phoneticPr fontId="3" type="noConversion"/>
  </si>
  <si>
    <t>組件：</t>
    <phoneticPr fontId="3" type="noConversion"/>
  </si>
  <si>
    <t>發展專案管理計畫書</t>
    <phoneticPr fontId="3" type="noConversion"/>
  </si>
  <si>
    <t>指導與管理專案工作</t>
    <phoneticPr fontId="3" type="noConversion"/>
  </si>
  <si>
    <t>監視與管制專案工作</t>
    <phoneticPr fontId="3" type="noConversion"/>
  </si>
  <si>
    <t>蒐集需求</t>
    <phoneticPr fontId="3" type="noConversion"/>
  </si>
  <si>
    <t>規劃溝通管理</t>
    <phoneticPr fontId="3" type="noConversion"/>
  </si>
  <si>
    <t>管理溝通</t>
    <phoneticPr fontId="3" type="noConversion"/>
  </si>
  <si>
    <t>規劃風險管理</t>
    <phoneticPr fontId="3" type="noConversion"/>
  </si>
  <si>
    <t>實施風險回應</t>
    <phoneticPr fontId="3" type="noConversion"/>
  </si>
  <si>
    <t>監視風險</t>
    <phoneticPr fontId="3" type="noConversion"/>
  </si>
  <si>
    <t>規劃風險回應</t>
    <phoneticPr fontId="3" type="noConversion"/>
  </si>
  <si>
    <t>辨識利害關係人</t>
    <phoneticPr fontId="3" type="noConversion"/>
  </si>
  <si>
    <t>規劃利害關係人參與</t>
    <phoneticPr fontId="3" type="noConversion"/>
  </si>
  <si>
    <t>管理利害關係人參與</t>
    <phoneticPr fontId="3" type="noConversion"/>
  </si>
  <si>
    <t>監視利害關係人參與</t>
    <phoneticPr fontId="3" type="noConversion"/>
  </si>
  <si>
    <t>PMBOK關鍵組成要素</t>
    <phoneticPr fontId="3" type="noConversion"/>
  </si>
  <si>
    <t>專案生命週期</t>
    <phoneticPr fontId="3" type="noConversion"/>
  </si>
  <si>
    <t>專案階段</t>
    <phoneticPr fontId="3" type="noConversion"/>
  </si>
  <si>
    <t>階段閘門</t>
    <phoneticPr fontId="3" type="noConversion"/>
  </si>
  <si>
    <t>專案管理過程</t>
    <phoneticPr fontId="3" type="noConversion"/>
  </si>
  <si>
    <t>專案管理過程組</t>
    <phoneticPr fontId="3" type="noConversion"/>
  </si>
  <si>
    <t>專案管理知識領域</t>
    <phoneticPr fontId="3" type="noConversion"/>
  </si>
  <si>
    <t>專案目的</t>
    <phoneticPr fontId="3" type="noConversion"/>
  </si>
  <si>
    <t>可衡量的專案目標與相關成功準則</t>
    <phoneticPr fontId="3" type="noConversion"/>
  </si>
  <si>
    <t>高階需求</t>
    <phoneticPr fontId="3" type="noConversion"/>
  </si>
  <si>
    <t>高階專案描述、邊界及可交付成果</t>
    <phoneticPr fontId="3" type="noConversion"/>
  </si>
  <si>
    <t>專案整體風險</t>
    <phoneticPr fontId="3" type="noConversion"/>
  </si>
  <si>
    <t>里程碑時程摘要</t>
    <phoneticPr fontId="3" type="noConversion"/>
  </si>
  <si>
    <t>預先獲准的財務資源</t>
    <phoneticPr fontId="3" type="noConversion"/>
  </si>
  <si>
    <t>關鍵利害關係人清單</t>
    <phoneticPr fontId="3" type="noConversion"/>
  </si>
  <si>
    <t>專案核准需求</t>
    <phoneticPr fontId="3" type="noConversion"/>
  </si>
  <si>
    <t>專案退場準則</t>
    <phoneticPr fontId="3" type="noConversion"/>
  </si>
  <si>
    <t>分派的專案經理、責任及授權層級</t>
    <phoneticPr fontId="3" type="noConversion"/>
  </si>
  <si>
    <t>贊助者或其他專案章程授權人名子於職權</t>
    <phoneticPr fontId="3" type="noConversion"/>
  </si>
  <si>
    <t>矯正措施</t>
    <phoneticPr fontId="3" type="noConversion"/>
  </si>
  <si>
    <t>預防措施</t>
    <phoneticPr fontId="3" type="noConversion"/>
  </si>
  <si>
    <t>缺陷修復</t>
    <phoneticPr fontId="3" type="noConversion"/>
  </si>
  <si>
    <t>辨識構型項目</t>
    <phoneticPr fontId="3" type="noConversion"/>
  </si>
  <si>
    <t>紀錄與報告構型項目狀態</t>
    <phoneticPr fontId="3" type="noConversion"/>
  </si>
  <si>
    <t>進行構型項目的驗證與稽核</t>
    <phoneticPr fontId="3" type="noConversion"/>
  </si>
  <si>
    <t>辨識變更</t>
    <phoneticPr fontId="3" type="noConversion"/>
  </si>
  <si>
    <t>紀錄變更</t>
    <phoneticPr fontId="3" type="noConversion"/>
  </si>
  <si>
    <t>決定變更</t>
    <phoneticPr fontId="3" type="noConversion"/>
  </si>
  <si>
    <t>追蹤變更</t>
    <phoneticPr fontId="3" type="noConversion"/>
  </si>
  <si>
    <t>產品範疇描述</t>
    <phoneticPr fontId="3" type="noConversion"/>
  </si>
  <si>
    <t>允收準則</t>
    <phoneticPr fontId="3" type="noConversion"/>
  </si>
  <si>
    <t>專案排除事項</t>
    <phoneticPr fontId="3" type="noConversion"/>
  </si>
  <si>
    <t>專案時程模型發展</t>
    <phoneticPr fontId="3" type="noConversion"/>
  </si>
  <si>
    <t>發布與迭代的長度</t>
    <phoneticPr fontId="3" type="noConversion"/>
  </si>
  <si>
    <t>準確度層級</t>
    <phoneticPr fontId="3" type="noConversion"/>
  </si>
  <si>
    <t>衡量單位</t>
    <phoneticPr fontId="3" type="noConversion"/>
  </si>
  <si>
    <t>組織程序連結</t>
    <phoneticPr fontId="3" type="noConversion"/>
  </si>
  <si>
    <t>專案時程模型維護</t>
    <phoneticPr fontId="3" type="noConversion"/>
  </si>
  <si>
    <t>管制門檻</t>
    <phoneticPr fontId="3" type="noConversion"/>
  </si>
  <si>
    <t>績效衡量規則</t>
    <phoneticPr fontId="3" type="noConversion"/>
  </si>
  <si>
    <t>報告格式</t>
    <phoneticPr fontId="3" type="noConversion"/>
  </si>
  <si>
    <t>完成開始FS</t>
    <phoneticPr fontId="3" type="noConversion"/>
  </si>
  <si>
    <t>完成完成FF</t>
    <phoneticPr fontId="3" type="noConversion"/>
  </si>
  <si>
    <t>開始開始SS</t>
    <phoneticPr fontId="3" type="noConversion"/>
  </si>
  <si>
    <t>開始完成SF</t>
    <phoneticPr fontId="3" type="noConversion"/>
  </si>
  <si>
    <t>判定與整合相依關係</t>
    <phoneticPr fontId="3" type="noConversion"/>
  </si>
  <si>
    <t>硬邏輯</t>
    <phoneticPr fontId="3" type="noConversion"/>
  </si>
  <si>
    <t>外部相依關係</t>
    <phoneticPr fontId="3" type="noConversion"/>
  </si>
  <si>
    <t>內部相依關係</t>
    <phoneticPr fontId="3" type="noConversion"/>
  </si>
  <si>
    <t>精確度層級</t>
    <phoneticPr fontId="3" type="noConversion"/>
  </si>
  <si>
    <t>組織程序鏈結</t>
    <phoneticPr fontId="3" type="noConversion"/>
  </si>
  <si>
    <t>其他細節</t>
    <phoneticPr fontId="3" type="noConversion"/>
  </si>
  <si>
    <t>管制帳戶的總和，直接連結時程活動</t>
    <phoneticPr fontId="3" type="noConversion"/>
  </si>
  <si>
    <t>專案所使用的品質標準</t>
    <phoneticPr fontId="3" type="noConversion"/>
  </si>
  <si>
    <t>專案的品質目標</t>
    <phoneticPr fontId="3" type="noConversion"/>
  </si>
  <si>
    <t>品質的角色與責任</t>
    <phoneticPr fontId="3" type="noConversion"/>
  </si>
  <si>
    <t>需要提交品質審查的專案可交付成果與過程</t>
    <phoneticPr fontId="3" type="noConversion"/>
  </si>
  <si>
    <t>專案規劃的品質管制與品質管理活動</t>
    <phoneticPr fontId="3" type="noConversion"/>
  </si>
  <si>
    <t>專案所使用的品質工具</t>
    <phoneticPr fontId="3" type="noConversion"/>
  </si>
  <si>
    <t>專案相關的主要程序：非合規品的處理、矯正措施程序、持續改善程序</t>
    <phoneticPr fontId="3" type="noConversion"/>
  </si>
  <si>
    <t>工作分解結構WBS</t>
    <phoneticPr fontId="3" type="noConversion"/>
  </si>
  <si>
    <t>組織分解結構OBS</t>
    <phoneticPr fontId="3" type="noConversion"/>
  </si>
  <si>
    <t>資源分解結構RBS</t>
    <phoneticPr fontId="3" type="noConversion"/>
  </si>
  <si>
    <t>規劃包</t>
    <phoneticPr fontId="3" type="noConversion"/>
  </si>
  <si>
    <t>資源辨識</t>
    <phoneticPr fontId="3" type="noConversion"/>
  </si>
  <si>
    <t>角色與責任(角色、職權、責任、職能)</t>
    <phoneticPr fontId="3" type="noConversion"/>
  </si>
  <si>
    <t>專案組織圖</t>
    <phoneticPr fontId="3" type="noConversion"/>
  </si>
  <si>
    <t>專案團隊資源管理</t>
    <phoneticPr fontId="3" type="noConversion"/>
  </si>
  <si>
    <t>團隊發展</t>
    <phoneticPr fontId="3" type="noConversion"/>
  </si>
  <si>
    <t>資源管制</t>
    <phoneticPr fontId="3" type="noConversion"/>
  </si>
  <si>
    <t>表彰計畫書</t>
    <phoneticPr fontId="3" type="noConversion"/>
  </si>
  <si>
    <t>團隊價值觀</t>
    <phoneticPr fontId="3" type="noConversion"/>
  </si>
  <si>
    <t>制定決策的準則與過程</t>
    <phoneticPr fontId="3" type="noConversion"/>
  </si>
  <si>
    <t>衝突解決過程</t>
    <phoneticPr fontId="3" type="noConversion"/>
  </si>
  <si>
    <t>會議指導方針</t>
    <phoneticPr fontId="3" type="noConversion"/>
  </si>
  <si>
    <t>團隊協議</t>
    <phoneticPr fontId="3" type="noConversion"/>
  </si>
  <si>
    <t>合作/問題解決</t>
    <phoneticPr fontId="3" type="noConversion"/>
  </si>
  <si>
    <t>非事件類風險</t>
    <phoneticPr fontId="3" type="noConversion"/>
  </si>
  <si>
    <t>可變風險</t>
    <phoneticPr fontId="3" type="noConversion"/>
  </si>
  <si>
    <t>模糊風險</t>
    <phoneticPr fontId="3" type="noConversion"/>
  </si>
  <si>
    <t>風險策略</t>
    <phoneticPr fontId="3" type="noConversion"/>
  </si>
  <si>
    <t>方法論</t>
    <phoneticPr fontId="3" type="noConversion"/>
  </si>
  <si>
    <t>角色與責任</t>
    <phoneticPr fontId="3" type="noConversion"/>
  </si>
  <si>
    <t>資金</t>
    <phoneticPr fontId="3" type="noConversion"/>
  </si>
  <si>
    <t>時機</t>
    <phoneticPr fontId="3" type="noConversion"/>
  </si>
  <si>
    <t>風險分類(RBS)</t>
    <phoneticPr fontId="3" type="noConversion"/>
  </si>
  <si>
    <t>風險分解結構RBS</t>
    <phoneticPr fontId="3" type="noConversion"/>
  </si>
  <si>
    <t>利害關係人的風險偏好</t>
    <phoneticPr fontId="3" type="noConversion"/>
  </si>
  <si>
    <t>風險機率與衝擊定義</t>
    <phoneticPr fontId="3" type="noConversion"/>
  </si>
  <si>
    <t>已辨識的風險清單</t>
    <phoneticPr fontId="3" type="noConversion"/>
  </si>
  <si>
    <t>可能的風險負責人</t>
    <phoneticPr fontId="3" type="noConversion"/>
  </si>
  <si>
    <t>可能的風險回應清單</t>
    <phoneticPr fontId="3" type="noConversion"/>
  </si>
  <si>
    <t>專案整體風險的暴露值評量</t>
    <phoneticPr fontId="3" type="noConversion"/>
  </si>
  <si>
    <t>專案機率詳細分析</t>
    <phoneticPr fontId="3" type="noConversion"/>
  </si>
  <si>
    <t>專案個別風險排序清單</t>
    <phoneticPr fontId="3" type="noConversion"/>
  </si>
  <si>
    <t>定量風險分析結果的趨勢</t>
    <phoneticPr fontId="3" type="noConversion"/>
  </si>
  <si>
    <t>建議的風險回應</t>
    <phoneticPr fontId="3" type="noConversion"/>
  </si>
  <si>
    <t>呈報</t>
    <phoneticPr fontId="3" type="noConversion"/>
  </si>
  <si>
    <t>規避</t>
    <phoneticPr fontId="3" type="noConversion"/>
  </si>
  <si>
    <t>移轉</t>
    <phoneticPr fontId="3" type="noConversion"/>
  </si>
  <si>
    <t>減輕</t>
    <phoneticPr fontId="3" type="noConversion"/>
  </si>
  <si>
    <t>承擔</t>
    <phoneticPr fontId="3" type="noConversion"/>
  </si>
  <si>
    <t>開拓</t>
    <phoneticPr fontId="3" type="noConversion"/>
  </si>
  <si>
    <t>共享</t>
    <phoneticPr fontId="3" type="noConversion"/>
  </si>
  <si>
    <t>增強</t>
    <phoneticPr fontId="3" type="noConversion"/>
  </si>
  <si>
    <t>移轉/共享</t>
    <phoneticPr fontId="3" type="noConversion"/>
  </si>
  <si>
    <t>契約種類</t>
    <phoneticPr fontId="3" type="noConversion"/>
  </si>
  <si>
    <t>絕對固定價款Firm FFP</t>
    <phoneticPr fontId="3" type="noConversion"/>
  </si>
  <si>
    <t>固定價格契約Fixec-price contracts</t>
    <phoneticPr fontId="3" type="noConversion"/>
  </si>
  <si>
    <t>固定價款加激勵費用Fixed price incentive fee,FPIF</t>
    <phoneticPr fontId="3" type="noConversion"/>
  </si>
  <si>
    <t>固定價款加經濟價格調整FFPEPA</t>
    <phoneticPr fontId="3" type="noConversion"/>
  </si>
  <si>
    <t>成本可償還契約(cost-reimbursable contracts)</t>
    <phoneticPr fontId="3" type="noConversion"/>
  </si>
  <si>
    <t>成本加固定費用Cost plus fixed fee,CPFF</t>
    <phoneticPr fontId="3" type="noConversion"/>
  </si>
  <si>
    <t>成本加激勵費用Cost plus incentive fee,CPIF</t>
    <phoneticPr fontId="3" type="noConversion"/>
  </si>
  <si>
    <t>成本加獎勵費用Cost plus award fee,CPAF</t>
    <phoneticPr fontId="3" type="noConversion"/>
  </si>
  <si>
    <t>工料計價契約</t>
    <phoneticPr fontId="3" type="noConversion"/>
  </si>
  <si>
    <t>工時與工法 兼具前兩者</t>
    <phoneticPr fontId="3" type="noConversion"/>
  </si>
  <si>
    <t>最低成本</t>
    <phoneticPr fontId="3" type="noConversion"/>
  </si>
  <si>
    <t>僅憑資格</t>
    <phoneticPr fontId="3" type="noConversion"/>
  </si>
  <si>
    <t>基於品質/最高技術提案書評分</t>
    <phoneticPr fontId="3" type="noConversion"/>
  </si>
  <si>
    <t>基於品質與成本</t>
    <phoneticPr fontId="3" type="noConversion"/>
  </si>
  <si>
    <t>獨家資源</t>
    <phoneticPr fontId="3" type="noConversion"/>
  </si>
  <si>
    <t>固定預算</t>
    <phoneticPr fontId="3" type="noConversion"/>
  </si>
  <si>
    <t>回收期</t>
    <phoneticPr fontId="3" type="noConversion"/>
  </si>
  <si>
    <t>投資報酬率(ROI)</t>
    <phoneticPr fontId="3" type="noConversion"/>
  </si>
  <si>
    <t>效益/成本分析(BCA)</t>
    <phoneticPr fontId="3" type="noConversion"/>
  </si>
  <si>
    <t>資訊徵求書(RFI)</t>
    <phoneticPr fontId="3" type="noConversion"/>
  </si>
  <si>
    <t>報價徵求書(RFQ)</t>
    <phoneticPr fontId="3" type="noConversion"/>
  </si>
  <si>
    <t>提案徵求書(RFP)</t>
    <phoneticPr fontId="3" type="noConversion"/>
  </si>
  <si>
    <t>權力關注網格</t>
    <phoneticPr fontId="3" type="noConversion"/>
  </si>
  <si>
    <t>權力影響力網格</t>
    <phoneticPr fontId="3" type="noConversion"/>
  </si>
  <si>
    <t>衝擊影響力網格</t>
    <phoneticPr fontId="3" type="noConversion"/>
  </si>
  <si>
    <t>利害關係人立方體</t>
    <phoneticPr fontId="3" type="noConversion"/>
  </si>
  <si>
    <t>顯著模式</t>
    <phoneticPr fontId="3" type="noConversion"/>
  </si>
  <si>
    <t>影響力來自的方向</t>
    <phoneticPr fontId="3" type="noConversion"/>
  </si>
  <si>
    <t>優先排序</t>
    <phoneticPr fontId="3" type="noConversion"/>
  </si>
  <si>
    <t>身分資訊</t>
    <phoneticPr fontId="3" type="noConversion"/>
  </si>
  <si>
    <t>評量資訊</t>
    <phoneticPr fontId="3" type="noConversion"/>
  </si>
  <si>
    <t>利害關係人分類</t>
    <phoneticPr fontId="3" type="noConversion"/>
  </si>
  <si>
    <t>預測式</t>
    <phoneticPr fontId="3" type="noConversion"/>
  </si>
  <si>
    <t>迭代式</t>
    <phoneticPr fontId="3" type="noConversion"/>
  </si>
  <si>
    <t>增量式</t>
    <phoneticPr fontId="3" type="noConversion"/>
  </si>
  <si>
    <t>敏捷式</t>
    <phoneticPr fontId="3" type="noConversion"/>
  </si>
  <si>
    <t>溝通指導方針</t>
    <phoneticPr fontId="3" type="noConversion"/>
  </si>
  <si>
    <t>強制相依關係(硬邏輯)</t>
    <phoneticPr fontId="3" type="noConversion"/>
  </si>
  <si>
    <t>刻意相依關係(偏好邏輯、優先邏輯、軟邏輯)</t>
    <phoneticPr fontId="3" type="noConversion"/>
  </si>
  <si>
    <t>緩和/接納(強調共識)</t>
    <phoneticPr fontId="3" type="noConversion"/>
  </si>
  <si>
    <t>妥協/和解(暫時或局部解決)</t>
    <phoneticPr fontId="3" type="noConversion"/>
  </si>
  <si>
    <t>強迫/命令(輸贏)</t>
    <phoneticPr fontId="3" type="noConversion"/>
  </si>
  <si>
    <t>專案預算</t>
    <phoneticPr fontId="3" type="noConversion"/>
  </si>
  <si>
    <t>成本基準+管理儲備</t>
  </si>
  <si>
    <t>分派</t>
    <phoneticPr fontId="3" type="noConversion"/>
  </si>
  <si>
    <t>分解結構</t>
    <phoneticPr fontId="3" type="noConversion"/>
  </si>
  <si>
    <t>文件</t>
    <phoneticPr fontId="3" type="noConversion"/>
  </si>
  <si>
    <t>申請</t>
    <phoneticPr fontId="3" type="noConversion"/>
  </si>
  <si>
    <t>成果</t>
    <phoneticPr fontId="3" type="noConversion"/>
  </si>
  <si>
    <t>行事曆</t>
    <phoneticPr fontId="3" type="noConversion"/>
  </si>
  <si>
    <t>估算</t>
    <phoneticPr fontId="3" type="noConversion"/>
  </si>
  <si>
    <t>紀錄</t>
    <phoneticPr fontId="3" type="noConversion"/>
  </si>
  <si>
    <t>計畫書</t>
    <phoneticPr fontId="3" type="noConversion"/>
  </si>
  <si>
    <t>計畫書</t>
    <phoneticPr fontId="3" type="noConversion"/>
  </si>
  <si>
    <t>成本</t>
    <phoneticPr fontId="3" type="noConversion"/>
  </si>
  <si>
    <t>成本</t>
    <phoneticPr fontId="3" type="noConversion"/>
  </si>
  <si>
    <t>成本</t>
    <phoneticPr fontId="3" type="noConversion"/>
  </si>
  <si>
    <t>成本</t>
    <phoneticPr fontId="3" type="noConversion"/>
  </si>
  <si>
    <t>成本</t>
    <phoneticPr fontId="3" type="noConversion"/>
  </si>
  <si>
    <t>利害關係人</t>
    <phoneticPr fontId="3" type="noConversion"/>
  </si>
  <si>
    <t>利害關係人</t>
    <phoneticPr fontId="3" type="noConversion"/>
  </si>
  <si>
    <t>利害關係人</t>
    <phoneticPr fontId="3" type="noConversion"/>
  </si>
  <si>
    <t>品質</t>
    <phoneticPr fontId="3" type="noConversion"/>
  </si>
  <si>
    <t>品質</t>
    <phoneticPr fontId="3" type="noConversion"/>
  </si>
  <si>
    <t>品質</t>
    <phoneticPr fontId="3" type="noConversion"/>
  </si>
  <si>
    <t>品質</t>
    <phoneticPr fontId="3" type="noConversion"/>
  </si>
  <si>
    <t>品質</t>
    <phoneticPr fontId="3" type="noConversion"/>
  </si>
  <si>
    <t>風險</t>
    <phoneticPr fontId="3" type="noConversion"/>
  </si>
  <si>
    <t>風險</t>
    <phoneticPr fontId="3" type="noConversion"/>
  </si>
  <si>
    <t>風險</t>
    <phoneticPr fontId="3" type="noConversion"/>
  </si>
  <si>
    <t>時程</t>
    <phoneticPr fontId="3" type="noConversion"/>
  </si>
  <si>
    <t>時程</t>
    <phoneticPr fontId="3" type="noConversion"/>
  </si>
  <si>
    <t>時程</t>
    <phoneticPr fontId="3" type="noConversion"/>
  </si>
  <si>
    <t>採購</t>
    <phoneticPr fontId="3" type="noConversion"/>
  </si>
  <si>
    <t>採購</t>
    <phoneticPr fontId="3" type="noConversion"/>
  </si>
  <si>
    <t>採購</t>
    <phoneticPr fontId="3" type="noConversion"/>
  </si>
  <si>
    <t>採購</t>
    <phoneticPr fontId="3" type="noConversion"/>
  </si>
  <si>
    <t>採購</t>
    <phoneticPr fontId="3" type="noConversion"/>
  </si>
  <si>
    <t>資源</t>
    <phoneticPr fontId="3" type="noConversion"/>
  </si>
  <si>
    <t>資源</t>
    <phoneticPr fontId="3" type="noConversion"/>
  </si>
  <si>
    <t>資源</t>
    <phoneticPr fontId="3" type="noConversion"/>
  </si>
  <si>
    <t>資源</t>
    <phoneticPr fontId="3" type="noConversion"/>
  </si>
  <si>
    <t>資源</t>
    <phoneticPr fontId="3" type="noConversion"/>
  </si>
  <si>
    <t>範疇</t>
    <phoneticPr fontId="3" type="noConversion"/>
  </si>
  <si>
    <t>範疇</t>
    <phoneticPr fontId="3" type="noConversion"/>
  </si>
  <si>
    <t>範疇</t>
    <phoneticPr fontId="3" type="noConversion"/>
  </si>
  <si>
    <t>範疇</t>
    <phoneticPr fontId="3" type="noConversion"/>
  </si>
  <si>
    <t>整合</t>
    <phoneticPr fontId="3" type="noConversion"/>
  </si>
  <si>
    <t>整合</t>
    <phoneticPr fontId="3" type="noConversion"/>
  </si>
  <si>
    <t>整合</t>
    <phoneticPr fontId="3" type="noConversion"/>
  </si>
  <si>
    <t>整合</t>
    <phoneticPr fontId="3" type="noConversion"/>
  </si>
  <si>
    <t>專案時程</t>
    <phoneticPr fontId="3" type="noConversion"/>
  </si>
  <si>
    <t>活動起迄日</t>
    <phoneticPr fontId="3" type="noConversion"/>
  </si>
  <si>
    <t>里程碑清單</t>
    <phoneticPr fontId="3" type="noConversion"/>
  </si>
  <si>
    <t>品質指標</t>
    <phoneticPr fontId="3" type="noConversion"/>
  </si>
  <si>
    <t>專案品質目標</t>
    <phoneticPr fontId="3" type="noConversion"/>
  </si>
  <si>
    <t>品質檢核表</t>
    <phoneticPr fontId="3" type="noConversion"/>
  </si>
  <si>
    <t>品質管制衡量值</t>
    <phoneticPr fontId="3" type="noConversion"/>
  </si>
  <si>
    <t>辨識利害關係人</t>
    <phoneticPr fontId="3" type="noConversion"/>
  </si>
  <si>
    <t>規劃範疇管理</t>
    <phoneticPr fontId="3" type="noConversion"/>
  </si>
  <si>
    <t>蒐集需求</t>
    <phoneticPr fontId="3" type="noConversion"/>
  </si>
  <si>
    <t>定義範疇</t>
    <phoneticPr fontId="3" type="noConversion"/>
  </si>
  <si>
    <t>建立工作分解結構</t>
    <phoneticPr fontId="3" type="noConversion"/>
  </si>
  <si>
    <t>規劃時程管理</t>
    <phoneticPr fontId="3" type="noConversion"/>
  </si>
  <si>
    <t>定義活動</t>
    <phoneticPr fontId="3" type="noConversion"/>
  </si>
  <si>
    <t>排序活動</t>
    <phoneticPr fontId="3" type="noConversion"/>
  </si>
  <si>
    <t>估算活動期程</t>
    <phoneticPr fontId="3" type="noConversion"/>
  </si>
  <si>
    <t>規劃成本管理</t>
    <phoneticPr fontId="3" type="noConversion"/>
  </si>
  <si>
    <t>估算活動資源</t>
    <phoneticPr fontId="3" type="noConversion"/>
  </si>
  <si>
    <t>規劃溝通管理</t>
    <phoneticPr fontId="3" type="noConversion"/>
  </si>
  <si>
    <t>辨識風險</t>
    <phoneticPr fontId="3" type="noConversion"/>
  </si>
  <si>
    <t>進行定性風險分析</t>
    <phoneticPr fontId="3" type="noConversion"/>
  </si>
  <si>
    <t>規劃風險回應</t>
    <phoneticPr fontId="3" type="noConversion"/>
  </si>
  <si>
    <t>起始</t>
    <phoneticPr fontId="3" type="noConversion"/>
  </si>
  <si>
    <t>時程</t>
    <phoneticPr fontId="3" type="noConversion"/>
  </si>
  <si>
    <t>執行</t>
    <phoneticPr fontId="3" type="noConversion"/>
  </si>
  <si>
    <t>監視與管制</t>
    <phoneticPr fontId="3" type="noConversion"/>
  </si>
  <si>
    <t>範疇</t>
    <phoneticPr fontId="3" type="noConversion"/>
  </si>
  <si>
    <t>投入</t>
    <phoneticPr fontId="3" type="noConversion"/>
  </si>
  <si>
    <t>產出</t>
    <phoneticPr fontId="3" type="noConversion"/>
  </si>
  <si>
    <t>工具與技術</t>
    <phoneticPr fontId="3" type="noConversion"/>
  </si>
  <si>
    <t>企業環境因素</t>
    <phoneticPr fontId="3" type="noConversion"/>
  </si>
  <si>
    <t>組織過程資產</t>
    <phoneticPr fontId="3" type="noConversion"/>
  </si>
  <si>
    <t>組織過程資產</t>
    <phoneticPr fontId="3" type="noConversion"/>
  </si>
  <si>
    <t>採購相關文件</t>
    <phoneticPr fontId="3" type="noConversion"/>
  </si>
  <si>
    <t>知識領域</t>
    <phoneticPr fontId="3" type="noConversion"/>
  </si>
  <si>
    <t>發展專案管理計畫書</t>
    <phoneticPr fontId="3" type="noConversion"/>
  </si>
  <si>
    <t>發展專案管理計畫書</t>
    <phoneticPr fontId="3" type="noConversion"/>
  </si>
  <si>
    <t>工具</t>
    <phoneticPr fontId="3" type="noConversion"/>
  </si>
  <si>
    <t>投入</t>
    <phoneticPr fontId="3" type="noConversion"/>
  </si>
  <si>
    <t>產出</t>
    <phoneticPr fontId="3" type="noConversion"/>
  </si>
  <si>
    <t>更新</t>
    <phoneticPr fontId="3" type="noConversion"/>
  </si>
  <si>
    <t>範疇管理計畫書</t>
    <phoneticPr fontId="3" type="noConversion"/>
  </si>
  <si>
    <t>範疇管理計畫書</t>
    <phoneticPr fontId="3" type="noConversion"/>
  </si>
  <si>
    <t>需求管理計畫書</t>
    <phoneticPr fontId="3" type="noConversion"/>
  </si>
  <si>
    <t>時程管理計畫書</t>
    <phoneticPr fontId="3" type="noConversion"/>
  </si>
  <si>
    <t>成本管理計畫書</t>
    <phoneticPr fontId="3" type="noConversion"/>
  </si>
  <si>
    <t>成本管理計畫書</t>
    <phoneticPr fontId="3" type="noConversion"/>
  </si>
  <si>
    <t>品質管理計畫書</t>
    <phoneticPr fontId="3" type="noConversion"/>
  </si>
  <si>
    <t>資源管理計畫書</t>
    <phoneticPr fontId="3" type="noConversion"/>
  </si>
  <si>
    <t>資源管理計畫書</t>
    <phoneticPr fontId="3" type="noConversion"/>
  </si>
  <si>
    <t>資源管理計畫書</t>
    <phoneticPr fontId="3" type="noConversion"/>
  </si>
  <si>
    <t>溝通管理計畫書</t>
    <phoneticPr fontId="3" type="noConversion"/>
  </si>
  <si>
    <t>風險管理計畫書</t>
    <phoneticPr fontId="3" type="noConversion"/>
  </si>
  <si>
    <t>風險管理計畫書</t>
    <phoneticPr fontId="3" type="noConversion"/>
  </si>
  <si>
    <t>採購管理計畫書</t>
    <phoneticPr fontId="3" type="noConversion"/>
  </si>
  <si>
    <t>利害關係人參與計畫書</t>
    <phoneticPr fontId="3" type="noConversion"/>
  </si>
  <si>
    <t>變更管理計畫書</t>
    <phoneticPr fontId="3" type="noConversion"/>
  </si>
  <si>
    <t>變更管理計畫書</t>
    <phoneticPr fontId="3" type="noConversion"/>
  </si>
  <si>
    <t>構型管理計畫書</t>
    <phoneticPr fontId="3" type="noConversion"/>
  </si>
  <si>
    <t>構型管理計畫書</t>
    <phoneticPr fontId="3" type="noConversion"/>
  </si>
  <si>
    <t>範疇基準</t>
    <phoneticPr fontId="3" type="noConversion"/>
  </si>
  <si>
    <t>範疇基準</t>
    <phoneticPr fontId="3" type="noConversion"/>
  </si>
  <si>
    <t>時程基準</t>
    <phoneticPr fontId="3" type="noConversion"/>
  </si>
  <si>
    <t>時程基準</t>
    <phoneticPr fontId="3" type="noConversion"/>
  </si>
  <si>
    <t>成本基準</t>
    <phoneticPr fontId="3" type="noConversion"/>
  </si>
  <si>
    <t>成本基準</t>
    <phoneticPr fontId="3" type="noConversion"/>
  </si>
  <si>
    <t>績效衡量基準</t>
    <phoneticPr fontId="3" type="noConversion"/>
  </si>
  <si>
    <t>績效衡量基準</t>
    <phoneticPr fontId="3" type="noConversion"/>
  </si>
  <si>
    <t>專案生命週期描述</t>
    <phoneticPr fontId="3" type="noConversion"/>
  </si>
  <si>
    <t>開發手法</t>
    <phoneticPr fontId="3" type="noConversion"/>
  </si>
  <si>
    <t>所有組件</t>
    <phoneticPr fontId="3" type="noConversion"/>
  </si>
  <si>
    <t>所有組件</t>
    <phoneticPr fontId="3" type="noConversion"/>
  </si>
  <si>
    <t>活動屬性</t>
    <phoneticPr fontId="3" type="noConversion"/>
  </si>
  <si>
    <t>活動屬性</t>
    <phoneticPr fontId="3" type="noConversion"/>
  </si>
  <si>
    <t>活動清單</t>
    <phoneticPr fontId="3" type="noConversion"/>
  </si>
  <si>
    <t>假設紀錄</t>
    <phoneticPr fontId="3" type="noConversion"/>
  </si>
  <si>
    <t>假設紀錄</t>
    <phoneticPr fontId="3" type="noConversion"/>
  </si>
  <si>
    <t>估算基礎</t>
    <phoneticPr fontId="3" type="noConversion"/>
  </si>
  <si>
    <t>估算基礎</t>
    <phoneticPr fontId="3" type="noConversion"/>
  </si>
  <si>
    <t>變更紀錄</t>
    <phoneticPr fontId="3" type="noConversion"/>
  </si>
  <si>
    <t>變更紀錄</t>
    <phoneticPr fontId="3" type="noConversion"/>
  </si>
  <si>
    <t>成本估算</t>
    <phoneticPr fontId="3" type="noConversion"/>
  </si>
  <si>
    <t>成本估算</t>
    <phoneticPr fontId="3" type="noConversion"/>
  </si>
  <si>
    <t>成本預測值</t>
    <phoneticPr fontId="3" type="noConversion"/>
  </si>
  <si>
    <t>成本預測值</t>
    <phoneticPr fontId="3" type="noConversion"/>
  </si>
  <si>
    <t>期程估算</t>
    <phoneticPr fontId="3" type="noConversion"/>
  </si>
  <si>
    <t>期程估算</t>
    <phoneticPr fontId="3" type="noConversion"/>
  </si>
  <si>
    <t>議題紀錄</t>
    <phoneticPr fontId="3" type="noConversion"/>
  </si>
  <si>
    <t>議題紀錄</t>
    <phoneticPr fontId="3" type="noConversion"/>
  </si>
  <si>
    <t>經驗學習登錄表</t>
    <phoneticPr fontId="3" type="noConversion"/>
  </si>
  <si>
    <t>里程碑清單</t>
    <phoneticPr fontId="3" type="noConversion"/>
  </si>
  <si>
    <t>實體資源分派</t>
    <phoneticPr fontId="3" type="noConversion"/>
  </si>
  <si>
    <t>實體資源分派</t>
    <phoneticPr fontId="3" type="noConversion"/>
  </si>
  <si>
    <t>專案行事曆</t>
    <phoneticPr fontId="3" type="noConversion"/>
  </si>
  <si>
    <t>專案行事曆</t>
    <phoneticPr fontId="3" type="noConversion"/>
  </si>
  <si>
    <t>專案行事曆</t>
    <phoneticPr fontId="3" type="noConversion"/>
  </si>
  <si>
    <t>專案溝通</t>
    <phoneticPr fontId="3" type="noConversion"/>
  </si>
  <si>
    <t>專案時程</t>
    <phoneticPr fontId="3" type="noConversion"/>
  </si>
  <si>
    <t>專案時程網路圖</t>
    <phoneticPr fontId="3" type="noConversion"/>
  </si>
  <si>
    <t>專案時程網路圖</t>
    <phoneticPr fontId="3" type="noConversion"/>
  </si>
  <si>
    <t>專案範疇說明書</t>
    <phoneticPr fontId="3" type="noConversion"/>
  </si>
  <si>
    <t>專案團隊分派</t>
    <phoneticPr fontId="3" type="noConversion"/>
  </si>
  <si>
    <t>品質管制衡量值</t>
    <phoneticPr fontId="3" type="noConversion"/>
  </si>
  <si>
    <t>品質管制衡量值</t>
    <phoneticPr fontId="3" type="noConversion"/>
  </si>
  <si>
    <t>品質指標</t>
    <phoneticPr fontId="3" type="noConversion"/>
  </si>
  <si>
    <t>品質報告</t>
    <phoneticPr fontId="3" type="noConversion"/>
  </si>
  <si>
    <t>品質報告</t>
    <phoneticPr fontId="3" type="noConversion"/>
  </si>
  <si>
    <t>品質報告</t>
    <phoneticPr fontId="3" type="noConversion"/>
  </si>
  <si>
    <t>需求相關文件</t>
    <phoneticPr fontId="3" type="noConversion"/>
  </si>
  <si>
    <t>需求追溯矩陣</t>
    <phoneticPr fontId="3" type="noConversion"/>
  </si>
  <si>
    <t>需求追溯矩陣</t>
    <phoneticPr fontId="3" type="noConversion"/>
  </si>
  <si>
    <t>資源分解結構</t>
    <phoneticPr fontId="3" type="noConversion"/>
  </si>
  <si>
    <t>資源分解結構</t>
    <phoneticPr fontId="3" type="noConversion"/>
  </si>
  <si>
    <t>資源行事曆</t>
    <phoneticPr fontId="3" type="noConversion"/>
  </si>
  <si>
    <t>資源需求</t>
    <phoneticPr fontId="3" type="noConversion"/>
  </si>
  <si>
    <t>風險登錄表</t>
    <phoneticPr fontId="3" type="noConversion"/>
  </si>
  <si>
    <t>風險報告</t>
    <phoneticPr fontId="3" type="noConversion"/>
  </si>
  <si>
    <t>時程資料</t>
    <phoneticPr fontId="3" type="noConversion"/>
  </si>
  <si>
    <t>時程資料</t>
    <phoneticPr fontId="3" type="noConversion"/>
  </si>
  <si>
    <t>時程預測值</t>
    <phoneticPr fontId="3" type="noConversion"/>
  </si>
  <si>
    <t>時程預測值</t>
    <phoneticPr fontId="3" type="noConversion"/>
  </si>
  <si>
    <t>利害關係人登錄表</t>
    <phoneticPr fontId="3" type="noConversion"/>
  </si>
  <si>
    <t>利害關係人登錄表</t>
    <phoneticPr fontId="3" type="noConversion"/>
  </si>
  <si>
    <t>團隊章程</t>
    <phoneticPr fontId="3" type="noConversion"/>
  </si>
  <si>
    <t>測試與評估文件</t>
    <phoneticPr fontId="3" type="noConversion"/>
  </si>
  <si>
    <t>測試與評估文件</t>
    <phoneticPr fontId="3" type="noConversion"/>
  </si>
  <si>
    <t>商業企劃案</t>
    <phoneticPr fontId="3" type="noConversion"/>
  </si>
  <si>
    <t>商業企劃案</t>
    <phoneticPr fontId="3" type="noConversion"/>
  </si>
  <si>
    <t>商業企劃案</t>
    <phoneticPr fontId="3" type="noConversion"/>
  </si>
  <si>
    <t>效益管理計畫書</t>
    <phoneticPr fontId="3" type="noConversion"/>
  </si>
  <si>
    <t>獨立成本估算</t>
    <phoneticPr fontId="3" type="noConversion"/>
  </si>
  <si>
    <t>獨立成本估算</t>
    <phoneticPr fontId="3" type="noConversion"/>
  </si>
  <si>
    <t>獨立成本估算</t>
    <phoneticPr fontId="3" type="noConversion"/>
  </si>
  <si>
    <t>採購工作說明書</t>
    <phoneticPr fontId="3" type="noConversion"/>
  </si>
  <si>
    <t>投(招)標文件</t>
    <phoneticPr fontId="3" type="noConversion"/>
  </si>
  <si>
    <t>專案文件</t>
    <phoneticPr fontId="3" type="noConversion"/>
  </si>
  <si>
    <t>商源評選準則</t>
    <phoneticPr fontId="3" type="noConversion"/>
  </si>
  <si>
    <t>商業文件</t>
    <phoneticPr fontId="3" type="noConversion"/>
  </si>
  <si>
    <t>採購相關文件</t>
    <phoneticPr fontId="3" type="noConversion"/>
  </si>
  <si>
    <t>採購相關文件</t>
    <phoneticPr fontId="3" type="noConversion"/>
  </si>
  <si>
    <t>企業環境因素</t>
    <phoneticPr fontId="3" type="noConversion"/>
  </si>
  <si>
    <t>組織過程資產</t>
    <phoneticPr fontId="3" type="noConversion"/>
  </si>
  <si>
    <t>專案章程</t>
    <phoneticPr fontId="3" type="noConversion"/>
  </si>
  <si>
    <t>可交付成果</t>
    <phoneticPr fontId="3" type="noConversion"/>
  </si>
  <si>
    <t>變更申請</t>
    <phoneticPr fontId="3" type="noConversion"/>
  </si>
  <si>
    <t>變更申請</t>
    <phoneticPr fontId="3" type="noConversion"/>
  </si>
  <si>
    <t>獲准的變更申請</t>
    <phoneticPr fontId="3" type="noConversion"/>
  </si>
  <si>
    <t>已驗證的可交付成果</t>
    <phoneticPr fontId="3" type="noConversion"/>
  </si>
  <si>
    <t>已驗證的可交付成果</t>
    <phoneticPr fontId="3" type="noConversion"/>
  </si>
  <si>
    <t>已接受的可交付成果</t>
    <phoneticPr fontId="3" type="noConversion"/>
  </si>
  <si>
    <t>已接受的可交付成果</t>
    <phoneticPr fontId="3" type="noConversion"/>
  </si>
  <si>
    <t>已接受的可交付成果</t>
    <phoneticPr fontId="3" type="noConversion"/>
  </si>
  <si>
    <t>最終產品、服務或成果轉移</t>
    <phoneticPr fontId="3" type="noConversion"/>
  </si>
  <si>
    <t>最終產品、服務或成果轉移</t>
    <phoneticPr fontId="3" type="noConversion"/>
  </si>
  <si>
    <t>工作績效資料</t>
    <phoneticPr fontId="3" type="noConversion"/>
  </si>
  <si>
    <t>工作績效資訊</t>
    <phoneticPr fontId="3" type="noConversion"/>
  </si>
  <si>
    <t>工作績效資訊</t>
    <phoneticPr fontId="3" type="noConversion"/>
  </si>
  <si>
    <t>工作績效資訊</t>
    <phoneticPr fontId="3" type="noConversion"/>
  </si>
  <si>
    <t>工作績效報告</t>
    <phoneticPr fontId="3" type="noConversion"/>
  </si>
  <si>
    <t>工作績效報告</t>
    <phoneticPr fontId="3" type="noConversion"/>
  </si>
  <si>
    <t>最終報告</t>
    <phoneticPr fontId="3" type="noConversion"/>
  </si>
  <si>
    <t>團隊績效評量</t>
    <phoneticPr fontId="3" type="noConversion"/>
  </si>
  <si>
    <t>專案資金需求</t>
    <phoneticPr fontId="3" type="noConversion"/>
  </si>
  <si>
    <t>協議</t>
    <phoneticPr fontId="3" type="noConversion"/>
  </si>
  <si>
    <t>採購策略</t>
    <phoneticPr fontId="3" type="noConversion"/>
  </si>
  <si>
    <t>採購策略</t>
    <phoneticPr fontId="3" type="noConversion"/>
  </si>
  <si>
    <t>自製或外購決策</t>
    <phoneticPr fontId="3" type="noConversion"/>
  </si>
  <si>
    <t>自製或外購決策</t>
    <phoneticPr fontId="3" type="noConversion"/>
  </si>
  <si>
    <t>賣方提案書</t>
    <phoneticPr fontId="3" type="noConversion"/>
  </si>
  <si>
    <t>賣方提案書</t>
    <phoneticPr fontId="3" type="noConversion"/>
  </si>
  <si>
    <t>選定的賣方</t>
    <phoneticPr fontId="3" type="noConversion"/>
  </si>
  <si>
    <t>選定的賣方</t>
    <phoneticPr fontId="3" type="noConversion"/>
  </si>
  <si>
    <t>結束的採購</t>
    <phoneticPr fontId="3" type="noConversion"/>
  </si>
  <si>
    <t>結束的採購</t>
    <phoneticPr fontId="3" type="noConversion"/>
  </si>
  <si>
    <t>其他過程的產出</t>
    <phoneticPr fontId="3" type="noConversion"/>
  </si>
  <si>
    <t>商源評選準則</t>
    <phoneticPr fontId="3" type="noConversion"/>
  </si>
  <si>
    <t>工具</t>
    <phoneticPr fontId="3" type="noConversion"/>
  </si>
  <si>
    <t>g工技01</t>
    <phoneticPr fontId="3" type="noConversion"/>
  </si>
  <si>
    <t>g工技02</t>
    <phoneticPr fontId="3" type="noConversion"/>
  </si>
  <si>
    <t>g工技03</t>
  </si>
  <si>
    <t>g工技04</t>
  </si>
  <si>
    <t>g工技05</t>
  </si>
  <si>
    <t>g工技06</t>
  </si>
  <si>
    <t>g工技07</t>
  </si>
  <si>
    <t>g工技08</t>
  </si>
  <si>
    <t>g工技09</t>
  </si>
  <si>
    <t>g工技10</t>
  </si>
  <si>
    <t>g工技11</t>
  </si>
  <si>
    <t>g工技12</t>
  </si>
  <si>
    <t>g工技13</t>
  </si>
  <si>
    <t>g工技14</t>
  </si>
  <si>
    <t>g工技15</t>
  </si>
  <si>
    <t>g工技16</t>
  </si>
  <si>
    <t>g工技17</t>
  </si>
  <si>
    <t>g工技18</t>
  </si>
  <si>
    <t>g工技19</t>
  </si>
  <si>
    <t>g工技20</t>
  </si>
  <si>
    <t>g工技21</t>
  </si>
  <si>
    <t>g工技22</t>
  </si>
  <si>
    <t>g工技23</t>
  </si>
  <si>
    <t>g工技24</t>
  </si>
  <si>
    <t>g工技25</t>
  </si>
  <si>
    <t>g工技26</t>
  </si>
  <si>
    <t>g工技27</t>
  </si>
  <si>
    <t>g工技28</t>
  </si>
  <si>
    <t>g工技29</t>
  </si>
  <si>
    <t>g工技30</t>
  </si>
  <si>
    <t>g工技31</t>
  </si>
  <si>
    <t>g工技32</t>
  </si>
  <si>
    <t>g工技33</t>
  </si>
  <si>
    <t>g工技34</t>
  </si>
  <si>
    <t>g工技35</t>
  </si>
  <si>
    <t>g工技36</t>
  </si>
  <si>
    <t>g工技37</t>
  </si>
  <si>
    <t>g工技38</t>
  </si>
  <si>
    <t>g工技39</t>
  </si>
  <si>
    <t>g工技40</t>
  </si>
  <si>
    <t>g工技41</t>
  </si>
  <si>
    <t>g工技42</t>
  </si>
  <si>
    <t>g工技43</t>
  </si>
  <si>
    <t>g工技44</t>
  </si>
  <si>
    <t>g工技45</t>
  </si>
  <si>
    <t>g工技46</t>
  </si>
  <si>
    <t>g工技47</t>
  </si>
  <si>
    <t>g工技48</t>
  </si>
  <si>
    <t>g工技49</t>
  </si>
  <si>
    <t>g工技50</t>
  </si>
  <si>
    <t>g工技51</t>
  </si>
  <si>
    <t>g工技52</t>
  </si>
  <si>
    <t>g工技53</t>
  </si>
  <si>
    <t>g工技54</t>
  </si>
  <si>
    <t>g工技55</t>
  </si>
  <si>
    <t>g工技56</t>
  </si>
  <si>
    <t>g工技57</t>
  </si>
  <si>
    <t>g工技58</t>
  </si>
  <si>
    <t>g工技59</t>
  </si>
  <si>
    <t>g工技60</t>
  </si>
  <si>
    <t>g工技61</t>
  </si>
  <si>
    <t>g工技62</t>
  </si>
  <si>
    <t>g工技63</t>
  </si>
  <si>
    <t>g工技64</t>
  </si>
  <si>
    <t>g工技65</t>
  </si>
  <si>
    <t>a資蒐02</t>
    <phoneticPr fontId="3" type="noConversion"/>
  </si>
  <si>
    <t>a資蒐03</t>
  </si>
  <si>
    <t>a資蒐04</t>
  </si>
  <si>
    <t>a資蒐05</t>
  </si>
  <si>
    <t>a資蒐06</t>
  </si>
  <si>
    <t>a資蒐07</t>
  </si>
  <si>
    <t>a資蒐08</t>
  </si>
  <si>
    <t>a資蒐09</t>
  </si>
  <si>
    <t>成本基準</t>
    <phoneticPr fontId="3" type="noConversion"/>
  </si>
  <si>
    <t>指導與管理專案工作</t>
    <phoneticPr fontId="3" type="noConversion"/>
  </si>
  <si>
    <t>結束專案或階段</t>
    <phoneticPr fontId="3" type="noConversion"/>
  </si>
  <si>
    <t>管理專案知識</t>
    <phoneticPr fontId="3" type="noConversion"/>
  </si>
  <si>
    <t>進行整合變更管制</t>
    <phoneticPr fontId="3" type="noConversion"/>
  </si>
  <si>
    <t>規劃範疇管理</t>
    <phoneticPr fontId="3" type="noConversion"/>
  </si>
  <si>
    <t>確認範疇</t>
    <phoneticPr fontId="3" type="noConversion"/>
  </si>
  <si>
    <t>發展時程</t>
    <phoneticPr fontId="3" type="noConversion"/>
  </si>
  <si>
    <t>規劃成本管理</t>
    <phoneticPr fontId="3" type="noConversion"/>
  </si>
  <si>
    <t>估算成本</t>
    <phoneticPr fontId="3" type="noConversion"/>
  </si>
  <si>
    <t>決定預算</t>
    <phoneticPr fontId="3" type="noConversion"/>
  </si>
  <si>
    <t>規劃品質管理</t>
    <phoneticPr fontId="3" type="noConversion"/>
  </si>
  <si>
    <t>規劃資源管理</t>
    <phoneticPr fontId="3" type="noConversion"/>
  </si>
  <si>
    <t>獲得資源</t>
    <phoneticPr fontId="3" type="noConversion"/>
  </si>
  <si>
    <t>發展團隊</t>
    <phoneticPr fontId="3" type="noConversion"/>
  </si>
  <si>
    <t>管理團隊</t>
    <phoneticPr fontId="3" type="noConversion"/>
  </si>
  <si>
    <t>監視溝通</t>
    <phoneticPr fontId="3" type="noConversion"/>
  </si>
  <si>
    <t>規劃採購管理</t>
    <phoneticPr fontId="3" type="noConversion"/>
  </si>
  <si>
    <t>執行採購</t>
    <phoneticPr fontId="3" type="noConversion"/>
  </si>
  <si>
    <t>管制採購</t>
    <phoneticPr fontId="3" type="noConversion"/>
  </si>
  <si>
    <t>規劃範疇管理</t>
    <phoneticPr fontId="3" type="noConversion"/>
  </si>
  <si>
    <t>確認範疇</t>
    <phoneticPr fontId="3" type="noConversion"/>
  </si>
  <si>
    <t>定義範疇</t>
    <phoneticPr fontId="3" type="noConversion"/>
  </si>
  <si>
    <t>估算活動期程</t>
    <phoneticPr fontId="3" type="noConversion"/>
  </si>
  <si>
    <t>估算成本</t>
    <phoneticPr fontId="3" type="noConversion"/>
  </si>
  <si>
    <t>管制品質</t>
    <phoneticPr fontId="3" type="noConversion"/>
  </si>
  <si>
    <t>規劃風險回應</t>
    <phoneticPr fontId="3" type="noConversion"/>
  </si>
  <si>
    <t>辨識利害關係人</t>
    <phoneticPr fontId="3" type="noConversion"/>
  </si>
  <si>
    <t>監視利害關係人參與</t>
    <phoneticPr fontId="3" type="noConversion"/>
  </si>
  <si>
    <t>指導與管理專案工作</t>
    <phoneticPr fontId="3" type="noConversion"/>
  </si>
  <si>
    <t>監視與管制專案工作</t>
    <phoneticPr fontId="3" type="noConversion"/>
  </si>
  <si>
    <t>結束專案或階段</t>
    <phoneticPr fontId="3" type="noConversion"/>
  </si>
  <si>
    <t>管理專案知識</t>
    <phoneticPr fontId="3" type="noConversion"/>
  </si>
  <si>
    <t>蒐集需求</t>
    <phoneticPr fontId="3" type="noConversion"/>
  </si>
  <si>
    <t>建立工作分解結構</t>
    <phoneticPr fontId="3" type="noConversion"/>
  </si>
  <si>
    <t>規劃時程管理</t>
    <phoneticPr fontId="3" type="noConversion"/>
  </si>
  <si>
    <t>定義活動</t>
    <phoneticPr fontId="3" type="noConversion"/>
  </si>
  <si>
    <t>發展時程</t>
    <phoneticPr fontId="3" type="noConversion"/>
  </si>
  <si>
    <t>規劃成本管理</t>
    <phoneticPr fontId="3" type="noConversion"/>
  </si>
  <si>
    <t>管制成本</t>
    <phoneticPr fontId="3" type="noConversion"/>
  </si>
  <si>
    <t>決定預算</t>
    <phoneticPr fontId="3" type="noConversion"/>
  </si>
  <si>
    <t>規劃品質管理</t>
    <phoneticPr fontId="3" type="noConversion"/>
  </si>
  <si>
    <t>發展團隊</t>
    <phoneticPr fontId="3" type="noConversion"/>
  </si>
  <si>
    <t>管理團隊</t>
    <phoneticPr fontId="3" type="noConversion"/>
  </si>
  <si>
    <t>規劃溝通管理</t>
    <phoneticPr fontId="3" type="noConversion"/>
  </si>
  <si>
    <t>規劃風險管理</t>
    <phoneticPr fontId="3" type="noConversion"/>
  </si>
  <si>
    <t>實施風險回應</t>
    <phoneticPr fontId="3" type="noConversion"/>
  </si>
  <si>
    <t>進行定性風險分析</t>
    <phoneticPr fontId="3" type="noConversion"/>
  </si>
  <si>
    <t>進行定量風險分析</t>
    <phoneticPr fontId="3" type="noConversion"/>
  </si>
  <si>
    <t>執行採購</t>
    <phoneticPr fontId="3" type="noConversion"/>
  </si>
  <si>
    <t>管理利害關係人參與</t>
    <phoneticPr fontId="3" type="noConversion"/>
  </si>
  <si>
    <t>工具</t>
    <phoneticPr fontId="3" type="noConversion"/>
  </si>
  <si>
    <t>產出</t>
    <phoneticPr fontId="3" type="noConversion"/>
  </si>
  <si>
    <t>更新</t>
    <phoneticPr fontId="3" type="noConversion"/>
  </si>
  <si>
    <t>投入</t>
    <phoneticPr fontId="3" type="noConversion"/>
  </si>
  <si>
    <t>投入</t>
    <phoneticPr fontId="3" type="noConversion"/>
  </si>
  <si>
    <t>工具</t>
    <phoneticPr fontId="3" type="noConversion"/>
  </si>
  <si>
    <t>產出</t>
    <phoneticPr fontId="3" type="noConversion"/>
  </si>
  <si>
    <t>更新</t>
    <phoneticPr fontId="3" type="noConversion"/>
  </si>
  <si>
    <t>全：</t>
    <phoneticPr fontId="3" type="noConversion"/>
  </si>
  <si>
    <t>P3</t>
    <phoneticPr fontId="3" type="noConversion"/>
  </si>
  <si>
    <t>開頭位置</t>
    <phoneticPr fontId="3" type="noConversion"/>
  </si>
  <si>
    <t>數量</t>
    <phoneticPr fontId="3" type="noConversion"/>
  </si>
  <si>
    <t>投入</t>
    <phoneticPr fontId="3" type="noConversion"/>
  </si>
  <si>
    <t>投入1</t>
    <phoneticPr fontId="3" type="noConversion"/>
  </si>
  <si>
    <t>更新1</t>
    <phoneticPr fontId="3" type="noConversion"/>
  </si>
  <si>
    <t>工具與技術</t>
    <phoneticPr fontId="3" type="noConversion"/>
  </si>
  <si>
    <t>工具與技術1</t>
    <phoneticPr fontId="3" type="noConversion"/>
  </si>
  <si>
    <t>產出</t>
    <phoneticPr fontId="3" type="noConversion"/>
  </si>
  <si>
    <t>產出1</t>
    <phoneticPr fontId="3" type="noConversion"/>
  </si>
  <si>
    <t>開頭位置</t>
    <phoneticPr fontId="3" type="noConversion"/>
  </si>
  <si>
    <t>數量</t>
    <phoneticPr fontId="3" type="noConversion"/>
  </si>
  <si>
    <t/>
  </si>
  <si>
    <t>辨識利害關係人、規劃範疇管理、蒐集需求、定義範疇、建立工作分解結構、規劃時程管理、定義活動、排序活動、估算活動期程、發展時程、規劃成本管理、估算成本、決定預算、規劃品質管理、規劃資源管理、估算活動資源、規劃溝通管理、規劃風險管理、辨識風險、進行定性風險分析、進行定量風險分析、規劃風險回應、規劃採購管理、規劃利害關係人參與、指導與管理專案工作、管理專案知識、管理品質、獲得資源、發展團隊、管理團隊、管理溝通、實施風險回應、執行採購、管理利害關係人參與、監視與管制專案工作、進行整合變更管制、確認範疇、管制範疇、管制時程、管制成本、管制品質、管制資源、監視溝通、監視風險、管制採購、監視利害關係人參與、結束專案或階段</t>
  </si>
  <si>
    <t>發展專案管理計畫書、規劃範疇管理、建立工作分解結構、規劃時程管理、發展時程、規劃成本管理、決定預算、規劃品質管理、規劃資源管理、規劃溝通管理、規劃風險管理、規劃採購管理、規劃利害關係人參與、</t>
  </si>
  <si>
    <t>辨識利害關係人、定義活動、發展時程、規劃品質管理、規劃溝通管理、規劃風險回應、指導與管理專案工作、管理專案知識、管理品質、獲得資源、發展團隊、管理團隊、管理溝通、執行採購、管理利害關係人參與、監視與管制專案工作、進行整合變更管制、管制範疇、管制時程、管制成本、管制品質、管制資源、監視溝通、監視風險、管制採購、監視利害關係人參與、</t>
  </si>
  <si>
    <t>辨識利害關係人、蒐集需求、定義範疇、建立工作分解結構、排序活動、估算活動期程、發展時程、估算成本、決定預算、規劃品質管理、規劃資源管理、估算活動資源、規劃溝通管理、規劃風險管理、辨識風險、進行定性風險分析、進行定量風險分析、規劃風險回應、規劃採購管理、規劃利害關係人參與、指導與管理專案工作、管理專案知識、管理品質、獲得資源、發展團隊、管理團隊、管理溝通、實施風險回應、執行採購、管理利害關係人參與、監視與管制專案工作、進行整合變更管制、確認範疇、管制範疇、管制時程、管制成本、管制品質、管制資源、監視溝通、監視風險、管制採購、監視利害關係人參與、結束專案或階段</t>
  </si>
  <si>
    <t>發展專案章程、辨識利害關係人、蒐集需求、定義範疇、定義活動、排序活動、估算活動期程、發展時程、估算成本、規劃品質管理、規劃資源管理、估算活動資源、辨識風險、指導與管理專案工作、管理專案知識、管理品質、獲得資源、管理溝通、管制時程、管制成本、管制品質、</t>
  </si>
  <si>
    <t>辨識利害關係人、定義範疇、建立工作分解結構、排序活動、估算活動期程、發展時程、估算成本、決定預算、規劃品質管理、規劃資源管理、估算活動資源、規劃溝通管理、辨識風險、進行定性風險分析、進行定量風險分析、規劃風險回應、規劃採購管理、指導與管理專案工作、管理品質、獲得資源、發展團隊、管理團隊、管理溝通、實施風險回應、執行採購、管理利害關係人參與、監視與管制專案工作、進行整合變更管制、確認範疇、管制範疇、管制時程、管制成本、管制品質、管制資源、監視溝通、監視風險、管制採購、監視利害關係人參與、結束專案或階段</t>
  </si>
  <si>
    <t>發展專案章程、辨識利害關係人、蒐集需求、決定預算、規劃採購管理、結束專案或階段</t>
  </si>
  <si>
    <t>辨識風險、管理專案知識、執行採購、管制採購、結束專案或階段</t>
  </si>
  <si>
    <t>規劃採購管理、</t>
  </si>
  <si>
    <t>管制採購、</t>
  </si>
  <si>
    <t>發展專案章程、辨識利害關係人、發展專案管理計畫書、規劃範疇管理、蒐集需求、定義範疇、建立工作分解結構、規劃時程管理、定義活動、排序活動、估算活動期程、發展時程、規劃成本管理、估算成本、決定預算、規劃品質管理、規劃資源管理、估算活動資源、規劃溝通管理、規劃風險管理、辨識風險、進行定性風險分析、進行定量風險分析、規劃風險回應、規劃採購管理、規劃利害關係人參與、指導與管理專案工作、管理專案知識、獲得資源、發展團隊、管理團隊、管理溝通、執行採購、管理利害關係人參與、監視與管制專案工作、進行整合變更管制、管制品質、監視溝通、管制採購、監視利害關係人參與、</t>
  </si>
  <si>
    <t>獲得資源、發展團隊、管理團隊、</t>
  </si>
  <si>
    <t>發展專案章程、辨識利害關係人、發展專案管理計畫書、規劃範疇管理、蒐集需求、定義範疇、建立工作分解結構、規劃時程管理、定義活動、排序活動、估算活動期程、發展時程、規劃成本管理、估算成本、決定預算、規劃品質管理、規劃資源管理、估算活動資源、規劃溝通管理、規劃風險管理、辨識風險、進行定性風險分析、進行定量風險分析、規劃風險回應、規劃採購管理、規劃利害關係人參與、指導與管理專案工作、管理專案知識、管理品質、獲得資源、發展團隊、管理團隊、管理溝通、實施風險回應、執行採購、管理利害關係人參與、監視與管制專案工作、進行整合變更管制、管制範疇、管制時程、管制成本、管制品質、管制資源、監視溝通、管制採購、監視利害關係人參與、結束專案或階段</t>
  </si>
  <si>
    <t>規劃採購管理、指導與管理專案工作、管理專案知識、獲得資源、發展團隊、管理溝通、執行採購、結束專案或階段</t>
  </si>
  <si>
    <t>辨識利害關係人、發展專案管理計畫書、規劃範疇管理、蒐集需求、定義範疇、規劃時程管理、規劃成本管理、規劃品質管理、規劃資源管理、規劃溝通管理、規劃風險管理、規劃採購管理、規劃利害關係人參與、結束專案或階段</t>
  </si>
  <si>
    <t>發展專案章程、</t>
  </si>
  <si>
    <t>管理專案知識、管制品質、</t>
  </si>
  <si>
    <t>指導與管理專案工作、</t>
  </si>
  <si>
    <t>進行整合變更管制、</t>
  </si>
  <si>
    <t>辨識利害關係人、定義活動、發展時程、規劃風險回應、規劃採購管理、指導與管理專案工作、管理品質、獲得資源、發展團隊、管理團隊、實施風險回應、執行採購、管理利害關係人參與、監視與管制專案工作、確認範疇、管制範疇、管制時程、管制成本、管制品質、管制資源、監視溝通、監視風險、管制採購、監視利害關係人參與、</t>
  </si>
  <si>
    <t>指導與管理專案工作、管制品質、管制採購、</t>
  </si>
  <si>
    <t>確認範疇、</t>
  </si>
  <si>
    <t>管制品質、</t>
  </si>
  <si>
    <t>確認範疇、管制範疇、管制時程、管制成本、管制品質、管制資源、監視溝通、監視風險、管制採購、監視利害關係人參與、</t>
  </si>
  <si>
    <t>監視與管制專案工作、</t>
  </si>
  <si>
    <t>管理團隊、管理溝通、進行整合變更管制、監視風險、</t>
  </si>
  <si>
    <t>管理團隊、</t>
  </si>
  <si>
    <t>發展團隊、</t>
  </si>
  <si>
    <t>管制成本、</t>
  </si>
  <si>
    <t>決定預算、</t>
  </si>
  <si>
    <t>發展專案章程、辨識利害關係人、蒐集需求、發展時程、決定預算、辨識風險、規劃利害關係人參與、監視與管制專案工作、管制資源、管制採購、結束專案或階段</t>
  </si>
  <si>
    <t>執行採購、</t>
  </si>
  <si>
    <t>發展專案管理計畫書、</t>
  </si>
  <si>
    <t>蒐集需求、定義範疇、建立工作分解結構、規劃時程管理、規劃採購管理、執行採購、確認範疇、管制範疇、</t>
  </si>
  <si>
    <t>規劃範疇管理、</t>
  </si>
  <si>
    <t>管制範疇、</t>
  </si>
  <si>
    <t>蒐集需求、規劃品質管理、辨識風險、執行採購、確認範疇、管制範疇、管制採購、</t>
  </si>
  <si>
    <t>辨識利害關係人、執行採購、</t>
  </si>
  <si>
    <t>定義活動、排序活動、估算活動期程、發展時程、規劃成本管理、辨識風險、管制時程、</t>
  </si>
  <si>
    <t>規劃時程管理、</t>
  </si>
  <si>
    <t>發展時程、規劃風險回應、管制時程、</t>
  </si>
  <si>
    <t>估算成本、決定預算、辨識風險、管制成本、</t>
  </si>
  <si>
    <t>規劃成本管理、</t>
  </si>
  <si>
    <t>規劃風險回應、管制成本、</t>
  </si>
  <si>
    <t>規劃範疇管理、估算成本、規劃資源管理、辨識風險、規劃採購管理、管理品質、管制品質、</t>
  </si>
  <si>
    <t>規劃品質管理、</t>
  </si>
  <si>
    <t>規劃風險回應、管理品質、執行採購、管制品質、</t>
  </si>
  <si>
    <t>決定預算、估算活動資源、規劃溝通管理、辨識風險、規劃風險回應、規劃採購管理、規劃利害關係人參與、獲得資源、發展團隊、管理團隊、管理溝通、管制資源、監視溝通、監視利害關係人參與、</t>
  </si>
  <si>
    <t>規劃資源管理、</t>
  </si>
  <si>
    <t>規劃風險回應、獲得資源、發展團隊、管理團隊、管制資源、監視利害關係人參與、</t>
  </si>
  <si>
    <t>辨識利害關係人、規劃利害關係人參與、管理溝通、執行採購、管理利害關係人參與、監視溝通、監視利害關係人參與、</t>
  </si>
  <si>
    <t>規劃溝通管理、</t>
  </si>
  <si>
    <t>辨識利害關係人、管理溝通、執行採購、管理利害關係人參與、監視溝通、監視利害關係人參與、</t>
  </si>
  <si>
    <t>規劃成本管理、規劃品質管理、辨識風險、進行定性風險分析、進行定量風險分析、規劃風險回應、規劃利害關係人參與、實施風險回應、執行採購、管理利害關係人參與、監視風險、管制採購、</t>
  </si>
  <si>
    <t>規劃風險管理、</t>
  </si>
  <si>
    <t>辨識利害關係人、規劃品質管理、執行採購、管制採購、</t>
  </si>
  <si>
    <t>獲得資源、執行採購、管制採購、</t>
  </si>
  <si>
    <t>規劃風險回應、執行採購、管制採購、</t>
  </si>
  <si>
    <t>辨識利害關係人、蒐集需求、規劃品質管理、規劃溝通管理、管理溝通、管理利害關係人參與、監視溝通、監視利害關係人參與、</t>
  </si>
  <si>
    <t>規劃利害關係人參與、</t>
  </si>
  <si>
    <t>辨識利害關係人、規劃溝通管理、管理溝通、管理利害關係人參與、監視溝通、監視利害關係人參與、</t>
  </si>
  <si>
    <t>管理利害關係人參與、進行整合變更管制、管制範疇、管制採購、</t>
  </si>
  <si>
    <t>執行採購、進行整合變更管制、管制範疇、</t>
  </si>
  <si>
    <t>定義活動、排序活動、估算活動期程、發展時程、估算成本、決定預算、規劃品質管理、規劃資源管理、估算活動資源、辨識風險、進行定量風險分析、規劃採購管理、進行整合變更管制、確認範疇、管制範疇、管制時程、</t>
  </si>
  <si>
    <t>建立工作分解結構、</t>
  </si>
  <si>
    <t>規劃品質管理、規劃風險回應、管理品質、執行採購、管制範疇、</t>
  </si>
  <si>
    <t>辨識風險、進行定量風險分析、進行整合變更管制、管制時程、管制採購、</t>
  </si>
  <si>
    <t>發展時程、</t>
  </si>
  <si>
    <t>定義活動、規劃風險回應、管理品質、管理團隊、執行採購、管制範疇、管制時程、管制資源、管制採購、</t>
  </si>
  <si>
    <t>辨識風險、進行定量風險分析、規劃風險回應、獲得資源、執行採購、進行整合變更管制、管制成本、</t>
  </si>
  <si>
    <t>定義活動、發展時程、規劃風險回應、管理品質、獲得資源、管理團隊、執行採購、管制範疇、管制時程、管制成本、管制資源、管制採購、</t>
  </si>
  <si>
    <t>管制範疇、管制時程、管制成本、</t>
  </si>
  <si>
    <t>規劃範疇管理、規劃時程管理、</t>
  </si>
  <si>
    <t>規劃風險管理、指導與管理專案工作、管理專案知識、監視與管制專案工作、結束專案或階段</t>
  </si>
  <si>
    <t>指導與管理專案工作、管理專案知識、監視與管制專案工作、進行整合變更管制、監視風險、</t>
  </si>
  <si>
    <t>排序活動、估算活動期程、發展時程、估算活動資源、</t>
  </si>
  <si>
    <t>定義活動、</t>
  </si>
  <si>
    <t>排序活動、指導與管理專案工作、</t>
  </si>
  <si>
    <t>蒐集需求、定義範疇、排序活動、估算活動期程、發展時程、規劃品質管理、估算活動資源、辨識風險、進行定性風險分析、進行定量風險分析、規劃利害關係人參與、監視與管制專案工作、管制採購、結束專案或階段</t>
  </si>
  <si>
    <t>辨識利害關係人、定義範疇、建立工作分解結構、排序活動、估算活動期程、發展時程、估算成本、規劃資源管理、估算活動資源、辨識風險、進行定性風險分析、規劃風險回應、指導與管理專案工作、管制時程、管制成本、管制資源、監視風險、</t>
  </si>
  <si>
    <t>發展時程、決定預算、進行定量風險分析、監視與管制專案工作、進行整合變更管制、結束專案或階段</t>
  </si>
  <si>
    <t>估算活動期程、估算成本、估算活動資源、</t>
  </si>
  <si>
    <t>管制時程、管制成本、</t>
  </si>
  <si>
    <t>辨識利害關係人、規劃利害關係人參與、指導與管理專案工作、管理溝通、管理利害關係人參與、結束專案或階段</t>
  </si>
  <si>
    <t>管理利害關係人參與、進行整合變更管制、</t>
  </si>
  <si>
    <t>決定預算、估算活動資源、辨識風險、進行定量風險分析、</t>
  </si>
  <si>
    <t>估算成本、</t>
  </si>
  <si>
    <t>決定預算、管制成本、</t>
  </si>
  <si>
    <t>進行定量風險分析、監視與管制專案工作、</t>
  </si>
  <si>
    <t>規劃風險回應、監視與管制專案工作、</t>
  </si>
  <si>
    <t>發展時程、辨識風險、進行定量風險分析、</t>
  </si>
  <si>
    <t>估算活動期程、</t>
  </si>
  <si>
    <t>辨識利害關係人、辨識風險、規劃利害關係人參與、管理團隊、管理溝通、管理利害關係人參與、監視與管制專案工作、管制資源、監視溝通、監視風險、監視利害關係人參與、結束專案或階段</t>
  </si>
  <si>
    <t>辨識利害關係人、辨識風險、進行定性風險分析、管理品質、管理團隊、管理溝通、實施風險回應、管理利害關係人參與、監視與管制專案工作、管制品質、管制資源、監視溝通、監視風險、監視利害關係人參與、</t>
  </si>
  <si>
    <t>蒐集需求、估算活動期程、發展時程、估算成本、辨識風險、規劃風險回應、指導與管理專案工作、管理專案知識、管理品質、發展團隊、管理團隊、管理溝通、實施風險回應、執行採購、管理利害關係人參與、監視與管制專案工作、確認範疇、管制範疇、管制時程、管制成本、管制品質、管制資源、監視溝通、監視風險、管制採購、監視利害關係人參與、結束專案或階段</t>
  </si>
  <si>
    <t>管理專案知識、</t>
  </si>
  <si>
    <t>估算活動期程、發展時程、估算成本、規劃品質管理、估算活動資源、辨識風險、規劃風險回應、規劃採購管理、指導與管理專案工作、管理品質、獲得資源、發展團隊、管理團隊、管理溝通、實施風險回應、執行採購、管理利害關係人參與、監視與管制專案工作、確認範疇、管制範疇、管制時程、管制成本、管制品質、管制資源、監視溝通、監視風險、管制採購、監視利害關係人參與、結束專案或階段</t>
  </si>
  <si>
    <t>排序活動、估算活動期程、發展時程、進行定量風險分析、規劃採購管理、指導與管理專案工作、監視與管制專案工作、管制採購、結束專案或階段</t>
  </si>
  <si>
    <t>排序活動、規劃採購管理、</t>
  </si>
  <si>
    <t>管制資源、</t>
  </si>
  <si>
    <t>獲得資源、</t>
  </si>
  <si>
    <t>管制時程、</t>
  </si>
  <si>
    <t>指導與管理專案工作、監視溝通、監視利害關係人參與、結束專案或階段</t>
  </si>
  <si>
    <t>管理溝通、</t>
  </si>
  <si>
    <t>估算成本、決定預算、規劃資源管理、規劃風險回應、規劃利害關係人參與、指導與管理專案工作、獲得資源、發展團隊、執行採購、管制時程、管制資源、</t>
  </si>
  <si>
    <t>決定預算、規劃溝通管理、規劃風險回應、獲得資源、發展團隊、管理溝通、管制時程、</t>
  </si>
  <si>
    <t>排序活動、</t>
  </si>
  <si>
    <t>定義範疇、</t>
  </si>
  <si>
    <t>估算活動期程、發展時程、規劃風險回應、規劃採購管理、管理專案知識、發展團隊、管理團隊、</t>
  </si>
  <si>
    <t>規劃風險回應、發展團隊、管理團隊、實施風險回應、</t>
  </si>
  <si>
    <t>管理品質、結束專案或階段</t>
  </si>
  <si>
    <t>管理品質、管制品質、</t>
  </si>
  <si>
    <t>管理溝通、監視與管制專案工作、確認範疇、管制採購、結束專案或階段</t>
  </si>
  <si>
    <t>管理品質、</t>
  </si>
  <si>
    <t>辨識利害關係人、定義範疇、建立工作分解結構、規劃品質管理、規劃資源管理、規劃溝通管理、辨識風險、規劃採購管理、執行採購、確認範疇、管制範疇、管制採購、結束專案或階段</t>
  </si>
  <si>
    <t>蒐集需求、</t>
  </si>
  <si>
    <t>定義範疇、建立工作分解結構、規劃採購管理、指導與管理專案工作、執行採購、確認範疇、管制範疇、</t>
  </si>
  <si>
    <t>規劃品質管理、規劃採購管理、指導與管理專案工作、進行整合變更管制、確認範疇、管制範疇、管制採購、</t>
  </si>
  <si>
    <t>定義範疇、規劃品質管理、規劃採購管理、執行採購、確認範疇、管制範疇、管制採購、</t>
  </si>
  <si>
    <t>估算活動期程、管理專案知識、管制資源、</t>
  </si>
  <si>
    <t>估算活動資源、</t>
  </si>
  <si>
    <t>獲得資源、管制資源、</t>
  </si>
  <si>
    <t>估算活動期程、發展時程、估算活動資源、規劃風險回應、獲得資源、發展團隊、管制時程、</t>
  </si>
  <si>
    <t>發展團隊、執行採購、管制時程、</t>
  </si>
  <si>
    <t>估算活動期程、發展時程、估算成本、辨識風險、進行定量風險分析、規劃採購管理、獲得資源、管制資源、</t>
  </si>
  <si>
    <t>發展時程、獲得資源、管制採購、</t>
  </si>
  <si>
    <t>定義範疇、估算活動期程、發展時程、估算成本、決定預算、規劃品質管理、規劃資源管理、估算活動資源、進行定性風險分析、進行定量風險分析、規劃風險回應、規劃採購管理、規劃利害關係人參與、指導與管理專案工作、實施風險回應、執行採購、監視與管制專案工作、管制資源、監視風險、管制採購、監視利害關係人參與、結束專案或階段</t>
  </si>
  <si>
    <t>辨識風險、</t>
  </si>
  <si>
    <t>辨識利害關係人、發展時程、估算成本、決定預算、規劃品質管理、規劃資源管理、進行定性風險分析、規劃風險回應、規劃採購管理、指導與管理專案工作、管理品質、獲得資源、管理溝通、實施風險回應、執行採購、監視與管制專案工作、管制時程、管制成本、管制品質、管制資源、監視風險、管制採購、監視利害關係人參與、</t>
  </si>
  <si>
    <t>進行定量風險分析、規劃風險回應、指導與管理專案工作、管理品質、管理溝通、實施風險回應、監視與管制專案工作、進行整合變更管制、監視風險、結束專案或階段</t>
  </si>
  <si>
    <t>進行定性風險分析、進行定量風險分析、規劃風險回應、實施風險回應、監視風險、</t>
  </si>
  <si>
    <t>蒐集需求、規劃品質管理、規劃資源管理、規劃溝通管理、規劃風險管理、辨識風險、進行定性風險分析、規劃風險回應、規劃採購管理、規劃利害關係人參與、管理專案知識、獲得資源、管理溝通、執行採購、管理利害關係人參與、管制採購、監視利害關係人參與、</t>
  </si>
  <si>
    <t>辨識利害關係人、</t>
  </si>
  <si>
    <t>定義範疇、規劃品質管理、規劃溝通管理、規劃採購管理、指導與管理專案工作、獲得資源、管理溝通、執行採購、管理利害關係人參與、監視溝通、管制採購、監視利害關係人參與、</t>
  </si>
  <si>
    <t>發展團隊、管理團隊、</t>
  </si>
  <si>
    <t>發展專案章程、辨識利害關係人、決定預算、規劃採購管理、結束專案或階段</t>
  </si>
  <si>
    <t>發展專案章程、辨識利害關係人、發展專案管理計畫書、蒐集需求、規劃品質管理、辨識風險、進行定性風險分析、進行定量風險分析、規劃風險回應、規劃採購管理、規劃利害關係人參與、管理品質、管制品質、</t>
  </si>
  <si>
    <t>辨識利害關係人、規劃範疇管理、蒐集需求、定義範疇、規劃時程管理、估算活動期程、發展時程、規劃成本管理、估算成本、決定預算、規劃品質管理、估算活動資源、規劃風險管理、辨識風險、進行定性風險分析、進行定量風險分析、規劃風險回應、規劃採購管理、規劃利害關係人參與、管理品質、執行採購、監視與管制專案工作、進行整合變更管制、管制範疇、管制時程、管制成本、管制品質、管制資源、監視溝通、監視風險、管制採購、監視利害關係人參與、結束專案或階段</t>
  </si>
  <si>
    <t>辨識利害關係人、蒐集需求、規劃品質管理、規劃資源管理、規劃溝通管理、進行定性風險分析、規劃利害關係人參與、管理品質、管制品質、監視利害關係人參與、</t>
  </si>
  <si>
    <t>蒐集需求、定義範疇、估算活動期程、估算成本、規劃品質管理、規劃風險回應、規劃利害關係人參與、管理品質、獲得資源、監視與管制專案工作、進行整合變更管制、確認範疇、監視利害關係人參與、</t>
  </si>
  <si>
    <t>管理溝通、管理利害關係人參與、監視利害關係人參與、</t>
  </si>
  <si>
    <t>發展專案章程、發展專案管理計畫書、蒐集需求、定義範疇、規劃溝通管理、辨識風險、進行定性風險分析、進行定量風險分析、規劃風險回應、管理專案知識、獲得資源、發展團隊、管理團隊、管理溝通、實施風險回應、執行採購、管理利害關係人參與、管制資源、監視溝通、監視利害關係人參與、</t>
  </si>
  <si>
    <t>管理品質、監視風險、管制採購、</t>
  </si>
  <si>
    <t>規劃溝通管理、管理溝通、</t>
  </si>
  <si>
    <t>規劃溝通管理、發展團隊、管理溝通、</t>
  </si>
  <si>
    <t>規劃風險回應、</t>
  </si>
  <si>
    <t>發展時程、管制時程、</t>
  </si>
  <si>
    <t>建立工作分解結構、定義活動、</t>
  </si>
  <si>
    <t>發展專案章程、辨識利害關係人、發展專案管理計畫書、規劃範疇管理、蒐集需求、定義範疇、建立工作分解結構、規劃時程管理、定義活動、估算活動期程、規劃成本管理、估算成本、決定預算、規劃品質管理、規劃資源管理、估算活動資源、規劃溝通管理、規劃風險管理、辨識風險、進行定性風險分析、進行定量風險分析、規劃風險回應、規劃採購管理、規劃利害關係人參與、指導與管理專案工作、管理專案知識、實施風險回應、執行採購、管理利害關係人參與、監視與管制專案工作、進行整合變更管制、管制成本、監視溝通、管制採購、結束專案或階段</t>
  </si>
  <si>
    <t>管理利害關係人參與、</t>
  </si>
  <si>
    <t>確認範疇、管制品質、管制採購、</t>
  </si>
  <si>
    <t>排序活動、發展時程、管制時程、</t>
  </si>
  <si>
    <t>發展專案章程、辨識利害關係人、發展專案管理計畫書、規劃範疇管理、規劃時程管理、定義活動、估算活動期程、規劃成本管理、規劃品質管理、規劃資源管理、估算活動資源、規劃溝通管理、規劃風險管理、辨識風險、進行定性風險分析、規劃採購管理、規劃利害關係人參與、指導與管理專案工作、發展團隊、管理溝通、管理利害關係人參與、監視與管制專案工作、進行整合變更管制、管制品質、監視溝通、監視風險、監視利害關係人參與、結束專案或階段</t>
  </si>
  <si>
    <t>管理品質、管制資源、</t>
  </si>
  <si>
    <t>排序活動、發展時程、估算成本、估算活動資源、指導與管理專案工作、管理團隊、管理溝通、實施風險回應、管制時程、管制成本、管制資源、監視溝通、</t>
  </si>
  <si>
    <t>進行定量風險分析、</t>
  </si>
  <si>
    <t>進行定性風險分析、</t>
  </si>
  <si>
    <t>估算活動期程、估算成本、</t>
  </si>
  <si>
    <t>獲得資源、發展團隊、</t>
  </si>
  <si>
    <t>蒐集需求、規劃品質管理、規劃利害關係人參與、</t>
  </si>
  <si>
    <t>發展專案章程、辨識利害關係人、發展專案管理計畫書、蒐集需求、規劃品質管理、辨識風險、</t>
  </si>
  <si>
    <t>發展專案管理計畫書、辨識風險、管理品質、管制品質、</t>
  </si>
  <si>
    <t>發展專案章程、發展專案管理計畫書、蒐集需求、</t>
  </si>
  <si>
    <t>發展專案章程、發展專案管理計畫書、蒐集需求、規劃品質管理、辨識風險、進行定性風險分析、進行定量風險分析、規劃風險回應、</t>
  </si>
  <si>
    <t>辨識利害關係人、蒐集需求、管制品質、</t>
  </si>
  <si>
    <t>規劃範疇管理、定義範疇、估算活動期程、估算成本、估算活動資源、規劃風險回應、管理品質、監視與管制專案工作、進行整合變更管制、管制資源、監視利害關係人參與、</t>
  </si>
  <si>
    <t>辨識風險、規劃利害關係人參與、</t>
  </si>
  <si>
    <t>估算成本、規劃品質管理、</t>
  </si>
  <si>
    <t>規劃品質管理、規劃風險回應、監視與管制專案工作、進行整合變更管制、管制資源、</t>
  </si>
  <si>
    <t>辨識利害關係人、蒐集需求、辨識風險、管理品質、結束專案或階段</t>
  </si>
  <si>
    <t>監視與管制專案工作、管制時程、管制成本、管制採購、</t>
  </si>
  <si>
    <t>管制時程、管制品質、管制資源、管制採購、</t>
  </si>
  <si>
    <t>估算活動期程、估算成本、決定預算、管制成本、監視風險、</t>
  </si>
  <si>
    <t>辨識風險、規劃利害關係人參與、管理品質、監視與管制專案工作、管制品質、監視利害關係人參與、</t>
  </si>
  <si>
    <t>發展時程、進行定量風險分析、</t>
  </si>
  <si>
    <t>辨識利害關係人、規劃風險管理、監視利害關係人參與、</t>
  </si>
  <si>
    <t>監視風險、</t>
  </si>
  <si>
    <t>監視與管制專案工作、管制範疇、管制時程、管制成本、管制資源、管制採購、結束專案或階段</t>
  </si>
  <si>
    <t>監視與管制專案工作、管制範疇、管制時程、管制成本、結束專案或階段</t>
  </si>
  <si>
    <t>蒐集需求、管理品質、</t>
  </si>
  <si>
    <t>規劃品質管理、管理品質、</t>
  </si>
  <si>
    <t>規劃資源管理、進行定性風險分析、</t>
  </si>
  <si>
    <t>規劃溝通管理、規劃利害關係人參與、監視溝通、監視利害關係人參與、</t>
  </si>
  <si>
    <t>蒐集需求、定義範疇、規劃品質管理、規劃風險回應、管理品質、獲得資源、進行整合變更管制、監視利害關係人參與、</t>
  </si>
  <si>
    <t>蒐集需求、估算成本、進行整合變更管制、確認範疇、監視利害關係人參與、</t>
  </si>
  <si>
    <t>管理溝通、監視利害關係人參與、</t>
  </si>
  <si>
    <t>管理專案知識、管理溝通、監視利害關係人參與、</t>
  </si>
  <si>
    <t>發展專案章程、發展專案管理計畫書、發展團隊、管理團隊、管理溝通、管理利害關係人參與、</t>
  </si>
  <si>
    <t>規劃溝通管理、管理溝通、管理利害關係人參與、監視利害關係人參與、</t>
  </si>
  <si>
    <t>發展專案章程、發展專案管理計畫書、蒐集需求、定義範疇、辨識風險、進行定性風險分析、進行定量風險分析、規劃風險回應、管理專案知識、</t>
  </si>
  <si>
    <t>發展團隊、管理團隊、實施風險回應、管制資源、</t>
  </si>
  <si>
    <t>管理專案知識、管理團隊、監視利害關係人參與、</t>
  </si>
  <si>
    <t>發展專案章程、發展專案管理計畫書、管理溝通、</t>
  </si>
  <si>
    <t>獲得資源、發展團隊、執行採購、管理利害關係人參與、管制資源、</t>
  </si>
  <si>
    <t>蒐集需求、管理利害關係人參與、監視溝通、</t>
  </si>
  <si>
    <t>規劃溝通管理、管理專案知識、管理溝通、管理利害關係人參與、監視利害關係人參與、</t>
  </si>
  <si>
    <t>a</t>
  </si>
  <si>
    <t>a專書01</t>
  </si>
  <si>
    <t>a專書02</t>
  </si>
  <si>
    <t>b</t>
  </si>
  <si>
    <t>b專件01</t>
  </si>
  <si>
    <t>b專件02</t>
  </si>
  <si>
    <t>c</t>
  </si>
  <si>
    <t>c商件01</t>
  </si>
  <si>
    <t>c商件02</t>
  </si>
  <si>
    <t>d</t>
  </si>
  <si>
    <t>d採件01</t>
  </si>
  <si>
    <t>d採件02</t>
  </si>
  <si>
    <t>d採件03</t>
  </si>
  <si>
    <t>d採件04</t>
  </si>
  <si>
    <t>e</t>
  </si>
  <si>
    <t>e投產02</t>
  </si>
  <si>
    <t>a資蒐02</t>
  </si>
  <si>
    <t>g工技01</t>
  </si>
  <si>
    <t>g工技02</t>
  </si>
  <si>
    <t>主項目</t>
    <phoneticPr fontId="3" type="noConversion"/>
  </si>
  <si>
    <t>次項目</t>
    <phoneticPr fontId="3" type="noConversion"/>
  </si>
  <si>
    <t>查看投入與產出：</t>
    <phoneticPr fontId="3" type="noConversion"/>
  </si>
  <si>
    <t>查看工具與技術：</t>
    <phoneticPr fontId="3" type="noConversion"/>
  </si>
  <si>
    <t>更新</t>
    <phoneticPr fontId="3" type="noConversion"/>
  </si>
  <si>
    <t>過程組資料寬度</t>
    <phoneticPr fontId="3" type="noConversion"/>
  </si>
  <si>
    <t>投入</t>
    <phoneticPr fontId="3" type="noConversion"/>
  </si>
  <si>
    <t>產出</t>
    <phoneticPr fontId="3" type="noConversion"/>
  </si>
  <si>
    <t>工具</t>
    <phoneticPr fontId="3" type="noConversion"/>
  </si>
  <si>
    <t>工具</t>
    <phoneticPr fontId="3" type="noConversion"/>
  </si>
  <si>
    <t>更新</t>
    <phoneticPr fontId="3" type="noConversion"/>
  </si>
  <si>
    <t>知識領域</t>
    <phoneticPr fontId="3" type="noConversion"/>
  </si>
  <si>
    <t>知識領域：</t>
    <phoneticPr fontId="3" type="noConversion"/>
  </si>
  <si>
    <t>s01_知識領域清單</t>
    <phoneticPr fontId="3" type="noConversion"/>
  </si>
  <si>
    <t>輔助</t>
    <phoneticPr fontId="3" type="noConversion"/>
  </si>
  <si>
    <t>統整</t>
    <phoneticPr fontId="3" type="noConversion"/>
  </si>
  <si>
    <t>s01_程序清單</t>
    <phoneticPr fontId="3" type="noConversion"/>
  </si>
  <si>
    <t>s01_過程組清單</t>
    <phoneticPr fontId="3" type="noConversion"/>
  </si>
  <si>
    <t>輔助</t>
    <phoneticPr fontId="3" type="noConversion"/>
  </si>
  <si>
    <t>統整</t>
    <phoneticPr fontId="3" type="noConversion"/>
  </si>
  <si>
    <t>專案管理計畫書</t>
    <phoneticPr fontId="3" type="noConversion"/>
  </si>
  <si>
    <t>商業文件</t>
    <phoneticPr fontId="3" type="noConversion"/>
  </si>
  <si>
    <t>採購相關文件</t>
    <phoneticPr fontId="3" type="noConversion"/>
  </si>
  <si>
    <t>工具與技術</t>
    <phoneticPr fontId="3" type="noConversion"/>
  </si>
  <si>
    <t>資料蒐集工具</t>
    <phoneticPr fontId="3" type="noConversion"/>
  </si>
  <si>
    <t>資料分析工具</t>
    <phoneticPr fontId="3" type="noConversion"/>
  </si>
  <si>
    <t>資料呈現工具</t>
    <phoneticPr fontId="3" type="noConversion"/>
  </si>
  <si>
    <t>決策制定工具</t>
    <phoneticPr fontId="3" type="noConversion"/>
  </si>
  <si>
    <t>溝通技巧工具</t>
    <phoneticPr fontId="3" type="noConversion"/>
  </si>
  <si>
    <t>人際關係與團隊技巧</t>
    <phoneticPr fontId="3" type="noConversion"/>
  </si>
  <si>
    <t>投入</t>
    <phoneticPr fontId="3" type="noConversion"/>
  </si>
  <si>
    <t>工具</t>
    <phoneticPr fontId="3" type="noConversion"/>
  </si>
  <si>
    <t>產出</t>
    <phoneticPr fontId="3" type="noConversion"/>
  </si>
  <si>
    <t>更新</t>
    <phoneticPr fontId="3" type="noConversion"/>
  </si>
  <si>
    <t>更新</t>
    <phoneticPr fontId="3" type="noConversion"/>
  </si>
  <si>
    <t>整合7</t>
    <phoneticPr fontId="3" type="noConversion"/>
  </si>
  <si>
    <t>範疇6</t>
    <phoneticPr fontId="3" type="noConversion"/>
  </si>
  <si>
    <t>時程6</t>
    <phoneticPr fontId="3" type="noConversion"/>
  </si>
  <si>
    <t>成本4</t>
    <phoneticPr fontId="3" type="noConversion"/>
  </si>
  <si>
    <t>品質3</t>
    <phoneticPr fontId="3" type="noConversion"/>
  </si>
  <si>
    <t>資源6</t>
    <phoneticPr fontId="3" type="noConversion"/>
  </si>
  <si>
    <t>溝通3</t>
    <phoneticPr fontId="3" type="noConversion"/>
  </si>
  <si>
    <t>採購3</t>
    <phoneticPr fontId="3" type="noConversion"/>
  </si>
  <si>
    <t>風險7</t>
    <phoneticPr fontId="3" type="noConversion"/>
  </si>
  <si>
    <t>利害關係人4</t>
    <phoneticPr fontId="3" type="noConversion"/>
  </si>
  <si>
    <t>工作分解結構說明表</t>
    <phoneticPr fontId="3" type="noConversion"/>
  </si>
  <si>
    <t>工作分解結構(WBS)</t>
    <phoneticPr fontId="3" type="noConversion"/>
  </si>
  <si>
    <t>RACI矩陣(負責、當責、諮詢、告知)</t>
    <phoneticPr fontId="3" type="noConversion"/>
  </si>
  <si>
    <t>規避/開拓</t>
    <phoneticPr fontId="3" type="noConversion"/>
  </si>
  <si>
    <t>工作包</t>
    <phoneticPr fontId="3" type="noConversion"/>
  </si>
  <si>
    <t>工作包預算+應變儲備</t>
    <phoneticPr fontId="3" type="noConversion"/>
  </si>
  <si>
    <t>專案時程、里程碑清單、活動起訖日</t>
    <phoneticPr fontId="3" type="noConversion"/>
  </si>
  <si>
    <t>名稱</t>
    <phoneticPr fontId="3" type="noConversion"/>
  </si>
  <si>
    <t>包含</t>
    <phoneticPr fontId="3" type="noConversion"/>
  </si>
  <si>
    <t>從何產出</t>
    <phoneticPr fontId="3" type="noConversion"/>
  </si>
  <si>
    <t>撤離</t>
    <phoneticPr fontId="3" type="noConversion"/>
  </si>
  <si>
    <t>迴避</t>
  </si>
  <si>
    <t>利害關係人對應/呈現(工具與技術)</t>
    <phoneticPr fontId="3" type="noConversion"/>
  </si>
  <si>
    <t>利害關係人登錄表(專案文件)</t>
    <phoneticPr fontId="3" type="noConversion"/>
  </si>
  <si>
    <t>預防成本(合規性成本)</t>
    <phoneticPr fontId="3" type="noConversion"/>
  </si>
  <si>
    <t>鑑定成本(合規性成本)</t>
    <phoneticPr fontId="3" type="noConversion"/>
  </si>
  <si>
    <t>失效成本(內部/外部)(非合規性成本)</t>
    <phoneticPr fontId="3" type="noConversion"/>
  </si>
  <si>
    <t>管制範疇、管制時程、管制成本</t>
    <phoneticPr fontId="3" type="noConversion"/>
  </si>
  <si>
    <t>資源分解結構</t>
    <phoneticPr fontId="3" type="noConversion"/>
  </si>
  <si>
    <t>專案時程</t>
    <phoneticPr fontId="3" type="noConversion"/>
  </si>
  <si>
    <t>專案時程網路圖(甘特圖、里程碑圖)</t>
    <phoneticPr fontId="3" type="noConversion"/>
  </si>
  <si>
    <t>管理品質</t>
    <phoneticPr fontId="3" type="noConversion"/>
  </si>
  <si>
    <t>管制品質</t>
    <phoneticPr fontId="3" type="noConversion"/>
  </si>
  <si>
    <t>投入</t>
    <phoneticPr fontId="3" type="noConversion"/>
  </si>
  <si>
    <t>結束專案(更新)</t>
    <phoneticPr fontId="3" type="noConversion"/>
  </si>
  <si>
    <t>規劃專案章程</t>
    <phoneticPr fontId="3" type="noConversion"/>
  </si>
  <si>
    <t>規劃流程</t>
    <phoneticPr fontId="3" type="noConversion"/>
  </si>
  <si>
    <t>進行整合變更管制</t>
    <phoneticPr fontId="3" type="noConversion"/>
  </si>
  <si>
    <t>管理、監視等流程</t>
    <phoneticPr fontId="3" type="noConversion"/>
  </si>
  <si>
    <t>指導與管理專案、管制品質、管制採購</t>
    <phoneticPr fontId="3" type="noConversion"/>
  </si>
  <si>
    <t>指導與管理專案工作</t>
    <phoneticPr fontId="3" type="noConversion"/>
  </si>
  <si>
    <t>確認範疇</t>
    <phoneticPr fontId="3" type="noConversion"/>
  </si>
  <si>
    <t>結束專案</t>
    <phoneticPr fontId="3" type="noConversion"/>
  </si>
  <si>
    <t>管制流程(除整合管理)</t>
    <phoneticPr fontId="3" type="noConversion"/>
  </si>
  <si>
    <t>指導與管理專案</t>
    <phoneticPr fontId="3" type="noConversion"/>
  </si>
  <si>
    <t>監視與管制專案工作</t>
    <phoneticPr fontId="3" type="noConversion"/>
  </si>
  <si>
    <t>進行整合變更管制、管理團隊、管理溝通、監視風險</t>
    <phoneticPr fontId="3" type="noConversion"/>
  </si>
  <si>
    <t>管制流程</t>
    <phoneticPr fontId="3" type="noConversion"/>
  </si>
  <si>
    <t>發展團隊</t>
    <phoneticPr fontId="3" type="noConversion"/>
  </si>
  <si>
    <t>管理團隊</t>
    <phoneticPr fontId="3" type="noConversion"/>
  </si>
  <si>
    <t>決定專案預算</t>
    <phoneticPr fontId="3" type="noConversion"/>
  </si>
  <si>
    <t>管制成本</t>
    <phoneticPr fontId="3" type="noConversion"/>
  </si>
  <si>
    <t>排序活動</t>
    <phoneticPr fontId="3" type="noConversion"/>
  </si>
  <si>
    <t>定義活動</t>
    <phoneticPr fontId="3" type="noConversion"/>
  </si>
  <si>
    <t>蒐集需求</t>
    <phoneticPr fontId="3" type="noConversion"/>
  </si>
  <si>
    <t>管制時程</t>
    <phoneticPr fontId="3" type="noConversion"/>
  </si>
  <si>
    <t>發展時程</t>
    <phoneticPr fontId="3" type="noConversion"/>
  </si>
  <si>
    <t>管理溝通、管制採購、監視與管制專案、確認範疇、結束專案</t>
    <phoneticPr fontId="3" type="noConversion"/>
  </si>
  <si>
    <t>規劃資源管理</t>
    <phoneticPr fontId="3" type="noConversion"/>
  </si>
  <si>
    <t>發展團隊、管理團隊</t>
    <phoneticPr fontId="3" type="noConversion"/>
  </si>
  <si>
    <t>估算活動資源</t>
    <phoneticPr fontId="3" type="noConversion"/>
  </si>
  <si>
    <t>獲取資源</t>
    <phoneticPr fontId="3" type="noConversion"/>
  </si>
  <si>
    <t>管理溝通</t>
    <phoneticPr fontId="3" type="noConversion"/>
  </si>
  <si>
    <t>指導與管理專案工作、監視溝通、監視利害關係人參予、結束專案</t>
    <phoneticPr fontId="3" type="noConversion"/>
  </si>
  <si>
    <t>規劃範疇管理</t>
    <phoneticPr fontId="3" type="noConversion"/>
  </si>
  <si>
    <t>規劃範疇管理、規劃時程管理</t>
    <phoneticPr fontId="3" type="noConversion"/>
  </si>
  <si>
    <t>發展專案章程</t>
    <phoneticPr fontId="3" type="noConversion"/>
  </si>
  <si>
    <t>進行整合變更管制(更新)</t>
    <phoneticPr fontId="3" type="noConversion"/>
  </si>
  <si>
    <t>管理專案知識</t>
    <phoneticPr fontId="3" type="noConversion"/>
  </si>
  <si>
    <t>估算活動期程、估算成本、估算活動資源</t>
    <phoneticPr fontId="3" type="noConversion"/>
  </si>
  <si>
    <t>估算成本</t>
    <phoneticPr fontId="3" type="noConversion"/>
  </si>
  <si>
    <t>發展專案章程、辨識利害關係人、蒐集需求、決定預算、規劃採購管理、結束專案或階段</t>
    <phoneticPr fontId="3" type="noConversion"/>
  </si>
  <si>
    <t>發展專案章程、辨識利害關係人、決定預算、規劃採購管理、結束專案或階段</t>
    <phoneticPr fontId="3" type="noConversion"/>
  </si>
  <si>
    <t>規劃採購管理</t>
    <phoneticPr fontId="3" type="noConversion"/>
  </si>
  <si>
    <t>整合變更管理、管制範疇、利害關係人參與、管制採購</t>
    <phoneticPr fontId="3" type="noConversion"/>
  </si>
  <si>
    <t>整合變更管理、管制範疇、執行採購</t>
    <phoneticPr fontId="3" type="noConversion"/>
  </si>
  <si>
    <t>執行採購</t>
    <phoneticPr fontId="3" type="noConversion"/>
  </si>
  <si>
    <t>協議</t>
    <phoneticPr fontId="3" type="noConversion"/>
  </si>
  <si>
    <t>採購策略</t>
    <phoneticPr fontId="3" type="noConversion"/>
  </si>
  <si>
    <t>管制採購</t>
    <phoneticPr fontId="3" type="noConversion"/>
  </si>
  <si>
    <t>整合流程(執行到結束)、風險流程、管理溝通</t>
    <phoneticPr fontId="3" type="noConversion"/>
  </si>
  <si>
    <t>辨識利害關係人參予</t>
    <phoneticPr fontId="3" type="noConversion"/>
  </si>
  <si>
    <t>減輕/增強</t>
    <phoneticPr fontId="3" type="noConversion"/>
  </si>
  <si>
    <t xml:space="preserve"> </t>
    <phoneticPr fontId="3" type="noConversion"/>
  </si>
  <si>
    <t>時程管理計畫書</t>
    <phoneticPr fontId="3" type="noConversion"/>
  </si>
  <si>
    <t>工作包成本估算(活動成本估算+活動應變儲備)</t>
    <phoneticPr fontId="3" type="noConversion"/>
  </si>
  <si>
    <t>貼現現金流(淨現值(NPV)、內部報酬率(IRR))</t>
    <phoneticPr fontId="3" type="noConversion"/>
  </si>
  <si>
    <t>範疇說明書、工作分解結構、工作包、規劃包、工作分解結構說明表</t>
    <phoneticPr fontId="3" type="noConversion"/>
  </si>
  <si>
    <t>規劃範疇管理</t>
    <phoneticPr fontId="3" type="noConversion"/>
  </si>
  <si>
    <t>進行整合變更管理、確認範疇、管制範疇</t>
    <phoneticPr fontId="3" type="noConversion"/>
  </si>
  <si>
    <t>產品範疇描述、可交付成果、允收準則、專案排除事項</t>
    <phoneticPr fontId="3" type="noConversion"/>
  </si>
  <si>
    <t>a專書14</t>
    <phoneticPr fontId="3" type="noConversion"/>
  </si>
  <si>
    <t>成本基準+管理儲備</t>
    <phoneticPr fontId="3" type="noConversion"/>
  </si>
  <si>
    <t>3:專案品質目標、品質管制衡量值、品質檢核表</t>
    <phoneticPr fontId="3" type="noConversion"/>
  </si>
  <si>
    <t>4:團隊價值觀、溝通指導方針、制定決策準則與過程、衝突解決過程</t>
    <phoneticPr fontId="3" type="noConversion"/>
  </si>
  <si>
    <t>3:已辨識的風險清單、可能的風險負責人、可能的風險回應清單</t>
    <phoneticPr fontId="3" type="noConversion"/>
  </si>
  <si>
    <t>4:回收期、投資報酬率(ROI)、貼現現金流(淨現值NPV、內部報酬率IRR)、成本效益分析CBA</t>
    <phoneticPr fontId="3" type="noConversion"/>
  </si>
  <si>
    <t>5:專案整體風險暴露值評量、專案個別風險排序清單、專案機率詳細分析、定量風險分析結果趨勢、建議的風險回應</t>
    <phoneticPr fontId="3" type="noConversion"/>
  </si>
  <si>
    <t>14：分派專案經理責任及授權層級、專案核准需求、退場準則、專案目標、可衡量的專案目標及成功準則、高階需求、高階描述邊界及可交付成果、里程碑時程摘要、預獲准的專案財務資源、專案整體風險、團隊協議、會議指導方針、專案贊助人或其他專案章程授權人姓名及職權、關鍵利害關係人清單</t>
    <phoneticPr fontId="3" type="noConversion"/>
  </si>
  <si>
    <t>3:預防措施、矯正措施、缺陷修復</t>
    <phoneticPr fontId="3" type="noConversion"/>
  </si>
  <si>
    <t>商業企劃案、效益管理計畫書</t>
    <phoneticPr fontId="3" type="noConversion"/>
  </si>
  <si>
    <t>4:預測式、迭代式、增量式、敏捷式</t>
    <phoneticPr fontId="3" type="noConversion"/>
  </si>
  <si>
    <t>4:瀑布式、迭代式、適應式、混和型</t>
    <phoneticPr fontId="3" type="noConversion"/>
  </si>
  <si>
    <t>3:身分資訊、</t>
    <phoneticPr fontId="3" type="noConversion"/>
  </si>
  <si>
    <t>需求計畫</t>
    <phoneticPr fontId="3" type="noConversion"/>
  </si>
  <si>
    <t>產品生命週期4個階段</t>
    <phoneticPr fontId="3" type="noConversion"/>
  </si>
  <si>
    <t>產品設計</t>
    <phoneticPr fontId="3" type="noConversion"/>
  </si>
  <si>
    <t>產品製造</t>
    <phoneticPr fontId="3" type="noConversion"/>
  </si>
  <si>
    <t>產品使用</t>
    <phoneticPr fontId="3" type="noConversion"/>
  </si>
  <si>
    <t>生產作業要素</t>
    <phoneticPr fontId="3" type="noConversion"/>
  </si>
  <si>
    <t>財務要素</t>
    <phoneticPr fontId="3" type="noConversion"/>
  </si>
  <si>
    <t>人員要素</t>
    <phoneticPr fontId="3" type="noConversion"/>
  </si>
  <si>
    <t>市場要素</t>
    <phoneticPr fontId="3" type="noConversion"/>
  </si>
  <si>
    <t>管理期其他要素</t>
    <phoneticPr fontId="3" type="noConversion"/>
  </si>
  <si>
    <t>專案評量5要素</t>
    <phoneticPr fontId="3" type="noConversion"/>
  </si>
  <si>
    <t>非量化專案選擇模型5類型</t>
    <phoneticPr fontId="3" type="noConversion"/>
  </si>
  <si>
    <t>聖牛</t>
    <phoneticPr fontId="3" type="noConversion"/>
  </si>
  <si>
    <t>營運需要</t>
    <phoneticPr fontId="3" type="noConversion"/>
  </si>
  <si>
    <t>競爭需要</t>
    <phoneticPr fontId="3" type="noConversion"/>
  </si>
  <si>
    <t>產品線擴增</t>
    <phoneticPr fontId="3" type="noConversion"/>
  </si>
  <si>
    <t>比較利益模型</t>
    <phoneticPr fontId="3" type="noConversion"/>
  </si>
  <si>
    <t>費用預算3部分</t>
    <phoneticPr fontId="3" type="noConversion"/>
  </si>
  <si>
    <t>直接人工費用預算</t>
    <phoneticPr fontId="3" type="noConversion"/>
  </si>
  <si>
    <t>輔助服務費用預算</t>
    <phoneticPr fontId="3" type="noConversion"/>
  </si>
  <si>
    <t>採購物品費用預算</t>
    <phoneticPr fontId="3" type="noConversion"/>
  </si>
  <si>
    <t>成本類別4分類</t>
    <phoneticPr fontId="3" type="noConversion"/>
  </si>
  <si>
    <t>發生次數：重複/不重複</t>
    <phoneticPr fontId="3" type="noConversion"/>
  </si>
  <si>
    <t>類型:直接/間接</t>
    <phoneticPr fontId="3" type="noConversion"/>
  </si>
  <si>
    <t>行為模式:變動/固定</t>
    <phoneticPr fontId="3" type="noConversion"/>
  </si>
  <si>
    <t>功能:發展/執行作業/維護</t>
    <phoneticPr fontId="3" type="noConversion"/>
  </si>
  <si>
    <t>Juran品質三部曲</t>
    <phoneticPr fontId="3" type="noConversion"/>
  </si>
  <si>
    <t>品質規劃</t>
    <phoneticPr fontId="3" type="noConversion"/>
  </si>
  <si>
    <t>品質管制</t>
    <phoneticPr fontId="3" type="noConversion"/>
  </si>
  <si>
    <t>品質改善</t>
    <phoneticPr fontId="3" type="noConversion"/>
  </si>
  <si>
    <t>軟體品質模式開發階段</t>
    <phoneticPr fontId="3" type="noConversion"/>
  </si>
  <si>
    <t>整體性</t>
    <phoneticPr fontId="3" type="noConversion"/>
  </si>
  <si>
    <t>使用姓</t>
    <phoneticPr fontId="3" type="noConversion"/>
  </si>
  <si>
    <t>可靠性</t>
    <phoneticPr fontId="3" type="noConversion"/>
  </si>
  <si>
    <t>存活姓</t>
    <phoneticPr fontId="3" type="noConversion"/>
  </si>
  <si>
    <t>確認顧客</t>
    <phoneticPr fontId="3" type="noConversion"/>
  </si>
  <si>
    <t>發現顧客需求</t>
    <phoneticPr fontId="3" type="noConversion"/>
  </si>
  <si>
    <t>開發產品特色</t>
    <phoneticPr fontId="3" type="noConversion"/>
  </si>
  <si>
    <t>開發製成特色</t>
    <phoneticPr fontId="3" type="noConversion"/>
  </si>
  <si>
    <t>建立製程管制</t>
    <phoneticPr fontId="3" type="noConversion"/>
  </si>
  <si>
    <t>品質保證(QA)</t>
    <phoneticPr fontId="3" type="noConversion"/>
  </si>
  <si>
    <t>協助建立程序標準</t>
    <phoneticPr fontId="3" type="noConversion"/>
  </si>
  <si>
    <t>確保達成預定產品品質目標</t>
    <phoneticPr fontId="3" type="noConversion"/>
  </si>
  <si>
    <t>評估是否與預定標準與流程一致</t>
    <phoneticPr fontId="3" type="noConversion"/>
  </si>
  <si>
    <t>確實掌握品質狀況，適時採取修正行動</t>
    <phoneticPr fontId="3" type="noConversion"/>
  </si>
  <si>
    <t>持續不斷提升品質</t>
    <phoneticPr fontId="3" type="noConversion"/>
  </si>
  <si>
    <t>專案稽核考量3因素</t>
    <phoneticPr fontId="3" type="noConversion"/>
  </si>
  <si>
    <t>稽核深度</t>
    <phoneticPr fontId="3" type="noConversion"/>
  </si>
  <si>
    <t>稽核時機</t>
    <phoneticPr fontId="3" type="noConversion"/>
  </si>
  <si>
    <t>專案稽核小組之公信力、可靠性及專業度等</t>
    <phoneticPr fontId="3" type="noConversion"/>
  </si>
  <si>
    <t>專案文件種類</t>
    <phoneticPr fontId="3" type="noConversion"/>
  </si>
  <si>
    <t>專案紀錄</t>
    <phoneticPr fontId="3" type="noConversion"/>
  </si>
  <si>
    <t>專案報告</t>
    <phoneticPr fontId="3" type="noConversion"/>
  </si>
  <si>
    <t>專案簡報</t>
    <phoneticPr fontId="3" type="noConversion"/>
  </si>
  <si>
    <t>專案計劃書</t>
    <phoneticPr fontId="3" type="noConversion"/>
  </si>
  <si>
    <t>工作結果</t>
    <phoneticPr fontId="3" type="noConversion"/>
  </si>
  <si>
    <t>專案會議記錄4要求</t>
    <phoneticPr fontId="3" type="noConversion"/>
  </si>
  <si>
    <t>完整性</t>
    <phoneticPr fontId="3" type="noConversion"/>
  </si>
  <si>
    <t>正確性</t>
    <phoneticPr fontId="3" type="noConversion"/>
  </si>
  <si>
    <t>執行姓</t>
    <phoneticPr fontId="3" type="noConversion"/>
  </si>
  <si>
    <t>分工姓</t>
    <phoneticPr fontId="3" type="noConversion"/>
  </si>
  <si>
    <t>專案控制3介面</t>
    <phoneticPr fontId="3" type="noConversion"/>
  </si>
  <si>
    <t>人員介面</t>
    <phoneticPr fontId="3" type="noConversion"/>
  </si>
  <si>
    <t>組織介面</t>
    <phoneticPr fontId="3" type="noConversion"/>
  </si>
  <si>
    <t>系統介面</t>
    <phoneticPr fontId="3" type="noConversion"/>
  </si>
  <si>
    <t>實獲值管理執行10步驟</t>
    <phoneticPr fontId="3" type="noConversion"/>
  </si>
  <si>
    <t>建立完整WBS</t>
    <phoneticPr fontId="3" type="noConversion"/>
  </si>
  <si>
    <t>建立OBS</t>
    <phoneticPr fontId="3" type="noConversion"/>
  </si>
  <si>
    <t>建立責任分派矩陣(RAM)</t>
    <phoneticPr fontId="3" type="noConversion"/>
  </si>
  <si>
    <t>指派管制帳戶經理管理管制帳戶</t>
    <phoneticPr fontId="3" type="noConversion"/>
  </si>
  <si>
    <t>撰寫WBS說明表</t>
    <phoneticPr fontId="3" type="noConversion"/>
  </si>
  <si>
    <t>計算專案成本，建立成本分解結構</t>
    <phoneticPr fontId="3" type="noConversion"/>
  </si>
  <si>
    <t>執行整合基準審查，建立績效評量基準</t>
    <phoneticPr fontId="3" type="noConversion"/>
  </si>
  <si>
    <t>計算實獲值及實際成本</t>
    <phoneticPr fontId="3" type="noConversion"/>
  </si>
  <si>
    <t>計算變異及實獲值管理績效指標</t>
    <phoneticPr fontId="3" type="noConversion"/>
  </si>
  <si>
    <t>品質稽核</t>
    <phoneticPr fontId="3" type="noConversion"/>
  </si>
  <si>
    <t>指結構化且獨立審查決定專案活動是否符合組織及專案政策、流程及程序</t>
    <phoneticPr fontId="3" type="noConversion"/>
  </si>
  <si>
    <t>流程分析</t>
    <phoneticPr fontId="3" type="noConversion"/>
  </si>
  <si>
    <t>根據流程改善計畫摘要步驟從組織及技術立場辨識所需之改善</t>
    <phoneticPr fontId="3" type="noConversion"/>
  </si>
  <si>
    <t>專案審查</t>
    <phoneticPr fontId="3" type="noConversion"/>
  </si>
  <si>
    <t>針對成本時程及品質等管理或技術性問題進行檢驗，找出問題並適時解決</t>
    <phoneticPr fontId="3" type="noConversion"/>
  </si>
  <si>
    <t>專案稽核</t>
    <phoneticPr fontId="3" type="noConversion"/>
  </si>
  <si>
    <t>最正式的專案評量形式，掌握專案工作品質、目前經費及時程管制等正確完整全貌</t>
    <phoneticPr fontId="3" type="noConversion"/>
  </si>
  <si>
    <t>設計審查</t>
    <phoneticPr fontId="3" type="noConversion"/>
  </si>
  <si>
    <t>透過專案正式會議依據專案各個生命週期階段之目標設立審查點</t>
    <phoneticPr fontId="3" type="noConversion"/>
  </si>
  <si>
    <t>資源撫平(Resources leveling)：經常改變要逕，改變活動時程</t>
    <phoneticPr fontId="3" type="noConversion"/>
  </si>
  <si>
    <t>資源平滑(Resources smoothing)：不改變要逕，利用自由浮時與總浮時內調整</t>
    <phoneticPr fontId="3" type="noConversion"/>
  </si>
  <si>
    <t>資源優化(時程優化)</t>
    <phoneticPr fontId="3" type="noConversion"/>
  </si>
  <si>
    <t>責任分派矩陣RAM</t>
    <phoneticPr fontId="3" type="noConversion"/>
  </si>
  <si>
    <t>工具與技術</t>
    <phoneticPr fontId="3" type="noConversion"/>
  </si>
  <si>
    <t>工具</t>
  </si>
  <si>
    <t>更新</t>
  </si>
  <si>
    <t>過程：</t>
    <phoneticPr fontId="3" type="noConversion"/>
  </si>
  <si>
    <r>
      <rPr>
        <sz val="12"/>
        <color theme="1"/>
        <rFont val="新細明體"/>
        <family val="2"/>
        <charset val="136"/>
      </rPr>
      <t>過程組</t>
    </r>
    <r>
      <rPr>
        <sz val="12"/>
        <color theme="1"/>
        <rFont val="新細明體"/>
        <family val="2"/>
        <charset val="136"/>
        <scheme val="minor"/>
      </rPr>
      <t>：</t>
    </r>
    <phoneticPr fontId="3" type="noConversion"/>
  </si>
  <si>
    <t>小記</t>
    <phoneticPr fontId="3" type="noConversion"/>
  </si>
  <si>
    <t>過程</t>
    <phoneticPr fontId="3" type="noConversion"/>
  </si>
  <si>
    <t>細分排程工作及賦予資源</t>
    <phoneticPr fontId="3" type="noConversion"/>
  </si>
  <si>
    <t>資料呈現工具</t>
    <phoneticPr fontId="3" type="noConversion"/>
  </si>
  <si>
    <t>組織過程資產</t>
    <phoneticPr fontId="3" type="noConversion"/>
  </si>
  <si>
    <t>採購策略</t>
    <phoneticPr fontId="3" type="noConversion"/>
  </si>
  <si>
    <t>交付方法</t>
    <phoneticPr fontId="3" type="noConversion"/>
  </si>
  <si>
    <t>契約付款類型</t>
    <phoneticPr fontId="3" type="noConversion"/>
  </si>
  <si>
    <t>採購階段</t>
    <phoneticPr fontId="3" type="noConversion"/>
  </si>
  <si>
    <t>3:交付方法、契約付款類型、採購階段</t>
    <phoneticPr fontId="3" type="noConversion"/>
  </si>
  <si>
    <t>4:採購工作說明書、獨立成本估算、投(招)標文件(RFI、RFQ、RFP)、商源評選準則(成本、品質、技術、獨家資源)</t>
    <phoneticPr fontId="3" type="noConversion"/>
  </si>
  <si>
    <t>執行採購、管制採購</t>
    <phoneticPr fontId="3" type="noConversion"/>
  </si>
  <si>
    <t>d決定04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</si>
</sst>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2"/>
      <color theme="1"/>
      <name val="新細明體"/>
      <family val="2"/>
      <charset val="136"/>
      <scheme val="minor"/>
    </font>
    <font>
      <b/>
      <sz val="9"/>
      <color rgb="FF333333"/>
      <name val="Arial"/>
      <family val="2"/>
    </font>
    <font>
      <sz val="9"/>
      <color rgb="FF333333"/>
      <name val="Arial"/>
      <family val="2"/>
    </font>
    <font>
      <sz val="9"/>
      <name val="新細明體"/>
      <family val="2"/>
      <charset val="136"/>
      <scheme val="minor"/>
    </font>
    <font>
      <sz val="9"/>
      <color rgb="FF333333"/>
      <name val="細明體"/>
      <family val="3"/>
      <charset val="136"/>
    </font>
    <font>
      <b/>
      <sz val="36"/>
      <color theme="1"/>
      <name val="新細明體"/>
      <family val="1"/>
      <charset val="136"/>
      <scheme val="minor"/>
    </font>
    <font>
      <b/>
      <sz val="48"/>
      <color theme="1"/>
      <name val="新細明體"/>
      <family val="1"/>
      <charset val="136"/>
      <scheme val="minor"/>
    </font>
    <font>
      <sz val="36"/>
      <color theme="3"/>
      <name val="新細明體"/>
      <family val="2"/>
      <charset val="136"/>
      <scheme val="maj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2"/>
      <charset val="136"/>
    </font>
    <font>
      <sz val="26"/>
      <color theme="1"/>
      <name val="新細明體"/>
      <family val="1"/>
      <charset val="136"/>
      <scheme val="minor"/>
    </font>
    <font>
      <b/>
      <sz val="24"/>
      <color theme="3"/>
      <name val="新細明體"/>
      <family val="2"/>
      <charset val="136"/>
      <scheme val="minor"/>
    </font>
    <font>
      <sz val="28"/>
      <name val="新細明體"/>
      <family val="1"/>
      <charset val="136"/>
      <scheme val="major"/>
    </font>
    <font>
      <sz val="28"/>
      <name val="新細明體"/>
      <family val="1"/>
      <charset val="136"/>
      <scheme val="minor"/>
    </font>
    <font>
      <b/>
      <sz val="28"/>
      <color theme="1"/>
      <name val="新細明體"/>
      <family val="1"/>
      <charset val="136"/>
      <scheme val="minor"/>
    </font>
    <font>
      <sz val="28"/>
      <color theme="3"/>
      <name val="新細明體"/>
      <family val="2"/>
      <charset val="136"/>
      <scheme val="major"/>
    </font>
    <font>
      <sz val="28"/>
      <color theme="3"/>
      <name val="新細明體"/>
      <family val="1"/>
      <charset val="136"/>
      <scheme val="major"/>
    </font>
    <font>
      <sz val="26"/>
      <color theme="3"/>
      <name val="新細明體"/>
      <family val="2"/>
      <charset val="136"/>
      <scheme val="major"/>
    </font>
    <font>
      <sz val="26"/>
      <color theme="3"/>
      <name val="新細明體"/>
      <family val="1"/>
      <charset val="136"/>
      <scheme val="major"/>
    </font>
    <font>
      <u/>
      <sz val="12"/>
      <color theme="10"/>
      <name val="新細明體"/>
      <family val="2"/>
      <charset val="136"/>
      <scheme val="minor"/>
    </font>
    <font>
      <u/>
      <sz val="36"/>
      <color rgb="FF002060"/>
      <name val="新細明體"/>
      <family val="1"/>
      <charset val="136"/>
      <scheme val="minor"/>
    </font>
    <font>
      <sz val="36"/>
      <color rgb="FF002060"/>
      <name val="新細明體"/>
      <family val="1"/>
      <charset val="136"/>
      <scheme val="major"/>
    </font>
    <font>
      <sz val="36"/>
      <color rgb="FF002060"/>
      <name val="新細明體"/>
      <family val="2"/>
      <charset val="136"/>
      <scheme val="major"/>
    </font>
    <font>
      <sz val="12"/>
      <color rgb="FF002060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5" tint="-0.249977111117893"/>
      <name val="新細明體"/>
      <family val="2"/>
      <charset val="136"/>
      <scheme val="minor"/>
    </font>
    <font>
      <sz val="12"/>
      <color theme="4" tint="-0.249977111117893"/>
      <name val="新細明體"/>
      <family val="2"/>
      <charset val="136"/>
      <scheme val="minor"/>
    </font>
    <font>
      <sz val="12"/>
      <color theme="9" tint="-0.499984740745262"/>
      <name val="新細明體"/>
      <family val="2"/>
      <charset val="136"/>
      <scheme val="minor"/>
    </font>
    <font>
      <sz val="12"/>
      <color rgb="FF00B0F0"/>
      <name val="新細明體"/>
      <family val="2"/>
      <charset val="136"/>
      <scheme val="minor"/>
    </font>
    <font>
      <sz val="12"/>
      <color rgb="FF7030A0"/>
      <name val="新細明體"/>
      <family val="2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2"/>
      <charset val="136"/>
      <scheme val="minor"/>
    </font>
    <font>
      <sz val="12"/>
      <color rgb="FF00B0F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sz val="12"/>
      <color theme="5" tint="-0.24997711111789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rgb="FF002060"/>
      <name val="新細明體"/>
      <family val="1"/>
      <charset val="136"/>
      <scheme val="minor"/>
    </font>
    <font>
      <sz val="12"/>
      <name val="新細明體"/>
      <family val="1"/>
      <charset val="136"/>
      <scheme val="major"/>
    </font>
    <font>
      <sz val="12"/>
      <color theme="3"/>
      <name val="新細明體"/>
      <family val="1"/>
      <charset val="136"/>
      <scheme val="major"/>
    </font>
    <font>
      <u/>
      <sz val="12"/>
      <color rgb="FF002060"/>
      <name val="新細明體"/>
      <family val="2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ACC8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medium">
        <color rgb="FF729EA5"/>
      </left>
      <right style="medium">
        <color rgb="FF729EA5"/>
      </right>
      <top style="medium">
        <color rgb="FF729EA5"/>
      </top>
      <bottom style="medium">
        <color rgb="FF729EA5"/>
      </bottom>
      <diagonal/>
    </border>
    <border>
      <left style="medium">
        <color rgb="FF729EA5"/>
      </left>
      <right/>
      <top style="medium">
        <color rgb="FF729EA5"/>
      </top>
      <bottom/>
      <diagonal/>
    </border>
    <border>
      <left/>
      <right style="medium">
        <color rgb="FF729EA5"/>
      </right>
      <top style="medium">
        <color rgb="FF729EA5"/>
      </top>
      <bottom/>
      <diagonal/>
    </border>
    <border>
      <left style="medium">
        <color rgb="FF729EA5"/>
      </left>
      <right/>
      <top/>
      <bottom style="medium">
        <color rgb="FF729EA5"/>
      </bottom>
      <diagonal/>
    </border>
    <border>
      <left/>
      <right style="medium">
        <color rgb="FF729EA5"/>
      </right>
      <top/>
      <bottom style="medium">
        <color rgb="FF729EA5"/>
      </bottom>
      <diagonal/>
    </border>
    <border>
      <left style="medium">
        <color rgb="FF729EA5"/>
      </left>
      <right style="medium">
        <color rgb="FF729EA5"/>
      </right>
      <top style="medium">
        <color rgb="FF729EA5"/>
      </top>
      <bottom/>
      <diagonal/>
    </border>
    <border>
      <left style="medium">
        <color rgb="FF729EA5"/>
      </left>
      <right style="medium">
        <color rgb="FF729EA5"/>
      </right>
      <top/>
      <bottom style="medium">
        <color rgb="FF729EA5"/>
      </bottom>
      <diagonal/>
    </border>
    <border>
      <left style="medium">
        <color rgb="FF729EA5"/>
      </left>
      <right style="medium">
        <color rgb="FF729EA5"/>
      </right>
      <top/>
      <bottom/>
      <diagonal/>
    </border>
    <border>
      <left/>
      <right/>
      <top style="medium">
        <color rgb="FF729EA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rgb="FF00B0F0"/>
      </top>
      <bottom style="thin">
        <color indexed="64"/>
      </bottom>
      <diagonal/>
    </border>
    <border>
      <left/>
      <right style="thin">
        <color indexed="64"/>
      </right>
      <top style="double">
        <color rgb="FF00B0F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rgb="FF00B0F0"/>
      </bottom>
      <diagonal/>
    </border>
    <border>
      <left/>
      <right/>
      <top style="thin">
        <color auto="1"/>
      </top>
      <bottom style="double">
        <color rgb="FF00B0F0"/>
      </bottom>
      <diagonal/>
    </border>
    <border>
      <left/>
      <right style="thin">
        <color auto="1"/>
      </right>
      <top style="thin">
        <color auto="1"/>
      </top>
      <bottom style="double">
        <color rgb="FF00B0F0"/>
      </bottom>
      <diagonal/>
    </border>
  </borders>
  <cellStyleXfs count="5">
    <xf numFmtId="0" fontId="0" fillId="0" borderId="0">
      <alignment vertical="center"/>
    </xf>
    <xf numFmtId="0" fontId="7" fillId="0" borderId="22" applyNumberFormat="0" applyFill="0" applyProtection="0">
      <alignment horizontal="center" vertical="center" wrapText="1"/>
    </xf>
    <xf numFmtId="0" fontId="13" fillId="0" borderId="16" applyNumberFormat="0" applyFill="0" applyProtection="0">
      <alignment vertical="center" wrapText="1"/>
    </xf>
    <xf numFmtId="0" fontId="17" fillId="0" borderId="22" applyFont="0">
      <alignment horizontal="center" vertical="center" wrapText="1" shrinkToFit="1"/>
    </xf>
    <xf numFmtId="0" fontId="21" fillId="0" borderId="0" applyNumberForma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0" fillId="2" borderId="3" xfId="0" applyFill="1" applyBorder="1">
      <alignment vertical="center"/>
    </xf>
    <xf numFmtId="0" fontId="0" fillId="2" borderId="5" xfId="0" applyFill="1" applyBorder="1">
      <alignment vertical="center"/>
    </xf>
    <xf numFmtId="0" fontId="2" fillId="2" borderId="6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0" fillId="2" borderId="2" xfId="0" applyFill="1" applyBorder="1">
      <alignment vertical="center"/>
    </xf>
    <xf numFmtId="0" fontId="0" fillId="2" borderId="9" xfId="0" applyFill="1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4" borderId="10" xfId="0" applyFill="1" applyBorder="1">
      <alignment vertical="center"/>
    </xf>
    <xf numFmtId="0" fontId="0" fillId="4" borderId="10" xfId="0" applyFill="1" applyBorder="1" applyAlignment="1">
      <alignment horizontal="left" vertical="center" shrinkToFit="1"/>
    </xf>
    <xf numFmtId="0" fontId="0" fillId="0" borderId="10" xfId="0" applyBorder="1" applyAlignment="1">
      <alignment horizontal="left" vertical="center" shrinkToFit="1"/>
    </xf>
    <xf numFmtId="0" fontId="0" fillId="0" borderId="10" xfId="0" applyBorder="1" applyAlignment="1">
      <alignment vertical="center" shrinkToFit="1"/>
    </xf>
    <xf numFmtId="0" fontId="0" fillId="4" borderId="10" xfId="0" applyFill="1" applyBorder="1" applyAlignment="1">
      <alignment vertical="center" shrinkToFit="1"/>
    </xf>
    <xf numFmtId="0" fontId="0" fillId="4" borderId="10" xfId="0" applyFill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2" xfId="0" applyBorder="1" applyAlignment="1">
      <alignment horizontal="left" vertical="center" shrinkToFit="1"/>
    </xf>
    <xf numFmtId="49" fontId="0" fillId="0" borderId="10" xfId="0" applyNumberFormat="1" applyBorder="1">
      <alignment vertical="center"/>
    </xf>
    <xf numFmtId="0" fontId="0" fillId="0" borderId="11" xfId="0" applyBorder="1" applyAlignment="1">
      <alignment vertical="center" shrinkToFit="1"/>
    </xf>
    <xf numFmtId="0" fontId="0" fillId="0" borderId="0" xfId="0" applyAlignment="1">
      <alignment vertical="center" wrapText="1"/>
    </xf>
    <xf numFmtId="0" fontId="0" fillId="0" borderId="12" xfId="0" applyBorder="1" applyAlignment="1">
      <alignment vertical="center" shrinkToFit="1"/>
    </xf>
    <xf numFmtId="0" fontId="0" fillId="4" borderId="11" xfId="0" applyFill="1" applyBorder="1" applyAlignment="1">
      <alignment vertical="center" shrinkToFit="1"/>
    </xf>
    <xf numFmtId="0" fontId="8" fillId="0" borderId="10" xfId="0" applyFont="1" applyBorder="1" applyAlignment="1">
      <alignment horizontal="left" vertical="center" shrinkToFit="1"/>
    </xf>
    <xf numFmtId="0" fontId="9" fillId="4" borderId="10" xfId="0" applyFont="1" applyFill="1" applyBorder="1" applyAlignment="1">
      <alignment horizontal="left" vertical="center" shrinkToFit="1"/>
    </xf>
    <xf numFmtId="0" fontId="9" fillId="0" borderId="10" xfId="0" applyFont="1" applyBorder="1" applyAlignment="1">
      <alignment vertical="center" shrinkToFit="1"/>
    </xf>
    <xf numFmtId="0" fontId="9" fillId="4" borderId="10" xfId="0" applyFont="1" applyFill="1" applyBorder="1" applyAlignment="1">
      <alignment vertical="center" shrinkToFit="1"/>
    </xf>
    <xf numFmtId="0" fontId="9" fillId="0" borderId="10" xfId="0" applyFont="1" applyBorder="1" applyAlignment="1">
      <alignment horizontal="left" vertical="center" shrinkToFit="1"/>
    </xf>
    <xf numFmtId="0" fontId="9" fillId="0" borderId="11" xfId="0" applyFont="1" applyBorder="1" applyAlignment="1">
      <alignment vertical="center" shrinkToFit="1"/>
    </xf>
    <xf numFmtId="0" fontId="10" fillId="4" borderId="10" xfId="0" applyFont="1" applyFill="1" applyBorder="1" applyAlignment="1">
      <alignment horizontal="left" vertical="center" shrinkToFit="1"/>
    </xf>
    <xf numFmtId="0" fontId="12" fillId="0" borderId="0" xfId="0" applyFont="1" applyAlignment="1">
      <alignment vertical="center" wrapText="1"/>
    </xf>
    <xf numFmtId="0" fontId="7" fillId="0" borderId="10" xfId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left" vertical="center" shrinkToFit="1"/>
    </xf>
    <xf numFmtId="0" fontId="8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1" fillId="0" borderId="0" xfId="0" applyFont="1" applyAlignment="1">
      <alignment horizontal="center" vertical="center"/>
    </xf>
    <xf numFmtId="0" fontId="7" fillId="0" borderId="15" xfId="1" applyBorder="1" applyAlignment="1">
      <alignment horizontal="center" vertical="center" shrinkToFit="1"/>
    </xf>
    <xf numFmtId="0" fontId="8" fillId="0" borderId="10" xfId="0" applyFont="1" applyBorder="1" applyAlignment="1">
      <alignment vertical="center" shrinkToFi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vertical="center" shrinkToFit="1"/>
    </xf>
    <xf numFmtId="0" fontId="9" fillId="0" borderId="10" xfId="0" applyFont="1" applyBorder="1" applyAlignment="1">
      <alignment horizontal="left" vertical="center" shrinkToFit="1"/>
    </xf>
    <xf numFmtId="0" fontId="0" fillId="0" borderId="12" xfId="0" applyBorder="1" applyAlignment="1">
      <alignment horizontal="left" vertical="center" shrinkToFi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shrinkToFit="1"/>
    </xf>
    <xf numFmtId="0" fontId="8" fillId="4" borderId="10" xfId="0" applyFont="1" applyFill="1" applyBorder="1">
      <alignment vertical="center"/>
    </xf>
    <xf numFmtId="0" fontId="0" fillId="6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9" fillId="4" borderId="10" xfId="0" applyFont="1" applyFill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7" fillId="0" borderId="15" xfId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6" fillId="0" borderId="15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4" fillId="0" borderId="10" xfId="1" applyFont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center" wrapText="1"/>
    </xf>
    <xf numFmtId="0" fontId="7" fillId="0" borderId="10" xfId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2" xfId="0" applyBorder="1" applyAlignment="1">
      <alignment horizontal="left" vertical="center" shrinkToFit="1"/>
    </xf>
    <xf numFmtId="0" fontId="0" fillId="0" borderId="11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9" fillId="0" borderId="10" xfId="0" applyFont="1" applyBorder="1" applyAlignment="1">
      <alignment horizontal="left" vertical="center" shrinkToFit="1"/>
    </xf>
    <xf numFmtId="0" fontId="0" fillId="0" borderId="10" xfId="0" applyBorder="1" applyAlignment="1">
      <alignment horizontal="center" vertical="center"/>
    </xf>
    <xf numFmtId="0" fontId="0" fillId="4" borderId="11" xfId="0" applyFill="1" applyBorder="1" applyAlignment="1">
      <alignment horizontal="left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28" xfId="0" applyFill="1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0" fillId="4" borderId="28" xfId="0" applyFill="1" applyBorder="1" applyAlignment="1">
      <alignment vertical="center" shrinkToFit="1"/>
    </xf>
    <xf numFmtId="0" fontId="8" fillId="0" borderId="28" xfId="0" applyFont="1" applyBorder="1" applyAlignment="1">
      <alignment horizontal="left" vertical="center" shrinkToFit="1"/>
    </xf>
    <xf numFmtId="0" fontId="9" fillId="4" borderId="28" xfId="0" applyFont="1" applyFill="1" applyBorder="1" applyAlignment="1">
      <alignment horizontal="left" vertical="center" shrinkToFit="1"/>
    </xf>
    <xf numFmtId="0" fontId="9" fillId="0" borderId="28" xfId="0" applyFont="1" applyBorder="1" applyAlignment="1">
      <alignment horizontal="left" vertical="center" shrinkToFit="1"/>
    </xf>
    <xf numFmtId="0" fontId="9" fillId="0" borderId="24" xfId="0" applyFont="1" applyBorder="1" applyAlignment="1">
      <alignment vertical="center" shrinkToFit="1"/>
    </xf>
    <xf numFmtId="0" fontId="0" fillId="0" borderId="28" xfId="0" applyBorder="1" applyAlignment="1">
      <alignment vertical="center" shrinkToFit="1"/>
    </xf>
    <xf numFmtId="0" fontId="9" fillId="0" borderId="28" xfId="0" applyFont="1" applyBorder="1" applyAlignment="1">
      <alignment vertical="center" shrinkToFit="1"/>
    </xf>
    <xf numFmtId="0" fontId="0" fillId="4" borderId="24" xfId="0" applyFill="1" applyBorder="1" applyAlignment="1">
      <alignment horizontal="left" vertical="center"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top" wrapText="1"/>
    </xf>
    <xf numFmtId="0" fontId="0" fillId="0" borderId="0" xfId="0" applyBorder="1">
      <alignment vertical="center"/>
    </xf>
    <xf numFmtId="0" fontId="0" fillId="0" borderId="21" xfId="0" applyBorder="1">
      <alignment vertical="center"/>
    </xf>
    <xf numFmtId="0" fontId="0" fillId="0" borderId="20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17" xfId="0" applyBorder="1">
      <alignment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7" borderId="10" xfId="0" applyFill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24" fillId="0" borderId="23" xfId="1" applyFont="1" applyBorder="1" applyAlignment="1">
      <alignment horizontal="center" vertical="center" shrinkToFit="1"/>
    </xf>
    <xf numFmtId="0" fontId="23" fillId="0" borderId="11" xfId="1" applyFont="1" applyBorder="1" applyAlignment="1">
      <alignment horizontal="center" vertical="center" shrinkToFit="1"/>
    </xf>
    <xf numFmtId="0" fontId="25" fillId="0" borderId="14" xfId="0" applyFont="1" applyBorder="1" applyAlignment="1">
      <alignment horizontal="center" vertical="center" shrinkToFit="1"/>
    </xf>
    <xf numFmtId="0" fontId="23" fillId="0" borderId="14" xfId="1" applyFont="1" applyBorder="1" applyAlignment="1">
      <alignment horizontal="center" vertical="center" shrinkToFit="1"/>
    </xf>
    <xf numFmtId="0" fontId="25" fillId="0" borderId="12" xfId="0" applyFont="1" applyBorder="1" applyAlignment="1">
      <alignment horizontal="center" vertical="center" shrinkToFit="1"/>
    </xf>
    <xf numFmtId="0" fontId="25" fillId="0" borderId="23" xfId="0" applyFont="1" applyBorder="1" applyAlignment="1">
      <alignment horizontal="center" vertical="center" shrinkToFit="1"/>
    </xf>
    <xf numFmtId="0" fontId="25" fillId="0" borderId="11" xfId="0" applyFont="1" applyBorder="1" applyAlignment="1">
      <alignment horizontal="center" vertical="center" shrinkToFit="1"/>
    </xf>
    <xf numFmtId="0" fontId="25" fillId="0" borderId="25" xfId="0" applyFont="1" applyBorder="1" applyAlignment="1">
      <alignment horizontal="center" vertical="center" shrinkToFit="1"/>
    </xf>
    <xf numFmtId="0" fontId="23" fillId="0" borderId="25" xfId="1" applyFont="1" applyBorder="1" applyAlignment="1">
      <alignment horizontal="center" vertical="center" shrinkToFit="1"/>
    </xf>
    <xf numFmtId="0" fontId="25" fillId="0" borderId="13" xfId="0" applyFont="1" applyBorder="1" applyAlignment="1">
      <alignment horizontal="center" vertical="center" shrinkToFit="1"/>
    </xf>
    <xf numFmtId="0" fontId="25" fillId="0" borderId="15" xfId="0" applyFont="1" applyBorder="1" applyAlignment="1">
      <alignment horizontal="center" vertical="center" shrinkToFit="1"/>
    </xf>
    <xf numFmtId="0" fontId="23" fillId="0" borderId="15" xfId="1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11" fillId="0" borderId="0" xfId="0" applyFont="1">
      <alignment vertical="center"/>
    </xf>
    <xf numFmtId="0" fontId="0" fillId="8" borderId="10" xfId="0" applyFill="1" applyBorder="1">
      <alignment vertical="center"/>
    </xf>
    <xf numFmtId="0" fontId="8" fillId="8" borderId="10" xfId="0" applyFont="1" applyFill="1" applyBorder="1">
      <alignment vertical="center"/>
    </xf>
    <xf numFmtId="0" fontId="0" fillId="5" borderId="10" xfId="0" applyFill="1" applyBorder="1">
      <alignment vertical="center"/>
    </xf>
    <xf numFmtId="0" fontId="8" fillId="5" borderId="10" xfId="0" applyFont="1" applyFill="1" applyBorder="1">
      <alignment vertical="center"/>
    </xf>
    <xf numFmtId="0" fontId="9" fillId="5" borderId="10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0" fontId="26" fillId="0" borderId="0" xfId="0" applyFont="1" applyAlignment="1">
      <alignment vertical="center" shrinkToFit="1"/>
    </xf>
    <xf numFmtId="0" fontId="27" fillId="0" borderId="0" xfId="0" applyFont="1" applyAlignment="1">
      <alignment vertical="center" shrinkToFit="1"/>
    </xf>
    <xf numFmtId="0" fontId="28" fillId="0" borderId="0" xfId="0" applyFont="1" applyAlignment="1">
      <alignment vertical="center" shrinkToFit="1"/>
    </xf>
    <xf numFmtId="0" fontId="26" fillId="0" borderId="0" xfId="0" applyFont="1" applyAlignment="1">
      <alignment horizontal="left" vertical="center" shrinkToFit="1"/>
    </xf>
    <xf numFmtId="0" fontId="29" fillId="0" borderId="0" xfId="0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0" fontId="10" fillId="0" borderId="0" xfId="0" applyFont="1" applyAlignment="1">
      <alignment horizontal="left" vertical="center" shrinkToFit="1"/>
    </xf>
    <xf numFmtId="0" fontId="30" fillId="0" borderId="0" xfId="0" applyFont="1" applyAlignment="1">
      <alignment vertical="center" shrinkToFit="1"/>
    </xf>
    <xf numFmtId="0" fontId="31" fillId="0" borderId="0" xfId="0" applyFont="1" applyAlignment="1">
      <alignment vertical="center" shrinkToFi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vertical="center" shrinkToFit="1"/>
    </xf>
    <xf numFmtId="0" fontId="32" fillId="0" borderId="0" xfId="0" applyFont="1" applyAlignment="1">
      <alignment horizontal="left" vertical="center" shrinkToFit="1"/>
    </xf>
    <xf numFmtId="0" fontId="33" fillId="0" borderId="0" xfId="0" applyFont="1" applyAlignment="1">
      <alignment vertical="center" shrinkToFit="1"/>
    </xf>
    <xf numFmtId="0" fontId="33" fillId="0" borderId="0" xfId="0" applyFont="1" applyAlignment="1">
      <alignment horizontal="left" vertical="center" shrinkToFit="1"/>
    </xf>
    <xf numFmtId="0" fontId="30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 shrinkToFit="1"/>
    </xf>
    <xf numFmtId="0" fontId="34" fillId="0" borderId="0" xfId="0" applyFont="1" applyAlignment="1">
      <alignment horizontal="left" vertical="center" shrinkToFit="1"/>
    </xf>
    <xf numFmtId="0" fontId="35" fillId="0" borderId="0" xfId="0" applyFont="1" applyAlignment="1">
      <alignment vertical="center" shrinkToFit="1"/>
    </xf>
    <xf numFmtId="0" fontId="36" fillId="0" borderId="0" xfId="0" applyFont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37" fillId="0" borderId="10" xfId="0" applyFont="1" applyBorder="1" applyAlignment="1">
      <alignment horizontal="center" vertical="center"/>
    </xf>
    <xf numFmtId="0" fontId="40" fillId="0" borderId="10" xfId="1" applyFont="1" applyBorder="1" applyAlignment="1">
      <alignment vertical="center" shrinkToFit="1"/>
    </xf>
    <xf numFmtId="0" fontId="40" fillId="0" borderId="10" xfId="1" applyFont="1" applyBorder="1" applyAlignment="1">
      <alignment horizontal="center" vertical="center" shrinkToFit="1"/>
    </xf>
    <xf numFmtId="0" fontId="0" fillId="0" borderId="0" xfId="0" applyAlignment="1">
      <alignment horizontal="left" vertical="top" shrinkToFit="1"/>
    </xf>
    <xf numFmtId="0" fontId="0" fillId="0" borderId="0" xfId="0" applyAlignment="1">
      <alignment horizontal="center" vertical="top" shrinkToFit="1"/>
    </xf>
    <xf numFmtId="0" fontId="11" fillId="0" borderId="10" xfId="0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left" vertical="center" shrinkToFit="1"/>
    </xf>
    <xf numFmtId="20" fontId="0" fillId="0" borderId="0" xfId="0" applyNumberFormat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9" fillId="0" borderId="22" xfId="4" applyFont="1" applyBorder="1" applyAlignment="1">
      <alignment horizontal="center" vertical="center" shrinkToFit="1"/>
    </xf>
    <xf numFmtId="0" fontId="41" fillId="0" borderId="10" xfId="1" applyFont="1" applyBorder="1" applyAlignment="1">
      <alignment horizontal="center" vertical="center" shrinkToFit="1"/>
    </xf>
    <xf numFmtId="0" fontId="40" fillId="0" borderId="10" xfId="1" applyFont="1" applyBorder="1" applyAlignment="1">
      <alignment horizontal="center" vertical="center" shrinkToFit="1"/>
    </xf>
    <xf numFmtId="0" fontId="38" fillId="0" borderId="10" xfId="0" applyFont="1" applyBorder="1" applyAlignment="1">
      <alignment horizontal="center" vertical="center"/>
    </xf>
    <xf numFmtId="0" fontId="38" fillId="0" borderId="10" xfId="0" applyFont="1" applyBorder="1" applyAlignment="1">
      <alignment horizontal="center" vertical="center" wrapText="1"/>
    </xf>
    <xf numFmtId="0" fontId="39" fillId="0" borderId="32" xfId="4" applyFont="1" applyBorder="1" applyAlignment="1">
      <alignment horizontal="center" vertical="center" shrinkToFit="1"/>
    </xf>
    <xf numFmtId="0" fontId="39" fillId="0" borderId="33" xfId="4" applyFont="1" applyBorder="1" applyAlignment="1">
      <alignment horizontal="center" vertical="center" shrinkToFit="1"/>
    </xf>
    <xf numFmtId="0" fontId="39" fillId="0" borderId="34" xfId="4" applyFont="1" applyBorder="1" applyAlignment="1">
      <alignment horizontal="center" vertical="center" shrinkToFit="1"/>
    </xf>
    <xf numFmtId="0" fontId="42" fillId="0" borderId="22" xfId="4" applyFont="1" applyBorder="1" applyAlignment="1">
      <alignment horizontal="center" vertical="center" shrinkToFit="1"/>
    </xf>
    <xf numFmtId="0" fontId="38" fillId="0" borderId="11" xfId="0" applyFont="1" applyBorder="1" applyAlignment="1">
      <alignment horizontal="center" vertical="center" wrapText="1" shrinkToFit="1"/>
    </xf>
    <xf numFmtId="0" fontId="38" fillId="0" borderId="12" xfId="0" applyFont="1" applyBorder="1" applyAlignment="1">
      <alignment horizontal="center" vertical="center" wrapText="1" shrinkToFit="1"/>
    </xf>
    <xf numFmtId="0" fontId="6" fillId="0" borderId="15" xfId="0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shrinkToFit="1"/>
    </xf>
    <xf numFmtId="0" fontId="7" fillId="0" borderId="10" xfId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12" xfId="0" applyFont="1" applyBorder="1" applyAlignment="1">
      <alignment horizontal="center" vertical="center" wrapText="1" shrinkToFit="1"/>
    </xf>
    <xf numFmtId="0" fontId="22" fillId="0" borderId="22" xfId="4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22" fillId="0" borderId="32" xfId="4" applyFont="1" applyBorder="1" applyAlignment="1">
      <alignment horizontal="center" vertical="center" wrapText="1"/>
    </xf>
    <xf numFmtId="0" fontId="22" fillId="0" borderId="33" xfId="4" applyFont="1" applyBorder="1" applyAlignment="1">
      <alignment horizontal="center" vertical="center" wrapText="1"/>
    </xf>
    <xf numFmtId="0" fontId="22" fillId="0" borderId="34" xfId="4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7" fillId="0" borderId="22" xfId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11" xfId="0" applyBorder="1" applyAlignment="1">
      <alignment horizontal="left" vertical="center" shrinkToFit="1"/>
    </xf>
    <xf numFmtId="0" fontId="0" fillId="0" borderId="13" xfId="0" applyBorder="1" applyAlignment="1">
      <alignment horizontal="left" vertical="center" shrinkToFit="1"/>
    </xf>
    <xf numFmtId="0" fontId="0" fillId="0" borderId="12" xfId="0" applyBorder="1" applyAlignment="1">
      <alignment horizontal="left" vertical="center" shrinkToFit="1"/>
    </xf>
    <xf numFmtId="0" fontId="9" fillId="0" borderId="11" xfId="0" applyFont="1" applyBorder="1" applyAlignment="1">
      <alignment horizontal="left" vertical="center" shrinkToFit="1"/>
    </xf>
    <xf numFmtId="0" fontId="9" fillId="0" borderId="13" xfId="0" applyFont="1" applyBorder="1" applyAlignment="1">
      <alignment horizontal="left" vertical="center" shrinkToFit="1"/>
    </xf>
    <xf numFmtId="0" fontId="9" fillId="0" borderId="12" xfId="0" applyFon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9" fillId="0" borderId="11" xfId="0" applyFont="1" applyBorder="1" applyAlignment="1">
      <alignment horizontal="center" vertical="center" shrinkToFit="1"/>
    </xf>
    <xf numFmtId="0" fontId="9" fillId="0" borderId="13" xfId="0" applyFont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 shrinkToFit="1"/>
    </xf>
    <xf numFmtId="0" fontId="8" fillId="0" borderId="11" xfId="0" applyFont="1" applyBorder="1" applyAlignment="1">
      <alignment horizontal="left" vertical="center" shrinkToFit="1"/>
    </xf>
    <xf numFmtId="0" fontId="9" fillId="0" borderId="10" xfId="0" applyFont="1" applyBorder="1" applyAlignment="1">
      <alignment horizontal="left" vertical="center" shrinkToFit="1"/>
    </xf>
    <xf numFmtId="0" fontId="5" fillId="0" borderId="10" xfId="0" applyFont="1" applyBorder="1" applyAlignment="1">
      <alignment horizontal="center" vertical="center" wrapText="1"/>
    </xf>
    <xf numFmtId="0" fontId="17" fillId="0" borderId="22" xfId="3" applyFont="1">
      <alignment horizontal="center" vertical="center" wrapText="1" shrinkToFit="1"/>
    </xf>
    <xf numFmtId="0" fontId="19" fillId="0" borderId="22" xfId="3" applyFont="1">
      <alignment horizontal="center" vertical="center" wrapText="1" shrinkToFit="1"/>
    </xf>
    <xf numFmtId="0" fontId="20" fillId="0" borderId="22" xfId="3" applyFont="1">
      <alignment horizontal="center" vertical="center" wrapText="1" shrinkToFit="1"/>
    </xf>
    <xf numFmtId="0" fontId="18" fillId="0" borderId="22" xfId="3" applyFont="1">
      <alignment horizontal="center" vertical="center" wrapText="1" shrinkToFit="1"/>
    </xf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left" vertical="center" shrinkToFit="1"/>
    </xf>
    <xf numFmtId="0" fontId="0" fillId="0" borderId="24" xfId="0" applyBorder="1" applyAlignment="1">
      <alignment vertical="center" shrinkToFit="1"/>
    </xf>
    <xf numFmtId="0" fontId="0" fillId="0" borderId="10" xfId="0" applyBorder="1" applyAlignment="1">
      <alignment horizontal="left" vertical="center" shrinkToFit="1"/>
    </xf>
    <xf numFmtId="0" fontId="8" fillId="0" borderId="24" xfId="0" applyFont="1" applyBorder="1" applyAlignment="1">
      <alignment horizontal="left" vertical="center" shrinkToFit="1"/>
    </xf>
    <xf numFmtId="0" fontId="9" fillId="0" borderId="24" xfId="0" applyFont="1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1" fillId="3" borderId="7" xfId="0" applyFont="1" applyFill="1" applyBorder="1" applyAlignment="1">
      <alignment horizontal="left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vertical="center" wrapText="1"/>
    </xf>
  </cellXfs>
  <cellStyles count="5">
    <cellStyle name="一般" xfId="0" builtinId="0"/>
    <cellStyle name="超連結" xfId="4" builtinId="8"/>
    <cellStyle name="標題" xfId="1" builtinId="15" customBuiltin="1"/>
    <cellStyle name="標題 1" xfId="2" builtinId="16" customBuiltin="1"/>
    <cellStyle name="標題橫" xfId="3"/>
  </cellStyles>
  <dxfs count="9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FFFF00"/>
        </patternFill>
      </fill>
    </dxf>
    <dxf>
      <font>
        <color rgb="FF00B050"/>
      </font>
    </dxf>
    <dxf>
      <font>
        <color rgb="FF00B0F0"/>
      </font>
    </dxf>
    <dxf>
      <font>
        <color rgb="FFFF0000"/>
      </font>
    </dxf>
    <dxf>
      <font>
        <color rgb="FF7030A0"/>
      </font>
    </dxf>
    <dxf>
      <font>
        <color theme="5" tint="-0.24994659260841701"/>
      </font>
    </dxf>
    <dxf>
      <font>
        <color theme="4" tint="-0.24994659260841701"/>
      </font>
    </dxf>
    <dxf>
      <font>
        <color rgb="FF00B050"/>
      </font>
    </dxf>
    <dxf>
      <font>
        <color rgb="FF00B0F0"/>
      </font>
    </dxf>
    <dxf>
      <font>
        <color rgb="FFFF0000"/>
      </font>
    </dxf>
    <dxf>
      <font>
        <color rgb="FF7030A0"/>
      </font>
    </dxf>
    <dxf>
      <font>
        <color auto="1"/>
      </font>
      <fill>
        <patternFill patternType="solid"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00B050"/>
      </font>
    </dxf>
    <dxf>
      <font>
        <color rgb="FF00B0F0"/>
      </font>
    </dxf>
    <dxf>
      <font>
        <color rgb="FFFF0000"/>
      </font>
    </dxf>
    <dxf>
      <font>
        <color rgb="FF7030A0"/>
      </font>
    </dxf>
    <dxf>
      <font>
        <color theme="5" tint="-0.24994659260841701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7030A0"/>
      </font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表格樣式 1" pivot="0" count="1">
      <tableStyleElement type="secondColumnStripe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439270</xdr:colOff>
      <xdr:row>0</xdr:row>
      <xdr:rowOff>74091</xdr:rowOff>
    </xdr:from>
    <xdr:to>
      <xdr:col>8</xdr:col>
      <xdr:colOff>22678</xdr:colOff>
      <xdr:row>2</xdr:row>
      <xdr:rowOff>117929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64627" y="74091"/>
          <a:ext cx="2658622" cy="4974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選取要查看的專案文件及工具與技術</a:t>
          </a:r>
          <a:endParaRPr lang="en-US" altLang="zh-TW" sz="1100"/>
        </a:p>
        <a:p>
          <a:r>
            <a:rPr lang="zh-TW" altLang="en-US" sz="1100"/>
            <a:t>次項目若無法選取代表無次項目</a:t>
          </a:r>
        </a:p>
      </xdr:txBody>
    </xdr:sp>
    <xdr:clientData/>
  </xdr:twoCellAnchor>
  <xdr:twoCellAnchor>
    <xdr:from>
      <xdr:col>3</xdr:col>
      <xdr:colOff>1079126</xdr:colOff>
      <xdr:row>5</xdr:row>
      <xdr:rowOff>143915</xdr:rowOff>
    </xdr:from>
    <xdr:to>
      <xdr:col>5</xdr:col>
      <xdr:colOff>123451</xdr:colOff>
      <xdr:row>6</xdr:row>
      <xdr:rowOff>220436</xdr:rowOff>
    </xdr:to>
    <xdr:sp macro="[0]!清除資料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82726" y="1248815"/>
          <a:ext cx="1228725" cy="29242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清除資料</a:t>
          </a:r>
        </a:p>
      </xdr:txBody>
    </xdr:sp>
    <xdr:clientData/>
  </xdr:twoCellAnchor>
  <xdr:twoCellAnchor>
    <xdr:from>
      <xdr:col>4</xdr:col>
      <xdr:colOff>5603</xdr:colOff>
      <xdr:row>1</xdr:row>
      <xdr:rowOff>17556</xdr:rowOff>
    </xdr:from>
    <xdr:to>
      <xdr:col>5</xdr:col>
      <xdr:colOff>127000</xdr:colOff>
      <xdr:row>2</xdr:row>
      <xdr:rowOff>76573</xdr:rowOff>
    </xdr:to>
    <xdr:sp macro="[0]!清除資料2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501403" y="233456"/>
          <a:ext cx="1213597" cy="293967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清除資料</a:t>
          </a:r>
        </a:p>
      </xdr:txBody>
    </xdr:sp>
    <xdr:clientData/>
  </xdr:twoCellAnchor>
  <xdr:twoCellAnchor>
    <xdr:from>
      <xdr:col>5</xdr:col>
      <xdr:colOff>401170</xdr:colOff>
      <xdr:row>5</xdr:row>
      <xdr:rowOff>8776</xdr:rowOff>
    </xdr:from>
    <xdr:to>
      <xdr:col>7</xdr:col>
      <xdr:colOff>1009649</xdr:colOff>
      <xdr:row>7</xdr:row>
      <xdr:rowOff>52614</xdr:rowOff>
    </xdr:to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A6818FBB-DCA2-4ADE-9718-F1FCAAB9D01A}"/>
            </a:ext>
          </a:extLst>
        </xdr:cNvPr>
        <xdr:cNvSpPr txBox="1"/>
      </xdr:nvSpPr>
      <xdr:spPr>
        <a:xfrm>
          <a:off x="5526527" y="1124562"/>
          <a:ext cx="2658622" cy="4974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選取要查看的過程、知識領域、過程組顯示元件匯總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35358</xdr:colOff>
      <xdr:row>0</xdr:row>
      <xdr:rowOff>0</xdr:rowOff>
    </xdr:from>
    <xdr:to>
      <xdr:col>1</xdr:col>
      <xdr:colOff>3820822</xdr:colOff>
      <xdr:row>1</xdr:row>
      <xdr:rowOff>47625</xdr:rowOff>
    </xdr:to>
    <xdr:sp macro="" textlink="s01d_查找文字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358" y="0"/>
          <a:ext cx="6123419" cy="105208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ED30BBE-FAB1-407A-9454-14AE315839F3}" type="TxLink">
            <a:rPr lang="zh-TW" altLang="en-US" sz="12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文件： 
工具： </a:t>
          </a:fld>
          <a:endParaRPr lang="zh-TW" altLang="en-US" sz="4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2</xdr:col>
      <xdr:colOff>869951</xdr:colOff>
      <xdr:row>1</xdr:row>
      <xdr:rowOff>161924</xdr:rowOff>
    </xdr:to>
    <xdr:sp macro="" textlink="s01d_查找文字">
      <xdr:nvSpPr>
        <xdr:cNvPr id="4" name="文字方塊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0" y="50800"/>
          <a:ext cx="3409951" cy="107632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F72F639-007D-418A-95B7-D621DB5AF115}" type="TxLink">
            <a:rPr lang="zh-TW" altLang="en-US" sz="24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文件： 
工具： </a:t>
          </a:fld>
          <a:endParaRPr lang="zh-TW" altLang="en-US" sz="4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565005</xdr:colOff>
      <xdr:row>1</xdr:row>
      <xdr:rowOff>43295</xdr:rowOff>
    </xdr:to>
    <xdr:sp macro="" textlink="s01d_查找文字">
      <xdr:nvSpPr>
        <xdr:cNvPr id="3" name="文字方塊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0" y="0"/>
          <a:ext cx="5881687" cy="10477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3C87ED8-A4EB-4E29-B2F9-64458A10AC59}" type="TxLink">
            <a:rPr lang="zh-TW" altLang="en-US" sz="24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文件： 
工具： </a:t>
          </a:fld>
          <a:endParaRPr lang="zh-TW" altLang="en-US" sz="4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19049</xdr:rowOff>
    </xdr:from>
    <xdr:to>
      <xdr:col>5</xdr:col>
      <xdr:colOff>509587</xdr:colOff>
      <xdr:row>1</xdr:row>
      <xdr:rowOff>123472</xdr:rowOff>
    </xdr:to>
    <xdr:sp macro="" textlink="s01d_查找文字">
      <xdr:nvSpPr>
        <xdr:cNvPr id="2" name="文字方塊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7150" y="19049"/>
          <a:ext cx="5408965" cy="91581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3C87ED8-A4EB-4E29-B2F9-64458A10AC59}" type="TxLink">
            <a:rPr lang="zh-TW" altLang="en-US" sz="20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文件： 
工具： </a:t>
          </a:fld>
          <a:endParaRPr lang="zh-TW" altLang="en-US" sz="34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299359</xdr:colOff>
      <xdr:row>0</xdr:row>
      <xdr:rowOff>0</xdr:rowOff>
    </xdr:from>
    <xdr:to>
      <xdr:col>20</xdr:col>
      <xdr:colOff>449037</xdr:colOff>
      <xdr:row>1</xdr:row>
      <xdr:rowOff>81643</xdr:rowOff>
    </xdr:to>
    <xdr:sp macro="" textlink="s01d_查找文字">
      <xdr:nvSpPr>
        <xdr:cNvPr id="2" name="文字方塊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0150930" y="0"/>
          <a:ext cx="4286250" cy="7620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3C87ED8-A4EB-4E29-B2F9-64458A10AC59}" type="TxLink">
            <a:rPr lang="zh-TW" altLang="en-US" sz="20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文件： 
工具： </a:t>
          </a:fld>
          <a:endParaRPr lang="zh-TW" altLang="en-US" sz="34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142875</xdr:rowOff>
    </xdr:from>
    <xdr:to>
      <xdr:col>3</xdr:col>
      <xdr:colOff>933450</xdr:colOff>
      <xdr:row>16</xdr:row>
      <xdr:rowOff>142875</xdr:rowOff>
    </xdr:to>
    <xdr:sp macro="" textlink="s01d_查找文字">
      <xdr:nvSpPr>
        <xdr:cNvPr id="2" name="文字方塊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0" y="2867025"/>
          <a:ext cx="3171825" cy="62865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3C87ED8-A4EB-4E29-B2F9-64458A10AC59}" type="TxLink">
            <a:rPr lang="zh-TW" altLang="en-US" sz="1400" b="0" i="0" u="none" strike="noStrike">
              <a:solidFill>
                <a:srgbClr val="000000"/>
              </a:solidFill>
              <a:latin typeface="新細明體"/>
              <a:ea typeface="新細明體"/>
            </a:rPr>
            <a:pPr/>
            <a:t>文件： 
工具： </a:t>
          </a:fld>
          <a:endParaRPr lang="zh-TW" altLang="en-US" sz="199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U102"/>
  <sheetViews>
    <sheetView topLeftCell="A22" zoomScale="85" zoomScaleNormal="85" workbookViewId="0">
      <selection activeCell="L29" sqref="L29"/>
    </sheetView>
  </sheetViews>
  <sheetFormatPr defaultRowHeight="16.5" x14ac:dyDescent="0.25"/>
  <sheetData>
    <row r="1" spans="1:21" ht="16.5" customHeight="1" x14ac:dyDescent="0.25">
      <c r="A1" s="93">
        <f>IF(s01_查找2="",s01_查找1,s01_查找2)</f>
        <v>0</v>
      </c>
      <c r="B1" s="26" t="str">
        <f>"文件："&amp;s01_查找1&amp;CHAR(32)&amp;s01_查找2&amp;CHAR(10)&amp;"工具："&amp;s01_工具1&amp;CHAR(32)&amp;s01_工具2</f>
        <v xml:space="preserve">文件： 
工具： </v>
      </c>
      <c r="C1" s="92" t="s">
        <v>2</v>
      </c>
      <c r="D1" s="92" t="s">
        <v>3</v>
      </c>
      <c r="E1" s="92" t="s">
        <v>4</v>
      </c>
      <c r="F1" s="92" t="s">
        <v>296</v>
      </c>
      <c r="G1" s="92" t="s">
        <v>6</v>
      </c>
      <c r="H1" s="92" t="s">
        <v>916</v>
      </c>
      <c r="I1" s="92"/>
      <c r="J1" s="92"/>
      <c r="K1" s="92" t="s">
        <v>274</v>
      </c>
      <c r="L1" s="92" t="s">
        <v>283</v>
      </c>
      <c r="M1" s="92" t="s">
        <v>284</v>
      </c>
      <c r="N1" s="92" t="s">
        <v>285</v>
      </c>
      <c r="O1" s="92" t="s">
        <v>286</v>
      </c>
      <c r="P1" s="92" t="s">
        <v>287</v>
      </c>
      <c r="Q1" s="92" t="s">
        <v>288</v>
      </c>
      <c r="R1" s="92" t="s">
        <v>289</v>
      </c>
      <c r="S1" s="92" t="s">
        <v>290</v>
      </c>
      <c r="T1" s="92" t="s">
        <v>292</v>
      </c>
      <c r="U1" s="92" t="s">
        <v>916</v>
      </c>
    </row>
    <row r="2" spans="1:21" x14ac:dyDescent="0.25">
      <c r="A2" t="s">
        <v>722</v>
      </c>
      <c r="B2" s="92" t="s">
        <v>720</v>
      </c>
      <c r="C2" s="92" t="e">
        <f>INDEX(m03_All,MATCH(s01d_查找,m03_全IOT,0)+1,(MATCH(C$1:U$1,m03_過程組知識組件,0)))</f>
        <v>#N/A</v>
      </c>
      <c r="D2" s="92" t="e">
        <f>INDEX(m03_All,MATCH(s01d_查找,m03_全IOT,0)+1,(MATCH(D1:V1,m03_過程組知識組件,0)))</f>
        <v>#N/A</v>
      </c>
      <c r="E2" s="92" t="e">
        <f>INDEX(m03_All,MATCH(s01d_查找,m03_全IOT,0)+1,(MATCH(E1:W1,m03_過程組知識組件,0)))</f>
        <v>#N/A</v>
      </c>
      <c r="F2" s="92" t="e">
        <f>INDEX(m03_All,MATCH(s01d_查找,m03_全IOT,0)+1,(MATCH(F1:X1,m03_過程組知識組件,0)))</f>
        <v>#N/A</v>
      </c>
      <c r="G2" s="92" t="e">
        <f>INDEX(m03_All,MATCH(s01d_查找,m03_全IOT,0)+1,(MATCH(G1:Y1,m03_過程組知識組件,0)))</f>
        <v>#N/A</v>
      </c>
      <c r="H2" s="92" t="e">
        <f>INDEX(m03_All,MATCH(s01d_查找,m03_全IOT,0)+1,(MATCH(H1:Z1,m03_過程組知識組件,0)))</f>
        <v>#N/A</v>
      </c>
      <c r="I2" s="92" t="s">
        <v>723</v>
      </c>
      <c r="J2" s="92" t="s">
        <v>720</v>
      </c>
      <c r="K2" s="92" t="e">
        <f t="shared" ref="K2:U2" si="0">INDEX(m03_All,MATCH(s01d_查找,m03_全IOT,0)+1,(MATCH(K$1:AC$1,m03_過程組知識組件,0)))</f>
        <v>#N/A</v>
      </c>
      <c r="L2" s="92" t="e">
        <f t="shared" si="0"/>
        <v>#N/A</v>
      </c>
      <c r="M2" s="92" t="e">
        <f t="shared" si="0"/>
        <v>#N/A</v>
      </c>
      <c r="N2" s="92" t="e">
        <f t="shared" si="0"/>
        <v>#N/A</v>
      </c>
      <c r="O2" s="92" t="e">
        <f t="shared" si="0"/>
        <v>#N/A</v>
      </c>
      <c r="P2" s="92" t="e">
        <f t="shared" si="0"/>
        <v>#N/A</v>
      </c>
      <c r="Q2" s="92" t="e">
        <f t="shared" si="0"/>
        <v>#N/A</v>
      </c>
      <c r="R2" s="92" t="e">
        <f t="shared" si="0"/>
        <v>#N/A</v>
      </c>
      <c r="S2" s="92" t="e">
        <f t="shared" si="0"/>
        <v>#N/A</v>
      </c>
      <c r="T2" s="92" t="e">
        <f t="shared" si="0"/>
        <v>#N/A</v>
      </c>
      <c r="U2" s="92" t="e">
        <f t="shared" si="0"/>
        <v>#N/A</v>
      </c>
    </row>
    <row r="3" spans="1:21" x14ac:dyDescent="0.25">
      <c r="B3" s="92" t="s">
        <v>719</v>
      </c>
      <c r="C3" s="92" t="e">
        <f t="shared" ref="C3:H3" si="1">INDEX(m03_All,MATCH(s01d_查找,m03_全IOT,0),(MATCH(C$1:U$1,m03_過程組知識組件,0)))</f>
        <v>#N/A</v>
      </c>
      <c r="D3" s="92" t="e">
        <f t="shared" si="1"/>
        <v>#N/A</v>
      </c>
      <c r="E3" s="92" t="e">
        <f t="shared" si="1"/>
        <v>#N/A</v>
      </c>
      <c r="F3" s="92" t="e">
        <f t="shared" si="1"/>
        <v>#N/A</v>
      </c>
      <c r="G3" s="92" t="e">
        <f t="shared" si="1"/>
        <v>#N/A</v>
      </c>
      <c r="H3" s="92" t="e">
        <f t="shared" si="1"/>
        <v>#N/A</v>
      </c>
      <c r="I3" s="92"/>
      <c r="J3" s="92" t="s">
        <v>719</v>
      </c>
      <c r="K3" s="92" t="e">
        <f t="shared" ref="K3:U3" si="2">INDEX(m03_All,MATCH(s01d_查找,m03_全IOT,0),(MATCH(K$1:AC$1,m03_過程組知識組件,0)))</f>
        <v>#N/A</v>
      </c>
      <c r="L3" s="92" t="e">
        <f t="shared" si="2"/>
        <v>#N/A</v>
      </c>
      <c r="M3" s="92" t="e">
        <f t="shared" si="2"/>
        <v>#N/A</v>
      </c>
      <c r="N3" s="92" t="e">
        <f t="shared" si="2"/>
        <v>#N/A</v>
      </c>
      <c r="O3" s="92" t="e">
        <f t="shared" si="2"/>
        <v>#N/A</v>
      </c>
      <c r="P3" s="92" t="e">
        <f t="shared" si="2"/>
        <v>#N/A</v>
      </c>
      <c r="Q3" s="92" t="e">
        <f t="shared" si="2"/>
        <v>#N/A</v>
      </c>
      <c r="R3" s="92" t="e">
        <f t="shared" si="2"/>
        <v>#N/A</v>
      </c>
      <c r="S3" s="92" t="e">
        <f t="shared" si="2"/>
        <v>#N/A</v>
      </c>
      <c r="T3" s="92" t="e">
        <f t="shared" si="2"/>
        <v>#N/A</v>
      </c>
      <c r="U3" s="92" t="e">
        <f t="shared" si="2"/>
        <v>#N/A</v>
      </c>
    </row>
    <row r="4" spans="1:21" x14ac:dyDescent="0.25">
      <c r="B4" s="92" t="s">
        <v>721</v>
      </c>
      <c r="C4" s="92" t="e">
        <f t="shared" ref="C4:H4" si="3">INDEX(m03_All,MATCH(s01d_查找,m03_全IOT,0)+2,(MATCH(C$1:U$1,m03_過程組知識組件,0)))</f>
        <v>#N/A</v>
      </c>
      <c r="D4" s="92" t="e">
        <f t="shared" si="3"/>
        <v>#N/A</v>
      </c>
      <c r="E4" s="92" t="e">
        <f t="shared" si="3"/>
        <v>#N/A</v>
      </c>
      <c r="F4" s="92" t="e">
        <f t="shared" si="3"/>
        <v>#N/A</v>
      </c>
      <c r="G4" s="92" t="e">
        <f t="shared" si="3"/>
        <v>#N/A</v>
      </c>
      <c r="H4" s="92" t="e">
        <f t="shared" si="3"/>
        <v>#N/A</v>
      </c>
      <c r="I4" s="92"/>
      <c r="J4" s="92" t="s">
        <v>721</v>
      </c>
      <c r="K4" s="92" t="e">
        <f t="shared" ref="K4:U4" si="4">INDEX(m03_All,MATCH(s01d_查找,m03_全IOT,0)+2,(MATCH(K$1:AC$1,m03_過程組知識組件,0)))</f>
        <v>#N/A</v>
      </c>
      <c r="L4" s="92" t="e">
        <f t="shared" si="4"/>
        <v>#N/A</v>
      </c>
      <c r="M4" s="92" t="e">
        <f t="shared" si="4"/>
        <v>#N/A</v>
      </c>
      <c r="N4" s="92" t="e">
        <f t="shared" si="4"/>
        <v>#N/A</v>
      </c>
      <c r="O4" s="92" t="e">
        <f t="shared" si="4"/>
        <v>#N/A</v>
      </c>
      <c r="P4" s="92" t="e">
        <f t="shared" si="4"/>
        <v>#N/A</v>
      </c>
      <c r="Q4" s="92" t="e">
        <f t="shared" si="4"/>
        <v>#N/A</v>
      </c>
      <c r="R4" s="92" t="e">
        <f t="shared" si="4"/>
        <v>#N/A</v>
      </c>
      <c r="S4" s="92" t="e">
        <f t="shared" si="4"/>
        <v>#N/A</v>
      </c>
      <c r="T4" s="92" t="e">
        <f t="shared" si="4"/>
        <v>#N/A</v>
      </c>
      <c r="U4" s="92" t="e">
        <f t="shared" si="4"/>
        <v>#N/A</v>
      </c>
    </row>
    <row r="5" spans="1:21" s="59" customFormat="1" ht="16.5" customHeight="1" x14ac:dyDescent="0.25">
      <c r="A5" s="59" t="s">
        <v>728</v>
      </c>
      <c r="B5" s="96" t="s">
        <v>914</v>
      </c>
      <c r="C5" s="195" t="e">
        <f>INDEX(m03_All,MATCH(s01d_查找,m03_全IOT,0),20)</f>
        <v>#N/A</v>
      </c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5"/>
      <c r="S5" s="195"/>
      <c r="T5" s="195"/>
      <c r="U5" s="195"/>
    </row>
    <row r="6" spans="1:21" s="59" customFormat="1" ht="16.5" customHeight="1" x14ac:dyDescent="0.25">
      <c r="B6" s="96" t="s">
        <v>719</v>
      </c>
      <c r="C6" s="195" t="e">
        <f>INDEX(m03_All,MATCH(s01d_查找,m03_全IOT,0)+1,20)</f>
        <v>#N/A</v>
      </c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</row>
    <row r="7" spans="1:21" s="59" customFormat="1" x14ac:dyDescent="0.25">
      <c r="B7" s="96" t="s">
        <v>915</v>
      </c>
      <c r="C7" s="195" t="e">
        <f>INDEX(m03_All,MATCH(s01d_查找,m03_全IOT,0)+2,20)</f>
        <v>#N/A</v>
      </c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</row>
    <row r="8" spans="1:21" x14ac:dyDescent="0.25">
      <c r="A8" s="59" t="s">
        <v>1441</v>
      </c>
      <c r="B8" s="59" t="str">
        <f>_xlfn.IFNA(s01d_查找_產出,)&amp;_xlfn.IFNA(s01d_查找_投入,)&amp;_xlfn.IFNA(s01d_查找_更新,)&amp;_xlfn.IFNA(s01_工具_組件,)</f>
        <v/>
      </c>
    </row>
    <row r="9" spans="1:21" x14ac:dyDescent="0.25">
      <c r="B9" s="78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</row>
    <row r="10" spans="1:21" x14ac:dyDescent="0.25">
      <c r="B10" s="92"/>
      <c r="C10" s="92" t="s">
        <v>2</v>
      </c>
      <c r="D10" s="92" t="s">
        <v>3</v>
      </c>
      <c r="E10" s="92" t="s">
        <v>4</v>
      </c>
      <c r="F10" s="92" t="s">
        <v>296</v>
      </c>
      <c r="G10" s="92" t="s">
        <v>6</v>
      </c>
      <c r="H10" s="92" t="s">
        <v>916</v>
      </c>
      <c r="I10" s="92"/>
      <c r="J10" s="92"/>
      <c r="K10" s="92" t="s">
        <v>274</v>
      </c>
      <c r="L10" s="92" t="s">
        <v>283</v>
      </c>
      <c r="M10" s="92" t="s">
        <v>284</v>
      </c>
      <c r="N10" s="92" t="s">
        <v>285</v>
      </c>
      <c r="O10" s="92" t="s">
        <v>286</v>
      </c>
      <c r="P10" s="92" t="s">
        <v>287</v>
      </c>
      <c r="Q10" s="92" t="s">
        <v>288</v>
      </c>
      <c r="R10" s="92" t="s">
        <v>289</v>
      </c>
      <c r="S10" s="92" t="s">
        <v>290</v>
      </c>
      <c r="T10" s="92" t="s">
        <v>292</v>
      </c>
      <c r="U10" s="92" t="s">
        <v>916</v>
      </c>
    </row>
    <row r="11" spans="1:21" x14ac:dyDescent="0.25">
      <c r="A11" t="s">
        <v>65</v>
      </c>
      <c r="B11" s="92" t="s">
        <v>720</v>
      </c>
      <c r="C11" s="92" t="e">
        <f t="shared" ref="C11:H11" si="5">INDEX(m03_All,MATCH(s01_查找2,m03_全IOT,0)+1,(MATCH(C10:U10,m03_過程組知識組件,0)))</f>
        <v>#N/A</v>
      </c>
      <c r="D11" s="92" t="e">
        <f t="shared" si="5"/>
        <v>#N/A</v>
      </c>
      <c r="E11" s="92" t="e">
        <f t="shared" si="5"/>
        <v>#N/A</v>
      </c>
      <c r="F11" s="92" t="e">
        <f t="shared" si="5"/>
        <v>#N/A</v>
      </c>
      <c r="G11" s="92" t="e">
        <f t="shared" si="5"/>
        <v>#N/A</v>
      </c>
      <c r="H11" s="92" t="e">
        <f t="shared" si="5"/>
        <v>#N/A</v>
      </c>
      <c r="I11" s="92" t="s">
        <v>66</v>
      </c>
      <c r="J11" s="60" t="s">
        <v>719</v>
      </c>
      <c r="K11" s="92" t="e">
        <f t="shared" ref="K11:U11" si="6">INDEX(m03_All,MATCH(s01_查找2,m03_全IOT,0)+1,(MATCH(K10:AC10,m03_過程組知識組件,0)))</f>
        <v>#N/A</v>
      </c>
      <c r="L11" s="92" t="e">
        <f t="shared" si="6"/>
        <v>#N/A</v>
      </c>
      <c r="M11" s="92" t="e">
        <f t="shared" si="6"/>
        <v>#N/A</v>
      </c>
      <c r="N11" s="92" t="e">
        <f t="shared" si="6"/>
        <v>#N/A</v>
      </c>
      <c r="O11" s="92" t="e">
        <f t="shared" si="6"/>
        <v>#N/A</v>
      </c>
      <c r="P11" s="92" t="e">
        <f t="shared" si="6"/>
        <v>#N/A</v>
      </c>
      <c r="Q11" s="92" t="e">
        <f t="shared" si="6"/>
        <v>#N/A</v>
      </c>
      <c r="R11" s="92" t="e">
        <f t="shared" si="6"/>
        <v>#N/A</v>
      </c>
      <c r="S11" s="92" t="e">
        <f t="shared" si="6"/>
        <v>#N/A</v>
      </c>
      <c r="T11" s="92" t="e">
        <f t="shared" si="6"/>
        <v>#N/A</v>
      </c>
      <c r="U11" s="92" t="e">
        <f t="shared" si="6"/>
        <v>#N/A</v>
      </c>
    </row>
    <row r="12" spans="1:21" x14ac:dyDescent="0.25">
      <c r="B12" s="92" t="s">
        <v>719</v>
      </c>
      <c r="C12" s="92" t="e">
        <f t="shared" ref="C12:H12" si="7">INDEX(m03_All,MATCH(s01_查找2,m03_全IOT,0),(MATCH(C10:U10,m03_過程組知識組件,0)))</f>
        <v>#N/A</v>
      </c>
      <c r="D12" s="92" t="e">
        <f t="shared" si="7"/>
        <v>#N/A</v>
      </c>
      <c r="E12" s="92" t="e">
        <f t="shared" si="7"/>
        <v>#N/A</v>
      </c>
      <c r="F12" s="92" t="e">
        <f t="shared" si="7"/>
        <v>#N/A</v>
      </c>
      <c r="G12" s="92" t="e">
        <f t="shared" si="7"/>
        <v>#N/A</v>
      </c>
      <c r="H12" s="92" t="e">
        <f t="shared" si="7"/>
        <v>#N/A</v>
      </c>
      <c r="I12" s="92"/>
      <c r="J12" s="92" t="s">
        <v>720</v>
      </c>
      <c r="K12" s="92" t="e">
        <f t="shared" ref="K12:U12" si="8">INDEX(m03_All,MATCH(s01_查找2,m03_全IOT,0),(MATCH(K10:AC10,m03_過程組知識組件,0)))</f>
        <v>#N/A</v>
      </c>
      <c r="L12" s="92" t="e">
        <f t="shared" si="8"/>
        <v>#N/A</v>
      </c>
      <c r="M12" s="92" t="e">
        <f t="shared" si="8"/>
        <v>#N/A</v>
      </c>
      <c r="N12" s="92" t="e">
        <f t="shared" si="8"/>
        <v>#N/A</v>
      </c>
      <c r="O12" s="92" t="e">
        <f t="shared" si="8"/>
        <v>#N/A</v>
      </c>
      <c r="P12" s="92" t="e">
        <f t="shared" si="8"/>
        <v>#N/A</v>
      </c>
      <c r="Q12" s="92" t="e">
        <f t="shared" si="8"/>
        <v>#N/A</v>
      </c>
      <c r="R12" s="92" t="e">
        <f t="shared" si="8"/>
        <v>#N/A</v>
      </c>
      <c r="S12" s="92" t="e">
        <f t="shared" si="8"/>
        <v>#N/A</v>
      </c>
      <c r="T12" s="92" t="e">
        <f t="shared" si="8"/>
        <v>#N/A</v>
      </c>
      <c r="U12" s="92" t="e">
        <f t="shared" si="8"/>
        <v>#N/A</v>
      </c>
    </row>
    <row r="13" spans="1:21" x14ac:dyDescent="0.25">
      <c r="B13" s="92" t="s">
        <v>721</v>
      </c>
      <c r="C13" s="92" t="e">
        <f t="shared" ref="C13:H13" si="9">INDEX(m03_All,MATCH(s01_查找2,m03_全IOT,0)+2,(MATCH(C10:U10,m03_過程組知識組件,0)))</f>
        <v>#N/A</v>
      </c>
      <c r="D13" s="92" t="e">
        <f t="shared" si="9"/>
        <v>#N/A</v>
      </c>
      <c r="E13" s="92" t="e">
        <f t="shared" si="9"/>
        <v>#N/A</v>
      </c>
      <c r="F13" s="92" t="e">
        <f t="shared" si="9"/>
        <v>#N/A</v>
      </c>
      <c r="G13" s="92" t="e">
        <f t="shared" si="9"/>
        <v>#N/A</v>
      </c>
      <c r="H13" s="92" t="e">
        <f t="shared" si="9"/>
        <v>#N/A</v>
      </c>
      <c r="I13" s="92"/>
      <c r="J13" s="92" t="s">
        <v>721</v>
      </c>
      <c r="K13" s="92" t="e">
        <f t="shared" ref="K13:U13" si="10">INDEX(m03_All,MATCH(s01_查找2,m03_全IOT,0)+2,(MATCH(K10:AC10,m03_過程組知識組件,0)))</f>
        <v>#N/A</v>
      </c>
      <c r="L13" s="92" t="e">
        <f t="shared" si="10"/>
        <v>#N/A</v>
      </c>
      <c r="M13" s="92" t="e">
        <f t="shared" si="10"/>
        <v>#N/A</v>
      </c>
      <c r="N13" s="92" t="e">
        <f t="shared" si="10"/>
        <v>#N/A</v>
      </c>
      <c r="O13" s="92" t="e">
        <f t="shared" si="10"/>
        <v>#N/A</v>
      </c>
      <c r="P13" s="92" t="e">
        <f t="shared" si="10"/>
        <v>#N/A</v>
      </c>
      <c r="Q13" s="92" t="e">
        <f t="shared" si="10"/>
        <v>#N/A</v>
      </c>
      <c r="R13" s="92" t="e">
        <f t="shared" si="10"/>
        <v>#N/A</v>
      </c>
      <c r="S13" s="92" t="e">
        <f t="shared" si="10"/>
        <v>#N/A</v>
      </c>
      <c r="T13" s="92" t="e">
        <f t="shared" si="10"/>
        <v>#N/A</v>
      </c>
      <c r="U13" s="92" t="e">
        <f t="shared" si="10"/>
        <v>#N/A</v>
      </c>
    </row>
    <row r="14" spans="1:21" ht="16.5" customHeight="1" x14ac:dyDescent="0.25">
      <c r="A14" s="59" t="s">
        <v>728</v>
      </c>
      <c r="B14" s="96" t="s">
        <v>914</v>
      </c>
      <c r="C14" s="195" t="e">
        <f>INDEX(m03_All,MATCH(s01_查找2,m03_全IOT,0),20)</f>
        <v>#N/A</v>
      </c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5"/>
      <c r="T14" s="195"/>
      <c r="U14" s="195"/>
    </row>
    <row r="15" spans="1:21" ht="16.5" customHeight="1" x14ac:dyDescent="0.25">
      <c r="A15" s="59"/>
      <c r="B15" s="96" t="s">
        <v>719</v>
      </c>
      <c r="C15" s="195" t="e">
        <f>INDEX(m03_All,MATCH(s01_查找2,m03_全IOT,0)+1,20)</f>
        <v>#N/A</v>
      </c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</row>
    <row r="16" spans="1:21" x14ac:dyDescent="0.25">
      <c r="A16" s="59"/>
      <c r="B16" s="96" t="s">
        <v>915</v>
      </c>
      <c r="C16" s="195" t="e">
        <f>INDEX(m03_All,MATCH(s01_查找2,m03_全IOT,0)+2,20)</f>
        <v>#N/A</v>
      </c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</row>
    <row r="18" spans="2:21" x14ac:dyDescent="0.25">
      <c r="B18" s="98">
        <f>IF(s01_工具2="",s01_工具1,s01_工具2)</f>
        <v>0</v>
      </c>
      <c r="C18" s="11" t="s">
        <v>2</v>
      </c>
      <c r="D18" s="11" t="s">
        <v>3</v>
      </c>
      <c r="E18" s="11" t="s">
        <v>4</v>
      </c>
      <c r="F18" s="11" t="s">
        <v>296</v>
      </c>
      <c r="G18" s="11" t="s">
        <v>6</v>
      </c>
      <c r="H18" s="11" t="s">
        <v>916</v>
      </c>
      <c r="I18" s="11"/>
      <c r="J18" s="11"/>
      <c r="K18" s="11" t="s">
        <v>274</v>
      </c>
      <c r="L18" s="11" t="s">
        <v>283</v>
      </c>
      <c r="M18" s="11" t="s">
        <v>284</v>
      </c>
      <c r="N18" s="11" t="s">
        <v>285</v>
      </c>
      <c r="O18" s="11" t="s">
        <v>286</v>
      </c>
      <c r="P18" s="11" t="s">
        <v>287</v>
      </c>
      <c r="Q18" s="11" t="s">
        <v>288</v>
      </c>
      <c r="R18" s="11" t="s">
        <v>289</v>
      </c>
      <c r="S18" s="11" t="s">
        <v>290</v>
      </c>
      <c r="T18" s="11" t="s">
        <v>292</v>
      </c>
      <c r="U18" s="11" t="s">
        <v>916</v>
      </c>
    </row>
    <row r="19" spans="2:21" x14ac:dyDescent="0.25">
      <c r="B19" t="s">
        <v>917</v>
      </c>
      <c r="C19" s="11" t="e">
        <f t="shared" ref="C19:H19" si="11">INDEX(m03_All,MATCH(s01d_工具,m03_全IOT,0),(MATCH(C18:U18,m03_過程組知識組件,0)))</f>
        <v>#N/A</v>
      </c>
      <c r="D19" s="11" t="e">
        <f t="shared" si="11"/>
        <v>#N/A</v>
      </c>
      <c r="E19" s="11" t="e">
        <f t="shared" si="11"/>
        <v>#N/A</v>
      </c>
      <c r="F19" s="11" t="e">
        <f t="shared" si="11"/>
        <v>#N/A</v>
      </c>
      <c r="G19" s="11" t="e">
        <f t="shared" si="11"/>
        <v>#N/A</v>
      </c>
      <c r="H19" s="11" t="e">
        <f t="shared" si="11"/>
        <v>#N/A</v>
      </c>
      <c r="J19" s="11" t="s">
        <v>918</v>
      </c>
      <c r="K19" s="11" t="e">
        <f t="shared" ref="K19:U19" si="12">INDEX(m03_All,MATCH(s01d_工具,m03_全IOT,0),(MATCH(K18:AC18,m03_過程組知識組件,0)))</f>
        <v>#N/A</v>
      </c>
      <c r="L19" s="11" t="e">
        <f t="shared" si="12"/>
        <v>#N/A</v>
      </c>
      <c r="M19" s="11" t="e">
        <f t="shared" si="12"/>
        <v>#N/A</v>
      </c>
      <c r="N19" s="11" t="e">
        <f t="shared" si="12"/>
        <v>#N/A</v>
      </c>
      <c r="O19" s="11" t="e">
        <f t="shared" si="12"/>
        <v>#N/A</v>
      </c>
      <c r="P19" s="11" t="e">
        <f t="shared" si="12"/>
        <v>#N/A</v>
      </c>
      <c r="Q19" s="11" t="e">
        <f t="shared" si="12"/>
        <v>#N/A</v>
      </c>
      <c r="R19" s="11" t="e">
        <f t="shared" si="12"/>
        <v>#N/A</v>
      </c>
      <c r="S19" s="11" t="e">
        <f t="shared" si="12"/>
        <v>#N/A</v>
      </c>
      <c r="T19" s="11" t="e">
        <f t="shared" si="12"/>
        <v>#N/A</v>
      </c>
      <c r="U19" s="11" t="e">
        <f t="shared" si="12"/>
        <v>#N/A</v>
      </c>
    </row>
    <row r="20" spans="2:21" ht="16.5" customHeight="1" x14ac:dyDescent="0.25">
      <c r="B20" s="59" t="s">
        <v>919</v>
      </c>
      <c r="C20" s="195" t="e">
        <f>INDEX(m03_All,MATCH(s01d_工具,m03_全IOT,0),20)</f>
        <v>#N/A</v>
      </c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</row>
    <row r="22" spans="2:21" x14ac:dyDescent="0.25">
      <c r="C22" s="11" t="s">
        <v>2</v>
      </c>
      <c r="D22" s="11" t="s">
        <v>3</v>
      </c>
      <c r="E22" s="11" t="s">
        <v>4</v>
      </c>
      <c r="F22" s="11" t="s">
        <v>296</v>
      </c>
      <c r="G22" s="11" t="s">
        <v>6</v>
      </c>
      <c r="H22" s="11" t="s">
        <v>916</v>
      </c>
      <c r="I22" s="11"/>
      <c r="J22" s="11"/>
      <c r="K22" s="11" t="s">
        <v>274</v>
      </c>
      <c r="L22" s="11" t="s">
        <v>283</v>
      </c>
      <c r="M22" s="11" t="s">
        <v>284</v>
      </c>
      <c r="N22" s="11" t="s">
        <v>285</v>
      </c>
      <c r="O22" s="11" t="s">
        <v>286</v>
      </c>
      <c r="P22" s="11" t="s">
        <v>287</v>
      </c>
      <c r="Q22" s="11" t="s">
        <v>288</v>
      </c>
      <c r="R22" s="11" t="s">
        <v>289</v>
      </c>
      <c r="S22" s="11" t="s">
        <v>290</v>
      </c>
      <c r="T22" s="11" t="s">
        <v>292</v>
      </c>
      <c r="U22" s="11" t="s">
        <v>916</v>
      </c>
    </row>
    <row r="23" spans="2:21" x14ac:dyDescent="0.25">
      <c r="B23" t="s">
        <v>917</v>
      </c>
      <c r="C23" s="11" t="e">
        <f t="shared" ref="C23:H23" si="13">INDEX(m03_All,MATCH(s01_工具2,m03_全IOT,0),(MATCH(C22:U22,m03_過程組知識組件,0)))</f>
        <v>#N/A</v>
      </c>
      <c r="D23" s="11" t="e">
        <f t="shared" si="13"/>
        <v>#N/A</v>
      </c>
      <c r="E23" s="11" t="e">
        <f t="shared" si="13"/>
        <v>#N/A</v>
      </c>
      <c r="F23" s="11" t="e">
        <f t="shared" si="13"/>
        <v>#N/A</v>
      </c>
      <c r="G23" s="11" t="e">
        <f t="shared" si="13"/>
        <v>#N/A</v>
      </c>
      <c r="H23" s="11" t="e">
        <f t="shared" si="13"/>
        <v>#N/A</v>
      </c>
      <c r="J23" s="11" t="s">
        <v>918</v>
      </c>
      <c r="K23" s="11" t="e">
        <f t="shared" ref="K23:U23" si="14">INDEX(m03_All,MATCH(s01_工具2,m03_全IOT,0),(MATCH(K22:AC22,m03_過程組知識組件,0)))</f>
        <v>#N/A</v>
      </c>
      <c r="L23" s="11" t="e">
        <f t="shared" si="14"/>
        <v>#N/A</v>
      </c>
      <c r="M23" s="11" t="e">
        <f t="shared" si="14"/>
        <v>#N/A</v>
      </c>
      <c r="N23" s="11" t="e">
        <f t="shared" si="14"/>
        <v>#N/A</v>
      </c>
      <c r="O23" s="11" t="e">
        <f t="shared" si="14"/>
        <v>#N/A</v>
      </c>
      <c r="P23" s="11" t="e">
        <f t="shared" si="14"/>
        <v>#N/A</v>
      </c>
      <c r="Q23" s="11" t="e">
        <f t="shared" si="14"/>
        <v>#N/A</v>
      </c>
      <c r="R23" s="11" t="e">
        <f t="shared" si="14"/>
        <v>#N/A</v>
      </c>
      <c r="S23" s="11" t="e">
        <f t="shared" si="14"/>
        <v>#N/A</v>
      </c>
      <c r="T23" s="11" t="e">
        <f t="shared" si="14"/>
        <v>#N/A</v>
      </c>
      <c r="U23" s="11" t="e">
        <f t="shared" si="14"/>
        <v>#N/A</v>
      </c>
    </row>
    <row r="24" spans="2:21" ht="16.5" customHeight="1" x14ac:dyDescent="0.25">
      <c r="B24" s="59" t="s">
        <v>919</v>
      </c>
      <c r="C24" s="195" t="e">
        <f>INDEX(m03_All,MATCH(s01_工具2,m03_全IOT,0),20)</f>
        <v>#N/A</v>
      </c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</row>
    <row r="25" spans="2:21" ht="17.25" thickBot="1" x14ac:dyDescent="0.3"/>
    <row r="26" spans="2:21" x14ac:dyDescent="0.25">
      <c r="B26" s="193" t="s">
        <v>1676</v>
      </c>
      <c r="C26" s="194" t="s">
        <v>1676</v>
      </c>
      <c r="D26" s="194" t="s">
        <v>1678</v>
      </c>
      <c r="E26" s="194" t="s">
        <v>1679</v>
      </c>
      <c r="F26" s="194" t="s">
        <v>1677</v>
      </c>
      <c r="G26" s="194" t="s">
        <v>1677</v>
      </c>
      <c r="H26" s="194" t="s">
        <v>1680</v>
      </c>
      <c r="I26" s="199" t="s">
        <v>1680</v>
      </c>
      <c r="K26" s="196" t="s">
        <v>716</v>
      </c>
      <c r="L26" s="197" t="s">
        <v>716</v>
      </c>
      <c r="M26" s="198" t="s">
        <v>1899</v>
      </c>
      <c r="N26" s="198" t="s">
        <v>1899</v>
      </c>
      <c r="O26" s="198" t="s">
        <v>717</v>
      </c>
      <c r="P26" s="198" t="s">
        <v>717</v>
      </c>
      <c r="Q26" s="198" t="s">
        <v>1900</v>
      </c>
      <c r="R26" s="198" t="s">
        <v>1900</v>
      </c>
    </row>
    <row r="27" spans="2:21" ht="33" x14ac:dyDescent="0.25">
      <c r="B27" s="126" t="e">
        <f t="array" aca="1" ref="B27:I47" ca="1">IF(TRANSPOSE(OFFSET(INDEX(a04_過程組組件,MATCH(s01_查詢程序,a04_過程組組件,0),),,5,8,INDEX(a04_過程組資料寬度,MATCH(s01_查詢程序,a04_過程組組件,0))))&lt;&gt;"",TRANSPOSE(OFFSET(INDEX(a04_過程組組件,MATCH(s01_查詢程序,a04_過程組組件,0),),,5,8,INDEX(a04_過程組資料寬度,MATCH(s01_查詢程序,a04_過程組組件,0)))),"")</f>
        <v>#N/A</v>
      </c>
      <c r="C27" s="127" t="e">
        <f ca="1"/>
        <v>#N/A</v>
      </c>
      <c r="D27" s="127" t="e">
        <f ca="1"/>
        <v>#N/A</v>
      </c>
      <c r="E27" s="127" t="e">
        <f ca="1"/>
        <v>#N/A</v>
      </c>
      <c r="F27" s="127" t="e">
        <f ca="1"/>
        <v>#N/A</v>
      </c>
      <c r="G27" s="127" t="e">
        <f ca="1"/>
        <v>#N/A</v>
      </c>
      <c r="H27" s="127" t="e">
        <f ca="1"/>
        <v>#N/A</v>
      </c>
      <c r="I27" s="128" t="e">
        <f ca="1"/>
        <v>#N/A</v>
      </c>
      <c r="K27" s="164" t="str">
        <f t="array" aca="1" ref="K27" ca="1">_xlfn.IFNA(OFFSET(m01_ITO起點,SMALL(IF(m01_投入索引*(m01_全ITO索引&lt;27),m01_全ITO索引,227),ROW(1:1)),),"")</f>
        <v>專案管理計畫書</v>
      </c>
      <c r="L27" s="21" t="str">
        <f t="array" aca="1" ref="L27" ca="1">OFFSET(m01_ITO起點,SMALL(IF(m01_投入索引*(m01_全ITO索引&gt;26)*(m01_全ITO索引&lt;85),m01_全ITO索引,227),ROW(1:1)),)</f>
        <v>範疇管理計畫書</v>
      </c>
      <c r="M27" s="164" t="str">
        <f t="array" aca="1" ref="M27" ca="1">OFFSET(m01_ITO起點,SMALL(IF(m01_投入索引*(m01_全ITO索引&gt;84)*(m01_全ITO索引&lt;150),m01_全ITO索引,227),ROW(1:1)),)</f>
        <v>資料蒐集工具</v>
      </c>
      <c r="N27" s="21" t="str">
        <f t="array" aca="1" ref="N27" ca="1">OFFSET(m01_ITO起點,SMALL(IF(m01_投入索引*(m01_全ITO索引&gt;149)*(m01_全ITO索引&lt;226),m01_全ITO索引,227),ROW(1:1)),)</f>
        <v>焦點團體</v>
      </c>
      <c r="O27" s="164" t="str">
        <f t="array" aca="1" ref="O27" ca="1">OFFSET(m01_ITO起點,SMALL(IF(m01_產出索引*(m01_全ITO索引&lt;27),m01_全ITO索引,227),ROW(1:1)),)</f>
        <v>專案管理計畫書</v>
      </c>
      <c r="P27" s="21" t="str">
        <f t="array" aca="1" ref="P27" ca="1">OFFSET(m01_ITO起點,SMALL(IF(m01_產出索引*(m01_全ITO索引&gt;26)*(m01_全ITO索引&lt;85),m01_全ITO索引,227),ROW(1:1)),)</f>
        <v>範疇管理計畫書</v>
      </c>
      <c r="Q27" s="164" t="str">
        <f t="array" aca="1" ref="Q27" ca="1">OFFSET(m01_ITO起點,SMALL(IF(m01_更新索引*(m01_全ITO索引&lt;27),m01_全ITO索引,227),ROW(1:1)),)</f>
        <v>專案管理計畫書</v>
      </c>
      <c r="R27" s="21" t="str">
        <f t="array" aca="1" ref="R27" ca="1">OFFSET(m01_ITO起點,SMALL(IF(m01_更新索引*(m01_全ITO索引&gt;26)*(m01_全ITO索引&lt;85),m01_全ITO索引,227),ROW(1:1)),)</f>
        <v>範疇管理計畫書</v>
      </c>
    </row>
    <row r="28" spans="2:21" x14ac:dyDescent="0.25">
      <c r="B28" s="51" t="e">
        <f ca="1"/>
        <v>#N/A</v>
      </c>
      <c r="C28" s="127" t="e">
        <f ca="1"/>
        <v>#N/A</v>
      </c>
      <c r="D28" s="127" t="e">
        <f ca="1"/>
        <v>#N/A</v>
      </c>
      <c r="E28" s="127" t="e">
        <f ca="1"/>
        <v>#N/A</v>
      </c>
      <c r="F28" s="127" t="e">
        <f ca="1"/>
        <v>#N/A</v>
      </c>
      <c r="G28" s="127" t="e">
        <f ca="1"/>
        <v>#N/A</v>
      </c>
      <c r="H28" s="127" t="e">
        <f ca="1"/>
        <v>#N/A</v>
      </c>
      <c r="I28" s="128" t="e">
        <f ca="1"/>
        <v>#N/A</v>
      </c>
      <c r="K28" s="184" t="str">
        <f t="array" aca="1" ref="K28" ca="1">_xlfn.IFNA(OFFSET(m01_ITO起點,SMALL(IF(m01_投入索引*(m01_全ITO索引&lt;27),m01_全ITO索引,227),ROW(2:2)),),"")</f>
        <v>專案文件</v>
      </c>
      <c r="L28" s="21" t="str">
        <f t="array" aca="1" ref="L28" ca="1">OFFSET(m01_ITO起點,SMALL(IF(m01_投入索引*(m01_全ITO索引&gt;26)*(m01_全ITO索引&lt;85),m01_全ITO索引,227),ROW(2:2)),)</f>
        <v>需求管理計畫書</v>
      </c>
      <c r="M28" s="184" t="str">
        <f t="array" aca="1" ref="M28" ca="1">OFFSET(m01_ITO起點,SMALL(IF(m01_投入索引*(m01_全ITO索引&gt;84)*(m01_全ITO索引&lt;150),m01_全ITO索引,227),ROW(2:2)),)</f>
        <v>資料分析工具</v>
      </c>
      <c r="N28" s="21" t="str">
        <f t="array" aca="1" ref="N28" ca="1">OFFSET(m01_ITO起點,SMALL(IF(m01_投入索引*(m01_全ITO索引&gt;149)*(m01_全ITO索引&lt;226),m01_全ITO索引,227),ROW(2:2)),)</f>
        <v>腦力激盪</v>
      </c>
      <c r="O28" s="184" t="str">
        <f t="array" aca="1" ref="O28" ca="1">OFFSET(m01_ITO起點,SMALL(IF(m01_產出索引*(m01_全ITO索引&lt;27),m01_全ITO索引,227),ROW(2:2)),)</f>
        <v>專案文件</v>
      </c>
      <c r="P28" s="21" t="str">
        <f t="array" aca="1" ref="P28" ca="1">OFFSET(m01_ITO起點,SMALL(IF(m01_產出索引*(m01_全ITO索引&gt;26)*(m01_全ITO索引&lt;85),m01_全ITO索引,227),ROW(2:2)),)</f>
        <v>需求管理計畫書</v>
      </c>
      <c r="Q28" s="184" t="str">
        <f t="array" aca="1" ref="Q28" ca="1">OFFSET(m01_ITO起點,SMALL(IF(m01_更新索引*(m01_全ITO索引&lt;27),m01_全ITO索引,227),ROW(2:2)),)</f>
        <v>專案文件</v>
      </c>
      <c r="R28" s="21" t="str">
        <f t="array" aca="1" ref="R28" ca="1">OFFSET(m01_ITO起點,SMALL(IF(m01_更新索引*(m01_全ITO索引&gt;26)*(m01_全ITO索引&lt;85),m01_全ITO索引,227),ROW(2:2)),)</f>
        <v>需求管理計畫書</v>
      </c>
    </row>
    <row r="29" spans="2:21" x14ac:dyDescent="0.25">
      <c r="B29" s="51" t="e">
        <f ca="1"/>
        <v>#N/A</v>
      </c>
      <c r="C29" s="127" t="e">
        <f ca="1"/>
        <v>#N/A</v>
      </c>
      <c r="D29" s="127" t="e">
        <f ca="1"/>
        <v>#N/A</v>
      </c>
      <c r="E29" s="127" t="e">
        <f ca="1"/>
        <v>#N/A</v>
      </c>
      <c r="F29" s="127" t="e">
        <f ca="1"/>
        <v>#N/A</v>
      </c>
      <c r="G29" s="127" t="e">
        <f ca="1"/>
        <v>#N/A</v>
      </c>
      <c r="H29" s="127" t="e">
        <f ca="1"/>
        <v>#N/A</v>
      </c>
      <c r="I29" s="128" t="e">
        <f ca="1"/>
        <v>#N/A</v>
      </c>
      <c r="K29" s="184" t="str">
        <f t="array" aca="1" ref="K29" ca="1">_xlfn.IFNA(OFFSET(m01_ITO起點,SMALL(IF(m01_投入索引*(m01_全ITO索引&lt;27),m01_全ITO索引,227),ROW(3:3)),),"")</f>
        <v>商業文件</v>
      </c>
      <c r="L29" s="21" t="str">
        <f t="array" aca="1" ref="L29" ca="1">OFFSET(m01_ITO起點,SMALL(IF(m01_投入索引*(m01_全ITO索引&gt;26)*(m01_全ITO索引&lt;85),m01_全ITO索引,227),ROW(3:3)),)</f>
        <v>時程管理計畫書</v>
      </c>
      <c r="M29" s="184" t="str">
        <f t="array" aca="1" ref="M29" ca="1">OFFSET(m01_ITO起點,SMALL(IF(m01_投入索引*(m01_全ITO索引&gt;84)*(m01_全ITO索引&lt;150),m01_全ITO索引,227),ROW(3:3)),)</f>
        <v>資料呈現工具</v>
      </c>
      <c r="N29" s="21" t="str">
        <f t="array" aca="1" ref="N29" ca="1">OFFSET(m01_ITO起點,SMALL(IF(m01_投入索引*(m01_全ITO索引&gt;149)*(m01_全ITO索引&lt;226),m01_全ITO索引,227),ROW(3:3)),)</f>
        <v>訪談</v>
      </c>
      <c r="O29" s="184" t="str">
        <f t="array" aca="1" ref="O29" ca="1">OFFSET(m01_ITO起點,SMALL(IF(m01_產出索引*(m01_全ITO索引&lt;27),m01_全ITO索引,227),ROW(3:3)),)</f>
        <v>採購相關文件</v>
      </c>
      <c r="P29" s="21" t="str">
        <f t="array" aca="1" ref="P29" ca="1">OFFSET(m01_ITO起點,SMALL(IF(m01_產出索引*(m01_全ITO索引&gt;26)*(m01_全ITO索引&lt;85),m01_全ITO索引,227),ROW(3:3)),)</f>
        <v>時程管理計畫書</v>
      </c>
      <c r="Q29" s="184" t="str">
        <f t="array" aca="1" ref="Q29" ca="1">OFFSET(m01_ITO起點,SMALL(IF(m01_更新索引*(m01_全ITO索引&lt;27),m01_全ITO索引,227),ROW(3:3)),)</f>
        <v>採購相關文件</v>
      </c>
      <c r="R29" s="21" t="str">
        <f t="array" aca="1" ref="R29" ca="1">OFFSET(m01_ITO起點,SMALL(IF(m01_更新索引*(m01_全ITO索引&gt;26)*(m01_全ITO索引&lt;85),m01_全ITO索引,227),ROW(3:3)),)</f>
        <v>時程管理計畫書</v>
      </c>
    </row>
    <row r="30" spans="2:21" x14ac:dyDescent="0.25">
      <c r="B30" s="51" t="e">
        <f ca="1"/>
        <v>#N/A</v>
      </c>
      <c r="C30" s="127" t="e">
        <f ca="1"/>
        <v>#N/A</v>
      </c>
      <c r="D30" s="127" t="e">
        <f ca="1"/>
        <v>#N/A</v>
      </c>
      <c r="E30" s="127" t="e">
        <f ca="1"/>
        <v>#N/A</v>
      </c>
      <c r="F30" s="127" t="e">
        <f ca="1"/>
        <v>#N/A</v>
      </c>
      <c r="G30" s="127" t="e">
        <f ca="1"/>
        <v>#N/A</v>
      </c>
      <c r="H30" s="127" t="e">
        <f ca="1"/>
        <v>#N/A</v>
      </c>
      <c r="I30" s="128" t="e">
        <f ca="1"/>
        <v>#N/A</v>
      </c>
      <c r="K30" s="184" t="str">
        <f t="array" aca="1" ref="K30" ca="1">_xlfn.IFNA(OFFSET(m01_ITO起點,SMALL(IF(m01_投入索引*(m01_全ITO索引&lt;27),m01_全ITO索引,227),ROW(4:4)),),"")</f>
        <v>採購相關文件</v>
      </c>
      <c r="L30" s="21" t="str">
        <f t="array" aca="1" ref="L30" ca="1">OFFSET(m01_ITO起點,SMALL(IF(m01_投入索引*(m01_全ITO索引&gt;26)*(m01_全ITO索引&lt;85),m01_全ITO索引,227),ROW(4:4)),)</f>
        <v>成本管理計畫書</v>
      </c>
      <c r="M30" s="184" t="str">
        <f t="array" aca="1" ref="M30" ca="1">OFFSET(m01_ITO起點,SMALL(IF(m01_投入索引*(m01_全ITO索引&gt;84)*(m01_全ITO索引&lt;150),m01_全ITO索引,227),ROW(4:4)),)</f>
        <v>決策制定工具</v>
      </c>
      <c r="N30" s="21" t="str">
        <f t="array" aca="1" ref="N30" ca="1">OFFSET(m01_ITO起點,SMALL(IF(m01_投入索引*(m01_全ITO索引&gt;149)*(m01_全ITO索引&lt;226),m01_全ITO索引,227),ROW(4:4)),)</f>
        <v>問卷調查</v>
      </c>
      <c r="O30" s="184" t="str">
        <f t="array" aca="1" ref="O30" ca="1">OFFSET(m01_ITO起點,SMALL(IF(m01_產出索引*(m01_全ITO索引&lt;27),m01_全ITO索引,227),ROW(4:4)),)</f>
        <v>專案章程</v>
      </c>
      <c r="P30" s="21" t="str">
        <f t="array" aca="1" ref="P30" ca="1">OFFSET(m01_ITO起點,SMALL(IF(m01_產出索引*(m01_全ITO索引&gt;26)*(m01_全ITO索引&lt;85),m01_全ITO索引,227),ROW(4:4)),)</f>
        <v>成本管理計畫書</v>
      </c>
      <c r="Q30" s="184" t="str">
        <f t="array" aca="1" ref="Q30" ca="1">OFFSET(m01_ITO起點,SMALL(IF(m01_更新索引*(m01_全ITO索引&lt;27),m01_全ITO索引,227),ROW(4:4)),)</f>
        <v>最終產品、服務或成果轉移</v>
      </c>
      <c r="R30" s="21" t="str">
        <f t="array" aca="1" ref="R30" ca="1">OFFSET(m01_ITO起點,SMALL(IF(m01_更新索引*(m01_全ITO索引&gt;26)*(m01_全ITO索引&lt;85),m01_全ITO索引,227),ROW(4:4)),)</f>
        <v>成本管理計畫書</v>
      </c>
    </row>
    <row r="31" spans="2:21" x14ac:dyDescent="0.25">
      <c r="B31" s="51" t="e">
        <f ca="1"/>
        <v>#N/A</v>
      </c>
      <c r="C31" s="127" t="e">
        <f ca="1"/>
        <v>#N/A</v>
      </c>
      <c r="D31" s="127" t="e">
        <f ca="1"/>
        <v>#N/A</v>
      </c>
      <c r="E31" s="127" t="e">
        <f ca="1"/>
        <v>#N/A</v>
      </c>
      <c r="F31" s="127" t="e">
        <f ca="1"/>
        <v>#N/A</v>
      </c>
      <c r="G31" s="127" t="e">
        <f ca="1"/>
        <v>#N/A</v>
      </c>
      <c r="H31" s="127" t="e">
        <f ca="1"/>
        <v>#N/A</v>
      </c>
      <c r="I31" s="128" t="e">
        <f ca="1"/>
        <v>#N/A</v>
      </c>
      <c r="K31" s="184" t="str">
        <f t="array" aca="1" ref="K31" ca="1">_xlfn.IFNA(OFFSET(m01_ITO起點,SMALL(IF(m01_投入索引*(m01_全ITO索引&lt;27),m01_全ITO索引,227),ROW(5:5)),),"")</f>
        <v>專案章程</v>
      </c>
      <c r="L31" s="21" t="str">
        <f t="array" aca="1" ref="L31" ca="1">OFFSET(m01_ITO起點,SMALL(IF(m01_投入索引*(m01_全ITO索引&gt;26)*(m01_全ITO索引&lt;85),m01_全ITO索引,227),ROW(5:5)),)</f>
        <v>品質管理計畫書</v>
      </c>
      <c r="M31" s="184" t="str">
        <f t="array" aca="1" ref="M31" ca="1">OFFSET(m01_ITO起點,SMALL(IF(m01_投入索引*(m01_全ITO索引&gt;84)*(m01_全ITO索引&lt;150),m01_全ITO索引,227),ROW(5:5)),)</f>
        <v>溝通技巧工具</v>
      </c>
      <c r="N31" s="21" t="str">
        <f t="array" aca="1" ref="N31" ca="1">OFFSET(m01_ITO起點,SMALL(IF(m01_投入索引*(m01_全ITO索引&gt;149)*(m01_全ITO索引&lt;226),m01_全ITO索引,227),ROW(5:5)),)</f>
        <v>標竿比對</v>
      </c>
      <c r="O31" s="184" t="str">
        <f t="array" aca="1" ref="O31" ca="1">OFFSET(m01_ITO起點,SMALL(IF(m01_產出索引*(m01_全ITO索引&lt;27),m01_全ITO索引,227),ROW(5:5)),)</f>
        <v>變更申請</v>
      </c>
      <c r="P31" s="21" t="str">
        <f t="array" aca="1" ref="P31" ca="1">OFFSET(m01_ITO起點,SMALL(IF(m01_產出索引*(m01_全ITO索引&gt;26)*(m01_全ITO索引&lt;85),m01_全ITO索引,227),ROW(5:5)),)</f>
        <v>品質管理計畫書</v>
      </c>
      <c r="Q31" s="184" t="str">
        <f t="array" aca="1" ref="Q31" ca="1">OFFSET(m01_ITO起點,SMALL(IF(m01_更新索引*(m01_全ITO索引&lt;27),m01_全ITO索引,227),ROW(5:5)),)</f>
        <v>最終報告</v>
      </c>
      <c r="R31" s="21" t="str">
        <f t="array" aca="1" ref="R31" ca="1">OFFSET(m01_ITO起點,SMALL(IF(m01_更新索引*(m01_全ITO索引&gt;26)*(m01_全ITO索引&lt;85),m01_全ITO索引,227),ROW(5:5)),)</f>
        <v>品質管理計畫書</v>
      </c>
    </row>
    <row r="32" spans="2:21" x14ac:dyDescent="0.25">
      <c r="B32" s="129" t="e">
        <f ca="1"/>
        <v>#N/A</v>
      </c>
      <c r="C32" s="127" t="e">
        <f ca="1"/>
        <v>#N/A</v>
      </c>
      <c r="D32" s="127" t="e">
        <f ca="1"/>
        <v>#N/A</v>
      </c>
      <c r="E32" s="127" t="e">
        <f ca="1"/>
        <v>#N/A</v>
      </c>
      <c r="F32" s="127" t="e">
        <f ca="1"/>
        <v>#N/A</v>
      </c>
      <c r="G32" s="127" t="e">
        <f ca="1"/>
        <v>#N/A</v>
      </c>
      <c r="H32" s="127" t="e">
        <f ca="1"/>
        <v>#N/A</v>
      </c>
      <c r="I32" s="128" t="e">
        <f ca="1"/>
        <v>#N/A</v>
      </c>
      <c r="K32" s="184" t="str">
        <f t="array" aca="1" ref="K32" ca="1">_xlfn.IFNA(OFFSET(m01_ITO起點,SMALL(IF(m01_投入索引*(m01_全ITO索引&lt;27),m01_全ITO索引,227),ROW(6:6)),),"")</f>
        <v>變更申請</v>
      </c>
      <c r="L32" s="21" t="str">
        <f t="array" aca="1" ref="L32" ca="1">OFFSET(m01_ITO起點,SMALL(IF(m01_投入索引*(m01_全ITO索引&gt;26)*(m01_全ITO索引&lt;85),m01_全ITO索引,227),ROW(6:6)),)</f>
        <v>資源管理計畫書</v>
      </c>
      <c r="M32" s="184" t="str">
        <f t="array" aca="1" ref="M32" ca="1">OFFSET(m01_ITO起點,SMALL(IF(m01_投入索引*(m01_全ITO索引&gt;84)*(m01_全ITO索引&lt;150),m01_全ITO索引,227),ROW(6:6)),)</f>
        <v>人際關係與團隊技巧</v>
      </c>
      <c r="N32" s="21" t="str">
        <f t="array" aca="1" ref="N32" ca="1">OFFSET(m01_ITO起點,SMALL(IF(m01_投入索引*(m01_全ITO索引&gt;149)*(m01_全ITO索引&lt;226),m01_全ITO索引,227),ROW(6:6)),)</f>
        <v>檢核單</v>
      </c>
      <c r="O32" s="184" t="str">
        <f t="array" aca="1" ref="O32" ca="1">OFFSET(m01_ITO起點,SMALL(IF(m01_產出索引*(m01_全ITO索引&lt;27),m01_全ITO索引,227),ROW(6:6)),)</f>
        <v>獲准的變更申請</v>
      </c>
      <c r="P32" s="21" t="str">
        <f t="array" aca="1" ref="P32" ca="1">OFFSET(m01_ITO起點,SMALL(IF(m01_產出索引*(m01_全ITO索引&gt;26)*(m01_全ITO索引&lt;85),m01_全ITO索引,227),ROW(6:6)),)</f>
        <v>資源管理計畫書</v>
      </c>
      <c r="Q32" s="184" t="str">
        <f t="array" aca="1" ref="Q32" ca="1">OFFSET(m01_ITO起點,SMALL(IF(m01_更新索引*(m01_全ITO索引&lt;27),m01_全ITO索引,227),ROW(6:6)),)</f>
        <v>企業環境因素</v>
      </c>
      <c r="R32" s="21" t="str">
        <f t="array" aca="1" ref="R32" ca="1">OFFSET(m01_ITO起點,SMALL(IF(m01_更新索引*(m01_全ITO索引&gt;26)*(m01_全ITO索引&lt;85),m01_全ITO索引,227),ROW(6:6)),)</f>
        <v>資源管理計畫書</v>
      </c>
    </row>
    <row r="33" spans="1:18" x14ac:dyDescent="0.25">
      <c r="B33" s="129" t="e">
        <f ca="1"/>
        <v>#N/A</v>
      </c>
      <c r="C33" s="127" t="e">
        <f ca="1"/>
        <v>#N/A</v>
      </c>
      <c r="D33" s="127" t="e">
        <f ca="1"/>
        <v>#N/A</v>
      </c>
      <c r="E33" s="127" t="e">
        <f ca="1"/>
        <v>#N/A</v>
      </c>
      <c r="F33" s="127" t="e">
        <f ca="1"/>
        <v>#N/A</v>
      </c>
      <c r="G33" s="127" t="e">
        <f ca="1"/>
        <v>#N/A</v>
      </c>
      <c r="H33" s="127" t="e">
        <f ca="1"/>
        <v>#N/A</v>
      </c>
      <c r="I33" s="128" t="e">
        <f ca="1"/>
        <v>#N/A</v>
      </c>
      <c r="K33" s="184" t="str">
        <f t="array" aca="1" ref="K33" ca="1">_xlfn.IFNA(OFFSET(m01_ITO起點,SMALL(IF(m01_投入索引*(m01_全ITO索引&lt;27),m01_全ITO索引,227),ROW(7:7)),),"")</f>
        <v>獲准的變更申請</v>
      </c>
      <c r="L33" s="21" t="str">
        <f t="array" aca="1" ref="L33" ca="1">OFFSET(m01_ITO起點,SMALL(IF(m01_投入索引*(m01_全ITO索引&gt;26)*(m01_全ITO索引&lt;85),m01_全ITO索引,227),ROW(7:7)),)</f>
        <v>溝通管理計畫書</v>
      </c>
      <c r="M33" s="184" t="str">
        <f t="array" aca="1" ref="M33" ca="1">OFFSET(m01_ITO起點,SMALL(IF(m01_投入索引*(m01_全ITO索引&gt;84)*(m01_全ITO索引&lt;150),m01_全ITO索引,227),ROW(7:7)),)</f>
        <v>資訊管理</v>
      </c>
      <c r="N33" s="21" t="str">
        <f t="array" aca="1" ref="N33" ca="1">OFFSET(m01_ITO起點,SMALL(IF(m01_投入索引*(m01_全ITO索引&gt;149)*(m01_全ITO索引&lt;226),m01_全ITO索引,227),ROW(7:7)),)</f>
        <v>檢核表</v>
      </c>
      <c r="O33" s="184" t="str">
        <f t="array" aca="1" ref="O33" ca="1">OFFSET(m01_ITO起點,SMALL(IF(m01_產出索引*(m01_全ITO索引&lt;27),m01_全ITO索引,227),ROW(7:7)),)</f>
        <v>可交付成果</v>
      </c>
      <c r="P33" s="21" t="str">
        <f t="array" aca="1" ref="P33" ca="1">OFFSET(m01_ITO起點,SMALL(IF(m01_產出索引*(m01_全ITO索引&gt;26)*(m01_全ITO索引&lt;85),m01_全ITO索引,227),ROW(7:7)),)</f>
        <v>溝通管理計畫書</v>
      </c>
      <c r="Q33" s="184" t="str">
        <f t="array" aca="1" ref="Q33" ca="1">OFFSET(m01_ITO起點,SMALL(IF(m01_更新索引*(m01_全ITO索引&lt;27),m01_全ITO索引,227),ROW(7:7)),)</f>
        <v>組織過程資產</v>
      </c>
      <c r="R33" s="21" t="str">
        <f t="array" aca="1" ref="R33" ca="1">OFFSET(m01_ITO起點,SMALL(IF(m01_更新索引*(m01_全ITO索引&gt;26)*(m01_全ITO索引&lt;85),m01_全ITO索引,227),ROW(7:7)),)</f>
        <v>溝通管理計畫書</v>
      </c>
    </row>
    <row r="34" spans="1:18" x14ac:dyDescent="0.25">
      <c r="B34" s="129" t="e">
        <f ca="1"/>
        <v>#N/A</v>
      </c>
      <c r="C34" s="127" t="e">
        <f ca="1"/>
        <v>#N/A</v>
      </c>
      <c r="D34" s="127" t="e">
        <f ca="1"/>
        <v>#N/A</v>
      </c>
      <c r="E34" s="127" t="e">
        <f ca="1"/>
        <v>#N/A</v>
      </c>
      <c r="F34" s="127" t="e">
        <f ca="1"/>
        <v>#N/A</v>
      </c>
      <c r="G34" s="127" t="e">
        <f ca="1"/>
        <v>#N/A</v>
      </c>
      <c r="H34" s="127" t="e">
        <f ca="1"/>
        <v>#N/A</v>
      </c>
      <c r="I34" s="128" t="e">
        <f ca="1"/>
        <v>#N/A</v>
      </c>
      <c r="J34" t="str">
        <f t="array" ref="J34:J40">IF(A34:A40,#REF!,"")</f>
        <v/>
      </c>
      <c r="K34" s="184" t="str">
        <f t="array" aca="1" ref="K34" ca="1">_xlfn.IFNA(OFFSET(m01_ITO起點,SMALL(IF(m01_投入索引*(m01_全ITO索引&lt;27),m01_全ITO索引,227),ROW(8:8)),),"")</f>
        <v>可交付成果</v>
      </c>
      <c r="L34" s="21" t="str">
        <f t="array" aca="1" ref="L34" ca="1">OFFSET(m01_ITO起點,SMALL(IF(m01_投入索引*(m01_全ITO索引&gt;26)*(m01_全ITO索引&lt;85),m01_全ITO索引,227),ROW(8:8)),)</f>
        <v>風險管理計畫書</v>
      </c>
      <c r="M34" s="184" t="str">
        <f t="array" aca="1" ref="M34" ca="1">OFFSET(m01_ITO起點,SMALL(IF(m01_投入索引*(m01_全ITO索引&gt;84)*(m01_全ITO索引&lt;150),m01_全ITO索引,227),ROW(8:8)),)</f>
        <v>知識管理</v>
      </c>
      <c r="N34" s="21" t="str">
        <f t="array" aca="1" ref="N34" ca="1">OFFSET(m01_ITO起點,SMALL(IF(m01_投入索引*(m01_全ITO索引&gt;149)*(m01_全ITO索引&lt;226),m01_全ITO索引,227),ROW(8:8)),)</f>
        <v>統計抽樣</v>
      </c>
      <c r="O34" s="184" t="str">
        <f t="array" aca="1" ref="O34" ca="1">OFFSET(m01_ITO起點,SMALL(IF(m01_產出索引*(m01_全ITO索引&lt;27),m01_全ITO索引,227),ROW(8:8)),)</f>
        <v>已驗證的可交付成果</v>
      </c>
      <c r="P34" s="21" t="str">
        <f t="array" aca="1" ref="P34" ca="1">OFFSET(m01_ITO起點,SMALL(IF(m01_產出索引*(m01_全ITO索引&gt;26)*(m01_全ITO索引&lt;85),m01_全ITO索引,227),ROW(8:8)),)</f>
        <v>風險管理計畫書</v>
      </c>
      <c r="Q34" s="184" t="e">
        <f t="array" aca="1" ref="Q34" ca="1">OFFSET(m01_ITO起點,SMALL(IF(m01_更新索引*(m01_全ITO索引&lt;27),m01_全ITO索引,227),ROW(8:8)),)</f>
        <v>#N/A</v>
      </c>
      <c r="R34" s="21" t="str">
        <f t="array" aca="1" ref="R34" ca="1">OFFSET(m01_ITO起點,SMALL(IF(m01_更新索引*(m01_全ITO索引&gt;26)*(m01_全ITO索引&lt;85),m01_全ITO索引,227),ROW(8:8)),)</f>
        <v>風險管理計畫書</v>
      </c>
    </row>
    <row r="35" spans="1:18" x14ac:dyDescent="0.25">
      <c r="B35" s="129" t="e">
        <f ca="1"/>
        <v>#N/A</v>
      </c>
      <c r="C35" s="127" t="e">
        <f ca="1"/>
        <v>#N/A</v>
      </c>
      <c r="D35" s="127" t="e">
        <f ca="1"/>
        <v>#N/A</v>
      </c>
      <c r="E35" s="127" t="e">
        <f ca="1"/>
        <v>#N/A</v>
      </c>
      <c r="F35" s="127" t="e">
        <f ca="1"/>
        <v>#N/A</v>
      </c>
      <c r="G35" s="127" t="e">
        <f ca="1"/>
        <v>#N/A</v>
      </c>
      <c r="H35" s="127" t="e">
        <f ca="1"/>
        <v>#N/A</v>
      </c>
      <c r="I35" s="128" t="e">
        <f ca="1"/>
        <v>#N/A</v>
      </c>
      <c r="J35" t="str">
        <v/>
      </c>
      <c r="K35" s="184" t="str">
        <f t="array" aca="1" ref="K35" ca="1">_xlfn.IFNA(OFFSET(m01_ITO起點,SMALL(IF(m01_投入索引*(m01_全ITO索引&lt;27),m01_全ITO索引,227),ROW(9:9)),),"")</f>
        <v>已驗證的可交付成果</v>
      </c>
      <c r="L35" s="21" t="str">
        <f t="array" aca="1" ref="L35" ca="1">OFFSET(m01_ITO起點,SMALL(IF(m01_投入索引*(m01_全ITO索引&gt;26)*(m01_全ITO索引&lt;85),m01_全ITO索引,227),ROW(9:9)),)</f>
        <v>採購管理計畫書</v>
      </c>
      <c r="M35" s="184" t="str">
        <f t="array" aca="1" ref="M35" ca="1">OFFSET(m01_ITO起點,SMALL(IF(m01_投入索引*(m01_全ITO索引&gt;84)*(m01_全ITO索引&lt;150),m01_全ITO索引,227),ROW(9:9)),)</f>
        <v>專家判斷</v>
      </c>
      <c r="N35" s="21" t="str">
        <f t="array" aca="1" ref="N35" ca="1">OFFSET(m01_ITO起點,SMALL(IF(m01_投入索引*(m01_全ITO索引&gt;149)*(m01_全ITO索引&lt;226),m01_全ITO索引,227),ROW(9:9)),)</f>
        <v>市場調查</v>
      </c>
      <c r="O35" s="184" t="str">
        <f t="array" aca="1" ref="O35" ca="1">OFFSET(m01_ITO起點,SMALL(IF(m01_產出索引*(m01_全ITO索引&lt;27),m01_全ITO索引,227),ROW(9:9)),)</f>
        <v>已接受的可交付成果</v>
      </c>
      <c r="P35" s="21" t="str">
        <f t="array" aca="1" ref="P35" ca="1">OFFSET(m01_ITO起點,SMALL(IF(m01_產出索引*(m01_全ITO索引&gt;26)*(m01_全ITO索引&lt;85),m01_全ITO索引,227),ROW(9:9)),)</f>
        <v>採購管理計畫書</v>
      </c>
      <c r="Q35" s="184" t="e">
        <f t="array" aca="1" ref="Q35" ca="1">OFFSET(m01_ITO起點,SMALL(IF(m01_更新索引*(m01_全ITO索引&lt;27),m01_全ITO索引,227),ROW(9:9)),)</f>
        <v>#N/A</v>
      </c>
      <c r="R35" s="21" t="str">
        <f t="array" aca="1" ref="R35" ca="1">OFFSET(m01_ITO起點,SMALL(IF(m01_更新索引*(m01_全ITO索引&gt;26)*(m01_全ITO索引&lt;85),m01_全ITO索引,227),ROW(9:9)),)</f>
        <v>採購管理計畫書</v>
      </c>
    </row>
    <row r="36" spans="1:18" x14ac:dyDescent="0.25">
      <c r="B36" s="129" t="e">
        <f ca="1"/>
        <v>#N/A</v>
      </c>
      <c r="C36" s="127" t="e">
        <f ca="1"/>
        <v>#N/A</v>
      </c>
      <c r="D36" s="127" t="e">
        <f ca="1"/>
        <v>#N/A</v>
      </c>
      <c r="E36" s="127" t="e">
        <f ca="1"/>
        <v>#N/A</v>
      </c>
      <c r="F36" s="127" t="e">
        <f ca="1"/>
        <v>#N/A</v>
      </c>
      <c r="G36" s="127" t="e">
        <f ca="1"/>
        <v>#N/A</v>
      </c>
      <c r="H36" s="127" t="e">
        <f ca="1"/>
        <v>#N/A</v>
      </c>
      <c r="I36" s="128" t="e">
        <f ca="1"/>
        <v>#N/A</v>
      </c>
      <c r="J36" t="str">
        <v/>
      </c>
      <c r="K36" s="184" t="str">
        <f t="array" aca="1" ref="K36" ca="1">_xlfn.IFNA(OFFSET(m01_ITO起點,SMALL(IF(m01_投入索引*(m01_全ITO索引&lt;27),m01_全ITO索引,227),ROW(10:10)),),"")</f>
        <v>已接受的可交付成果</v>
      </c>
      <c r="L36" s="21" t="str">
        <f t="array" aca="1" ref="L36" ca="1">OFFSET(m01_ITO起點,SMALL(IF(m01_投入索引*(m01_全ITO索引&gt;26)*(m01_全ITO索引&lt;85),m01_全ITO索引,227),ROW(10:10)),)</f>
        <v>利害關係人參與計畫書</v>
      </c>
      <c r="M36" s="184" t="str">
        <f t="array" aca="1" ref="M36" ca="1">OFFSET(m01_ITO起點,SMALL(IF(m01_投入索引*(m01_全ITO索引&gt;84)*(m01_全ITO索引&lt;150),m01_全ITO索引,227),ROW(10:10)),)</f>
        <v>會議</v>
      </c>
      <c r="N36" s="21" t="str">
        <f t="array" aca="1" ref="N36" ca="1">OFFSET(m01_ITO起點,SMALL(IF(m01_投入索引*(m01_全ITO索引&gt;149)*(m01_全ITO索引&lt;226),m01_全ITO索引,227),ROW(10:10)),)</f>
        <v>備選方案分析</v>
      </c>
      <c r="O36" s="184" t="str">
        <f t="array" aca="1" ref="O36" ca="1">OFFSET(m01_ITO起點,SMALL(IF(m01_產出索引*(m01_全ITO索引&lt;27),m01_全ITO索引,227),ROW(10:10)),)</f>
        <v>工作績效資料</v>
      </c>
      <c r="P36" s="21" t="str">
        <f t="array" aca="1" ref="P36" ca="1">OFFSET(m01_ITO起點,SMALL(IF(m01_產出索引*(m01_全ITO索引&gt;26)*(m01_全ITO索引&lt;85),m01_全ITO索引,227),ROW(10:10)),)</f>
        <v>利害關係人參與計畫書</v>
      </c>
      <c r="Q36" s="184" t="e">
        <f t="array" aca="1" ref="Q36" ca="1">OFFSET(m01_ITO起點,SMALL(IF(m01_更新索引*(m01_全ITO索引&lt;27),m01_全ITO索引,227),ROW(10:10)),)</f>
        <v>#N/A</v>
      </c>
      <c r="R36" s="21" t="str">
        <f t="array" aca="1" ref="R36" ca="1">OFFSET(m01_ITO起點,SMALL(IF(m01_更新索引*(m01_全ITO索引&gt;26)*(m01_全ITO索引&lt;85),m01_全ITO索引,227),ROW(10:10)),)</f>
        <v>利害關係人參與計畫書</v>
      </c>
    </row>
    <row r="37" spans="1:18" x14ac:dyDescent="0.25">
      <c r="B37" s="129" t="e">
        <f ca="1"/>
        <v>#N/A</v>
      </c>
      <c r="C37" s="127" t="e">
        <f ca="1"/>
        <v>#N/A</v>
      </c>
      <c r="D37" s="127" t="e">
        <f ca="1"/>
        <v>#N/A</v>
      </c>
      <c r="E37" s="127" t="e">
        <f ca="1"/>
        <v>#N/A</v>
      </c>
      <c r="F37" s="127" t="e">
        <f ca="1"/>
        <v>#N/A</v>
      </c>
      <c r="G37" s="127" t="e">
        <f ca="1"/>
        <v>#N/A</v>
      </c>
      <c r="H37" s="127" t="e">
        <f ca="1"/>
        <v>#N/A</v>
      </c>
      <c r="I37" s="128" t="e">
        <f ca="1"/>
        <v>#N/A</v>
      </c>
      <c r="J37" t="str">
        <v/>
      </c>
      <c r="K37" s="184" t="str">
        <f t="array" aca="1" ref="K37" ca="1">_xlfn.IFNA(OFFSET(m01_ITO起點,SMALL(IF(m01_投入索引*(m01_全ITO索引&lt;27),m01_全ITO索引,227),ROW(11:11)),),"")</f>
        <v>工作績效資料</v>
      </c>
      <c r="L37" s="21" t="str">
        <f t="array" aca="1" ref="L37" ca="1">OFFSET(m01_ITO起點,SMALL(IF(m01_投入索引*(m01_全ITO索引&gt;26)*(m01_全ITO索引&lt;85),m01_全ITO索引,227),ROW(11:11)),)</f>
        <v>變更管理計畫書</v>
      </c>
      <c r="M37" s="184" t="str">
        <f t="array" aca="1" ref="M37" ca="1">OFFSET(m01_ITO起點,SMALL(IF(m01_投入索引*(m01_全ITO索引&gt;84)*(m01_全ITO索引&lt;150),m01_全ITO索引,227),ROW(11:11)),)</f>
        <v>專案管理資訊系統</v>
      </c>
      <c r="N37" s="21" t="str">
        <f t="array" aca="1" ref="N37" ca="1">OFFSET(m01_ITO起點,SMALL(IF(m01_投入索引*(m01_全ITO索引&gt;149)*(m01_全ITO索引&lt;226),m01_全ITO索引,227),ROW(11:11)),)</f>
        <v>成本效益分析</v>
      </c>
      <c r="O37" s="184" t="str">
        <f t="array" aca="1" ref="O37" ca="1">OFFSET(m01_ITO起點,SMALL(IF(m01_產出索引*(m01_全ITO索引&lt;27),m01_全ITO索引,227),ROW(11:11)),)</f>
        <v>工作績效資訊</v>
      </c>
      <c r="P37" s="21" t="str">
        <f t="array" aca="1" ref="P37" ca="1">OFFSET(m01_ITO起點,SMALL(IF(m01_產出索引*(m01_全ITO索引&gt;26)*(m01_全ITO索引&lt;85),m01_全ITO索引,227),ROW(11:11)),)</f>
        <v>範疇基準</v>
      </c>
      <c r="Q37" s="184" t="e">
        <f t="array" aca="1" ref="Q37" ca="1">OFFSET(m01_ITO起點,SMALL(IF(m01_更新索引*(m01_全ITO索引&lt;27),m01_全ITO索引,227),ROW(11:11)),)</f>
        <v>#N/A</v>
      </c>
      <c r="R37" s="21" t="str">
        <f t="array" aca="1" ref="R37" ca="1">OFFSET(m01_ITO起點,SMALL(IF(m01_更新索引*(m01_全ITO索引&gt;26)*(m01_全ITO索引&lt;85),m01_全ITO索引,227),ROW(11:11)),)</f>
        <v>範疇基準</v>
      </c>
    </row>
    <row r="38" spans="1:18" x14ac:dyDescent="0.25">
      <c r="B38" s="129" t="e">
        <f ca="1"/>
        <v>#N/A</v>
      </c>
      <c r="C38" s="127" t="e">
        <f ca="1"/>
        <v>#N/A</v>
      </c>
      <c r="D38" s="127" t="e">
        <f ca="1"/>
        <v>#N/A</v>
      </c>
      <c r="E38" s="127" t="e">
        <f ca="1"/>
        <v>#N/A</v>
      </c>
      <c r="F38" s="127" t="e">
        <f ca="1"/>
        <v>#N/A</v>
      </c>
      <c r="G38" s="127" t="e">
        <f ca="1"/>
        <v>#N/A</v>
      </c>
      <c r="H38" s="127" t="e">
        <f ca="1"/>
        <v>#N/A</v>
      </c>
      <c r="I38" s="128" t="e">
        <f ca="1"/>
        <v>#N/A</v>
      </c>
      <c r="J38" t="str">
        <v/>
      </c>
      <c r="K38" s="184" t="str">
        <f t="array" aca="1" ref="K38" ca="1">_xlfn.IFNA(OFFSET(m01_ITO起點,SMALL(IF(m01_投入索引*(m01_全ITO索引&lt;27),m01_全ITO索引,227),ROW(12:12)),),"")</f>
        <v>工作績效資訊</v>
      </c>
      <c r="L38" s="21" t="str">
        <f t="array" aca="1" ref="L38" ca="1">OFFSET(m01_ITO起點,SMALL(IF(m01_投入索引*(m01_全ITO索引&gt;26)*(m01_全ITO索引&lt;85),m01_全ITO索引,227),ROW(12:12)),)</f>
        <v>構型管理計畫書</v>
      </c>
      <c r="M38" s="184" t="str">
        <f t="array" aca="1" ref="M38" ca="1">OFFSET(m01_ITO起點,SMALL(IF(m01_投入索引*(m01_全ITO索引&gt;84)*(m01_全ITO索引&lt;150),m01_全ITO索引,227),ROW(12:12)),)</f>
        <v>變更管制工具</v>
      </c>
      <c r="N38" s="21" t="str">
        <f t="array" aca="1" ref="N38" ca="1">OFFSET(m01_ITO起點,SMALL(IF(m01_投入索引*(m01_全ITO索引&gt;149)*(m01_全ITO索引&lt;226),m01_全ITO索引,227),ROW(12:12)),)</f>
        <v>實獲值分析</v>
      </c>
      <c r="O38" s="184" t="str">
        <f t="array" aca="1" ref="O38" ca="1">OFFSET(m01_ITO起點,SMALL(IF(m01_產出索引*(m01_全ITO索引&lt;27),m01_全ITO索引,227),ROW(12:12)),)</f>
        <v>工作績效報告</v>
      </c>
      <c r="P38" s="21" t="str">
        <f t="array" aca="1" ref="P38" ca="1">OFFSET(m01_ITO起點,SMALL(IF(m01_產出索引*(m01_全ITO索引&gt;26)*(m01_全ITO索引&lt;85),m01_全ITO索引,227),ROW(12:12)),)</f>
        <v>時程基準</v>
      </c>
      <c r="Q38" s="184" t="e">
        <f t="array" aca="1" ref="Q38" ca="1">OFFSET(m01_ITO起點,SMALL(IF(m01_更新索引*(m01_全ITO索引&lt;27),m01_全ITO索引,227),ROW(12:12)),)</f>
        <v>#N/A</v>
      </c>
      <c r="R38" s="21" t="str">
        <f t="array" aca="1" ref="R38" ca="1">OFFSET(m01_ITO起點,SMALL(IF(m01_更新索引*(m01_全ITO索引&gt;26)*(m01_全ITO索引&lt;85),m01_全ITO索引,227),ROW(12:12)),)</f>
        <v>時程基準</v>
      </c>
    </row>
    <row r="39" spans="1:18" x14ac:dyDescent="0.25">
      <c r="B39" s="129" t="e">
        <f ca="1"/>
        <v>#N/A</v>
      </c>
      <c r="C39" s="127" t="e">
        <f ca="1"/>
        <v>#N/A</v>
      </c>
      <c r="D39" s="127" t="e">
        <f ca="1"/>
        <v>#N/A</v>
      </c>
      <c r="E39" s="127" t="e">
        <f ca="1"/>
        <v>#N/A</v>
      </c>
      <c r="F39" s="127" t="e">
        <f ca="1"/>
        <v>#N/A</v>
      </c>
      <c r="G39" s="127" t="e">
        <f ca="1"/>
        <v>#N/A</v>
      </c>
      <c r="H39" s="127" t="e">
        <f ca="1"/>
        <v>#N/A</v>
      </c>
      <c r="I39" s="128" t="e">
        <f ca="1"/>
        <v>#N/A</v>
      </c>
      <c r="J39" t="str">
        <v/>
      </c>
      <c r="K39" s="184" t="str">
        <f t="array" aca="1" ref="K39" ca="1">_xlfn.IFNA(OFFSET(m01_ITO起點,SMALL(IF(m01_投入索引*(m01_全ITO索引&lt;27),m01_全ITO索引,227),ROW(13:13)),),"")</f>
        <v>工作績效報告</v>
      </c>
      <c r="L39" s="21" t="str">
        <f t="array" aca="1" ref="L39" ca="1">OFFSET(m01_ITO起點,SMALL(IF(m01_投入索引*(m01_全ITO索引&gt;26)*(m01_全ITO索引&lt;85),m01_全ITO索引,227),ROW(13:13)),)</f>
        <v>範疇基準</v>
      </c>
      <c r="M39" s="184" t="str">
        <f t="array" aca="1" ref="M39" ca="1">OFFSET(m01_ITO起點,SMALL(IF(m01_投入索引*(m01_全ITO索引&gt;84)*(m01_全ITO索引&lt;150),m01_全ITO索引,227),ROW(13:13)),)</f>
        <v>系統關聯圖</v>
      </c>
      <c r="N39" s="21" t="str">
        <f t="array" aca="1" ref="N39" ca="1">OFFSET(m01_ITO起點,SMALL(IF(m01_投入索引*(m01_全ITO索引&gt;149)*(m01_全ITO索引&lt;226),m01_全ITO索引,227),ROW(13:13)),)</f>
        <v>趨勢分析</v>
      </c>
      <c r="O39" s="184" t="str">
        <f t="array" aca="1" ref="O39" ca="1">OFFSET(m01_ITO起點,SMALL(IF(m01_產出索引*(m01_全ITO索引&lt;27),m01_全ITO索引,227),ROW(13:13)),)</f>
        <v>專案資金需求</v>
      </c>
      <c r="P39" s="21" t="str">
        <f t="array" aca="1" ref="P39" ca="1">OFFSET(m01_ITO起點,SMALL(IF(m01_產出索引*(m01_全ITO索引&gt;26)*(m01_全ITO索引&lt;85),m01_全ITO索引,227),ROW(13:13)),)</f>
        <v>成本基準</v>
      </c>
      <c r="Q39" s="184" t="e">
        <f t="array" aca="1" ref="Q39" ca="1">OFFSET(m01_ITO起點,SMALL(IF(m01_更新索引*(m01_全ITO索引&lt;27),m01_全ITO索引,227),ROW(13:13)),)</f>
        <v>#N/A</v>
      </c>
      <c r="R39" s="21" t="str">
        <f t="array" aca="1" ref="R39" ca="1">OFFSET(m01_ITO起點,SMALL(IF(m01_更新索引*(m01_全ITO索引&gt;26)*(m01_全ITO索引&lt;85),m01_全ITO索引,227),ROW(13:13)),)</f>
        <v>成本基準</v>
      </c>
    </row>
    <row r="40" spans="1:18" x14ac:dyDescent="0.25">
      <c r="B40" s="129" t="e">
        <f ca="1"/>
        <v>#N/A</v>
      </c>
      <c r="C40" s="127" t="e">
        <f ca="1"/>
        <v>#N/A</v>
      </c>
      <c r="D40" s="127" t="e">
        <f ca="1"/>
        <v>#N/A</v>
      </c>
      <c r="E40" s="127" t="e">
        <f ca="1"/>
        <v>#N/A</v>
      </c>
      <c r="F40" s="127" t="e">
        <f ca="1"/>
        <v>#N/A</v>
      </c>
      <c r="G40" s="127" t="e">
        <f ca="1"/>
        <v>#N/A</v>
      </c>
      <c r="H40" s="127" t="e">
        <f ca="1"/>
        <v>#N/A</v>
      </c>
      <c r="I40" s="128" t="e">
        <f ca="1"/>
        <v>#N/A</v>
      </c>
      <c r="J40" t="str">
        <v/>
      </c>
      <c r="K40" s="184" t="str">
        <f t="array" aca="1" ref="K40" ca="1">_xlfn.IFNA(OFFSET(m01_ITO起點,SMALL(IF(m01_投入索引*(m01_全ITO索引&lt;27),m01_全ITO索引,227),ROW(14:14)),),"")</f>
        <v>企業環境因素</v>
      </c>
      <c r="L40" s="21" t="str">
        <f t="array" aca="1" ref="L40" ca="1">OFFSET(m01_ITO起點,SMALL(IF(m01_投入索引*(m01_全ITO索引&gt;26)*(m01_全ITO索引&lt;85),m01_全ITO索引,227),ROW(14:14)),)</f>
        <v>時程基準</v>
      </c>
      <c r="M40" s="184" t="str">
        <f t="array" aca="1" ref="M40" ca="1">OFFSET(m01_ITO起點,SMALL(IF(m01_投入索引*(m01_全ITO索引&gt;84)*(m01_全ITO索引&lt;150),m01_全ITO索引,227),ROW(14:14)),)</f>
        <v>雛形</v>
      </c>
      <c r="N40" s="21" t="str">
        <f t="array" aca="1" ref="N40" ca="1">OFFSET(m01_ITO起點,SMALL(IF(m01_投入索引*(m01_全ITO索引&gt;149)*(m01_全ITO索引&lt;226),m01_全ITO索引,227),ROW(14:14)),)</f>
        <v>變異分析</v>
      </c>
      <c r="O40" s="184" t="str">
        <f t="array" aca="1" ref="O40" ca="1">OFFSET(m01_ITO起點,SMALL(IF(m01_產出索引*(m01_全ITO索引&lt;27),m01_全ITO索引,227),ROW(14:14)),)</f>
        <v>團隊績效評量</v>
      </c>
      <c r="P40" s="21" t="str">
        <f t="array" aca="1" ref="P40" ca="1">OFFSET(m01_ITO起點,SMALL(IF(m01_產出索引*(m01_全ITO索引&gt;26)*(m01_全ITO索引&lt;85),m01_全ITO索引,227),ROW(14:14)),)</f>
        <v>假設紀錄</v>
      </c>
      <c r="Q40" s="184" t="e">
        <f t="array" aca="1" ref="Q40" ca="1">OFFSET(m01_ITO起點,SMALL(IF(m01_更新索引*(m01_全ITO索引&lt;27),m01_全ITO索引,227),ROW(14:14)),)</f>
        <v>#N/A</v>
      </c>
      <c r="R40" s="21" t="str">
        <f t="array" aca="1" ref="R40" ca="1">OFFSET(m01_ITO起點,SMALL(IF(m01_更新索引*(m01_全ITO索引&gt;26)*(m01_全ITO索引&lt;85),m01_全ITO索引,227),ROW(14:14)),)</f>
        <v>績效衡量基準</v>
      </c>
    </row>
    <row r="41" spans="1:18" x14ac:dyDescent="0.25">
      <c r="B41" s="129" t="e">
        <f ca="1"/>
        <v>#N/A</v>
      </c>
      <c r="C41" s="127" t="e">
        <f ca="1"/>
        <v>#N/A</v>
      </c>
      <c r="D41" s="127" t="e">
        <f ca="1"/>
        <v>#N/A</v>
      </c>
      <c r="E41" s="127" t="e">
        <f ca="1"/>
        <v>#N/A</v>
      </c>
      <c r="F41" s="127" t="e">
        <f ca="1"/>
        <v>#N/A</v>
      </c>
      <c r="G41" s="127" t="e">
        <f ca="1"/>
        <v>#N/A</v>
      </c>
      <c r="H41" s="127" t="e">
        <f ca="1"/>
        <v>#N/A</v>
      </c>
      <c r="I41" s="128" t="e">
        <f ca="1"/>
        <v>#N/A</v>
      </c>
      <c r="K41" s="184" t="str">
        <f t="array" aca="1" ref="K41" ca="1">_xlfn.IFNA(OFFSET(m01_ITO起點,SMALL(IF(m01_投入索引*(m01_全ITO索引&lt;27),m01_全ITO索引,227),ROW(15:15)),),"")</f>
        <v>組織過程資產</v>
      </c>
      <c r="L41" s="21" t="str">
        <f t="array" aca="1" ref="L41" ca="1">OFFSET(m01_ITO起點,SMALL(IF(m01_投入索引*(m01_全ITO索引&gt;26)*(m01_全ITO索引&lt;85),m01_全ITO索引,227),ROW(15:15)),)</f>
        <v>成本基準</v>
      </c>
      <c r="M41" s="184" t="str">
        <f t="array" aca="1" ref="M41" ca="1">OFFSET(m01_ITO起點,SMALL(IF(m01_投入索引*(m01_全ITO索引&gt;84)*(m01_全ITO索引&lt;150),m01_全ITO索引,227),ROW(15:15)),)</f>
        <v>產品分析</v>
      </c>
      <c r="N41" s="21" t="str">
        <f t="array" aca="1" ref="N41" ca="1">OFFSET(m01_ITO起點,SMALL(IF(m01_投入索引*(m01_全ITO索引&gt;149)*(m01_全ITO索引&lt;226),m01_全ITO索引,227),ROW(15:15)),)</f>
        <v>迴歸分析</v>
      </c>
      <c r="O41" s="184" t="str">
        <f t="array" aca="1" ref="O41" ca="1">OFFSET(m01_ITO起點,SMALL(IF(m01_產出索引*(m01_全ITO索引&lt;27),m01_全ITO索引,227),ROW(15:15)),)</f>
        <v>採購策略</v>
      </c>
      <c r="P41" s="21" t="str">
        <f t="array" aca="1" ref="P41" ca="1">OFFSET(m01_ITO起點,SMALL(IF(m01_產出索引*(m01_全ITO索引&gt;26)*(m01_全ITO索引&lt;85),m01_全ITO索引,227),ROW(15:15)),)</f>
        <v>議題紀錄</v>
      </c>
      <c r="Q41" s="184" t="e">
        <f t="array" aca="1" ref="Q41" ca="1">OFFSET(m01_ITO起點,SMALL(IF(m01_更新索引*(m01_全ITO索引&lt;27),m01_全ITO索引,227),ROW(15:15)),)</f>
        <v>#N/A</v>
      </c>
      <c r="R41" s="21" t="str">
        <f t="array" aca="1" ref="R41" ca="1">OFFSET(m01_ITO起點,SMALL(IF(m01_更新索引*(m01_全ITO索引&gt;26)*(m01_全ITO索引&lt;85),m01_全ITO索引,227),ROW(15:15)),)</f>
        <v>所有組件</v>
      </c>
    </row>
    <row r="42" spans="1:18" x14ac:dyDescent="0.25">
      <c r="B42" s="129" t="e">
        <f ca="1"/>
        <v>#N/A</v>
      </c>
      <c r="C42" s="127" t="e">
        <f ca="1"/>
        <v>#N/A</v>
      </c>
      <c r="D42" s="127" t="e">
        <f ca="1"/>
        <v>#N/A</v>
      </c>
      <c r="E42" s="127" t="e">
        <f ca="1"/>
        <v>#N/A</v>
      </c>
      <c r="F42" s="127" t="e">
        <f ca="1"/>
        <v>#N/A</v>
      </c>
      <c r="G42" s="127" t="e">
        <f ca="1"/>
        <v>#N/A</v>
      </c>
      <c r="H42" s="127" t="e">
        <f ca="1"/>
        <v>#N/A</v>
      </c>
      <c r="I42" s="128" t="e">
        <f ca="1"/>
        <v>#N/A</v>
      </c>
      <c r="K42" s="184" t="str">
        <f t="array" aca="1" ref="K42" ca="1">_xlfn.IFNA(OFFSET(m01_ITO起點,SMALL(IF(m01_投入索引*(m01_全ITO索引&lt;27),m01_全ITO索引,227),ROW(16:16)),),"")</f>
        <v>專案資金需求</v>
      </c>
      <c r="L42" s="21" t="str">
        <f t="array" aca="1" ref="L42" ca="1">OFFSET(m01_ITO起點,SMALL(IF(m01_投入索引*(m01_全ITO索引&gt;26)*(m01_全ITO索引&lt;85),m01_全ITO索引,227),ROW(16:16)),)</f>
        <v>績效衡量基準</v>
      </c>
      <c r="M42" s="184" t="str">
        <f t="array" aca="1" ref="M42" ca="1">OFFSET(m01_ITO起點,SMALL(IF(m01_投入索引*(m01_全ITO索引&gt;84)*(m01_全ITO索引&lt;150),m01_全ITO索引,227),ROW(16:16)),)</f>
        <v>分解</v>
      </c>
      <c r="N42" s="21" t="str">
        <f t="array" aca="1" ref="N42" ca="1">OFFSET(m01_ITO起點,SMALL(IF(m01_投入索引*(m01_全ITO索引&gt;149)*(m01_全ITO索引&lt;226),m01_全ITO索引,227),ROW(16:16)),)</f>
        <v>文件分析</v>
      </c>
      <c r="O42" s="184" t="str">
        <f t="array" aca="1" ref="O42" ca="1">OFFSET(m01_ITO起點,SMALL(IF(m01_產出索引*(m01_全ITO索引&lt;27),m01_全ITO索引,227),ROW(16:16)),)</f>
        <v>自製或外購決策</v>
      </c>
      <c r="P42" s="21" t="str">
        <f t="array" aca="1" ref="P42" ca="1">OFFSET(m01_ITO起點,SMALL(IF(m01_產出索引*(m01_全ITO索引&gt;26)*(m01_全ITO索引&lt;85),m01_全ITO索引,227),ROW(16:16)),)</f>
        <v>經驗學習登錄表</v>
      </c>
      <c r="Q42" s="184" t="e">
        <f t="array" aca="1" ref="Q42" ca="1">OFFSET(m01_ITO起點,SMALL(IF(m01_更新索引*(m01_全ITO索引&lt;27),m01_全ITO索引,227),ROW(16:16)),)</f>
        <v>#N/A</v>
      </c>
      <c r="R42" s="21" t="str">
        <f t="array" aca="1" ref="R42" ca="1">OFFSET(m01_ITO起點,SMALL(IF(m01_更新索引*(m01_全ITO索引&gt;26)*(m01_全ITO索引&lt;85),m01_全ITO索引,227),ROW(16:16)),)</f>
        <v>假設紀錄</v>
      </c>
    </row>
    <row r="43" spans="1:18" x14ac:dyDescent="0.25">
      <c r="B43" s="129" t="e">
        <f ca="1"/>
        <v>#N/A</v>
      </c>
      <c r="C43" s="127" t="e">
        <f ca="1"/>
        <v>#N/A</v>
      </c>
      <c r="D43" s="127" t="e">
        <f ca="1"/>
        <v>#N/A</v>
      </c>
      <c r="E43" s="127" t="e">
        <f ca="1"/>
        <v>#N/A</v>
      </c>
      <c r="F43" s="127" t="e">
        <f ca="1"/>
        <v>#N/A</v>
      </c>
      <c r="G43" s="127" t="e">
        <f ca="1"/>
        <v>#N/A</v>
      </c>
      <c r="H43" s="127" t="e">
        <f ca="1"/>
        <v>#N/A</v>
      </c>
      <c r="I43" s="128" t="e">
        <f ca="1"/>
        <v>#N/A</v>
      </c>
      <c r="K43" s="184" t="str">
        <f t="array" aca="1" ref="K43" ca="1">_xlfn.IFNA(OFFSET(m01_ITO起點,SMALL(IF(m01_投入索引*(m01_全ITO索引&lt;27),m01_全ITO索引,227),ROW(17:17)),),"")</f>
        <v>團隊績效評量</v>
      </c>
      <c r="L43" s="21" t="str">
        <f t="array" aca="1" ref="L43" ca="1">OFFSET(m01_ITO起點,SMALL(IF(m01_投入索引*(m01_全ITO索引&gt;26)*(m01_全ITO索引&lt;85),m01_全ITO索引,227),ROW(17:17)),)</f>
        <v>專案生命週期描述</v>
      </c>
      <c r="M43" s="184" t="str">
        <f t="array" aca="1" ref="M43" ca="1">OFFSET(m01_ITO起點,SMALL(IF(m01_投入索引*(m01_全ITO索引&gt;84)*(m01_全ITO索引&lt;150),m01_全ITO索引,227),ROW(17:17)),)</f>
        <v>湧浪規劃法</v>
      </c>
      <c r="N43" s="21" t="str">
        <f t="array" aca="1" ref="N43" ca="1">OFFSET(m01_ITO起點,SMALL(IF(m01_投入索引*(m01_全ITO索引&gt;149)*(m01_全ITO索引&lt;226),m01_全ITO索引,227),ROW(17:17)),)</f>
        <v>儲備分析</v>
      </c>
      <c r="O43" s="184" t="str">
        <f t="array" aca="1" ref="O43" ca="1">OFFSET(m01_ITO起點,SMALL(IF(m01_產出索引*(m01_全ITO索引&lt;27),m01_全ITO索引,227),ROW(17:17)),)</f>
        <v>選定的賣方</v>
      </c>
      <c r="P43" s="21" t="str">
        <f t="array" aca="1" ref="P43" ca="1">OFFSET(m01_ITO起點,SMALL(IF(m01_產出索引*(m01_全ITO索引&gt;26)*(m01_全ITO索引&lt;85),m01_全ITO索引,227),ROW(17:17)),)</f>
        <v>專案範疇說明書</v>
      </c>
      <c r="Q43" s="184" t="e">
        <f t="array" aca="1" ref="Q43" ca="1">OFFSET(m01_ITO起點,SMALL(IF(m01_更新索引*(m01_全ITO索引&lt;27),m01_全ITO索引,227),ROW(17:17)),)</f>
        <v>#N/A</v>
      </c>
      <c r="R43" s="21" t="str">
        <f t="array" aca="1" ref="R43" ca="1">OFFSET(m01_ITO起點,SMALL(IF(m01_更新索引*(m01_全ITO索引&gt;26)*(m01_全ITO索引&lt;85),m01_全ITO索引,227),ROW(17:17)),)</f>
        <v>議題紀錄</v>
      </c>
    </row>
    <row r="44" spans="1:18" x14ac:dyDescent="0.25">
      <c r="B44" s="129" t="e">
        <f ca="1"/>
        <v>#N/A</v>
      </c>
      <c r="C44" s="127" t="e">
        <f ca="1"/>
        <v>#N/A</v>
      </c>
      <c r="D44" s="127" t="e">
        <f ca="1"/>
        <v>#N/A</v>
      </c>
      <c r="E44" s="127" t="e">
        <f ca="1"/>
        <v>#N/A</v>
      </c>
      <c r="F44" s="127" t="e">
        <f ca="1"/>
        <v>#N/A</v>
      </c>
      <c r="G44" s="127" t="e">
        <f ca="1"/>
        <v>#N/A</v>
      </c>
      <c r="H44" s="127" t="e">
        <f ca="1"/>
        <v>#N/A</v>
      </c>
      <c r="I44" s="128" t="e">
        <f ca="1"/>
        <v>#N/A</v>
      </c>
      <c r="K44" s="184" t="str">
        <f t="array" aca="1" ref="K44" ca="1">_xlfn.IFNA(OFFSET(m01_ITO起點,SMALL(IF(m01_投入索引*(m01_全ITO索引&lt;27),m01_全ITO索引,227),ROW(18:18)),),"")</f>
        <v>賣方提案書</v>
      </c>
      <c r="L44" s="21" t="str">
        <f t="array" aca="1" ref="L44" ca="1">OFFSET(m01_ITO起點,SMALL(IF(m01_投入索引*(m01_全ITO索引&gt;26)*(m01_全ITO索引&lt;85),m01_全ITO索引,227),ROW(18:18)),)</f>
        <v>開發手法</v>
      </c>
      <c r="M44" s="184" t="str">
        <f t="array" aca="1" ref="M44" ca="1">OFFSET(m01_ITO起點,SMALL(IF(m01_投入索引*(m01_全ITO索引&gt;84)*(m01_全ITO索引&lt;150),m01_全ITO索引,227),ROW(18:18)),)</f>
        <v>相依關係判定與整合</v>
      </c>
      <c r="N44" s="21" t="str">
        <f t="array" aca="1" ref="N44" ca="1">OFFSET(m01_ITO起點,SMALL(IF(m01_投入索引*(m01_全ITO索引&gt;149)*(m01_全ITO索引&lt;226),m01_全ITO索引,227),ROW(18:18)),)</f>
        <v>模擬</v>
      </c>
      <c r="O44" s="184" t="str">
        <f t="array" aca="1" ref="O44" ca="1">OFFSET(m01_ITO起點,SMALL(IF(m01_產出索引*(m01_全ITO索引&lt;27),m01_全ITO索引,227),ROW(18:18)),)</f>
        <v>協議</v>
      </c>
      <c r="P44" s="21" t="str">
        <f t="array" aca="1" ref="P44" ca="1">OFFSET(m01_ITO起點,SMALL(IF(m01_產出索引*(m01_全ITO索引&gt;26)*(m01_全ITO索引&lt;85),m01_全ITO索引,227),ROW(18:18)),)</f>
        <v>需求相關文件</v>
      </c>
      <c r="Q44" s="184" t="e">
        <f t="array" aca="1" ref="Q44" ca="1">OFFSET(m01_ITO起點,SMALL(IF(m01_更新索引*(m01_全ITO索引&lt;27),m01_全ITO索引,227),ROW(18:18)),)</f>
        <v>#N/A</v>
      </c>
      <c r="R44" s="21" t="str">
        <f t="array" aca="1" ref="R44" ca="1">OFFSET(m01_ITO起點,SMALL(IF(m01_更新索引*(m01_全ITO索引&gt;26)*(m01_全ITO索引&lt;85),m01_全ITO索引,227),ROW(18:18)),)</f>
        <v>變更紀錄</v>
      </c>
    </row>
    <row r="45" spans="1:18" x14ac:dyDescent="0.25">
      <c r="B45" s="129" t="e">
        <f ca="1"/>
        <v>#N/A</v>
      </c>
      <c r="C45" s="127" t="e">
        <f ca="1"/>
        <v>#N/A</v>
      </c>
      <c r="D45" s="127" t="e">
        <f ca="1"/>
        <v>#N/A</v>
      </c>
      <c r="E45" s="127" t="e">
        <f ca="1"/>
        <v>#N/A</v>
      </c>
      <c r="F45" s="127" t="e">
        <f ca="1"/>
        <v>#N/A</v>
      </c>
      <c r="G45" s="127" t="e">
        <f ca="1"/>
        <v>#N/A</v>
      </c>
      <c r="H45" s="127" t="e">
        <f ca="1"/>
        <v>#N/A</v>
      </c>
      <c r="I45" s="128" t="e">
        <f ca="1"/>
        <v>#N/A</v>
      </c>
      <c r="K45" s="184" t="str">
        <f t="array" aca="1" ref="K45" ca="1">_xlfn.IFNA(OFFSET(m01_ITO起點,SMALL(IF(m01_投入索引*(m01_全ITO索引&lt;27),m01_全ITO索引,227),ROW(19:19)),),"")</f>
        <v>協議</v>
      </c>
      <c r="L45" s="21" t="str">
        <f t="array" aca="1" ref="L45" ca="1">OFFSET(m01_ITO起點,SMALL(IF(m01_投入索引*(m01_全ITO索引&gt;26)*(m01_全ITO索引&lt;85),m01_全ITO索引,227),ROW(19:19)),)</f>
        <v>所有組件</v>
      </c>
      <c r="M45" s="184" t="str">
        <f t="array" aca="1" ref="M45" ca="1">OFFSET(m01_ITO起點,SMALL(IF(m01_投入索引*(m01_全ITO索引&gt;84)*(m01_全ITO索引&lt;150),m01_全ITO索引,227),ROW(19:19)),)</f>
        <v>順序圖示法</v>
      </c>
      <c r="N45" s="21" t="str">
        <f t="array" aca="1" ref="N45" ca="1">OFFSET(m01_ITO起點,SMALL(IF(m01_投入索引*(m01_全ITO索引&gt;149)*(m01_全ITO索引&lt;226),m01_全ITO索引,227),ROW(19:19)),)</f>
        <v>假設情境分析</v>
      </c>
      <c r="O45" s="184" t="str">
        <f t="array" aca="1" ref="O45" ca="1">OFFSET(m01_ITO起點,SMALL(IF(m01_產出索引*(m01_全ITO索引&lt;27),m01_全ITO索引,227),ROW(19:19)),)</f>
        <v>結束的採購</v>
      </c>
      <c r="P45" s="21" t="str">
        <f t="array" aca="1" ref="P45" ca="1">OFFSET(m01_ITO起點,SMALL(IF(m01_產出索引*(m01_全ITO索引&gt;26)*(m01_全ITO索引&lt;85),m01_全ITO索引,227),ROW(19:19)),)</f>
        <v>需求追溯矩陣</v>
      </c>
      <c r="Q45" s="184" t="e">
        <f t="array" aca="1" ref="Q45" ca="1">OFFSET(m01_ITO起點,SMALL(IF(m01_更新索引*(m01_全ITO索引&lt;27),m01_全ITO索引,227),ROW(19:19)),)</f>
        <v>#N/A</v>
      </c>
      <c r="R45" s="21" t="str">
        <f t="array" aca="1" ref="R45" ca="1">OFFSET(m01_ITO起點,SMALL(IF(m01_更新索引*(m01_全ITO索引&gt;26)*(m01_全ITO索引&lt;85),m01_全ITO索引,227),ROW(19:19)),)</f>
        <v>經驗學習登錄表</v>
      </c>
    </row>
    <row r="46" spans="1:18" x14ac:dyDescent="0.25">
      <c r="B46" s="129" t="e">
        <f ca="1"/>
        <v>#N/A</v>
      </c>
      <c r="C46" s="127" t="e">
        <f ca="1"/>
        <v>#N/A</v>
      </c>
      <c r="D46" s="127" t="e">
        <f ca="1"/>
        <v>#N/A</v>
      </c>
      <c r="E46" s="127" t="e">
        <f ca="1"/>
        <v>#N/A</v>
      </c>
      <c r="F46" s="127" t="e">
        <f ca="1"/>
        <v>#N/A</v>
      </c>
      <c r="G46" s="127" t="e">
        <f ca="1"/>
        <v>#N/A</v>
      </c>
      <c r="H46" s="127" t="e">
        <f ca="1"/>
        <v>#N/A</v>
      </c>
      <c r="I46" s="128" t="e">
        <f ca="1"/>
        <v>#N/A</v>
      </c>
      <c r="K46" s="184" t="str">
        <f t="array" aca="1" ref="K46" ca="1">_xlfn.IFNA(OFFSET(m01_ITO起點,SMALL(IF(m01_投入索引*(m01_全ITO索引&lt;27),m01_全ITO索引,227),ROW(20:20)),),"")</f>
        <v>其他過程的產出</v>
      </c>
      <c r="L46" s="21" t="str">
        <f t="array" aca="1" ref="L46" ca="1">OFFSET(m01_ITO起點,SMALL(IF(m01_投入索引*(m01_全ITO索引&gt;26)*(m01_全ITO索引&lt;85),m01_全ITO索引,227),ROW(20:20)),)</f>
        <v>假設紀錄</v>
      </c>
      <c r="M46" s="184" t="str">
        <f t="array" aca="1" ref="M46" ca="1">OFFSET(m01_ITO起點,SMALL(IF(m01_投入索引*(m01_全ITO索引&gt;84)*(m01_全ITO索引&lt;150),m01_全ITO索引,227),ROW(20:20)),)</f>
        <v>提前與延後</v>
      </c>
      <c r="N46" s="21" t="str">
        <f t="array" aca="1" ref="N46" ca="1">OFFSET(m01_ITO起點,SMALL(IF(m01_投入索引*(m01_全ITO索引&gt;149)*(m01_全ITO索引&lt;226),m01_全ITO索引,227),ROW(20:20)),)</f>
        <v>績效審查</v>
      </c>
      <c r="O46" s="184" t="e">
        <f t="array" aca="1" ref="O46" ca="1">OFFSET(m01_ITO起點,SMALL(IF(m01_產出索引*(m01_全ITO索引&lt;27),m01_全ITO索引,227),ROW(20:20)),)</f>
        <v>#N/A</v>
      </c>
      <c r="P46" s="21" t="str">
        <f t="array" aca="1" ref="P46" ca="1">OFFSET(m01_ITO起點,SMALL(IF(m01_產出索引*(m01_全ITO索引&gt;26)*(m01_全ITO索引&lt;85),m01_全ITO索引,227),ROW(20:20)),)</f>
        <v>活動屬性</v>
      </c>
      <c r="Q46" s="184" t="e">
        <f t="array" aca="1" ref="Q46" ca="1">OFFSET(m01_ITO起點,SMALL(IF(m01_更新索引*(m01_全ITO索引&lt;27),m01_全ITO索引,227),ROW(20:20)),)</f>
        <v>#N/A</v>
      </c>
      <c r="R46" s="21" t="str">
        <f t="array" aca="1" ref="R46" ca="1">OFFSET(m01_ITO起點,SMALL(IF(m01_更新索引*(m01_全ITO索引&gt;26)*(m01_全ITO索引&lt;85),m01_全ITO索引,227),ROW(20:20)),)</f>
        <v>需求相關文件</v>
      </c>
    </row>
    <row r="47" spans="1:18" ht="17.25" thickBot="1" x14ac:dyDescent="0.3">
      <c r="A47" t="str">
        <f ca="1">_xlfn.IFNA(I47,"")</f>
        <v/>
      </c>
      <c r="B47" s="129" t="e">
        <f ca="1"/>
        <v>#N/A</v>
      </c>
      <c r="C47" s="127" t="e">
        <f ca="1"/>
        <v>#N/A</v>
      </c>
      <c r="D47" s="127" t="e">
        <f ca="1"/>
        <v>#N/A</v>
      </c>
      <c r="E47" s="130" t="e">
        <f ca="1"/>
        <v>#N/A</v>
      </c>
      <c r="F47" s="130" t="e">
        <f ca="1"/>
        <v>#N/A</v>
      </c>
      <c r="G47" s="130" t="e">
        <f ca="1"/>
        <v>#N/A</v>
      </c>
      <c r="H47" s="130" t="e">
        <f ca="1"/>
        <v>#N/A</v>
      </c>
      <c r="I47" s="131" t="e">
        <f ca="1"/>
        <v>#N/A</v>
      </c>
      <c r="K47" s="184" t="e">
        <f t="array" aca="1" ref="K47" ca="1">_xlfn.IFNA(OFFSET(m01_ITO起點,SMALL(IF(m01_投入索引*(m01_全ITO索引&lt;27),m01_全ITO索引,227),ROW(21:21)),),"")</f>
        <v>#N/A</v>
      </c>
      <c r="L47" s="21" t="str">
        <f t="array" aca="1" ref="L47" ca="1">OFFSET(m01_ITO起點,SMALL(IF(m01_投入索引*(m01_全ITO索引&gt;26)*(m01_全ITO索引&lt;85),m01_全ITO索引,227),ROW(21:21)),)</f>
        <v>議題紀錄</v>
      </c>
      <c r="M47" s="184" t="str">
        <f t="array" aca="1" ref="M47" ca="1">OFFSET(m01_ITO起點,SMALL(IF(m01_投入索引*(m01_全ITO索引&gt;84)*(m01_全ITO索引&lt;150),m01_全ITO索引,227),ROW(21:21)),)</f>
        <v>類比估算法</v>
      </c>
      <c r="N47" s="21" t="str">
        <f t="array" aca="1" ref="N47" ca="1">OFFSET(m01_ITO起點,SMALL(IF(m01_投入索引*(m01_全ITO索引&gt;149)*(m01_全ITO索引&lt;226),m01_全ITO索引,227),ROW(21:21)),)</f>
        <v>迭代燃盡圖</v>
      </c>
      <c r="O47" s="184" t="e">
        <f t="array" aca="1" ref="O47" ca="1">OFFSET(m01_ITO起點,SMALL(IF(m01_產出索引*(m01_全ITO索引&lt;27),m01_全ITO索引,227),ROW(21:21)),)</f>
        <v>#N/A</v>
      </c>
      <c r="P47" s="21" t="str">
        <f t="array" aca="1" ref="P47" ca="1">OFFSET(m01_ITO起點,SMALL(IF(m01_產出索引*(m01_全ITO索引&gt;26)*(m01_全ITO索引&lt;85),m01_全ITO索引,227),ROW(21:21)),)</f>
        <v>活動清單</v>
      </c>
      <c r="Q47" s="184" t="e">
        <f t="array" aca="1" ref="Q47" ca="1">OFFSET(m01_ITO起點,SMALL(IF(m01_更新索引*(m01_全ITO索引&lt;27),m01_全ITO索引,227),ROW(21:21)),)</f>
        <v>#N/A</v>
      </c>
      <c r="R47" s="21" t="str">
        <f t="array" aca="1" ref="R47" ca="1">OFFSET(m01_ITO起點,SMALL(IF(m01_更新索引*(m01_全ITO索引&gt;26)*(m01_全ITO索引&lt;85),m01_全ITO索引,227),ROW(21:21)),)</f>
        <v>需求追溯矩陣</v>
      </c>
    </row>
    <row r="48" spans="1:18" x14ac:dyDescent="0.25">
      <c r="A48" s="132"/>
      <c r="B48" s="123" t="s">
        <v>1683</v>
      </c>
      <c r="C48" s="124" t="s">
        <v>1684</v>
      </c>
      <c r="D48" s="125" t="s">
        <v>1685</v>
      </c>
      <c r="E48" s="52" t="s">
        <v>1686</v>
      </c>
      <c r="F48" s="136" t="s">
        <v>1687</v>
      </c>
      <c r="G48" s="137" t="s">
        <v>1688</v>
      </c>
      <c r="H48" s="138" t="s">
        <v>1689</v>
      </c>
      <c r="I48" s="74"/>
      <c r="K48" s="184" t="e">
        <f t="array" aca="1" ref="K48" ca="1">_xlfn.IFNA(OFFSET(m01_ITO起點,SMALL(IF(m01_投入索引*(m01_全ITO索引&lt;27),m01_全ITO索引,227),ROW(22:22)),),"")</f>
        <v>#N/A</v>
      </c>
      <c r="L48" s="21" t="str">
        <f t="array" aca="1" ref="L48" ca="1">OFFSET(m01_ITO起點,SMALL(IF(m01_投入索引*(m01_全ITO索引&gt;26)*(m01_全ITO索引&lt;85),m01_全ITO索引,227),ROW(22:22)),)</f>
        <v>變更紀錄</v>
      </c>
      <c r="M48" s="184" t="str">
        <f t="array" aca="1" ref="M48" ca="1">OFFSET(m01_ITO起點,SMALL(IF(m01_投入索引*(m01_全ITO索引&gt;84)*(m01_全ITO索引&lt;150),m01_全ITO索引,227),ROW(22:22)),)</f>
        <v>參數估算法</v>
      </c>
      <c r="N48" s="21" t="str">
        <f t="array" aca="1" ref="N48" ca="1">OFFSET(m01_ITO起點,SMALL(IF(m01_投入索引*(m01_全ITO索引&gt;149)*(m01_全ITO索引&lt;226),m01_全ITO索引,227),ROW(22:22)),)</f>
        <v>品質成本</v>
      </c>
      <c r="O48" s="184" t="e">
        <f t="array" aca="1" ref="O48" ca="1">OFFSET(m01_ITO起點,SMALL(IF(m01_產出索引*(m01_全ITO索引&lt;27),m01_全ITO索引,227),ROW(22:22)),)</f>
        <v>#N/A</v>
      </c>
      <c r="P48" s="21" t="str">
        <f t="array" aca="1" ref="P48" ca="1">OFFSET(m01_ITO起點,SMALL(IF(m01_產出索引*(m01_全ITO索引&gt;26)*(m01_全ITO索引&lt;85),m01_全ITO索引,227),ROW(22:22)),)</f>
        <v>里程碑清單</v>
      </c>
      <c r="Q48" s="184" t="e">
        <f t="array" aca="1" ref="Q48" ca="1">OFFSET(m01_ITO起點,SMALL(IF(m01_更新索引*(m01_全ITO索引&lt;27),m01_全ITO索引,227),ROW(22:22)),)</f>
        <v>#N/A</v>
      </c>
      <c r="R48" s="21" t="str">
        <f t="array" aca="1" ref="R48" ca="1">OFFSET(m01_ITO起點,SMALL(IF(m01_更新索引*(m01_全ITO索引&gt;26)*(m01_全ITO索引&lt;85),m01_全ITO索引,227),ROW(22:22)),)</f>
        <v>活動屬性</v>
      </c>
    </row>
    <row r="49" spans="1:18" x14ac:dyDescent="0.25">
      <c r="A49" s="129">
        <f t="array" aca="1" ref="A49" ca="1">OFFSET('i01'!$G$1,SMALL(IF(i01_過程組過程=s01_查詢過程組,ROW(i01_過程組過程)-1,999),ROW(1:1)),,,)</f>
        <v>0</v>
      </c>
      <c r="B49" s="78" t="e">
        <f t="array" aca="1" ref="B49:B72" ca="1">OFFSET('i01'!$G$2,MATCH(s01_查詢過程組,i01_過程組過程,0)-1,,COUNTIF(i01_過程組過程,s01_查詢過程組),)</f>
        <v>#N/A</v>
      </c>
      <c r="C49" s="78" t="str">
        <f ca="1">IF(IF(ISTEXT(B49),COUNTIF($B$49:$B49,B49),"")=1,ROW(),"")</f>
        <v/>
      </c>
      <c r="D49" s="52">
        <f t="array" aca="1" ref="D49" ca="1">IFERROR(OFFSET($B$1,SMALL($C$49:$C$72,ROW(1:1))-1,),)</f>
        <v>0</v>
      </c>
      <c r="E49" s="52" t="str">
        <f t="array" aca="1" ref="E49" ca="1">IFERROR(OFFSET('i01'!$H$1,SMALL(IF((IF(s01_查詢過程組&lt;&gt;"",(i01_過程組過程=s01_查詢過程組),1)*IF(s01_查詢知識領域&lt;&gt;"",(i01_過程組知識領域=s01_查詢知識領域),1)),ROW(i01_清單過程組)-1,""),ROW(1:1)),,,),)</f>
        <v>發展專案章程</v>
      </c>
      <c r="F49" s="129">
        <f t="array" aca="1" ref="F49" ca="1">OFFSET('i01'!$F$1,SMALL(IF(i01_過程組知識領域=s01_查詢知識領域,ROW(i01_過程組知識領域)-1,999),ROW(1:1)),,,)</f>
        <v>0</v>
      </c>
      <c r="G49" s="78" t="str">
        <f ca="1">IF(IF(ISTEXT(F49),COUNTIF($F$49:$F49,F49),"")=1,ROW(),"")</f>
        <v/>
      </c>
      <c r="H49" s="52">
        <f t="array" aca="1" ref="H49" ca="1">IFERROR(OFFSET($F$1,SMALL($G$49:$G$55,ROW(1:1))-1,),)</f>
        <v>0</v>
      </c>
      <c r="I49" s="74"/>
      <c r="J49" s="121"/>
      <c r="K49" s="184" t="e">
        <f t="array" aca="1" ref="K49" ca="1">_xlfn.IFNA(OFFSET(m01_ITO起點,SMALL(IF(m01_投入索引*(m01_全ITO索引&lt;27),m01_全ITO索引,227),ROW(23:23)),),"")</f>
        <v>#N/A</v>
      </c>
      <c r="L49" s="21" t="str">
        <f t="array" aca="1" ref="L49" ca="1">OFFSET(m01_ITO起點,SMALL(IF(m01_投入索引*(m01_全ITO索引&gt;26)*(m01_全ITO索引&lt;85),m01_全ITO索引,227),ROW(23:23)),)</f>
        <v>經驗學習登錄表</v>
      </c>
      <c r="M49" s="184" t="str">
        <f t="array" aca="1" ref="M49" ca="1">OFFSET(m01_ITO起點,SMALL(IF(m01_投入索引*(m01_全ITO索引&gt;84)*(m01_全ITO索引&lt;150),m01_全ITO索引,227),ROW(23:23)),)</f>
        <v>三點估算法</v>
      </c>
      <c r="N49" s="21" t="str">
        <f t="array" aca="1" ref="N49" ca="1">OFFSET(m01_ITO起點,SMALL(IF(m01_投入索引*(m01_全ITO索引&gt;149)*(m01_全ITO索引&lt;226),m01_全ITO索引,227),ROW(23:23)),)</f>
        <v>肇因分析</v>
      </c>
      <c r="O49" s="184" t="e">
        <f t="array" aca="1" ref="O49" ca="1">OFFSET(m01_ITO起點,SMALL(IF(m01_產出索引*(m01_全ITO索引&lt;27),m01_全ITO索引,227),ROW(23:23)),)</f>
        <v>#N/A</v>
      </c>
      <c r="P49" s="21" t="str">
        <f t="array" aca="1" ref="P49" ca="1">OFFSET(m01_ITO起點,SMALL(IF(m01_產出索引*(m01_全ITO索引&gt;26)*(m01_全ITO索引&lt;85),m01_全ITO索引,227),ROW(23:23)),)</f>
        <v>專案時程網路圖</v>
      </c>
      <c r="Q49" s="184" t="e">
        <f t="array" aca="1" ref="Q49" ca="1">OFFSET(m01_ITO起點,SMALL(IF(m01_更新索引*(m01_全ITO索引&lt;27),m01_全ITO索引,227),ROW(23:23)),)</f>
        <v>#N/A</v>
      </c>
      <c r="R49" s="21" t="str">
        <f t="array" aca="1" ref="R49" ca="1">OFFSET(m01_ITO起點,SMALL(IF(m01_更新索引*(m01_全ITO索引&gt;26)*(m01_全ITO索引&lt;85),m01_全ITO索引,227),ROW(23:23)),)</f>
        <v>活動清單</v>
      </c>
    </row>
    <row r="50" spans="1:18" x14ac:dyDescent="0.25">
      <c r="A50" s="129">
        <f t="array" aca="1" ref="A50" ca="1">OFFSET('i01'!$G$1,SMALL(IF(i01_過程組過程=s01_查詢過程組,ROW(i01_過程組過程)-1,999),ROW(2:2)),,,)</f>
        <v>0</v>
      </c>
      <c r="B50" s="78" t="e">
        <f ca="1"/>
        <v>#N/A</v>
      </c>
      <c r="C50" s="78" t="str">
        <f ca="1">IF(IF(ISTEXT(B50),COUNTIF($B$49:$B50,B50),"")=1,ROW(),"")</f>
        <v/>
      </c>
      <c r="D50" s="52">
        <f t="array" aca="1" ref="D50" ca="1">IFERROR(OFFSET($B$1,SMALL($C$49:$C$72,ROW(2:2))-1,),)</f>
        <v>0</v>
      </c>
      <c r="E50" s="52" t="str">
        <f t="array" aca="1" ref="E50" ca="1">IFERROR(OFFSET('i01'!$H$1,SMALL(IF((IF(s01_查詢過程組&lt;&gt;"",(i01_過程組過程=s01_查詢過程組),1)*IF(s01_查詢知識領域&lt;&gt;"",(i01_過程組知識領域=s01_查詢知識領域),1)),ROW(i01_清單過程組)-1,""),ROW(2:2)),,,),)</f>
        <v>辨識利害關係人</v>
      </c>
      <c r="F50" s="129">
        <f t="array" aca="1" ref="F50" ca="1">OFFSET('i01'!$F$1,SMALL(IF(i01_過程組知識領域=s01_查詢知識領域,ROW(i01_過程組知識領域)-1,999),ROW(2:2)),,,)</f>
        <v>0</v>
      </c>
      <c r="G50" s="78" t="str">
        <f ca="1">IF(IF(ISTEXT(F50),COUNTIF($F$49:$F50,F50),"")=1,ROW(),"")</f>
        <v/>
      </c>
      <c r="H50" s="52">
        <f t="array" aca="1" ref="H50" ca="1">IFERROR(OFFSET($F$1,SMALL($G$49:$G$55,ROW(2:2))-1,),)</f>
        <v>0</v>
      </c>
      <c r="I50" s="74"/>
      <c r="J50" s="121"/>
      <c r="K50" s="184" t="e">
        <f t="array" aca="1" ref="K50" ca="1">_xlfn.IFNA(OFFSET(m01_ITO起點,SMALL(IF(m01_投入索引*(m01_全ITO索引&lt;27),m01_全ITO索引,227),ROW(24:24)),),"")</f>
        <v>#N/A</v>
      </c>
      <c r="L50" s="21" t="str">
        <f t="array" aca="1" ref="L50" ca="1">OFFSET(m01_ITO起點,SMALL(IF(m01_投入索引*(m01_全ITO索引&gt;26)*(m01_全ITO索引&lt;85),m01_全ITO索引,227),ROW(24:24)),)</f>
        <v>專案範疇說明書</v>
      </c>
      <c r="M50" s="184" t="str">
        <f t="array" aca="1" ref="M50" ca="1">OFFSET(m01_ITO起點,SMALL(IF(m01_投入索引*(m01_全ITO索引&gt;84)*(m01_全ITO索引&lt;150),m01_全ITO索引,227),ROW(24:24)),)</f>
        <v>由下而上估算法</v>
      </c>
      <c r="N50" s="21" t="str">
        <f t="array" aca="1" ref="N50" ca="1">OFFSET(m01_ITO起點,SMALL(IF(m01_投入索引*(m01_全ITO索引&gt;149)*(m01_全ITO索引&lt;226),m01_全ITO索引,227),ROW(24:24)),)</f>
        <v>過程分析</v>
      </c>
      <c r="O50" s="184" t="e">
        <f t="array" aca="1" ref="O50" ca="1">OFFSET(m01_ITO起點,SMALL(IF(m01_產出索引*(m01_全ITO索引&lt;27),m01_全ITO索引,227),ROW(24:24)),)</f>
        <v>#N/A</v>
      </c>
      <c r="P50" s="21" t="str">
        <f t="array" aca="1" ref="P50" ca="1">OFFSET(m01_ITO起點,SMALL(IF(m01_產出索引*(m01_全ITO索引&gt;26)*(m01_全ITO索引&lt;85),m01_全ITO索引,227),ROW(24:24)),)</f>
        <v>估算基礎</v>
      </c>
      <c r="Q50" s="184" t="e">
        <f t="array" aca="1" ref="Q50" ca="1">OFFSET(m01_ITO起點,SMALL(IF(m01_更新索引*(m01_全ITO索引&lt;27),m01_全ITO索引,227),ROW(24:24)),)</f>
        <v>#N/A</v>
      </c>
      <c r="R50" s="21" t="str">
        <f t="array" aca="1" ref="R50" ca="1">OFFSET(m01_ITO起點,SMALL(IF(m01_更新索引*(m01_全ITO索引&gt;26)*(m01_全ITO索引&lt;85),m01_全ITO索引,227),ROW(24:24)),)</f>
        <v>里程碑清單</v>
      </c>
    </row>
    <row r="51" spans="1:18" x14ac:dyDescent="0.25">
      <c r="A51" s="129">
        <f t="array" aca="1" ref="A51" ca="1">OFFSET('i01'!$G$1,SMALL(IF(i01_過程組過程=s01_查詢過程組,ROW(i01_過程組過程)-1,999),ROW(3:3)),,,)</f>
        <v>0</v>
      </c>
      <c r="B51" s="78" t="e">
        <f ca="1"/>
        <v>#N/A</v>
      </c>
      <c r="C51" s="78" t="str">
        <f ca="1">IF(IF(ISTEXT(B51),COUNTIF($B$49:$B51,B51),"")=1,ROW(),"")</f>
        <v/>
      </c>
      <c r="D51" s="52">
        <f t="array" aca="1" ref="D51" ca="1">IFERROR(OFFSET($B$1,SMALL($C$49:$C$72,ROW(3:3))-1,),)</f>
        <v>0</v>
      </c>
      <c r="E51" s="52" t="str">
        <f t="array" aca="1" ref="E51" ca="1">IFERROR(OFFSET('i01'!$H$1,SMALL(IF((IF(s01_查詢過程組&lt;&gt;"",(i01_過程組過程=s01_查詢過程組),1)*IF(s01_查詢知識領域&lt;&gt;"",(i01_過程組知識領域=s01_查詢知識領域),1)),ROW(i01_清單過程組)-1,""),ROW(3:3)),,,),)</f>
        <v>發展專案管理計畫書</v>
      </c>
      <c r="F51" s="129">
        <f t="array" aca="1" ref="F51" ca="1">OFFSET('i01'!$F$1,SMALL(IF(i01_過程組知識領域=s01_查詢知識領域,ROW(i01_過程組知識領域)-1,999),ROW(3:3)),,,)</f>
        <v>0</v>
      </c>
      <c r="G51" s="78" t="str">
        <f ca="1">IF(IF(ISTEXT(F51),COUNTIF($F$49:$F51,F51),"")=1,ROW(),"")</f>
        <v/>
      </c>
      <c r="H51" s="52">
        <f t="array" aca="1" ref="H51" ca="1">IFERROR(OFFSET($F$1,SMALL($G$49:$G$55,ROW(3:3))-1,),)</f>
        <v>0</v>
      </c>
      <c r="I51" s="74"/>
      <c r="J51" s="121"/>
      <c r="K51" s="184" t="e">
        <f t="array" aca="1" ref="K51" ca="1">_xlfn.IFNA(OFFSET(m01_ITO起點,SMALL(IF(m01_投入索引*(m01_全ITO索引&lt;27),m01_全ITO索引,227),ROW(25:25)),),"")</f>
        <v>#N/A</v>
      </c>
      <c r="L51" s="21" t="str">
        <f t="array" aca="1" ref="L51" ca="1">OFFSET(m01_ITO起點,SMALL(IF(m01_投入索引*(m01_全ITO索引&gt;26)*(m01_全ITO索引&lt;85),m01_全ITO索引,227),ROW(25:25)),)</f>
        <v>需求相關文件</v>
      </c>
      <c r="M51" s="184" t="str">
        <f t="array" aca="1" ref="M51" ca="1">OFFSET(m01_ITO起點,SMALL(IF(m01_投入索引*(m01_全ITO索引&gt;84)*(m01_全ITO索引&lt;150),m01_全ITO索引,227),ROW(25:25)),)</f>
        <v>時程網路分析</v>
      </c>
      <c r="N51" s="21" t="str">
        <f t="array" aca="1" ref="N51" ca="1">OFFSET(m01_ITO起點,SMALL(IF(m01_投入索引*(m01_全ITO索引&gt;149)*(m01_全ITO索引&lt;226),m01_全ITO索引,227),ROW(25:25)),)</f>
        <v>SWOT分析</v>
      </c>
      <c r="O51" s="184" t="e">
        <f t="array" aca="1" ref="O51" ca="1">OFFSET(m01_ITO起點,SMALL(IF(m01_產出索引*(m01_全ITO索引&lt;27),m01_全ITO索引,227),ROW(25:25)),)</f>
        <v>#N/A</v>
      </c>
      <c r="P51" s="21" t="str">
        <f t="array" aca="1" ref="P51" ca="1">OFFSET(m01_ITO起點,SMALL(IF(m01_產出索引*(m01_全ITO索引&gt;26)*(m01_全ITO索引&lt;85),m01_全ITO索引,227),ROW(25:25)),)</f>
        <v>期程估算</v>
      </c>
      <c r="Q51" s="184" t="e">
        <f t="array" aca="1" ref="Q51" ca="1">OFFSET(m01_ITO起點,SMALL(IF(m01_更新索引*(m01_全ITO索引&lt;27),m01_全ITO索引,227),ROW(25:25)),)</f>
        <v>#N/A</v>
      </c>
      <c r="R51" s="21" t="str">
        <f t="array" aca="1" ref="R51" ca="1">OFFSET(m01_ITO起點,SMALL(IF(m01_更新索引*(m01_全ITO索引&gt;26)*(m01_全ITO索引&lt;85),m01_全ITO索引,227),ROW(25:25)),)</f>
        <v>估算基礎</v>
      </c>
    </row>
    <row r="52" spans="1:18" x14ac:dyDescent="0.25">
      <c r="A52" s="129">
        <f t="array" aca="1" ref="A52" ca="1">OFFSET('i01'!$G$1,SMALL(IF(i01_過程組過程=s01_查詢過程組,ROW(i01_過程組過程)-1,999),ROW(4:4)),,,)</f>
        <v>0</v>
      </c>
      <c r="B52" s="78" t="e">
        <f ca="1"/>
        <v>#N/A</v>
      </c>
      <c r="C52" s="78" t="str">
        <f ca="1">IF(IF(ISTEXT(B52),COUNTIF($B$49:$B52,B52),"")=1,ROW(),"")</f>
        <v/>
      </c>
      <c r="D52" s="52">
        <f t="array" aca="1" ref="D52" ca="1">IFERROR(OFFSET($B$1,SMALL($C$49:$C$72,ROW(4:4))-1,),)</f>
        <v>0</v>
      </c>
      <c r="E52" s="52" t="str">
        <f t="array" aca="1" ref="E52" ca="1">IFERROR(OFFSET('i01'!$H$1,SMALL(IF((IF(s01_查詢過程組&lt;&gt;"",(i01_過程組過程=s01_查詢過程組),1)*IF(s01_查詢知識領域&lt;&gt;"",(i01_過程組知識領域=s01_查詢知識領域),1)),ROW(i01_清單過程組)-1,""),ROW(4:4)),,,),)</f>
        <v>規劃範疇管理</v>
      </c>
      <c r="F52" s="129">
        <f t="array" aca="1" ref="F52" ca="1">OFFSET('i01'!$F$1,SMALL(IF(i01_過程組知識領域=s01_查詢知識領域,ROW(i01_過程組知識領域)-1,999),ROW(4:4)),,,)</f>
        <v>0</v>
      </c>
      <c r="G52" s="78" t="str">
        <f ca="1">IF(IF(ISTEXT(F52),COUNTIF($F$49:$F52,F52),"")=1,ROW(),"")</f>
        <v/>
      </c>
      <c r="H52" s="52">
        <f t="array" aca="1" ref="H52" ca="1">IFERROR(OFFSET($F$1,SMALL($G$49:$G$55,ROW(4:4))-1,),)</f>
        <v>0</v>
      </c>
      <c r="I52" s="74"/>
      <c r="J52" s="121"/>
      <c r="K52" s="184" t="e">
        <f t="array" aca="1" ref="K52" ca="1">_xlfn.IFNA(OFFSET(m01_ITO起點,SMALL(IF(m01_投入索引*(m01_全ITO索引&lt;27),m01_全ITO索引,227),ROW(26:26)),),"")</f>
        <v>#N/A</v>
      </c>
      <c r="L52" s="21" t="str">
        <f t="array" aca="1" ref="L52" ca="1">OFFSET(m01_ITO起點,SMALL(IF(m01_投入索引*(m01_全ITO索引&gt;26)*(m01_全ITO索引&lt;85),m01_全ITO索引,227),ROW(26:26)),)</f>
        <v>需求追溯矩陣</v>
      </c>
      <c r="M52" s="184" t="str">
        <f t="array" aca="1" ref="M52" ca="1">OFFSET(m01_ITO起點,SMALL(IF(m01_投入索引*(m01_全ITO索引&gt;84)*(m01_全ITO索引&lt;150),m01_全ITO索引,227),ROW(26:26)),)</f>
        <v>要逕法</v>
      </c>
      <c r="N52" s="21" t="str">
        <f t="array" aca="1" ref="N52" ca="1">OFFSET(m01_ITO起點,SMALL(IF(m01_投入索引*(m01_全ITO索引&gt;149)*(m01_全ITO索引&lt;226),m01_全ITO索引,227),ROW(26:26)),)</f>
        <v>假設與限制分析</v>
      </c>
      <c r="O52" s="184" t="e">
        <f t="array" aca="1" ref="O52" ca="1">OFFSET(m01_ITO起點,SMALL(IF(m01_產出索引*(m01_全ITO索引&lt;27),m01_全ITO索引,227),ROW(26:26)),)</f>
        <v>#N/A</v>
      </c>
      <c r="P52" s="21" t="str">
        <f t="array" aca="1" ref="P52" ca="1">OFFSET(m01_ITO起點,SMALL(IF(m01_產出索引*(m01_全ITO索引&gt;26)*(m01_全ITO索引&lt;85),m01_全ITO索引,227),ROW(26:26)),)</f>
        <v>專案時程</v>
      </c>
      <c r="Q52" s="184" t="e">
        <f t="array" aca="1" ref="Q52" ca="1">OFFSET(m01_ITO起點,SMALL(IF(m01_更新索引*(m01_全ITO索引&lt;27),m01_全ITO索引,227),ROW(26:26)),)</f>
        <v>#N/A</v>
      </c>
      <c r="R52" s="21" t="str">
        <f t="array" aca="1" ref="R52" ca="1">OFFSET(m01_ITO起點,SMALL(IF(m01_更新索引*(m01_全ITO索引&gt;26)*(m01_全ITO索引&lt;85),m01_全ITO索引,227),ROW(26:26)),)</f>
        <v>期程估算</v>
      </c>
    </row>
    <row r="53" spans="1:18" x14ac:dyDescent="0.25">
      <c r="A53" s="129">
        <f t="array" aca="1" ref="A53" ca="1">OFFSET('i01'!$G$1,SMALL(IF(i01_過程組過程=s01_查詢過程組,ROW(i01_過程組過程)-1,999),ROW(5:5)),,,)</f>
        <v>0</v>
      </c>
      <c r="B53" s="78" t="e">
        <f ca="1"/>
        <v>#N/A</v>
      </c>
      <c r="C53" s="78" t="str">
        <f ca="1">IF(IF(ISTEXT(B53),COUNTIF($B$49:$B53,B53),"")=1,ROW(),"")</f>
        <v/>
      </c>
      <c r="D53" s="52">
        <f t="array" aca="1" ref="D53" ca="1">IFERROR(OFFSET($B$1,SMALL($C$49:$C$72,ROW(5:5))-1,),)</f>
        <v>0</v>
      </c>
      <c r="E53" s="52" t="str">
        <f t="array" aca="1" ref="E53" ca="1">IFERROR(OFFSET('i01'!$H$1,SMALL(IF((IF(s01_查詢過程組&lt;&gt;"",(i01_過程組過程=s01_查詢過程組),1)*IF(s01_查詢知識領域&lt;&gt;"",(i01_過程組知識領域=s01_查詢知識領域),1)),ROW(i01_清單過程組)-1,""),ROW(5:5)),,,),)</f>
        <v>蒐集需求</v>
      </c>
      <c r="F53" s="129">
        <f t="array" aca="1" ref="F53" ca="1">OFFSET('i01'!$F$1,SMALL(IF(i01_過程組知識領域=s01_查詢知識領域,ROW(i01_過程組知識領域)-1,999),ROW(5:5)),,,)</f>
        <v>0</v>
      </c>
      <c r="G53" s="78" t="str">
        <f ca="1">IF(IF(ISTEXT(F53),COUNTIF($F$49:$F53,F53),"")=1,ROW(),"")</f>
        <v/>
      </c>
      <c r="H53" s="52">
        <f t="array" aca="1" ref="H53" ca="1">IFERROR(OFFSET($F$1,SMALL($G$49:$G$55,ROW(5:5))-1,),)</f>
        <v>0</v>
      </c>
      <c r="I53" s="74"/>
      <c r="J53" s="121"/>
      <c r="K53" s="184" t="e">
        <f t="array" aca="1" ref="K53" ca="1">_xlfn.IFNA(OFFSET(m01_ITO起點,SMALL(IF(m01_投入索引*(m01_全ITO索引&lt;27),m01_全ITO索引,227),ROW(27:27)),),"")</f>
        <v>#N/A</v>
      </c>
      <c r="L53" s="21" t="str">
        <f t="array" aca="1" ref="L53" ca="1">OFFSET(m01_ITO起點,SMALL(IF(m01_投入索引*(m01_全ITO索引&gt;26)*(m01_全ITO索引&lt;85),m01_全ITO索引,227),ROW(27:27)),)</f>
        <v>活動屬性</v>
      </c>
      <c r="M53" s="184" t="str">
        <f t="array" aca="1" ref="M53" ca="1">OFFSET(m01_ITO起點,SMALL(IF(m01_投入索引*(m01_全ITO索引&gt;84)*(m01_全ITO索引&lt;150),m01_全ITO索引,227),ROW(27:27)),)</f>
        <v>敏捷發布規劃</v>
      </c>
      <c r="N53" s="21" t="str">
        <f t="array" aca="1" ref="N53" ca="1">OFFSET(m01_ITO起點,SMALL(IF(m01_投入索引*(m01_全ITO索引&gt;149)*(m01_全ITO索引&lt;226),m01_全ITO索引,227),ROW(27:27)),)</f>
        <v>風險機率與衝擊評量</v>
      </c>
      <c r="O53" s="184" t="e">
        <f t="array" aca="1" ref="O53" ca="1">OFFSET(m01_ITO起點,SMALL(IF(m01_產出索引*(m01_全ITO索引&lt;27),m01_全ITO索引,227),ROW(27:27)),)</f>
        <v>#N/A</v>
      </c>
      <c r="P53" s="21" t="str">
        <f t="array" aca="1" ref="P53" ca="1">OFFSET(m01_ITO起點,SMALL(IF(m01_產出索引*(m01_全ITO索引&gt;26)*(m01_全ITO索引&lt;85),m01_全ITO索引,227),ROW(27:27)),)</f>
        <v>專案行事曆</v>
      </c>
      <c r="Q53" s="184" t="e">
        <f t="array" aca="1" ref="Q53" ca="1">OFFSET(m01_ITO起點,SMALL(IF(m01_更新索引*(m01_全ITO索引&lt;27),m01_全ITO索引,227),ROW(27:27)),)</f>
        <v>#N/A</v>
      </c>
      <c r="R53" s="21" t="str">
        <f t="array" aca="1" ref="R53" ca="1">OFFSET(m01_ITO起點,SMALL(IF(m01_更新索引*(m01_全ITO索引&gt;26)*(m01_全ITO索引&lt;85),m01_全ITO索引,227),ROW(27:27)),)</f>
        <v>專案時程</v>
      </c>
    </row>
    <row r="54" spans="1:18" x14ac:dyDescent="0.25">
      <c r="A54" s="129">
        <f t="array" aca="1" ref="A54" ca="1">OFFSET('i01'!$G$1,SMALL(IF(i01_過程組過程=s01_查詢過程組,ROW(i01_過程組過程)-1,999),ROW(6:6)),,,)</f>
        <v>0</v>
      </c>
      <c r="B54" s="78" t="e">
        <f ca="1"/>
        <v>#N/A</v>
      </c>
      <c r="C54" s="78" t="str">
        <f ca="1">IF(IF(ISTEXT(B54),COUNTIF($B$49:$B54,B54),"")=1,ROW(),"")</f>
        <v/>
      </c>
      <c r="D54" s="52">
        <f t="array" aca="1" ref="D54" ca="1">IFERROR(OFFSET($B$1,SMALL($C$49:$C$72,ROW(6:6))-1,),)</f>
        <v>0</v>
      </c>
      <c r="E54" s="52" t="str">
        <f t="array" aca="1" ref="E54" ca="1">IFERROR(OFFSET('i01'!$H$1,SMALL(IF((IF(s01_查詢過程組&lt;&gt;"",(i01_過程組過程=s01_查詢過程組),1)*IF(s01_查詢知識領域&lt;&gt;"",(i01_過程組知識領域=s01_查詢知識領域),1)),ROW(i01_清單過程組)-1,""),ROW(6:6)),,,),)</f>
        <v>定義範疇</v>
      </c>
      <c r="F54" s="129">
        <f t="array" aca="1" ref="F54" ca="1">OFFSET('i01'!$F$1,SMALL(IF(i01_過程組知識領域=s01_查詢知識領域,ROW(i01_過程組知識領域)-1,999),ROW(6:6)),,,)</f>
        <v>0</v>
      </c>
      <c r="G54" s="78" t="str">
        <f ca="1">IF(IF(ISTEXT(F54),COUNTIF($F$49:$F54,F54),"")=1,ROW(),"")</f>
        <v/>
      </c>
      <c r="H54" s="52"/>
      <c r="I54" s="74"/>
      <c r="J54" s="121"/>
      <c r="K54" s="184" t="e">
        <f t="array" aca="1" ref="K54" ca="1">_xlfn.IFNA(OFFSET(m01_ITO起點,SMALL(IF(m01_投入索引*(m01_全ITO索引&lt;27),m01_全ITO索引,227),ROW(28:28)),),"")</f>
        <v>#N/A</v>
      </c>
      <c r="L54" s="21" t="str">
        <f t="array" aca="1" ref="L54" ca="1">OFFSET(m01_ITO起點,SMALL(IF(m01_投入索引*(m01_全ITO索引&gt;26)*(m01_全ITO索引&lt;85),m01_全ITO索引,227),ROW(28:28)),)</f>
        <v>活動清單</v>
      </c>
      <c r="M54" s="184" t="str">
        <f t="array" aca="1" ref="M54" ca="1">OFFSET(m01_ITO起點,SMALL(IF(m01_投入索引*(m01_全ITO索引&gt;84)*(m01_全ITO索引&lt;150),m01_全ITO索引,227),ROW(28:28)),)</f>
        <v>時程壓縮</v>
      </c>
      <c r="N54" s="21" t="str">
        <f t="array" aca="1" ref="N54" ca="1">OFFSET(m01_ITO起點,SMALL(IF(m01_投入索引*(m01_全ITO索引&gt;149)*(m01_全ITO索引&lt;226),m01_全ITO索引,227),ROW(28:28)),)</f>
        <v>風險資料品質評量</v>
      </c>
      <c r="O54" s="184" t="e">
        <f t="array" aca="1" ref="O54" ca="1">OFFSET(m01_ITO起點,SMALL(IF(m01_產出索引*(m01_全ITO索引&lt;27),m01_全ITO索引,227),ROW(28:28)),)</f>
        <v>#N/A</v>
      </c>
      <c r="P54" s="21" t="str">
        <f t="array" aca="1" ref="P54" ca="1">OFFSET(m01_ITO起點,SMALL(IF(m01_產出索引*(m01_全ITO索引&gt;26)*(m01_全ITO索引&lt;85),m01_全ITO索引,227),ROW(28:28)),)</f>
        <v>時程資料</v>
      </c>
      <c r="Q54" s="184" t="e">
        <f t="array" aca="1" ref="Q54" ca="1">OFFSET(m01_ITO起點,SMALL(IF(m01_更新索引*(m01_全ITO索引&lt;27),m01_全ITO索引,227),ROW(28:28)),)</f>
        <v>#N/A</v>
      </c>
      <c r="R54" s="21" t="str">
        <f t="array" aca="1" ref="R54" ca="1">OFFSET(m01_ITO起點,SMALL(IF(m01_更新索引*(m01_全ITO索引&gt;26)*(m01_全ITO索引&lt;85),m01_全ITO索引,227),ROW(28:28)),)</f>
        <v>時程資料</v>
      </c>
    </row>
    <row r="55" spans="1:18" ht="17.25" thickBot="1" x14ac:dyDescent="0.3">
      <c r="A55" s="129">
        <f t="array" aca="1" ref="A55" ca="1">OFFSET('i01'!$G$1,SMALL(IF(i01_過程組過程=s01_查詢過程組,ROW(i01_過程組過程)-1,999),ROW(7:7)),,,)</f>
        <v>0</v>
      </c>
      <c r="B55" s="78" t="e">
        <f ca="1"/>
        <v>#N/A</v>
      </c>
      <c r="C55" s="78" t="str">
        <f ca="1">IF(IF(ISTEXT(B55),COUNTIF($B$49:$B55,B55),"")=1,ROW(),"")</f>
        <v/>
      </c>
      <c r="D55" s="52">
        <f t="array" aca="1" ref="D55" ca="1">IFERROR(OFFSET($B$1,SMALL($C$49:$C$72,ROW(7:7))-1,),)</f>
        <v>0</v>
      </c>
      <c r="E55" s="52" t="str">
        <f t="array" aca="1" ref="E55" ca="1">IFERROR(OFFSET('i01'!$H$1,SMALL(IF((IF(s01_查詢過程組&lt;&gt;"",(i01_過程組過程=s01_查詢過程組),1)*IF(s01_查詢知識領域&lt;&gt;"",(i01_過程組知識領域=s01_查詢知識領域),1)),ROW(i01_清單過程組)-1,""),ROW(7:7)),,,),)</f>
        <v>建立工作分解結構</v>
      </c>
      <c r="F55" s="129">
        <f t="array" aca="1" ref="F55" ca="1">OFFSET('i01'!$F$1,SMALL(IF(i01_過程組知識領域=s01_查詢知識領域,ROW(i01_過程組知識領域)-1,999),ROW(7:7)),,,)</f>
        <v>0</v>
      </c>
      <c r="G55" s="122" t="str">
        <f ca="1">IF(IF(ISTEXT(F55),COUNTIF($F$49:$F55,F55),"")=1,ROW(),"")</f>
        <v/>
      </c>
      <c r="H55" s="133"/>
      <c r="I55" s="74"/>
      <c r="J55" s="121"/>
      <c r="K55" s="184" t="e">
        <f t="array" aca="1" ref="K55" ca="1">_xlfn.IFNA(OFFSET(m01_ITO起點,SMALL(IF(m01_投入索引*(m01_全ITO索引&lt;27),m01_全ITO索引,227),ROW(29:29)),),"")</f>
        <v>#N/A</v>
      </c>
      <c r="L55" s="21" t="str">
        <f t="array" aca="1" ref="L55" ca="1">OFFSET(m01_ITO起點,SMALL(IF(m01_投入索引*(m01_全ITO索引&gt;26)*(m01_全ITO索引&lt;85),m01_全ITO索引,227),ROW(29:29)),)</f>
        <v>里程碑清單</v>
      </c>
      <c r="M55" s="184" t="str">
        <f t="array" aca="1" ref="M55" ca="1">OFFSET(m01_ITO起點,SMALL(IF(m01_投入索引*(m01_全ITO索引&gt;84)*(m01_全ITO索引&lt;150),m01_全ITO索引,227),ROW(29:29)),)</f>
        <v>資源優化</v>
      </c>
      <c r="N55" s="21" t="str">
        <f t="array" aca="1" ref="N55" ca="1">OFFSET(m01_ITO起點,SMALL(IF(m01_投入索引*(m01_全ITO索引&gt;149)*(m01_全ITO索引&lt;226),m01_全ITO索引,227),ROW(29:29)),)</f>
        <v>其他風險參數評量</v>
      </c>
      <c r="O55" s="184" t="e">
        <f t="array" aca="1" ref="O55" ca="1">OFFSET(m01_ITO起點,SMALL(IF(m01_產出索引*(m01_全ITO索引&lt;27),m01_全ITO索引,227),ROW(29:29)),)</f>
        <v>#N/A</v>
      </c>
      <c r="P55" s="21" t="str">
        <f t="array" aca="1" ref="P55" ca="1">OFFSET(m01_ITO起點,SMALL(IF(m01_產出索引*(m01_全ITO索引&gt;26)*(m01_全ITO索引&lt;85),m01_全ITO索引,227),ROW(29:29)),)</f>
        <v>時程預測值</v>
      </c>
      <c r="Q55" s="184" t="e">
        <f t="array" aca="1" ref="Q55" ca="1">OFFSET(m01_ITO起點,SMALL(IF(m01_更新索引*(m01_全ITO索引&lt;27),m01_全ITO索引,227),ROW(29:29)),)</f>
        <v>#N/A</v>
      </c>
      <c r="R55" s="21" t="str">
        <f t="array" aca="1" ref="R55" ca="1">OFFSET(m01_ITO起點,SMALL(IF(m01_更新索引*(m01_全ITO索引&gt;26)*(m01_全ITO索引&lt;85),m01_全ITO索引,227),ROW(29:29)),)</f>
        <v>時程預測值</v>
      </c>
    </row>
    <row r="56" spans="1:18" x14ac:dyDescent="0.25">
      <c r="A56" s="129">
        <f t="array" aca="1" ref="A56" ca="1">OFFSET('i01'!$G$1,SMALL(IF(i01_過程組過程=s01_查詢過程組,ROW(i01_過程組過程)-1,999),ROW(8:8)),,,)</f>
        <v>0</v>
      </c>
      <c r="B56" s="78" t="e">
        <f ca="1"/>
        <v>#N/A</v>
      </c>
      <c r="C56" s="78" t="str">
        <f ca="1">IF(IF(ISTEXT(B56),COUNTIF($B$49:$B56,B56),"")=1,ROW(),"")</f>
        <v/>
      </c>
      <c r="D56" s="52">
        <f t="array" aca="1" ref="D56" ca="1">IFERROR(OFFSET($B$1,SMALL($C$49:$C$72,ROW(8:8))-1,),)</f>
        <v>0</v>
      </c>
      <c r="E56" s="52" t="str">
        <f t="array" aca="1" ref="E56" ca="1">IFERROR(OFFSET('i01'!$H$1,SMALL(IF((IF(s01_查詢過程組&lt;&gt;"",(i01_過程組過程=s01_查詢過程組),1)*IF(s01_查詢知識領域&lt;&gt;"",(i01_過程組知識領域=s01_查詢知識領域),1)),ROW(i01_清單過程組)-1,""),ROW(8:8)),,,),)</f>
        <v>規劃時程管理</v>
      </c>
      <c r="H56" s="121"/>
      <c r="I56" s="74"/>
      <c r="J56" s="121"/>
      <c r="K56" s="184" t="e">
        <f t="array" aca="1" ref="K56" ca="1">_xlfn.IFNA(OFFSET(m01_ITO起點,SMALL(IF(m01_投入索引*(m01_全ITO索引&lt;27),m01_全ITO索引,227),ROW(30:30)),),"")</f>
        <v>#N/A</v>
      </c>
      <c r="L56" s="21" t="str">
        <f t="array" aca="1" ref="L56" ca="1">OFFSET(m01_ITO起點,SMALL(IF(m01_投入索引*(m01_全ITO索引&gt;26)*(m01_全ITO索引&lt;85),m01_全ITO索引,227),ROW(30:30)),)</f>
        <v>專案時程網路圖</v>
      </c>
      <c r="M56" s="184" t="str">
        <f t="array" aca="1" ref="M56" ca="1">OFFSET(m01_ITO起點,SMALL(IF(m01_投入索引*(m01_全ITO索引&gt;84)*(m01_全ITO索引&lt;150),m01_全ITO索引,227),ROW(30:30)),)</f>
        <v>成本匯總</v>
      </c>
      <c r="N56" s="21" t="str">
        <f t="array" aca="1" ref="N56" ca="1">OFFSET(m01_ITO起點,SMALL(IF(m01_投入索引*(m01_全ITO索引&gt;149)*(m01_全ITO索引&lt;226),m01_全ITO索引,227),ROW(30:30)),)</f>
        <v>影響圖</v>
      </c>
      <c r="O56" s="184" t="e">
        <f t="array" aca="1" ref="O56" ca="1">OFFSET(m01_ITO起點,SMALL(IF(m01_產出索引*(m01_全ITO索引&lt;27),m01_全ITO索引,227),ROW(30:30)),)</f>
        <v>#N/A</v>
      </c>
      <c r="P56" s="21" t="str">
        <f t="array" aca="1" ref="P56" ca="1">OFFSET(m01_ITO起點,SMALL(IF(m01_產出索引*(m01_全ITO索引&gt;26)*(m01_全ITO索引&lt;85),m01_全ITO索引,227),ROW(30:30)),)</f>
        <v>成本估算</v>
      </c>
      <c r="Q56" s="184" t="e">
        <f t="array" aca="1" ref="Q56" ca="1">OFFSET(m01_ITO起點,SMALL(IF(m01_更新索引*(m01_全ITO索引&lt;27),m01_全ITO索引,227),ROW(30:30)),)</f>
        <v>#N/A</v>
      </c>
      <c r="R56" s="21" t="str">
        <f t="array" aca="1" ref="R56" ca="1">OFFSET(m01_ITO起點,SMALL(IF(m01_更新索引*(m01_全ITO索引&gt;26)*(m01_全ITO索引&lt;85),m01_全ITO索引,227),ROW(30:30)),)</f>
        <v>成本估算</v>
      </c>
    </row>
    <row r="57" spans="1:18" x14ac:dyDescent="0.25">
      <c r="A57" s="129">
        <f t="array" aca="1" ref="A57" ca="1">OFFSET('i01'!$G$1,SMALL(IF(i01_過程組過程=s01_查詢過程組,ROW(i01_過程組過程)-1,999),ROW(9:9)),,,)</f>
        <v>0</v>
      </c>
      <c r="B57" s="78" t="e">
        <f ca="1"/>
        <v>#N/A</v>
      </c>
      <c r="C57" s="78" t="str">
        <f ca="1">IF(IF(ISTEXT(B57),COUNTIF($B$49:$B57,B57),"")=1,ROW(),"")</f>
        <v/>
      </c>
      <c r="D57" s="52">
        <f t="array" aca="1" ref="D57" ca="1">IFERROR(OFFSET($B$1,SMALL($C$49:$C$72,ROW(9:9))-1,),)</f>
        <v>0</v>
      </c>
      <c r="E57" s="52" t="str">
        <f t="array" aca="1" ref="E57" ca="1">IFERROR(OFFSET('i01'!$H$1,SMALL(IF((IF(s01_查詢過程組&lt;&gt;"",(i01_過程組過程=s01_查詢過程組),1)*IF(s01_查詢知識領域&lt;&gt;"",(i01_過程組知識領域=s01_查詢知識領域),1)),ROW(i01_清單過程組)-1,""),ROW(9:9)),,,),)</f>
        <v>定義活動</v>
      </c>
      <c r="H57" s="121"/>
      <c r="I57" s="74"/>
      <c r="J57" s="121"/>
      <c r="K57" s="184" t="e">
        <f t="array" aca="1" ref="K57" ca="1">_xlfn.IFNA(OFFSET(m01_ITO起點,SMALL(IF(m01_投入索引*(m01_全ITO索引&lt;27),m01_全ITO索引,227),ROW(31:31)),),"")</f>
        <v>#N/A</v>
      </c>
      <c r="L57" s="21" t="str">
        <f t="array" aca="1" ref="L57" ca="1">OFFSET(m01_ITO起點,SMALL(IF(m01_投入索引*(m01_全ITO索引&gt;26)*(m01_全ITO索引&lt;85),m01_全ITO索引,227),ROW(31:31)),)</f>
        <v>估算基礎</v>
      </c>
      <c r="M57" s="184" t="str">
        <f t="array" aca="1" ref="M57" ca="1">OFFSET(m01_ITO起點,SMALL(IF(m01_投入索引*(m01_全ITO索引&gt;84)*(m01_全ITO索引&lt;150),m01_全ITO索引,227),ROW(31:31)),)</f>
        <v>歷史資訊審查</v>
      </c>
      <c r="N57" s="21" t="str">
        <f t="array" aca="1" ref="N57" ca="1">OFFSET(m01_ITO起點,SMALL(IF(m01_投入索引*(m01_全ITO索引&gt;149)*(m01_全ITO索引&lt;226),m01_全ITO索引,227),ROW(31:31)),)</f>
        <v>敏感度分析</v>
      </c>
      <c r="O57" s="184" t="e">
        <f t="array" aca="1" ref="O57" ca="1">OFFSET(m01_ITO起點,SMALL(IF(m01_產出索引*(m01_全ITO索引&lt;27),m01_全ITO索引,227),ROW(31:31)),)</f>
        <v>#N/A</v>
      </c>
      <c r="P57" s="21" t="str">
        <f t="array" aca="1" ref="P57" ca="1">OFFSET(m01_ITO起點,SMALL(IF(m01_產出索引*(m01_全ITO索引&gt;26)*(m01_全ITO索引&lt;85),m01_全ITO索引,227),ROW(31:31)),)</f>
        <v>成本預測值</v>
      </c>
      <c r="Q57" s="184" t="e">
        <f t="array" aca="1" ref="Q57" ca="1">OFFSET(m01_ITO起點,SMALL(IF(m01_更新索引*(m01_全ITO索引&lt;27),m01_全ITO索引,227),ROW(31:31)),)</f>
        <v>#N/A</v>
      </c>
      <c r="R57" s="21" t="str">
        <f t="array" aca="1" ref="R57" ca="1">OFFSET(m01_ITO起點,SMALL(IF(m01_更新索引*(m01_全ITO索引&gt;26)*(m01_全ITO索引&lt;85),m01_全ITO索引,227),ROW(31:31)),)</f>
        <v>成本預測值</v>
      </c>
    </row>
    <row r="58" spans="1:18" x14ac:dyDescent="0.25">
      <c r="A58" s="129">
        <f t="array" aca="1" ref="A58" ca="1">OFFSET('i01'!$G$1,SMALL(IF(i01_過程組過程=s01_查詢過程組,ROW(i01_過程組過程)-1,999),ROW(10:10)),,,)</f>
        <v>0</v>
      </c>
      <c r="B58" s="78" t="e">
        <f ca="1"/>
        <v>#N/A</v>
      </c>
      <c r="C58" s="78" t="str">
        <f ca="1">IF(IF(ISTEXT(B58),COUNTIF($B$49:$B58,B58),"")=1,ROW(),"")</f>
        <v/>
      </c>
      <c r="D58" s="52">
        <f t="array" aca="1" ref="D58" ca="1">IFERROR(OFFSET($B$1,SMALL($C$49:$C$72,ROW(10:10))-1,),)</f>
        <v>0</v>
      </c>
      <c r="E58" s="52" t="str">
        <f t="array" aca="1" ref="E58" ca="1">IFERROR(OFFSET('i01'!$H$1,SMALL(IF((IF(s01_查詢過程組&lt;&gt;"",(i01_過程組過程=s01_查詢過程組),1)*IF(s01_查詢知識領域&lt;&gt;"",(i01_過程組知識領域=s01_查詢知識領域),1)),ROW(i01_清單過程組)-1,""),ROW(10:10)),,,),)</f>
        <v>排序活動</v>
      </c>
      <c r="H58" s="121"/>
      <c r="I58" s="74"/>
      <c r="J58" s="121"/>
      <c r="K58" s="184" t="e">
        <f t="array" aca="1" ref="K58" ca="1">_xlfn.IFNA(OFFSET(m01_ITO起點,SMALL(IF(m01_投入索引*(m01_全ITO索引&lt;27),m01_全ITO索引,227),ROW(32:32)),),"")</f>
        <v>#N/A</v>
      </c>
      <c r="L58" s="21" t="str">
        <f t="array" aca="1" ref="L58" ca="1">OFFSET(m01_ITO起點,SMALL(IF(m01_投入索引*(m01_全ITO索引&gt;26)*(m01_全ITO索引&lt;85),m01_全ITO索引,227),ROW(32:32)),)</f>
        <v>期程估算</v>
      </c>
      <c r="M58" s="184" t="str">
        <f t="array" aca="1" ref="M58" ca="1">OFFSET(m01_ITO起點,SMALL(IF(m01_投入索引*(m01_全ITO索引&gt;84)*(m01_全ITO索引&lt;150),m01_全ITO索引,227),ROW(32:32)),)</f>
        <v>資金限制平衡</v>
      </c>
      <c r="N58" s="21" t="str">
        <f t="array" aca="1" ref="N58" ca="1">OFFSET(m01_ITO起點,SMALL(IF(m01_投入索引*(m01_全ITO索引&gt;149)*(m01_全ITO索引&lt;226),m01_全ITO索引,227),ROW(32:32)),)</f>
        <v>決策樹分析</v>
      </c>
      <c r="O58" s="184" t="e">
        <f t="array" aca="1" ref="O58" ca="1">OFFSET(m01_ITO起點,SMALL(IF(m01_產出索引*(m01_全ITO索引&lt;27),m01_全ITO索引,227),ROW(32:32)),)</f>
        <v>#N/A</v>
      </c>
      <c r="P58" s="21" t="str">
        <f t="array" aca="1" ref="P58" ca="1">OFFSET(m01_ITO起點,SMALL(IF(m01_產出索引*(m01_全ITO索引&gt;26)*(m01_全ITO索引&lt;85),m01_全ITO索引,227),ROW(32:32)),)</f>
        <v>品質指標</v>
      </c>
      <c r="Q58" s="184" t="e">
        <f t="array" aca="1" ref="Q58" ca="1">OFFSET(m01_ITO起點,SMALL(IF(m01_更新索引*(m01_全ITO索引&lt;27),m01_全ITO索引,227),ROW(32:32)),)</f>
        <v>#N/A</v>
      </c>
      <c r="R58" s="21" t="str">
        <f t="array" aca="1" ref="R58" ca="1">OFFSET(m01_ITO起點,SMALL(IF(m01_更新索引*(m01_全ITO索引&gt;26)*(m01_全ITO索引&lt;85),m01_全ITO索引,227),ROW(32:32)),)</f>
        <v>測試與評估文件</v>
      </c>
    </row>
    <row r="59" spans="1:18" x14ac:dyDescent="0.25">
      <c r="A59" s="129">
        <f t="array" aca="1" ref="A59" ca="1">OFFSET('i01'!$G$1,SMALL(IF(i01_過程組過程=s01_查詢過程組,ROW(i01_過程組過程)-1,999),ROW(11:11)),,,)</f>
        <v>0</v>
      </c>
      <c r="B59" s="78" t="e">
        <f ca="1"/>
        <v>#N/A</v>
      </c>
      <c r="C59" s="78" t="str">
        <f ca="1">IF(IF(ISTEXT(B59),COUNTIF($B$49:$B59,B59),"")=1,ROW(),"")</f>
        <v/>
      </c>
      <c r="D59" s="52"/>
      <c r="E59" s="52" t="str">
        <f t="array" aca="1" ref="E59" ca="1">IFERROR(OFFSET('i01'!$H$1,SMALL(IF((IF(s01_查詢過程組&lt;&gt;"",(i01_過程組過程=s01_查詢過程組),1)*IF(s01_查詢知識領域&lt;&gt;"",(i01_過程組知識領域=s01_查詢知識領域),1)),ROW(i01_清單過程組)-1,""),ROW(11:11)),,,),)</f>
        <v>估算活動期程</v>
      </c>
      <c r="H59" s="121"/>
      <c r="J59" s="121"/>
      <c r="K59" s="184" t="e">
        <f t="array" aca="1" ref="K59" ca="1">_xlfn.IFNA(OFFSET(m01_ITO起點,SMALL(IF(m01_投入索引*(m01_全ITO索引&lt;27),m01_全ITO索引,227),ROW(33:33)),),"")</f>
        <v>#N/A</v>
      </c>
      <c r="L59" s="21" t="str">
        <f t="array" aca="1" ref="L59" ca="1">OFFSET(m01_ITO起點,SMALL(IF(m01_投入索引*(m01_全ITO索引&gt;26)*(m01_全ITO索引&lt;85),m01_全ITO索引,227),ROW(33:33)),)</f>
        <v>專案時程</v>
      </c>
      <c r="M59" s="184" t="str">
        <f t="array" aca="1" ref="M59" ca="1">OFFSET(m01_ITO起點,SMALL(IF(m01_投入索引*(m01_全ITO索引&gt;84)*(m01_全ITO索引&lt;150),m01_全ITO索引,227),ROW(33:33)),)</f>
        <v>融資</v>
      </c>
      <c r="N59" s="21" t="str">
        <f t="array" aca="1" ref="N59" ca="1">OFFSET(m01_ITO起點,SMALL(IF(m01_投入索引*(m01_全ITO索引&gt;149)*(m01_全ITO索引&lt;226),m01_全ITO索引,227),ROW(33:33)),)</f>
        <v>技術績效分析</v>
      </c>
      <c r="O59" s="184" t="e">
        <f t="array" aca="1" ref="O59" ca="1">OFFSET(m01_ITO起點,SMALL(IF(m01_產出索引*(m01_全ITO索引&lt;27),m01_全ITO索引,227),ROW(33:33)),)</f>
        <v>#N/A</v>
      </c>
      <c r="P59" s="21" t="str">
        <f t="array" aca="1" ref="P59" ca="1">OFFSET(m01_ITO起點,SMALL(IF(m01_產出索引*(m01_全ITO索引&gt;26)*(m01_全ITO索引&lt;85),m01_全ITO索引,227),ROW(33:33)),)</f>
        <v>品質報告</v>
      </c>
      <c r="Q59" s="184" t="e">
        <f t="array" aca="1" ref="Q59" ca="1">OFFSET(m01_ITO起點,SMALL(IF(m01_更新索引*(m01_全ITO索引&lt;27),m01_全ITO索引,227),ROW(33:33)),)</f>
        <v>#N/A</v>
      </c>
      <c r="R59" s="21" t="str">
        <f t="array" aca="1" ref="R59" ca="1">OFFSET(m01_ITO起點,SMALL(IF(m01_更新索引*(m01_全ITO索引&gt;26)*(m01_全ITO索引&lt;85),m01_全ITO索引,227),ROW(33:33)),)</f>
        <v>資源需求</v>
      </c>
    </row>
    <row r="60" spans="1:18" x14ac:dyDescent="0.25">
      <c r="A60" s="129">
        <f t="array" aca="1" ref="A60" ca="1">OFFSET('i01'!$G$1,SMALL(IF(i01_過程組過程=s01_查詢過程組,ROW(i01_過程組過程)-1,999),ROW(12:12)),,,)</f>
        <v>0</v>
      </c>
      <c r="B60" s="78" t="e">
        <f ca="1"/>
        <v>#N/A</v>
      </c>
      <c r="C60" s="78" t="str">
        <f ca="1">IF(IF(ISTEXT(B60),COUNTIF($B$49:$B60,B60),"")=1,ROW(),"")</f>
        <v/>
      </c>
      <c r="D60" s="52"/>
      <c r="E60" s="52" t="str">
        <f t="array" aca="1" ref="E60" ca="1">IFERROR(OFFSET('i01'!$H$1,SMALL(IF((IF(s01_查詢過程組&lt;&gt;"",(i01_過程組過程=s01_查詢過程組),1)*IF(s01_查詢知識領域&lt;&gt;"",(i01_過程組知識領域=s01_查詢知識領域),1)),ROW(i01_清單過程組)-1,""),ROW(12:12)),,,),)</f>
        <v>發展時程</v>
      </c>
      <c r="H60" s="121"/>
      <c r="J60" s="121"/>
      <c r="K60" s="184" t="e">
        <f t="array" aca="1" ref="K60" ca="1">_xlfn.IFNA(OFFSET(m01_ITO起點,SMALL(IF(m01_投入索引*(m01_全ITO索引&lt;27),m01_全ITO索引,227),ROW(34:34)),),"")</f>
        <v>#N/A</v>
      </c>
      <c r="L60" s="21" t="str">
        <f t="array" aca="1" ref="L60" ca="1">OFFSET(m01_ITO起點,SMALL(IF(m01_投入索引*(m01_全ITO索引&gt;26)*(m01_全ITO索引&lt;85),m01_全ITO索引,227),ROW(34:34)),)</f>
        <v>專案行事曆</v>
      </c>
      <c r="M60" s="184" t="str">
        <f t="array" aca="1" ref="M60" ca="1">OFFSET(m01_ITO起點,SMALL(IF(m01_投入索引*(m01_全ITO索引&gt;84)*(m01_全ITO索引&lt;150),m01_全ITO索引,227),ROW(34:34)),)</f>
        <v>剩餘工作績效指標</v>
      </c>
      <c r="N60" s="21" t="str">
        <f t="array" aca="1" ref="N60" ca="1">OFFSET(m01_ITO起點,SMALL(IF(m01_投入索引*(m01_全ITO索引&gt;149)*(m01_全ITO索引&lt;226),m01_全ITO索引,227),ROW(34:34)),)</f>
        <v>自製或外購分析</v>
      </c>
      <c r="O60" s="184" t="e">
        <f t="array" aca="1" ref="O60" ca="1">OFFSET(m01_ITO起點,SMALL(IF(m01_產出索引*(m01_全ITO索引&lt;27),m01_全ITO索引,227),ROW(34:34)),)</f>
        <v>#N/A</v>
      </c>
      <c r="P60" s="21" t="str">
        <f t="array" aca="1" ref="P60" ca="1">OFFSET(m01_ITO起點,SMALL(IF(m01_產出索引*(m01_全ITO索引&gt;26)*(m01_全ITO索引&lt;85),m01_全ITO索引,227),ROW(34:34)),)</f>
        <v>測試與評估文件</v>
      </c>
      <c r="Q60" s="184" t="e">
        <f t="array" aca="1" ref="Q60" ca="1">OFFSET(m01_ITO起點,SMALL(IF(m01_更新索引*(m01_全ITO索引&lt;27),m01_全ITO索引,227),ROW(34:34)),)</f>
        <v>#N/A</v>
      </c>
      <c r="R60" s="21" t="str">
        <f t="array" aca="1" ref="R60" ca="1">OFFSET(m01_ITO起點,SMALL(IF(m01_更新索引*(m01_全ITO索引&gt;26)*(m01_全ITO索引&lt;85),m01_全ITO索引,227),ROW(34:34)),)</f>
        <v>資源分解結構</v>
      </c>
    </row>
    <row r="61" spans="1:18" x14ac:dyDescent="0.25">
      <c r="A61" s="129">
        <f t="array" aca="1" ref="A61" ca="1">OFFSET('i01'!$G$1,SMALL(IF(i01_過程組過程=s01_查詢過程組,ROW(i01_過程組過程)-1,999),ROW(13:13)),,,)</f>
        <v>0</v>
      </c>
      <c r="B61" s="78" t="e">
        <f ca="1"/>
        <v>#N/A</v>
      </c>
      <c r="C61" s="78" t="str">
        <f ca="1">IF(IF(ISTEXT(B61),COUNTIF($B$49:$B61,B61),"")=1,ROW(),"")</f>
        <v/>
      </c>
      <c r="D61" s="52"/>
      <c r="E61" s="52" t="str">
        <f t="array" aca="1" ref="E61" ca="1">IFERROR(OFFSET('i01'!$H$1,SMALL(IF((IF(s01_查詢過程組&lt;&gt;"",(i01_過程組過程=s01_查詢過程組),1)*IF(s01_查詢知識領域&lt;&gt;"",(i01_過程組知識領域=s01_查詢知識領域),1)),ROW(i01_清單過程組)-1,""),ROW(13:13)),,,),)</f>
        <v>規劃成本管理</v>
      </c>
      <c r="F61" s="121"/>
      <c r="H61" s="121"/>
      <c r="J61" s="121"/>
      <c r="K61" s="184" t="e">
        <f t="array" aca="1" ref="K61" ca="1">_xlfn.IFNA(OFFSET(m01_ITO起點,SMALL(IF(m01_投入索引*(m01_全ITO索引&lt;27),m01_全ITO索引,227),ROW(35:35)),),"")</f>
        <v>#N/A</v>
      </c>
      <c r="L61" s="21" t="str">
        <f t="array" aca="1" ref="L61" ca="1">OFFSET(m01_ITO起點,SMALL(IF(m01_投入索引*(m01_全ITO索引&gt;26)*(m01_全ITO索引&lt;85),m01_全ITO索引,227),ROW(35:35)),)</f>
        <v>時程資料</v>
      </c>
      <c r="M61" s="184" t="str">
        <f t="array" aca="1" ref="M61" ca="1">OFFSET(m01_ITO起點,SMALL(IF(m01_投入索引*(m01_全ITO索引&gt;84)*(m01_全ITO索引&lt;150),m01_全ITO索引,227),ROW(35:35)),)</f>
        <v>測試與檢驗規劃</v>
      </c>
      <c r="N61" s="21" t="str">
        <f t="array" aca="1" ref="N61" ca="1">OFFSET(m01_ITO起點,SMALL(IF(m01_投入索引*(m01_全ITO索引&gt;149)*(m01_全ITO索引&lt;226),m01_全ITO索引,227),ROW(35:35)),)</f>
        <v>提案書評估</v>
      </c>
      <c r="O61" s="184" t="e">
        <f t="array" aca="1" ref="O61" ca="1">OFFSET(m01_ITO起點,SMALL(IF(m01_產出索引*(m01_全ITO索引&lt;27),m01_全ITO索引,227),ROW(35:35)),)</f>
        <v>#N/A</v>
      </c>
      <c r="P61" s="21" t="str">
        <f t="array" aca="1" ref="P61" ca="1">OFFSET(m01_ITO起點,SMALL(IF(m01_產出索引*(m01_全ITO索引&gt;26)*(m01_全ITO索引&lt;85),m01_全ITO索引,227),ROW(35:35)),)</f>
        <v>品質管制衡量值</v>
      </c>
      <c r="Q61" s="184" t="e">
        <f t="array" aca="1" ref="Q61" ca="1">OFFSET(m01_ITO起點,SMALL(IF(m01_更新索引*(m01_全ITO索引&lt;27),m01_全ITO索引,227),ROW(35:35)),)</f>
        <v>#N/A</v>
      </c>
      <c r="R61" s="21" t="str">
        <f t="array" aca="1" ref="R61" ca="1">OFFSET(m01_ITO起點,SMALL(IF(m01_更新索引*(m01_全ITO索引&gt;26)*(m01_全ITO索引&lt;85),m01_全ITO索引,227),ROW(35:35)),)</f>
        <v>團隊章程</v>
      </c>
    </row>
    <row r="62" spans="1:18" x14ac:dyDescent="0.25">
      <c r="A62" s="129">
        <f t="array" aca="1" ref="A62" ca="1">OFFSET('i01'!$G$1,SMALL(IF(i01_過程組過程=s01_查詢過程組,ROW(i01_過程組過程)-1,999),ROW(14:14)),,,)</f>
        <v>0</v>
      </c>
      <c r="B62" s="78" t="e">
        <f ca="1"/>
        <v>#N/A</v>
      </c>
      <c r="C62" s="78" t="str">
        <f ca="1">IF(IF(ISTEXT(B62),COUNTIF($B$49:$B62,B62),"")=1,ROW(),"")</f>
        <v/>
      </c>
      <c r="D62" s="52"/>
      <c r="E62" s="52" t="str">
        <f t="array" aca="1" ref="E62" ca="1">IFERROR(OFFSET('i01'!$H$1,SMALL(IF((IF(s01_查詢過程組&lt;&gt;"",(i01_過程組過程=s01_查詢過程組),1)*IF(s01_查詢知識領域&lt;&gt;"",(i01_過程組知識領域=s01_查詢知識領域),1)),ROW(i01_清單過程組)-1,""),ROW(14:14)),,,),)</f>
        <v>估算成本</v>
      </c>
      <c r="F62" s="121"/>
      <c r="H62" s="121"/>
      <c r="J62" s="121"/>
      <c r="K62" s="184" t="e">
        <f t="array" aca="1" ref="K62" ca="1">_xlfn.IFNA(OFFSET(m01_ITO起點,SMALL(IF(m01_投入索引*(m01_全ITO索引&lt;27),m01_全ITO索引,227),ROW(36:36)),),"")</f>
        <v>#N/A</v>
      </c>
      <c r="L62" s="21" t="str">
        <f t="array" aca="1" ref="L62" ca="1">OFFSET(m01_ITO起點,SMALL(IF(m01_投入索引*(m01_全ITO索引&gt;26)*(m01_全ITO索引&lt;85),m01_全ITO索引,227),ROW(36:36)),)</f>
        <v>時程預測值</v>
      </c>
      <c r="M62" s="184" t="str">
        <f t="array" aca="1" ref="M62" ca="1">OFFSET(m01_ITO起點,SMALL(IF(m01_投入索引*(m01_全ITO索引&gt;84)*(m01_全ITO索引&lt;150),m01_全ITO索引,227),ROW(36:36)),)</f>
        <v>面向X的設計</v>
      </c>
      <c r="N62" s="21" t="str">
        <f t="array" aca="1" ref="N62" ca="1">OFFSET(m01_ITO起點,SMALL(IF(m01_投入索引*(m01_全ITO索引&gt;149)*(m01_全ITO索引&lt;226),m01_全ITO索引,227),ROW(36:36)),)</f>
        <v>利害關係人分析</v>
      </c>
      <c r="O62" s="184" t="e">
        <f t="array" aca="1" ref="O62" ca="1">OFFSET(m01_ITO起點,SMALL(IF(m01_產出索引*(m01_全ITO索引&lt;27),m01_全ITO索引,227),ROW(36:36)),)</f>
        <v>#N/A</v>
      </c>
      <c r="P62" s="21" t="str">
        <f t="array" aca="1" ref="P62" ca="1">OFFSET(m01_ITO起點,SMALL(IF(m01_產出索引*(m01_全ITO索引&gt;26)*(m01_全ITO索引&lt;85),m01_全ITO索引,227),ROW(36:36)),)</f>
        <v>資源需求</v>
      </c>
      <c r="Q62" s="184" t="e">
        <f t="array" aca="1" ref="Q62" ca="1">OFFSET(m01_ITO起點,SMALL(IF(m01_更新索引*(m01_全ITO索引&lt;27),m01_全ITO索引,227),ROW(36:36)),)</f>
        <v>#N/A</v>
      </c>
      <c r="R62" s="21" t="str">
        <f t="array" aca="1" ref="R62" ca="1">OFFSET(m01_ITO起點,SMALL(IF(m01_更新索引*(m01_全ITO索引&gt;26)*(m01_全ITO索引&lt;85),m01_全ITO索引,227),ROW(36:36)),)</f>
        <v>實體資源分派</v>
      </c>
    </row>
    <row r="63" spans="1:18" x14ac:dyDescent="0.25">
      <c r="A63" s="129">
        <f t="array" aca="1" ref="A63" ca="1">OFFSET('i01'!$G$1,SMALL(IF(i01_過程組過程=s01_查詢過程組,ROW(i01_過程組過程)-1,999),ROW(15:15)),,,)</f>
        <v>0</v>
      </c>
      <c r="B63" s="78" t="e">
        <f ca="1"/>
        <v>#N/A</v>
      </c>
      <c r="C63" s="78" t="str">
        <f ca="1">IF(IF(ISTEXT(B63),COUNTIF($B$49:$B63,B63),"")=1,ROW(),"")</f>
        <v/>
      </c>
      <c r="D63" s="52"/>
      <c r="E63" s="52" t="str">
        <f t="array" aca="1" ref="E63" ca="1">IFERROR(OFFSET('i01'!$H$1,SMALL(IF((IF(s01_查詢過程組&lt;&gt;"",(i01_過程組過程=s01_查詢過程組),1)*IF(s01_查詢知識領域&lt;&gt;"",(i01_過程組知識領域=s01_查詢知識領域),1)),ROW(i01_清單過程組)-1,""),ROW(15:15)),,,),)</f>
        <v>決定預算</v>
      </c>
      <c r="F63" s="121"/>
      <c r="H63" s="121"/>
      <c r="J63" s="121"/>
      <c r="K63" s="184" t="e">
        <f t="array" aca="1" ref="K63" ca="1">_xlfn.IFNA(OFFSET(m01_ITO起點,SMALL(IF(m01_投入索引*(m01_全ITO索引&lt;27),m01_全ITO索引,227),ROW(37:37)),),"")</f>
        <v>#N/A</v>
      </c>
      <c r="L63" s="21" t="str">
        <f t="array" aca="1" ref="L63" ca="1">OFFSET(m01_ITO起點,SMALL(IF(m01_投入索引*(m01_全ITO索引&gt;26)*(m01_全ITO索引&lt;85),m01_全ITO索引,227),ROW(37:37)),)</f>
        <v>成本估算</v>
      </c>
      <c r="M63" s="184" t="str">
        <f t="array" aca="1" ref="M63" ca="1">OFFSET(m01_ITO起點,SMALL(IF(m01_投入索引*(m01_全ITO索引&gt;84)*(m01_全ITO索引&lt;150),m01_全ITO索引,227),ROW(37:37)),)</f>
        <v>稽核</v>
      </c>
      <c r="N63" s="21" t="str">
        <f t="array" aca="1" ref="N63" ca="1">OFFSET(m01_ITO起點,SMALL(IF(m01_投入索引*(m01_全ITO索引&gt;149)*(m01_全ITO索引&lt;226),m01_全ITO索引,227),ROW(37:37)),)</f>
        <v>心智圖法</v>
      </c>
      <c r="O63" s="184" t="e">
        <f t="array" aca="1" ref="O63" ca="1">OFFSET(m01_ITO起點,SMALL(IF(m01_產出索引*(m01_全ITO索引&lt;27),m01_全ITO索引,227),ROW(37:37)),)</f>
        <v>#N/A</v>
      </c>
      <c r="P63" s="21" t="str">
        <f t="array" aca="1" ref="P63" ca="1">OFFSET(m01_ITO起點,SMALL(IF(m01_產出索引*(m01_全ITO索引&gt;26)*(m01_全ITO索引&lt;85),m01_全ITO索引,227),ROW(37:37)),)</f>
        <v>資源分解結構</v>
      </c>
      <c r="Q63" s="184" t="e">
        <f t="array" aca="1" ref="Q63" ca="1">OFFSET(m01_ITO起點,SMALL(IF(m01_更新索引*(m01_全ITO索引&lt;27),m01_全ITO索引,227),ROW(37:37)),)</f>
        <v>#N/A</v>
      </c>
      <c r="R63" s="21" t="str">
        <f t="array" aca="1" ref="R63" ca="1">OFFSET(m01_ITO起點,SMALL(IF(m01_更新索引*(m01_全ITO索引&gt;26)*(m01_全ITO索引&lt;85),m01_全ITO索引,227),ROW(37:37)),)</f>
        <v>專案團隊分派</v>
      </c>
    </row>
    <row r="64" spans="1:18" x14ac:dyDescent="0.25">
      <c r="A64" s="129">
        <f t="array" aca="1" ref="A64" ca="1">OFFSET('i01'!$G$1,SMALL(IF(i01_過程組過程=s01_查詢過程組,ROW(i01_過程組過程)-1,999),ROW(16:16)),,,)</f>
        <v>0</v>
      </c>
      <c r="B64" s="78" t="e">
        <f ca="1"/>
        <v>#N/A</v>
      </c>
      <c r="C64" s="78" t="str">
        <f ca="1">IF(IF(ISTEXT(B64),COUNTIF($B$49:$B64,B64),"")=1,ROW(),"")</f>
        <v/>
      </c>
      <c r="D64" s="52"/>
      <c r="E64" s="52" t="str">
        <f t="array" aca="1" ref="E64" ca="1">IFERROR(OFFSET('i01'!$H$1,SMALL(IF((IF(s01_查詢過程組&lt;&gt;"",(i01_過程組過程=s01_查詢過程組),1)*IF(s01_查詢知識領域&lt;&gt;"",(i01_過程組知識領域=s01_查詢知識領域),1)),ROW(i01_清單過程組)-1,""),ROW(16:16)),,,),)</f>
        <v>規劃品質管理</v>
      </c>
      <c r="F64" s="121"/>
      <c r="H64" s="121"/>
      <c r="J64" s="121"/>
      <c r="K64" s="184" t="e">
        <f t="array" aca="1" ref="K64" ca="1">_xlfn.IFNA(OFFSET(m01_ITO起點,SMALL(IF(m01_投入索引*(m01_全ITO索引&lt;27),m01_全ITO索引,227),ROW(38:38)),),"")</f>
        <v>#N/A</v>
      </c>
      <c r="L64" s="21" t="str">
        <f t="array" aca="1" ref="L64" ca="1">OFFSET(m01_ITO起點,SMALL(IF(m01_投入索引*(m01_全ITO索引&gt;26)*(m01_全ITO索引&lt;85),m01_全ITO索引,227),ROW(38:38)),)</f>
        <v>成本預測值</v>
      </c>
      <c r="M64" s="184" t="str">
        <f t="array" aca="1" ref="M64" ca="1">OFFSET(m01_ITO起點,SMALL(IF(m01_投入索引*(m01_全ITO索引&gt;84)*(m01_全ITO索引&lt;150),m01_全ITO索引,227),ROW(38:38)),)</f>
        <v>品質改善方法</v>
      </c>
      <c r="N64" s="21" t="str">
        <f t="array" aca="1" ref="N64" ca="1">OFFSET(m01_ITO起點,SMALL(IF(m01_投入索引*(m01_全ITO索引&gt;149)*(m01_全ITO索引&lt;226),m01_全ITO索引,227),ROW(38:38)),)</f>
        <v>親合圖</v>
      </c>
      <c r="O64" s="184" t="e">
        <f t="array" aca="1" ref="O64" ca="1">OFFSET(m01_ITO起點,SMALL(IF(m01_產出索引*(m01_全ITO索引&lt;27),m01_全ITO索引,227),ROW(38:38)),)</f>
        <v>#N/A</v>
      </c>
      <c r="P64" s="21" t="str">
        <f t="array" aca="1" ref="P64" ca="1">OFFSET(m01_ITO起點,SMALL(IF(m01_產出索引*(m01_全ITO索引&gt;26)*(m01_全ITO索引&lt;85),m01_全ITO索引,227),ROW(38:38)),)</f>
        <v>團隊章程</v>
      </c>
      <c r="Q64" s="184" t="e">
        <f t="array" aca="1" ref="Q64" ca="1">OFFSET(m01_ITO起點,SMALL(IF(m01_更新索引*(m01_全ITO索引&lt;27),m01_全ITO索引,227),ROW(38:38)),)</f>
        <v>#N/A</v>
      </c>
      <c r="R64" s="21" t="str">
        <f t="array" aca="1" ref="R64" ca="1">OFFSET(m01_ITO起點,SMALL(IF(m01_更新索引*(m01_全ITO索引&gt;26)*(m01_全ITO索引&lt;85),m01_全ITO索引,227),ROW(38:38)),)</f>
        <v>資源行事曆</v>
      </c>
    </row>
    <row r="65" spans="1:18" x14ac:dyDescent="0.25">
      <c r="A65" s="129">
        <f t="array" aca="1" ref="A65" ca="1">OFFSET('i01'!$G$1,SMALL(IF(i01_過程組過程=s01_查詢過程組,ROW(i01_過程組過程)-1,999),ROW(17:17)),,,)</f>
        <v>0</v>
      </c>
      <c r="B65" s="78" t="e">
        <f ca="1"/>
        <v>#N/A</v>
      </c>
      <c r="C65" s="78" t="str">
        <f ca="1">IF(IF(ISTEXT(B65),COUNTIF($B$49:$B65,B65),"")=1,ROW(),"")</f>
        <v/>
      </c>
      <c r="D65" s="52"/>
      <c r="E65" s="52" t="str">
        <f t="array" aca="1" ref="E65" ca="1">IFERROR(OFFSET('i01'!$H$1,SMALL(IF((IF(s01_查詢過程組&lt;&gt;"",(i01_過程組過程=s01_查詢過程組),1)*IF(s01_查詢知識領域&lt;&gt;"",(i01_過程組知識領域=s01_查詢知識領域),1)),ROW(i01_清單過程組)-1,""),ROW(17:17)),,,),)</f>
        <v>規劃資源管理</v>
      </c>
      <c r="F65" s="121"/>
      <c r="H65" s="121"/>
      <c r="J65" s="121"/>
      <c r="K65" s="184" t="e">
        <f t="array" aca="1" ref="K65" ca="1">_xlfn.IFNA(OFFSET(m01_ITO起點,SMALL(IF(m01_投入索引*(m01_全ITO索引&lt;27),m01_全ITO索引,227),ROW(39:39)),),"")</f>
        <v>#N/A</v>
      </c>
      <c r="L65" s="21" t="str">
        <f t="array" aca="1" ref="L65" ca="1">OFFSET(m01_ITO起點,SMALL(IF(m01_投入索引*(m01_全ITO索引&gt;26)*(m01_全ITO索引&lt;85),m01_全ITO索引,227),ROW(39:39)),)</f>
        <v>品質指標</v>
      </c>
      <c r="M65" s="184" t="str">
        <f t="array" aca="1" ref="M65" ca="1">OFFSET(m01_ITO起點,SMALL(IF(m01_投入索引*(m01_全ITO索引&gt;84)*(m01_全ITO索引&lt;150),m01_全ITO索引,227),ROW(39:39)),)</f>
        <v>測試/產品評估</v>
      </c>
      <c r="N65" s="21" t="str">
        <f t="array" aca="1" ref="N65" ca="1">OFFSET(m01_ITO起點,SMALL(IF(m01_投入索引*(m01_全ITO索引&gt;149)*(m01_全ITO索引&lt;226),m01_全ITO索引,227),ROW(39:39)),)</f>
        <v>邏輯資料模型</v>
      </c>
      <c r="O65" s="184" t="e">
        <f t="array" aca="1" ref="O65" ca="1">OFFSET(m01_ITO起點,SMALL(IF(m01_產出索引*(m01_全ITO索引&lt;27),m01_全ITO索引,227),ROW(39:39)),)</f>
        <v>#N/A</v>
      </c>
      <c r="P65" s="21" t="str">
        <f t="array" aca="1" ref="P65" ca="1">OFFSET(m01_ITO起點,SMALL(IF(m01_產出索引*(m01_全ITO索引&gt;26)*(m01_全ITO索引&lt;85),m01_全ITO索引,227),ROW(39:39)),)</f>
        <v>實體資源分派</v>
      </c>
      <c r="Q65" s="184" t="e">
        <f t="array" aca="1" ref="Q65" ca="1">OFFSET(m01_ITO起點,SMALL(IF(m01_更新索引*(m01_全ITO索引&lt;27),m01_全ITO索引,227),ROW(39:39)),)</f>
        <v>#N/A</v>
      </c>
      <c r="R65" s="21" t="str">
        <f t="array" aca="1" ref="R65" ca="1">OFFSET(m01_ITO起點,SMALL(IF(m01_更新索引*(m01_全ITO索引&gt;26)*(m01_全ITO索引&lt;85),m01_全ITO索引,227),ROW(39:39)),)</f>
        <v>風險登錄表</v>
      </c>
    </row>
    <row r="66" spans="1:18" x14ac:dyDescent="0.25">
      <c r="A66" s="129">
        <f t="array" aca="1" ref="A66" ca="1">OFFSET('i01'!$G$1,SMALL(IF(i01_過程組過程=s01_查詢過程組,ROW(i01_過程組過程)-1,999),ROW(18:18)),,,)</f>
        <v>0</v>
      </c>
      <c r="B66" s="78" t="e">
        <f ca="1"/>
        <v>#N/A</v>
      </c>
      <c r="C66" s="78" t="str">
        <f ca="1">IF(IF(ISTEXT(B66),COUNTIF($B$49:$B66,B66),"")=1,ROW(),"")</f>
        <v/>
      </c>
      <c r="D66" s="52"/>
      <c r="E66" s="52" t="str">
        <f t="array" aca="1" ref="E66" ca="1">IFERROR(OFFSET('i01'!$H$1,SMALL(IF((IF(s01_查詢過程組&lt;&gt;"",(i01_過程組過程=s01_查詢過程組),1)*IF(s01_查詢知識領域&lt;&gt;"",(i01_過程組知識領域=s01_查詢知識領域),1)),ROW(i01_清單過程組)-1,""),ROW(18:18)),,,),)</f>
        <v>估算活動資源</v>
      </c>
      <c r="F66" s="121"/>
      <c r="H66" s="121"/>
      <c r="J66" s="121"/>
      <c r="K66" s="184" t="e">
        <f t="array" aca="1" ref="K66" ca="1">_xlfn.IFNA(OFFSET(m01_ITO起點,SMALL(IF(m01_投入索引*(m01_全ITO索引&lt;27),m01_全ITO索引,227),ROW(40:40)),),"")</f>
        <v>#N/A</v>
      </c>
      <c r="L66" s="21" t="str">
        <f t="array" aca="1" ref="L66" ca="1">OFFSET(m01_ITO起點,SMALL(IF(m01_投入索引*(m01_全ITO索引&gt;26)*(m01_全ITO索引&lt;85),m01_全ITO索引,227),ROW(40:40)),)</f>
        <v>品質報告</v>
      </c>
      <c r="M66" s="184" t="str">
        <f t="array" aca="1" ref="M66" ca="1">OFFSET(m01_ITO起點,SMALL(IF(m01_投入索引*(m01_全ITO索引&gt;84)*(m01_全ITO索引&lt;150),m01_全ITO索引,227),ROW(40:40)),)</f>
        <v>檢驗</v>
      </c>
      <c r="N66" s="21" t="str">
        <f t="array" aca="1" ref="N66" ca="1">OFFSET(m01_ITO起點,SMALL(IF(m01_投入索引*(m01_全ITO索引&gt;149)*(m01_全ITO索引&lt;226),m01_全ITO索引,227),ROW(40:40)),)</f>
        <v>矩陣圖</v>
      </c>
      <c r="O66" s="184" t="e">
        <f t="array" aca="1" ref="O66" ca="1">OFFSET(m01_ITO起點,SMALL(IF(m01_產出索引*(m01_全ITO索引&lt;27),m01_全ITO索引,227),ROW(40:40)),)</f>
        <v>#N/A</v>
      </c>
      <c r="P66" s="21" t="str">
        <f t="array" aca="1" ref="P66" ca="1">OFFSET(m01_ITO起點,SMALL(IF(m01_產出索引*(m01_全ITO索引&gt;26)*(m01_全ITO索引&lt;85),m01_全ITO索引,227),ROW(40:40)),)</f>
        <v>專案團隊分派</v>
      </c>
      <c r="Q66" s="184" t="e">
        <f t="array" aca="1" ref="Q66" ca="1">OFFSET(m01_ITO起點,SMALL(IF(m01_更新索引*(m01_全ITO索引&lt;27),m01_全ITO索引,227),ROW(40:40)),)</f>
        <v>#N/A</v>
      </c>
      <c r="R66" s="21" t="str">
        <f t="array" aca="1" ref="R66" ca="1">OFFSET(m01_ITO起點,SMALL(IF(m01_更新索引*(m01_全ITO索引&gt;26)*(m01_全ITO索引&lt;85),m01_全ITO索引,227),ROW(40:40)),)</f>
        <v>風險報告</v>
      </c>
    </row>
    <row r="67" spans="1:18" x14ac:dyDescent="0.25">
      <c r="A67" s="129">
        <f t="array" aca="1" ref="A67" ca="1">OFFSET('i01'!$G$1,SMALL(IF(i01_過程組過程=s01_查詢過程組,ROW(i01_過程組過程)-1,999),ROW(19:19)),,,)</f>
        <v>0</v>
      </c>
      <c r="B67" s="78" t="e">
        <f ca="1"/>
        <v>#N/A</v>
      </c>
      <c r="C67" s="78" t="str">
        <f ca="1">IF(IF(ISTEXT(B67),COUNTIF($B$49:$B67,B67),"")=1,ROW(),"")</f>
        <v/>
      </c>
      <c r="D67" s="52"/>
      <c r="E67" s="52" t="str">
        <f t="array" aca="1" ref="E67" ca="1">IFERROR(OFFSET('i01'!$H$1,SMALL(IF((IF(s01_查詢過程組&lt;&gt;"",(i01_過程組過程=s01_查詢過程組),1)*IF(s01_查詢知識領域&lt;&gt;"",(i01_過程組知識領域=s01_查詢知識領域),1)),ROW(i01_清單過程組)-1,""),ROW(19:19)),,,),)</f>
        <v>規劃溝通管理</v>
      </c>
      <c r="F67" s="121"/>
      <c r="H67" s="121"/>
      <c r="J67" s="121"/>
      <c r="K67" s="184" t="e">
        <f t="array" aca="1" ref="K67" ca="1">_xlfn.IFNA(OFFSET(m01_ITO起點,SMALL(IF(m01_投入索引*(m01_全ITO索引&lt;27),m01_全ITO索引,227),ROW(41:41)),),"")</f>
        <v>#N/A</v>
      </c>
      <c r="L67" s="21" t="str">
        <f t="array" aca="1" ref="L67" ca="1">OFFSET(m01_ITO起點,SMALL(IF(m01_投入索引*(m01_全ITO索引&gt;26)*(m01_全ITO索引&lt;85),m01_全ITO索引,227),ROW(41:41)),)</f>
        <v>測試與評估文件</v>
      </c>
      <c r="M67" s="184" t="str">
        <f t="array" aca="1" ref="M67" ca="1">OFFSET(m01_ITO起點,SMALL(IF(m01_投入索引*(m01_全ITO索引&gt;84)*(m01_全ITO索引&lt;150),m01_全ITO索引,227),ROW(41:41)),)</f>
        <v>問題解決</v>
      </c>
      <c r="N67" s="21" t="str">
        <f t="array" aca="1" ref="N67" ca="1">OFFSET(m01_ITO起點,SMALL(IF(m01_投入索引*(m01_全ITO索引&gt;149)*(m01_全ITO索引&lt;226),m01_全ITO索引,227),ROW(41:41)),)</f>
        <v>流程圖</v>
      </c>
      <c r="O67" s="184" t="e">
        <f t="array" aca="1" ref="O67" ca="1">OFFSET(m01_ITO起點,SMALL(IF(m01_產出索引*(m01_全ITO索引&lt;27),m01_全ITO索引,227),ROW(41:41)),)</f>
        <v>#N/A</v>
      </c>
      <c r="P67" s="21" t="str">
        <f t="array" aca="1" ref="P67" ca="1">OFFSET(m01_ITO起點,SMALL(IF(m01_產出索引*(m01_全ITO索引&gt;26)*(m01_全ITO索引&lt;85),m01_全ITO索引,227),ROW(41:41)),)</f>
        <v>資源行事曆</v>
      </c>
      <c r="Q67" s="184" t="e">
        <f t="array" aca="1" ref="Q67" ca="1">OFFSET(m01_ITO起點,SMALL(IF(m01_更新索引*(m01_全ITO索引&lt;27),m01_全ITO索引,227),ROW(41:41)),)</f>
        <v>#N/A</v>
      </c>
      <c r="R67" s="21" t="str">
        <f t="array" aca="1" ref="R67" ca="1">OFFSET(m01_ITO起點,SMALL(IF(m01_更新索引*(m01_全ITO索引&gt;26)*(m01_全ITO索引&lt;85),m01_全ITO索引,227),ROW(41:41)),)</f>
        <v>利害關係人登錄表</v>
      </c>
    </row>
    <row r="68" spans="1:18" x14ac:dyDescent="0.25">
      <c r="A68" s="129">
        <f t="array" aca="1" ref="A68" ca="1">OFFSET('i01'!$G$1,SMALL(IF(i01_過程組過程=s01_查詢過程組,ROW(i01_過程組過程)-1,999),ROW(20:20)),,,)</f>
        <v>0</v>
      </c>
      <c r="B68" s="78" t="e">
        <f ca="1"/>
        <v>#N/A</v>
      </c>
      <c r="C68" s="78" t="str">
        <f ca="1">IF(IF(ISTEXT(B68),COUNTIF($B$49:$B68,B68),"")=1,ROW(),"")</f>
        <v/>
      </c>
      <c r="D68" s="52"/>
      <c r="E68" s="52" t="str">
        <f t="array" aca="1" ref="E68" ca="1">IFERROR(OFFSET('i01'!$H$1,SMALL(IF((IF(s01_查詢過程組&lt;&gt;"",(i01_過程組過程=s01_查詢過程組),1)*IF(s01_查詢知識領域&lt;&gt;"",(i01_過程組知識領域=s01_查詢知識領域),1)),ROW(i01_清單過程組)-1,""),ROW(20:20)),,,),)</f>
        <v>規劃風險管理</v>
      </c>
      <c r="F68" s="121"/>
      <c r="H68" s="121"/>
      <c r="J68" s="121"/>
      <c r="K68" s="184" t="e">
        <f t="array" aca="1" ref="K68" ca="1">_xlfn.IFNA(OFFSET(m01_ITO起點,SMALL(IF(m01_投入索引*(m01_全ITO索引&lt;27),m01_全ITO索引,227),ROW(42:42)),),"")</f>
        <v>#N/A</v>
      </c>
      <c r="L68" s="21" t="str">
        <f t="array" aca="1" ref="L68" ca="1">OFFSET(m01_ITO起點,SMALL(IF(m01_投入索引*(m01_全ITO索引&gt;26)*(m01_全ITO索引&lt;85),m01_全ITO索引,227),ROW(42:42)),)</f>
        <v>品質管制衡量值</v>
      </c>
      <c r="M68" s="184" t="str">
        <f t="array" aca="1" ref="M68" ca="1">OFFSET(m01_ITO起點,SMALL(IF(m01_投入索引*(m01_全ITO索引&gt;84)*(m01_全ITO索引&lt;150),m01_全ITO索引,227),ROW(42:42)),)</f>
        <v>組織理論</v>
      </c>
      <c r="N68" s="21" t="str">
        <f t="array" aca="1" ref="N68" ca="1">OFFSET(m01_ITO起點,SMALL(IF(m01_投入索引*(m01_全ITO索引&gt;149)*(m01_全ITO索引&lt;226),m01_全ITO索引,227),ROW(42:42)),)</f>
        <v>因果圖</v>
      </c>
      <c r="O68" s="184" t="e">
        <f t="array" aca="1" ref="O68" ca="1">OFFSET(m01_ITO起點,SMALL(IF(m01_產出索引*(m01_全ITO索引&lt;27),m01_全ITO索引,227),ROW(42:42)),)</f>
        <v>#N/A</v>
      </c>
      <c r="P68" s="21" t="str">
        <f t="array" aca="1" ref="P68" ca="1">OFFSET(m01_ITO起點,SMALL(IF(m01_產出索引*(m01_全ITO索引&gt;26)*(m01_全ITO索引&lt;85),m01_全ITO索引,227),ROW(42:42)),)</f>
        <v>專案溝通</v>
      </c>
      <c r="Q68" s="184" t="e">
        <f t="array" aca="1" ref="Q68" ca="1">OFFSET(m01_ITO起點,SMALL(IF(m01_更新索引*(m01_全ITO索引&lt;27),m01_全ITO索引,227),ROW(42:42)),)</f>
        <v>#N/A</v>
      </c>
      <c r="R68" s="21" t="e">
        <f t="array" aca="1" ref="R68" ca="1">OFFSET(m01_ITO起點,SMALL(IF(m01_更新索引*(m01_全ITO索引&gt;26)*(m01_全ITO索引&lt;85),m01_全ITO索引,227),ROW(42:42)),)</f>
        <v>#N/A</v>
      </c>
    </row>
    <row r="69" spans="1:18" x14ac:dyDescent="0.25">
      <c r="A69" s="129">
        <f t="array" aca="1" ref="A69" ca="1">OFFSET('i01'!$G$1,SMALL(IF(i01_過程組過程=s01_查詢過程組,ROW(i01_過程組過程)-1,999),ROW(21:21)),,,)</f>
        <v>0</v>
      </c>
      <c r="B69" s="78" t="e">
        <f ca="1"/>
        <v>#N/A</v>
      </c>
      <c r="C69" s="78" t="str">
        <f ca="1">IF(IF(ISTEXT(B69),COUNTIF($B$49:$B69,B69),"")=1,ROW(),"")</f>
        <v/>
      </c>
      <c r="D69" s="52"/>
      <c r="E69" s="52" t="str">
        <f t="array" aca="1" ref="E69" ca="1">IFERROR(OFFSET('i01'!$H$1,SMALL(IF((IF(s01_查詢過程組&lt;&gt;"",(i01_過程組過程=s01_查詢過程組),1)*IF(s01_查詢知識領域&lt;&gt;"",(i01_過程組知識領域=s01_查詢知識領域),1)),ROW(i01_清單過程組)-1,""),ROW(21:21)),,,),)</f>
        <v>辨識風險</v>
      </c>
      <c r="F69" s="121"/>
      <c r="H69" s="121"/>
      <c r="J69" s="121"/>
      <c r="K69" s="184" t="e">
        <f t="array" aca="1" ref="K69" ca="1">_xlfn.IFNA(OFFSET(m01_ITO起點,SMALL(IF(m01_投入索引*(m01_全ITO索引&lt;27),m01_全ITO索引,227),ROW(43:43)),),"")</f>
        <v>#N/A</v>
      </c>
      <c r="L69" s="21" t="str">
        <f t="array" aca="1" ref="L69" ca="1">OFFSET(m01_ITO起點,SMALL(IF(m01_投入索引*(m01_全ITO索引&gt;26)*(m01_全ITO索引&lt;85),m01_全ITO索引,227),ROW(43:43)),)</f>
        <v>資源需求</v>
      </c>
      <c r="M69" s="184" t="str">
        <f t="array" aca="1" ref="M69" ca="1">OFFSET(m01_ITO起點,SMALL(IF(m01_投入索引*(m01_全ITO索引&gt;84)*(m01_全ITO索引&lt;150),m01_全ITO索引,227),ROW(43:43)),)</f>
        <v>預分派</v>
      </c>
      <c r="N69" s="21" t="str">
        <f t="array" aca="1" ref="N69" ca="1">OFFSET(m01_ITO起點,SMALL(IF(m01_投入索引*(m01_全ITO索引&gt;149)*(m01_全ITO索引&lt;226),m01_全ITO索引,227),ROW(43:43)),)</f>
        <v>直方圖</v>
      </c>
      <c r="O69" s="184" t="e">
        <f t="array" aca="1" ref="O69" ca="1">OFFSET(m01_ITO起點,SMALL(IF(m01_產出索引*(m01_全ITO索引&lt;27),m01_全ITO索引,227),ROW(43:43)),)</f>
        <v>#N/A</v>
      </c>
      <c r="P69" s="21" t="str">
        <f t="array" aca="1" ref="P69" ca="1">OFFSET(m01_ITO起點,SMALL(IF(m01_產出索引*(m01_全ITO索引&gt;26)*(m01_全ITO索引&lt;85),m01_全ITO索引,227),ROW(43:43)),)</f>
        <v>風險登錄表</v>
      </c>
      <c r="Q69" s="184" t="e">
        <f t="array" aca="1" ref="Q69" ca="1">OFFSET(m01_ITO起點,SMALL(IF(m01_更新索引*(m01_全ITO索引&lt;27),m01_全ITO索引,227),ROW(43:43)),)</f>
        <v>#N/A</v>
      </c>
      <c r="R69" s="21" t="e">
        <f t="array" aca="1" ref="R69" ca="1">OFFSET(m01_ITO起點,SMALL(IF(m01_更新索引*(m01_全ITO索引&gt;26)*(m01_全ITO索引&lt;85),m01_全ITO索引,227),ROW(43:43)),)</f>
        <v>#N/A</v>
      </c>
    </row>
    <row r="70" spans="1:18" x14ac:dyDescent="0.25">
      <c r="A70" s="129">
        <f t="array" aca="1" ref="A70" ca="1">OFFSET('i01'!$G$1,SMALL(IF(i01_過程組過程=s01_查詢過程組,ROW(i01_過程組過程)-1,999),ROW(22:22)),,,)</f>
        <v>0</v>
      </c>
      <c r="B70" s="78" t="e">
        <f ca="1"/>
        <v>#N/A</v>
      </c>
      <c r="C70" s="78" t="str">
        <f ca="1">IF(IF(ISTEXT(B70),COUNTIF($B$49:$B70,B70),"")=1,ROW(),"")</f>
        <v/>
      </c>
      <c r="D70" s="52"/>
      <c r="E70" s="52" t="str">
        <f t="array" aca="1" ref="E70" ca="1">IFERROR(OFFSET('i01'!$H$1,SMALL(IF((IF(s01_查詢過程組&lt;&gt;"",(i01_過程組過程=s01_查詢過程組),1)*IF(s01_查詢知識領域&lt;&gt;"",(i01_過程組知識領域=s01_查詢知識領域),1)),ROW(i01_清單過程組)-1,""),ROW(22:22)),,,),)</f>
        <v>進行定性風險分析</v>
      </c>
      <c r="F70" s="121"/>
      <c r="H70" s="121"/>
      <c r="J70" s="121"/>
      <c r="K70" s="184" t="e">
        <f t="array" aca="1" ref="K70" ca="1">_xlfn.IFNA(OFFSET(m01_ITO起點,SMALL(IF(m01_投入索引*(m01_全ITO索引&lt;27),m01_全ITO索引,227),ROW(44:44)),),"")</f>
        <v>#N/A</v>
      </c>
      <c r="L70" s="21" t="str">
        <f t="array" aca="1" ref="L70" ca="1">OFFSET(m01_ITO起點,SMALL(IF(m01_投入索引*(m01_全ITO索引&gt;26)*(m01_全ITO索引&lt;85),m01_全ITO索引,227),ROW(44:44)),)</f>
        <v>資源分解結構</v>
      </c>
      <c r="M70" s="184" t="str">
        <f t="array" aca="1" ref="M70" ca="1">OFFSET(m01_ITO起點,SMALL(IF(m01_投入索引*(m01_全ITO索引&gt;84)*(m01_全ITO索引&lt;150),m01_全ITO索引,227),ROW(44:44)),)</f>
        <v>虛擬團隊</v>
      </c>
      <c r="N70" s="21" t="str">
        <f t="array" aca="1" ref="N70" ca="1">OFFSET(m01_ITO起點,SMALL(IF(m01_投入索引*(m01_全ITO索引&gt;149)*(m01_全ITO索引&lt;226),m01_全ITO索引,227),ROW(44:44)),)</f>
        <v>散布圖</v>
      </c>
      <c r="O70" s="184" t="e">
        <f t="array" aca="1" ref="O70" ca="1">OFFSET(m01_ITO起點,SMALL(IF(m01_產出索引*(m01_全ITO索引&lt;27),m01_全ITO索引,227),ROW(44:44)),)</f>
        <v>#N/A</v>
      </c>
      <c r="P70" s="21" t="str">
        <f t="array" aca="1" ref="P70" ca="1">OFFSET(m01_ITO起點,SMALL(IF(m01_產出索引*(m01_全ITO索引&gt;26)*(m01_全ITO索引&lt;85),m01_全ITO索引,227),ROW(44:44)),)</f>
        <v>風險報告</v>
      </c>
      <c r="Q70" s="184" t="e">
        <f t="array" aca="1" ref="Q70" ca="1">OFFSET(m01_ITO起點,SMALL(IF(m01_更新索引*(m01_全ITO索引&lt;27),m01_全ITO索引,227),ROW(44:44)),)</f>
        <v>#N/A</v>
      </c>
      <c r="R70" s="21" t="e">
        <f t="array" aca="1" ref="R70" ca="1">OFFSET(m01_ITO起點,SMALL(IF(m01_更新索引*(m01_全ITO索引&gt;26)*(m01_全ITO索引&lt;85),m01_全ITO索引,227),ROW(44:44)),)</f>
        <v>#N/A</v>
      </c>
    </row>
    <row r="71" spans="1:18" x14ac:dyDescent="0.25">
      <c r="A71" s="129">
        <f t="array" aca="1" ref="A71" ca="1">OFFSET('i01'!$G$1,SMALL(IF(i01_過程組過程=s01_查詢過程組,ROW(i01_過程組過程)-1,999),ROW(23:23)),,,)</f>
        <v>0</v>
      </c>
      <c r="B71" s="78" t="e">
        <f ca="1"/>
        <v>#N/A</v>
      </c>
      <c r="C71" s="78" t="str">
        <f ca="1">IF(IF(ISTEXT(B71),COUNTIF($B$49:$B71,B71),"")=1,ROW(),"")</f>
        <v/>
      </c>
      <c r="D71" s="52"/>
      <c r="E71" s="52" t="str">
        <f t="array" aca="1" ref="E71" ca="1">IFERROR(OFFSET('i01'!$H$1,SMALL(IF((IF(s01_查詢過程組&lt;&gt;"",(i01_過程組過程=s01_查詢過程組),1)*IF(s01_查詢知識領域&lt;&gt;"",(i01_過程組知識領域=s01_查詢知識領域),1)),ROW(i01_清單過程組)-1,""),ROW(23:23)),,,),)</f>
        <v>進行定量風險分析</v>
      </c>
      <c r="F71" s="121"/>
      <c r="H71" s="121"/>
      <c r="J71" s="121"/>
      <c r="K71" s="184" t="e">
        <f t="array" aca="1" ref="K71" ca="1">_xlfn.IFNA(OFFSET(m01_ITO起點,SMALL(IF(m01_投入索引*(m01_全ITO索引&lt;27),m01_全ITO索引,227),ROW(45:45)),),"")</f>
        <v>#N/A</v>
      </c>
      <c r="L71" s="21" t="str">
        <f t="array" aca="1" ref="L71" ca="1">OFFSET(m01_ITO起點,SMALL(IF(m01_投入索引*(m01_全ITO索引&gt;26)*(m01_全ITO索引&lt;85),m01_全ITO索引,227),ROW(45:45)),)</f>
        <v>團隊章程</v>
      </c>
      <c r="M71" s="184" t="str">
        <f t="array" aca="1" ref="M71" ca="1">OFFSET(m01_ITO起點,SMALL(IF(m01_投入索引*(m01_全ITO索引&gt;84)*(m01_全ITO索引&lt;150),m01_全ITO索引,227),ROW(45:45)),)</f>
        <v>集中作業</v>
      </c>
      <c r="N71" s="21" t="str">
        <f t="array" aca="1" ref="N71" ca="1">OFFSET(m01_ITO起點,SMALL(IF(m01_投入索引*(m01_全ITO索引&gt;149)*(m01_全ITO索引&lt;226),m01_全ITO索引,227),ROW(45:45)),)</f>
        <v>管制圖</v>
      </c>
      <c r="O71" s="184" t="e">
        <f t="array" aca="1" ref="O71" ca="1">OFFSET(m01_ITO起點,SMALL(IF(m01_產出索引*(m01_全ITO索引&lt;27),m01_全ITO索引,227),ROW(45:45)),)</f>
        <v>#N/A</v>
      </c>
      <c r="P71" s="21" t="str">
        <f t="array" aca="1" ref="P71" ca="1">OFFSET(m01_ITO起點,SMALL(IF(m01_產出索引*(m01_全ITO索引&gt;26)*(m01_全ITO索引&lt;85),m01_全ITO索引,227),ROW(45:45)),)</f>
        <v>利害關係人登錄表</v>
      </c>
      <c r="Q71" s="184" t="e">
        <f t="array" aca="1" ref="Q71" ca="1">OFFSET(m01_ITO起點,SMALL(IF(m01_更新索引*(m01_全ITO索引&lt;27),m01_全ITO索引,227),ROW(45:45)),)</f>
        <v>#N/A</v>
      </c>
      <c r="R71" s="21" t="e">
        <f t="array" aca="1" ref="R71" ca="1">OFFSET(m01_ITO起點,SMALL(IF(m01_更新索引*(m01_全ITO索引&gt;26)*(m01_全ITO索引&lt;85),m01_全ITO索引,227),ROW(45:45)),)</f>
        <v>#N/A</v>
      </c>
    </row>
    <row r="72" spans="1:18" ht="17.25" thickBot="1" x14ac:dyDescent="0.3">
      <c r="A72" s="129">
        <f t="array" aca="1" ref="A72" ca="1">OFFSET('i01'!$G$1,SMALL(IF(i01_過程組過程=s01_查詢過程組,ROW(i01_過程組過程)-1,999),ROW(24:24)),,,)</f>
        <v>0</v>
      </c>
      <c r="B72" s="122" t="e">
        <f ca="1"/>
        <v>#N/A</v>
      </c>
      <c r="C72" s="122" t="str">
        <f ca="1">IF(IF(ISTEXT(B72),COUNTIF($B$49:$B72,B72),"")=1,ROW(),"")</f>
        <v/>
      </c>
      <c r="D72" s="133"/>
      <c r="E72" s="52" t="str">
        <f t="array" aca="1" ref="E72" ca="1">IFERROR(OFFSET('i01'!$H$1,SMALL(IF((IF(s01_查詢過程組&lt;&gt;"",(i01_過程組過程=s01_查詢過程組),1)*IF(s01_查詢知識領域&lt;&gt;"",(i01_過程組知識領域=s01_查詢知識領域),1)),ROW(i01_清單過程組)-1,""),ROW(24:24)),,,),)</f>
        <v>規劃風險回應</v>
      </c>
      <c r="F72" s="121"/>
      <c r="H72" s="121"/>
      <c r="J72" s="121"/>
      <c r="K72" s="184" t="e">
        <f t="array" aca="1" ref="K72" ca="1">_xlfn.IFNA(OFFSET(m01_ITO起點,SMALL(IF(m01_投入索引*(m01_全ITO索引&lt;27),m01_全ITO索引,227),ROW(46:46)),),"")</f>
        <v>#N/A</v>
      </c>
      <c r="L72" s="21" t="str">
        <f t="array" aca="1" ref="L72" ca="1">OFFSET(m01_ITO起點,SMALL(IF(m01_投入索引*(m01_全ITO索引&gt;26)*(m01_全ITO索引&lt;85),m01_全ITO索引,227),ROW(46:46)),)</f>
        <v>實體資源分派</v>
      </c>
      <c r="M72" s="184" t="str">
        <f t="array" aca="1" ref="M72" ca="1">OFFSET(m01_ITO起點,SMALL(IF(m01_投入索引*(m01_全ITO索引&gt;84)*(m01_全ITO索引&lt;150),m01_全ITO索引,227),ROW(46:46)),)</f>
        <v>個人與團隊評量</v>
      </c>
      <c r="N72" s="21" t="str">
        <f t="array" aca="1" ref="N72" ca="1">OFFSET(m01_ITO起點,SMALL(IF(m01_投入索引*(m01_全ITO索引&gt;149)*(m01_全ITO索引&lt;226),m01_全ITO索引,227),ROW(46:46)),)</f>
        <v>階層圖</v>
      </c>
      <c r="O72" s="184" t="e">
        <f t="array" aca="1" ref="O72" ca="1">OFFSET(m01_ITO起點,SMALL(IF(m01_產出索引*(m01_全ITO索引&lt;27),m01_全ITO索引,227),ROW(46:46)),)</f>
        <v>#N/A</v>
      </c>
      <c r="P72" s="21" t="str">
        <f t="array" aca="1" ref="P72" ca="1">OFFSET(m01_ITO起點,SMALL(IF(m01_產出索引*(m01_全ITO索引&gt;26)*(m01_全ITO索引&lt;85),m01_全ITO索引,227),ROW(46:46)),)</f>
        <v>獨立成本估算</v>
      </c>
      <c r="Q72" s="184" t="e">
        <f t="array" aca="1" ref="Q72" ca="1">OFFSET(m01_ITO起點,SMALL(IF(m01_更新索引*(m01_全ITO索引&lt;27),m01_全ITO索引,227),ROW(46:46)),)</f>
        <v>#N/A</v>
      </c>
      <c r="R72" s="21" t="e">
        <f t="array" aca="1" ref="R72" ca="1">OFFSET(m01_ITO起點,SMALL(IF(m01_更新索引*(m01_全ITO索引&gt;26)*(m01_全ITO索引&lt;85),m01_全ITO索引,227),ROW(46:46)),)</f>
        <v>#N/A</v>
      </c>
    </row>
    <row r="73" spans="1:18" x14ac:dyDescent="0.25">
      <c r="E73" s="52" t="str">
        <f t="array" aca="1" ref="E73" ca="1">IFERROR(OFFSET('i01'!$H$1,SMALL(IF((IF(s01_查詢過程組&lt;&gt;"",(i01_過程組過程=s01_查詢過程組),1)*IF(s01_查詢知識領域&lt;&gt;"",(i01_過程組知識領域=s01_查詢知識領域),1)),ROW(i01_清單過程組)-1,""),ROW(25:25)),,,),)</f>
        <v>規劃採購管理</v>
      </c>
      <c r="F73" s="121"/>
      <c r="H73" s="121"/>
      <c r="J73" s="121"/>
      <c r="K73" s="184" t="e">
        <f t="array" aca="1" ref="K73" ca="1">_xlfn.IFNA(OFFSET(m01_ITO起點,SMALL(IF(m01_投入索引*(m01_全ITO索引&lt;27),m01_全ITO索引,227),ROW(47:47)),),"")</f>
        <v>#N/A</v>
      </c>
      <c r="L73" s="21" t="str">
        <f t="array" aca="1" ref="L73" ca="1">OFFSET(m01_ITO起點,SMALL(IF(m01_投入索引*(m01_全ITO索引&gt;26)*(m01_全ITO索引&lt;85),m01_全ITO索引,227),ROW(47:47)),)</f>
        <v>專案團隊分派</v>
      </c>
      <c r="M73" s="184" t="str">
        <f t="array" aca="1" ref="M73" ca="1">OFFSET(m01_ITO起點,SMALL(IF(m01_投入索引*(m01_全ITO索引&gt;84)*(m01_全ITO索引&lt;150),m01_全ITO索引,227),ROW(47:47)),)</f>
        <v>訓練</v>
      </c>
      <c r="N73" s="21" t="str">
        <f t="array" aca="1" ref="N73" ca="1">OFFSET(m01_ITO起點,SMALL(IF(m01_投入索引*(m01_全ITO索引&gt;149)*(m01_全ITO索引&lt;226),m01_全ITO索引,227),ROW(47:47)),)</f>
        <v>責任分派矩陣</v>
      </c>
      <c r="O73" s="184" t="e">
        <f t="array" aca="1" ref="O73" ca="1">OFFSET(m01_ITO起點,SMALL(IF(m01_產出索引*(m01_全ITO索引&lt;27),m01_全ITO索引,227),ROW(47:47)),)</f>
        <v>#N/A</v>
      </c>
      <c r="P73" s="21" t="str">
        <f t="array" aca="1" ref="P73" ca="1">OFFSET(m01_ITO起點,SMALL(IF(m01_產出索引*(m01_全ITO索引&gt;26)*(m01_全ITO索引&lt;85),m01_全ITO索引,227),ROW(47:47)),)</f>
        <v>採購工作說明書</v>
      </c>
      <c r="Q73" s="184" t="e">
        <f t="array" aca="1" ref="Q73" ca="1">OFFSET(m01_ITO起點,SMALL(IF(m01_更新索引*(m01_全ITO索引&lt;27),m01_全ITO索引,227),ROW(47:47)),)</f>
        <v>#N/A</v>
      </c>
      <c r="R73" s="21" t="e">
        <f t="array" aca="1" ref="R73" ca="1">OFFSET(m01_ITO起點,SMALL(IF(m01_更新索引*(m01_全ITO索引&gt;26)*(m01_全ITO索引&lt;85),m01_全ITO索引,227),ROW(47:47)),)</f>
        <v>#N/A</v>
      </c>
    </row>
    <row r="74" spans="1:18" x14ac:dyDescent="0.25">
      <c r="E74" s="52" t="str">
        <f t="array" aca="1" ref="E74" ca="1">IFERROR(OFFSET('i01'!$H$1,SMALL(IF((IF(s01_查詢過程組&lt;&gt;"",(i01_過程組過程=s01_查詢過程組),1)*IF(s01_查詢知識領域&lt;&gt;"",(i01_過程組知識領域=s01_查詢知識領域),1)),ROW(i01_清單過程組)-1,""),ROW(26:26)),,,),)</f>
        <v>規劃利害關係人參與</v>
      </c>
      <c r="F74" s="121"/>
      <c r="H74" s="121"/>
      <c r="J74" s="121"/>
      <c r="K74" s="184" t="e">
        <f t="array" aca="1" ref="K74" ca="1">_xlfn.IFNA(OFFSET(m01_ITO起點,SMALL(IF(m01_投入索引*(m01_全ITO索引&lt;27),m01_全ITO索引,227),ROW(48:48)),),"")</f>
        <v>#N/A</v>
      </c>
      <c r="L74" s="21" t="str">
        <f t="array" aca="1" ref="L74" ca="1">OFFSET(m01_ITO起點,SMALL(IF(m01_投入索引*(m01_全ITO索引&gt;26)*(m01_全ITO索引&lt;85),m01_全ITO索引,227),ROW(48:48)),)</f>
        <v>資源行事曆</v>
      </c>
      <c r="M74" s="184" t="str">
        <f t="array" aca="1" ref="M74" ca="1">OFFSET(m01_ITO起點,SMALL(IF(m01_投入索引*(m01_全ITO索引&gt;84)*(m01_全ITO索引&lt;150),m01_全ITO索引,227),ROW(48:48)),)</f>
        <v>表彰與獎勵</v>
      </c>
      <c r="N74" s="21" t="str">
        <f t="array" aca="1" ref="N74" ca="1">OFFSET(m01_ITO起點,SMALL(IF(m01_投入索引*(m01_全ITO索引&gt;149)*(m01_全ITO索引&lt;226),m01_全ITO索引,227),ROW(48:48)),)</f>
        <v>文字導向的格式</v>
      </c>
      <c r="O74" s="184" t="e">
        <f t="array" aca="1" ref="O74" ca="1">OFFSET(m01_ITO起點,SMALL(IF(m01_產出索引*(m01_全ITO索引&lt;27),m01_全ITO索引,227),ROW(48:48)),)</f>
        <v>#N/A</v>
      </c>
      <c r="P74" s="21" t="str">
        <f t="array" aca="1" ref="P74" ca="1">OFFSET(m01_ITO起點,SMALL(IF(m01_產出索引*(m01_全ITO索引&gt;26)*(m01_全ITO索引&lt;85),m01_全ITO索引,227),ROW(48:48)),)</f>
        <v>投(招)標文件</v>
      </c>
      <c r="Q74" s="184" t="e">
        <f t="array" aca="1" ref="Q74" ca="1">OFFSET(m01_ITO起點,SMALL(IF(m01_更新索引*(m01_全ITO索引&lt;27),m01_全ITO索引,227),ROW(48:48)),)</f>
        <v>#N/A</v>
      </c>
      <c r="R74" s="21" t="e">
        <f t="array" aca="1" ref="R74" ca="1">OFFSET(m01_ITO起點,SMALL(IF(m01_更新索引*(m01_全ITO索引&gt;26)*(m01_全ITO索引&lt;85),m01_全ITO索引,227),ROW(48:48)),)</f>
        <v>#N/A</v>
      </c>
    </row>
    <row r="75" spans="1:18" x14ac:dyDescent="0.25">
      <c r="E75" s="52" t="str">
        <f t="array" aca="1" ref="E75" ca="1">IFERROR(OFFSET('i01'!$H$1,SMALL(IF((IF(s01_查詢過程組&lt;&gt;"",(i01_過程組過程=s01_查詢過程組),1)*IF(s01_查詢知識領域&lt;&gt;"",(i01_過程組知識領域=s01_查詢知識領域),1)),ROW(i01_清單過程組)-1,""),ROW(27:27)),,,),)</f>
        <v>指導與管理專案工作</v>
      </c>
      <c r="F75" s="121"/>
      <c r="H75" s="121"/>
      <c r="J75" s="121"/>
      <c r="K75" s="184" t="e">
        <f t="array" aca="1" ref="K75" ca="1">_xlfn.IFNA(OFFSET(m01_ITO起點,SMALL(IF(m01_投入索引*(m01_全ITO索引&lt;27),m01_全ITO索引,227),ROW(49:49)),),"")</f>
        <v>#N/A</v>
      </c>
      <c r="L75" s="21" t="str">
        <f t="array" aca="1" ref="L75" ca="1">OFFSET(m01_ITO起點,SMALL(IF(m01_投入索引*(m01_全ITO索引&gt;26)*(m01_全ITO索引&lt;85),m01_全ITO索引,227),ROW(49:49)),)</f>
        <v>專案溝通</v>
      </c>
      <c r="M75" s="184" t="str">
        <f t="array" aca="1" ref="M75" ca="1">OFFSET(m01_ITO起點,SMALL(IF(m01_投入索引*(m01_全ITO索引&gt;84)*(m01_全ITO索引&lt;150),m01_全ITO索引,227),ROW(49:49)),)</f>
        <v>溝通科技</v>
      </c>
      <c r="N75" s="21" t="str">
        <f t="array" aca="1" ref="N75" ca="1">OFFSET(m01_ITO起點,SMALL(IF(m01_投入索引*(m01_全ITO索引&gt;149)*(m01_全ITO索引&lt;226),m01_全ITO索引,227),ROW(49:49)),)</f>
        <v>機率與衝擊矩陣</v>
      </c>
      <c r="O75" s="184" t="e">
        <f t="array" aca="1" ref="O75" ca="1">OFFSET(m01_ITO起點,SMALL(IF(m01_產出索引*(m01_全ITO索引&lt;27),m01_全ITO索引,227),ROW(49:49)),)</f>
        <v>#N/A</v>
      </c>
      <c r="P75" s="21" t="str">
        <f t="array" aca="1" ref="P75" ca="1">OFFSET(m01_ITO起點,SMALL(IF(m01_產出索引*(m01_全ITO索引&gt;26)*(m01_全ITO索引&lt;85),m01_全ITO索引,227),ROW(49:49)),)</f>
        <v>商源評選準則</v>
      </c>
      <c r="Q75" s="184" t="e">
        <f t="array" aca="1" ref="Q75" ca="1">OFFSET(m01_ITO起點,SMALL(IF(m01_更新索引*(m01_全ITO索引&lt;27),m01_全ITO索引,227),ROW(49:49)),)</f>
        <v>#N/A</v>
      </c>
      <c r="R75" s="21" t="e">
        <f t="array" aca="1" ref="R75" ca="1">OFFSET(m01_ITO起點,SMALL(IF(m01_更新索引*(m01_全ITO索引&gt;26)*(m01_全ITO索引&lt;85),m01_全ITO索引,227),ROW(49:49)),)</f>
        <v>#N/A</v>
      </c>
    </row>
    <row r="76" spans="1:18" x14ac:dyDescent="0.25">
      <c r="E76" s="52" t="str">
        <f t="array" aca="1" ref="E76" ca="1">IFERROR(OFFSET('i01'!$H$1,SMALL(IF((IF(s01_查詢過程組&lt;&gt;"",(i01_過程組過程=s01_查詢過程組),1)*IF(s01_查詢知識領域&lt;&gt;"",(i01_過程組知識領域=s01_查詢知識領域),1)),ROW(i01_清單過程組)-1,""),ROW(28:28)),,,),)</f>
        <v>管理專案知識</v>
      </c>
      <c r="F76" s="121"/>
      <c r="H76" s="121"/>
      <c r="J76" s="121"/>
      <c r="K76" s="184" t="e">
        <f t="array" aca="1" ref="K76" ca="1">_xlfn.IFNA(OFFSET(m01_ITO起點,SMALL(IF(m01_投入索引*(m01_全ITO索引&lt;27),m01_全ITO索引,227),ROW(50:50)),),"")</f>
        <v>#N/A</v>
      </c>
      <c r="L76" s="21" t="str">
        <f t="array" aca="1" ref="L76" ca="1">OFFSET(m01_ITO起點,SMALL(IF(m01_投入索引*(m01_全ITO索引&gt;26)*(m01_全ITO索引&lt;85),m01_全ITO索引,227),ROW(50:50)),)</f>
        <v>風險登錄表</v>
      </c>
      <c r="M76" s="184" t="str">
        <f t="array" aca="1" ref="M76" ca="1">OFFSET(m01_ITO起點,SMALL(IF(m01_投入索引*(m01_全ITO索引&gt;84)*(m01_全ITO索引&lt;150),m01_全ITO索引,227),ROW(50:50)),)</f>
        <v>溝通模式</v>
      </c>
      <c r="N76" s="21" t="str">
        <f t="array" aca="1" ref="N76" ca="1">OFFSET(m01_ITO起點,SMALL(IF(m01_投入索引*(m01_全ITO索引&gt;149)*(m01_全ITO索引&lt;226),m01_全ITO索引,227),ROW(50:50)),)</f>
        <v>利害關係人對應/呈現</v>
      </c>
      <c r="O76" s="184" t="e">
        <f t="array" aca="1" ref="O76" ca="1">OFFSET(m01_ITO起點,SMALL(IF(m01_產出索引*(m01_全ITO索引&lt;27),m01_全ITO索引,227),ROW(50:50)),)</f>
        <v>#N/A</v>
      </c>
      <c r="P76" s="21" t="e">
        <f t="array" aca="1" ref="P76" ca="1">OFFSET(m01_ITO起點,SMALL(IF(m01_產出索引*(m01_全ITO索引&gt;26)*(m01_全ITO索引&lt;85),m01_全ITO索引,227),ROW(50:50)),)</f>
        <v>#N/A</v>
      </c>
      <c r="Q76" s="184" t="e">
        <f t="array" aca="1" ref="Q76" ca="1">OFFSET(m01_ITO起點,SMALL(IF(m01_更新索引*(m01_全ITO索引&lt;27),m01_全ITO索引,227),ROW(50:50)),)</f>
        <v>#N/A</v>
      </c>
      <c r="R76" s="21" t="e">
        <f t="array" aca="1" ref="R76" ca="1">OFFSET(m01_ITO起點,SMALL(IF(m01_更新索引*(m01_全ITO索引&gt;26)*(m01_全ITO索引&lt;85),m01_全ITO索引,227),ROW(50:50)),)</f>
        <v>#N/A</v>
      </c>
    </row>
    <row r="77" spans="1:18" x14ac:dyDescent="0.25">
      <c r="E77" s="52" t="str">
        <f t="array" aca="1" ref="E77" ca="1">IFERROR(OFFSET('i01'!$H$1,SMALL(IF((IF(s01_查詢過程組&lt;&gt;"",(i01_過程組過程=s01_查詢過程組),1)*IF(s01_查詢知識領域&lt;&gt;"",(i01_過程組知識領域=s01_查詢知識領域),1)),ROW(i01_清單過程組)-1,""),ROW(29:29)),,,),)</f>
        <v>管理品質</v>
      </c>
      <c r="F77" s="121"/>
      <c r="H77" s="121"/>
      <c r="J77" s="121"/>
      <c r="K77" s="184" t="e">
        <f t="array" aca="1" ref="K77" ca="1">_xlfn.IFNA(OFFSET(m01_ITO起點,SMALL(IF(m01_投入索引*(m01_全ITO索引&lt;27),m01_全ITO索引,227),ROW(51:51)),),"")</f>
        <v>#N/A</v>
      </c>
      <c r="L77" s="21" t="str">
        <f t="array" aca="1" ref="L77" ca="1">OFFSET(m01_ITO起點,SMALL(IF(m01_投入索引*(m01_全ITO索引&gt;26)*(m01_全ITO索引&lt;85),m01_全ITO索引,227),ROW(51:51)),)</f>
        <v>風險報告</v>
      </c>
      <c r="M77" s="184" t="str">
        <f t="array" aca="1" ref="M77" ca="1">OFFSET(m01_ITO起點,SMALL(IF(m01_投入索引*(m01_全ITO索引&gt;84)*(m01_全ITO索引&lt;150),m01_全ITO索引,227),ROW(51:51)),)</f>
        <v>溝通方法</v>
      </c>
      <c r="N77" s="21" t="str">
        <f t="array" aca="1" ref="N77" ca="1">OFFSET(m01_ITO起點,SMALL(IF(m01_投入索引*(m01_全ITO索引&gt;149)*(m01_全ITO索引&lt;226),m01_全ITO索引,227),ROW(51:51)),)</f>
        <v>利害關係人參與評量矩陣</v>
      </c>
      <c r="O77" s="184" t="e">
        <f t="array" aca="1" ref="O77" ca="1">OFFSET(m01_ITO起點,SMALL(IF(m01_產出索引*(m01_全ITO索引&lt;27),m01_全ITO索引,227),ROW(51:51)),)</f>
        <v>#N/A</v>
      </c>
      <c r="P77" s="21" t="e">
        <f t="array" aca="1" ref="P77" ca="1">OFFSET(m01_ITO起點,SMALL(IF(m01_產出索引*(m01_全ITO索引&gt;26)*(m01_全ITO索引&lt;85),m01_全ITO索引,227),ROW(51:51)),)</f>
        <v>#N/A</v>
      </c>
      <c r="Q77" s="184" t="e">
        <f t="array" aca="1" ref="Q77" ca="1">OFFSET(m01_ITO起點,SMALL(IF(m01_更新索引*(m01_全ITO索引&lt;27),m01_全ITO索引,227),ROW(51:51)),)</f>
        <v>#N/A</v>
      </c>
      <c r="R77" s="21" t="e">
        <f t="array" aca="1" ref="R77" ca="1">OFFSET(m01_ITO起點,SMALL(IF(m01_更新索引*(m01_全ITO索引&gt;26)*(m01_全ITO索引&lt;85),m01_全ITO索引,227),ROW(51:51)),)</f>
        <v>#N/A</v>
      </c>
    </row>
    <row r="78" spans="1:18" x14ac:dyDescent="0.25">
      <c r="E78" s="52" t="str">
        <f t="array" aca="1" ref="E78" ca="1">IFERROR(OFFSET('i01'!$H$1,SMALL(IF((IF(s01_查詢過程組&lt;&gt;"",(i01_過程組過程=s01_查詢過程組),1)*IF(s01_查詢知識領域&lt;&gt;"",(i01_過程組知識領域=s01_查詢知識領域),1)),ROW(i01_清單過程組)-1,""),ROW(30:30)),,,),)</f>
        <v>獲得資源</v>
      </c>
      <c r="F78" s="121"/>
      <c r="H78" s="121"/>
      <c r="J78" s="121"/>
      <c r="K78" s="184" t="e">
        <f t="array" aca="1" ref="K78" ca="1">_xlfn.IFNA(OFFSET(m01_ITO起點,SMALL(IF(m01_投入索引*(m01_全ITO索引&lt;27),m01_全ITO索引,227),ROW(52:52)),),"")</f>
        <v>#N/A</v>
      </c>
      <c r="L78" s="21" t="str">
        <f t="array" aca="1" ref="L78" ca="1">OFFSET(m01_ITO起點,SMALL(IF(m01_投入索引*(m01_全ITO索引&gt;26)*(m01_全ITO索引&lt;85),m01_全ITO索引,227),ROW(52:52)),)</f>
        <v>利害關係人登錄表</v>
      </c>
      <c r="M78" s="184" t="str">
        <f t="array" aca="1" ref="M78" ca="1">OFFSET(m01_ITO起點,SMALL(IF(m01_投入索引*(m01_全ITO索引&gt;84)*(m01_全ITO索引&lt;150),m01_全ITO索引,227),ROW(52:52)),)</f>
        <v>溝通需求分析</v>
      </c>
      <c r="N78" s="21" t="str">
        <f t="array" aca="1" ref="N78" ca="1">OFFSET(m01_ITO起點,SMALL(IF(m01_投入索引*(m01_全ITO索引&gt;149)*(m01_全ITO索引&lt;226),m01_全ITO索引,227),ROW(52:52)),)</f>
        <v>多準則決策分析</v>
      </c>
      <c r="O78" s="184" t="e">
        <f t="array" aca="1" ref="O78" ca="1">OFFSET(m01_ITO起點,SMALL(IF(m01_產出索引*(m01_全ITO索引&lt;27),m01_全ITO索引,227),ROW(52:52)),)</f>
        <v>#N/A</v>
      </c>
      <c r="P78" s="21" t="e">
        <f t="array" aca="1" ref="P78" ca="1">OFFSET(m01_ITO起點,SMALL(IF(m01_產出索引*(m01_全ITO索引&gt;26)*(m01_全ITO索引&lt;85),m01_全ITO索引,227),ROW(52:52)),)</f>
        <v>#N/A</v>
      </c>
      <c r="Q78" s="184" t="e">
        <f t="array" aca="1" ref="Q78" ca="1">OFFSET(m01_ITO起點,SMALL(IF(m01_更新索引*(m01_全ITO索引&lt;27),m01_全ITO索引,227),ROW(52:52)),)</f>
        <v>#N/A</v>
      </c>
      <c r="R78" s="21" t="e">
        <f t="array" aca="1" ref="R78" ca="1">OFFSET(m01_ITO起點,SMALL(IF(m01_更新索引*(m01_全ITO索引&gt;26)*(m01_全ITO索引&lt;85),m01_全ITO索引,227),ROW(52:52)),)</f>
        <v>#N/A</v>
      </c>
    </row>
    <row r="79" spans="1:18" x14ac:dyDescent="0.25">
      <c r="E79" s="52" t="str">
        <f t="array" aca="1" ref="E79" ca="1">IFERROR(OFFSET('i01'!$H$1,SMALL(IF((IF(s01_查詢過程組&lt;&gt;"",(i01_過程組過程=s01_查詢過程組),1)*IF(s01_查詢知識領域&lt;&gt;"",(i01_過程組知識領域=s01_查詢知識領域),1)),ROW(i01_清單過程組)-1,""),ROW(31:31)),,,),)</f>
        <v>發展團隊</v>
      </c>
      <c r="F79" s="121"/>
      <c r="H79" s="121"/>
      <c r="J79" s="121"/>
      <c r="K79" s="184" t="e">
        <f t="array" aca="1" ref="K79" ca="1">_xlfn.IFNA(OFFSET(m01_ITO起點,SMALL(IF(m01_投入索引*(m01_全ITO索引&lt;27),m01_全ITO索引,227),ROW(53:53)),),"")</f>
        <v>#N/A</v>
      </c>
      <c r="L79" s="21" t="str">
        <f t="array" aca="1" ref="L79" ca="1">OFFSET(m01_ITO起點,SMALL(IF(m01_投入索引*(m01_全ITO索引&gt;26)*(m01_全ITO索引&lt;85),m01_全ITO索引,227),ROW(53:53)),)</f>
        <v>商業企劃案</v>
      </c>
      <c r="M79" s="184" t="str">
        <f t="array" aca="1" ref="M79" ca="1">OFFSET(m01_ITO起點,SMALL(IF(m01_投入索引*(m01_全ITO索引&gt;84)*(m01_全ITO索引&lt;150),m01_全ITO索引,227),ROW(53:53)),)</f>
        <v>專案報告</v>
      </c>
      <c r="N79" s="21" t="str">
        <f t="array" aca="1" ref="N79" ca="1">OFFSET(m01_ITO起點,SMALL(IF(m01_投入索引*(m01_全ITO索引&gt;149)*(m01_全ITO索引&lt;226),m01_全ITO索引,227),ROW(53:53)),)</f>
        <v>獨裁式決策制定</v>
      </c>
      <c r="O79" s="184" t="e">
        <f t="array" aca="1" ref="O79" ca="1">OFFSET(m01_ITO起點,SMALL(IF(m01_產出索引*(m01_全ITO索引&lt;27),m01_全ITO索引,227),ROW(53:53)),)</f>
        <v>#N/A</v>
      </c>
      <c r="P79" s="21" t="e">
        <f t="array" aca="1" ref="P79" ca="1">OFFSET(m01_ITO起點,SMALL(IF(m01_產出索引*(m01_全ITO索引&gt;26)*(m01_全ITO索引&lt;85),m01_全ITO索引,227),ROW(53:53)),)</f>
        <v>#N/A</v>
      </c>
      <c r="Q79" s="184" t="e">
        <f t="array" aca="1" ref="Q79" ca="1">OFFSET(m01_ITO起點,SMALL(IF(m01_更新索引*(m01_全ITO索引&lt;27),m01_全ITO索引,227),ROW(53:53)),)</f>
        <v>#N/A</v>
      </c>
      <c r="R79" s="21" t="e">
        <f t="array" aca="1" ref="R79" ca="1">OFFSET(m01_ITO起點,SMALL(IF(m01_更新索引*(m01_全ITO索引&gt;26)*(m01_全ITO索引&lt;85),m01_全ITO索引,227),ROW(53:53)),)</f>
        <v>#N/A</v>
      </c>
    </row>
    <row r="80" spans="1:18" x14ac:dyDescent="0.25">
      <c r="E80" s="52" t="str">
        <f t="array" aca="1" ref="E80" ca="1">IFERROR(OFFSET('i01'!$H$1,SMALL(IF((IF(s01_查詢過程組&lt;&gt;"",(i01_過程組過程=s01_查詢過程組),1)*IF(s01_查詢知識領域&lt;&gt;"",(i01_過程組知識領域=s01_查詢知識領域),1)),ROW(i01_清單過程組)-1,""),ROW(32:32)),,,),)</f>
        <v>管理團隊</v>
      </c>
      <c r="F80" s="121"/>
      <c r="H80" s="121"/>
      <c r="J80" s="121"/>
      <c r="K80" s="184" t="e">
        <f t="array" aca="1" ref="K80" ca="1">_xlfn.IFNA(OFFSET(m01_ITO起點,SMALL(IF(m01_投入索引*(m01_全ITO索引&lt;27),m01_全ITO索引,227),ROW(54:54)),),"")</f>
        <v>#N/A</v>
      </c>
      <c r="L80" s="21" t="str">
        <f t="array" aca="1" ref="L80" ca="1">OFFSET(m01_ITO起點,SMALL(IF(m01_投入索引*(m01_全ITO索引&gt;26)*(m01_全ITO索引&lt;85),m01_全ITO索引,227),ROW(54:54)),)</f>
        <v>效益管理計畫書</v>
      </c>
      <c r="M80" s="184" t="str">
        <f t="array" aca="1" ref="M80" ca="1">OFFSET(m01_ITO起點,SMALL(IF(m01_投入索引*(m01_全ITO索引&gt;84)*(m01_全ITO索引&lt;150),m01_全ITO索引,227),ROW(54:54)),)</f>
        <v>提示清單</v>
      </c>
      <c r="N80" s="21" t="str">
        <f t="array" aca="1" ref="N80" ca="1">OFFSET(m01_ITO起點,SMALL(IF(m01_投入索引*(m01_全ITO索引&gt;149)*(m01_全ITO索引&lt;226),m01_全ITO索引,227),ROW(54:54)),)</f>
        <v>投票</v>
      </c>
      <c r="O80" s="184" t="e">
        <f t="array" aca="1" ref="O80" ca="1">OFFSET(m01_ITO起點,SMALL(IF(m01_產出索引*(m01_全ITO索引&lt;27),m01_全ITO索引,227),ROW(54:54)),)</f>
        <v>#N/A</v>
      </c>
      <c r="P80" s="21" t="e">
        <f t="array" aca="1" ref="P80" ca="1">OFFSET(m01_ITO起點,SMALL(IF(m01_產出索引*(m01_全ITO索引&gt;26)*(m01_全ITO索引&lt;85),m01_全ITO索引,227),ROW(54:54)),)</f>
        <v>#N/A</v>
      </c>
      <c r="Q80" s="184" t="e">
        <f t="array" aca="1" ref="Q80" ca="1">OFFSET(m01_ITO起點,SMALL(IF(m01_更新索引*(m01_全ITO索引&lt;27),m01_全ITO索引,227),ROW(54:54)),)</f>
        <v>#N/A</v>
      </c>
      <c r="R80" s="21" t="e">
        <f t="array" aca="1" ref="R80" ca="1">OFFSET(m01_ITO起點,SMALL(IF(m01_更新索引*(m01_全ITO索引&gt;26)*(m01_全ITO索引&lt;85),m01_全ITO索引,227),ROW(54:54)),)</f>
        <v>#N/A</v>
      </c>
    </row>
    <row r="81" spans="5:18" x14ac:dyDescent="0.25">
      <c r="E81" s="52" t="str">
        <f t="array" aca="1" ref="E81" ca="1">IFERROR(OFFSET('i01'!$H$1,SMALL(IF((IF(s01_查詢過程組&lt;&gt;"",(i01_過程組過程=s01_查詢過程組),1)*IF(s01_查詢知識領域&lt;&gt;"",(i01_過程組知識領域=s01_查詢知識領域),1)),ROW(i01_清單過程組)-1,""),ROW(33:33)),,,),)</f>
        <v>管理溝通</v>
      </c>
      <c r="F81" s="121"/>
      <c r="H81" s="121"/>
      <c r="J81" s="121"/>
      <c r="K81" s="184" t="e">
        <f t="array" aca="1" ref="K81" ca="1">_xlfn.IFNA(OFFSET(m01_ITO起點,SMALL(IF(m01_投入索引*(m01_全ITO索引&lt;27),m01_全ITO索引,227),ROW(55:55)),),"")</f>
        <v>#N/A</v>
      </c>
      <c r="L81" s="21" t="str">
        <f t="array" aca="1" ref="L81" ca="1">OFFSET(m01_ITO起點,SMALL(IF(m01_投入索引*(m01_全ITO索引&gt;26)*(m01_全ITO索引&lt;85),m01_全ITO索引,227),ROW(55:55)),)</f>
        <v>商源評選準則</v>
      </c>
      <c r="M81" s="184" t="str">
        <f t="array" aca="1" ref="M81" ca="1">OFFSET(m01_ITO起點,SMALL(IF(m01_投入索引*(m01_全ITO索引&gt;84)*(m01_全ITO索引&lt;150),m01_全ITO索引,227),ROW(55:55)),)</f>
        <v>風險分類</v>
      </c>
      <c r="N81" s="21" t="str">
        <f t="array" aca="1" ref="N81" ca="1">OFFSET(m01_ITO起點,SMALL(IF(m01_投入索引*(m01_全ITO索引&gt;149)*(m01_全ITO索引&lt;226),m01_全ITO索引,227),ROW(55:55)),)</f>
        <v>優先順序/排名</v>
      </c>
      <c r="O81" s="184" t="e">
        <f t="array" aca="1" ref="O81" ca="1">OFFSET(m01_ITO起點,SMALL(IF(m01_產出索引*(m01_全ITO索引&lt;27),m01_全ITO索引,227),ROW(55:55)),)</f>
        <v>#N/A</v>
      </c>
      <c r="P81" s="21" t="e">
        <f t="array" aca="1" ref="P81" ca="1">OFFSET(m01_ITO起點,SMALL(IF(m01_產出索引*(m01_全ITO索引&gt;26)*(m01_全ITO索引&lt;85),m01_全ITO索引,227),ROW(55:55)),)</f>
        <v>#N/A</v>
      </c>
      <c r="Q81" s="184" t="e">
        <f t="array" aca="1" ref="Q81" ca="1">OFFSET(m01_ITO起點,SMALL(IF(m01_更新索引*(m01_全ITO索引&lt;27),m01_全ITO索引,227),ROW(55:55)),)</f>
        <v>#N/A</v>
      </c>
      <c r="R81" s="21" t="e">
        <f t="array" aca="1" ref="R81" ca="1">OFFSET(m01_ITO起點,SMALL(IF(m01_更新索引*(m01_全ITO索引&gt;26)*(m01_全ITO索引&lt;85),m01_全ITO索引,227),ROW(55:55)),)</f>
        <v>#N/A</v>
      </c>
    </row>
    <row r="82" spans="5:18" x14ac:dyDescent="0.25">
      <c r="E82" s="52" t="str">
        <f t="array" aca="1" ref="E82" ca="1">IFERROR(OFFSET('i01'!$H$1,SMALL(IF((IF(s01_查詢過程組&lt;&gt;"",(i01_過程組過程=s01_查詢過程組),1)*IF(s01_查詢知識領域&lt;&gt;"",(i01_過程組知識領域=s01_查詢知識領域),1)),ROW(i01_清單過程組)-1,""),ROW(34:34)),,,),)</f>
        <v>實施風險回應</v>
      </c>
      <c r="F82" s="121"/>
      <c r="H82" s="121"/>
      <c r="J82" s="121"/>
      <c r="K82" s="184" t="e">
        <f t="array" aca="1" ref="K82" ca="1">_xlfn.IFNA(OFFSET(m01_ITO起點,SMALL(IF(m01_投入索引*(m01_全ITO索引&lt;27),m01_全ITO索引,227),ROW(56:56)),),"")</f>
        <v>#N/A</v>
      </c>
      <c r="L82" s="21" t="e">
        <f t="array" aca="1" ref="L82" ca="1">OFFSET(m01_ITO起點,SMALL(IF(m01_投入索引*(m01_全ITO索引&gt;26)*(m01_全ITO索引&lt;85),m01_全ITO索引,227),ROW(56:56)),)</f>
        <v>#N/A</v>
      </c>
      <c r="M82" s="184" t="str">
        <f t="array" aca="1" ref="M82" ca="1">OFFSET(m01_ITO起點,SMALL(IF(m01_投入索引*(m01_全ITO索引&gt;84)*(m01_全ITO索引&lt;150),m01_全ITO索引,227),ROW(56:56)),)</f>
        <v>不確定性的呈現方式</v>
      </c>
      <c r="N82" s="21" t="str">
        <f t="array" aca="1" ref="N82" ca="1">OFFSET(m01_ITO起點,SMALL(IF(m01_投入索引*(m01_全ITO索引&gt;149)*(m01_全ITO索引&lt;226),m01_全ITO索引,227),ROW(56:56)),)</f>
        <v>溝通能力</v>
      </c>
      <c r="O82" s="184" t="e">
        <f t="array" aca="1" ref="O82" ca="1">OFFSET(m01_ITO起點,SMALL(IF(m01_產出索引*(m01_全ITO索引&lt;27),m01_全ITO索引,227),ROW(56:56)),)</f>
        <v>#N/A</v>
      </c>
      <c r="P82" s="21" t="e">
        <f t="array" aca="1" ref="P82" ca="1">OFFSET(m01_ITO起點,SMALL(IF(m01_產出索引*(m01_全ITO索引&gt;26)*(m01_全ITO索引&lt;85),m01_全ITO索引,227),ROW(56:56)),)</f>
        <v>#N/A</v>
      </c>
      <c r="Q82" s="184" t="e">
        <f t="array" aca="1" ref="Q82" ca="1">OFFSET(m01_ITO起點,SMALL(IF(m01_更新索引*(m01_全ITO索引&lt;27),m01_全ITO索引,227),ROW(56:56)),)</f>
        <v>#N/A</v>
      </c>
      <c r="R82" s="21" t="e">
        <f t="array" aca="1" ref="R82" ca="1">OFFSET(m01_ITO起點,SMALL(IF(m01_更新索引*(m01_全ITO索引&gt;26)*(m01_全ITO索引&lt;85),m01_全ITO索引,227),ROW(56:56)),)</f>
        <v>#N/A</v>
      </c>
    </row>
    <row r="83" spans="5:18" x14ac:dyDescent="0.25">
      <c r="E83" s="52" t="str">
        <f t="array" aca="1" ref="E83" ca="1">IFERROR(OFFSET('i01'!$H$1,SMALL(IF((IF(s01_查詢過程組&lt;&gt;"",(i01_過程組過程=s01_查詢過程組),1)*IF(s01_查詢知識領域&lt;&gt;"",(i01_過程組知識領域=s01_查詢知識領域),1)),ROW(i01_清單過程組)-1,""),ROW(35:35)),,,),)</f>
        <v>執行採購</v>
      </c>
      <c r="F83" s="121"/>
      <c r="H83" s="121"/>
      <c r="J83" s="121"/>
      <c r="K83" s="184" t="e">
        <f t="array" aca="1" ref="K83" ca="1">_xlfn.IFNA(OFFSET(m01_ITO起點,SMALL(IF(m01_投入索引*(m01_全ITO索引&lt;27),m01_全ITO索引,227),ROW(57:57)),),"")</f>
        <v>#N/A</v>
      </c>
      <c r="L83" s="21" t="e">
        <f t="array" aca="1" ref="L83" ca="1">OFFSET(m01_ITO起點,SMALL(IF(m01_投入索引*(m01_全ITO索引&gt;26)*(m01_全ITO索引&lt;85),m01_全ITO索引,227),ROW(57:57)),)</f>
        <v>#N/A</v>
      </c>
      <c r="M83" s="184" t="str">
        <f t="array" aca="1" ref="M83" ca="1">OFFSET(m01_ITO起點,SMALL(IF(m01_投入索引*(m01_全ITO索引&gt;84)*(m01_全ITO索引&lt;150),m01_全ITO索引,227),ROW(57:57)),)</f>
        <v>專案整體風險回應策略</v>
      </c>
      <c r="N83" s="21" t="str">
        <f t="array" aca="1" ref="N83" ca="1">OFFSET(m01_ITO起點,SMALL(IF(m01_投入索引*(m01_全ITO索引&gt;149)*(m01_全ITO索引&lt;226),m01_全ITO索引,227),ROW(57:57)),)</f>
        <v>回饋</v>
      </c>
      <c r="O83" s="184" t="e">
        <f t="array" aca="1" ref="O83" ca="1">OFFSET(m01_ITO起點,SMALL(IF(m01_產出索引*(m01_全ITO索引&lt;27),m01_全ITO索引,227),ROW(57:57)),)</f>
        <v>#N/A</v>
      </c>
      <c r="P83" s="21" t="e">
        <f t="array" aca="1" ref="P83" ca="1">OFFSET(m01_ITO起點,SMALL(IF(m01_產出索引*(m01_全ITO索引&gt;26)*(m01_全ITO索引&lt;85),m01_全ITO索引,227),ROW(57:57)),)</f>
        <v>#N/A</v>
      </c>
      <c r="Q83" s="184" t="e">
        <f t="array" aca="1" ref="Q83" ca="1">OFFSET(m01_ITO起點,SMALL(IF(m01_更新索引*(m01_全ITO索引&lt;27),m01_全ITO索引,227),ROW(57:57)),)</f>
        <v>#N/A</v>
      </c>
      <c r="R83" s="21" t="e">
        <f t="array" aca="1" ref="R83" ca="1">OFFSET(m01_ITO起點,SMALL(IF(m01_更新索引*(m01_全ITO索引&gt;26)*(m01_全ITO索引&lt;85),m01_全ITO索引,227),ROW(57:57)),)</f>
        <v>#N/A</v>
      </c>
    </row>
    <row r="84" spans="5:18" x14ac:dyDescent="0.25">
      <c r="E84" s="52" t="str">
        <f t="array" aca="1" ref="E84" ca="1">IFERROR(OFFSET('i01'!$H$1,SMALL(IF((IF(s01_查詢過程組&lt;&gt;"",(i01_過程組過程=s01_查詢過程組),1)*IF(s01_查詢知識領域&lt;&gt;"",(i01_過程組知識領域=s01_查詢知識領域),1)),ROW(i01_清單過程組)-1,""),ROW(36:36)),,,),)</f>
        <v>管理利害關係人參與</v>
      </c>
      <c r="F84" s="121"/>
      <c r="H84" s="121"/>
      <c r="J84" s="121"/>
      <c r="K84" s="184" t="e">
        <f t="array" aca="1" ref="K84" ca="1">_xlfn.IFNA(OFFSET(m01_ITO起點,SMALL(IF(m01_投入索引*(m01_全ITO索引&lt;27),m01_全ITO索引,227),ROW(58:58)),),"")</f>
        <v>#N/A</v>
      </c>
      <c r="L84" s="21" t="e">
        <f t="array" aca="1" ref="L84" ca="1">OFFSET(m01_ITO起點,SMALL(IF(m01_投入索引*(m01_全ITO索引&gt;26)*(m01_全ITO索引&lt;85),m01_全ITO索引,227),ROW(58:58)),)</f>
        <v>#N/A</v>
      </c>
      <c r="M84" s="184" t="str">
        <f t="array" aca="1" ref="M84" ca="1">OFFSET(m01_ITO起點,SMALL(IF(m01_投入索引*(m01_全ITO索引&gt;84)*(m01_全ITO索引&lt;150),m01_全ITO索引,227),ROW(58:58)),)</f>
        <v>應變回應策略</v>
      </c>
      <c r="N84" s="21" t="str">
        <f t="array" aca="1" ref="N84" ca="1">OFFSET(m01_ITO起點,SMALL(IF(m01_投入索引*(m01_全ITO索引&gt;149)*(m01_全ITO索引&lt;226),m01_全ITO索引,227),ROW(58:58)),)</f>
        <v>非語言</v>
      </c>
      <c r="O84" s="184" t="e">
        <f t="array" aca="1" ref="O84" ca="1">OFFSET(m01_ITO起點,SMALL(IF(m01_產出索引*(m01_全ITO索引&lt;27),m01_全ITO索引,227),ROW(58:58)),)</f>
        <v>#N/A</v>
      </c>
      <c r="P84" s="21" t="e">
        <f t="array" aca="1" ref="P84" ca="1">OFFSET(m01_ITO起點,SMALL(IF(m01_產出索引*(m01_全ITO索引&gt;26)*(m01_全ITO索引&lt;85),m01_全ITO索引,227),ROW(58:58)),)</f>
        <v>#N/A</v>
      </c>
      <c r="Q84" s="184" t="e">
        <f t="array" aca="1" ref="Q84" ca="1">OFFSET(m01_ITO起點,SMALL(IF(m01_更新索引*(m01_全ITO索引&lt;27),m01_全ITO索引,227),ROW(58:58)),)</f>
        <v>#N/A</v>
      </c>
      <c r="R84" s="21" t="e">
        <f t="array" aca="1" ref="R84" ca="1">OFFSET(m01_ITO起點,SMALL(IF(m01_更新索引*(m01_全ITO索引&gt;26)*(m01_全ITO索引&lt;85),m01_全ITO索引,227),ROW(58:58)),)</f>
        <v>#N/A</v>
      </c>
    </row>
    <row r="85" spans="5:18" x14ac:dyDescent="0.25">
      <c r="E85" s="52" t="str">
        <f t="array" aca="1" ref="E85" ca="1">IFERROR(OFFSET('i01'!$H$1,SMALL(IF((IF(s01_查詢過程組&lt;&gt;"",(i01_過程組過程=s01_查詢過程組),1)*IF(s01_查詢知識領域&lt;&gt;"",(i01_過程組知識領域=s01_查詢知識領域),1)),ROW(i01_清單過程組)-1,""),ROW(37:37)),,,),)</f>
        <v>監視與管制專案工作</v>
      </c>
      <c r="F85" s="121"/>
      <c r="H85" s="121"/>
      <c r="J85" s="121"/>
      <c r="K85" s="184" t="e">
        <f t="array" aca="1" ref="K85" ca="1">_xlfn.IFNA(OFFSET(m01_ITO起點,SMALL(IF(m01_投入索引*(m01_全ITO索引&lt;27),m01_全ITO索引,227),ROW(59:59)),),"")</f>
        <v>#N/A</v>
      </c>
      <c r="L85" s="21" t="e">
        <f t="array" aca="1" ref="L85" ca="1">OFFSET(m01_ITO起點,SMALL(IF(m01_投入索引*(m01_全ITO索引&gt;26)*(m01_全ITO索引&lt;85),m01_全ITO索引,227),ROW(59:59)),)</f>
        <v>#N/A</v>
      </c>
      <c r="M85" s="184" t="str">
        <f t="array" aca="1" ref="M85" ca="1">OFFSET(m01_ITO起點,SMALL(IF(m01_投入索引*(m01_全ITO索引&gt;84)*(m01_全ITO索引&lt;150),m01_全ITO索引,227),ROW(59:59)),)</f>
        <v>機會回應策略</v>
      </c>
      <c r="N85" s="21" t="str">
        <f t="array" aca="1" ref="N85" ca="1">OFFSET(m01_ITO起點,SMALL(IF(m01_投入索引*(m01_全ITO索引&gt;149)*(m01_全ITO索引&lt;226),m01_全ITO索引,227),ROW(59:59)),)</f>
        <v>簡報</v>
      </c>
      <c r="O85" s="184" t="e">
        <f t="array" aca="1" ref="O85" ca="1">OFFSET(m01_ITO起點,SMALL(IF(m01_產出索引*(m01_全ITO索引&lt;27),m01_全ITO索引,227),ROW(59:59)),)</f>
        <v>#N/A</v>
      </c>
      <c r="P85" s="21" t="e">
        <f t="array" aca="1" ref="P85" ca="1">OFFSET(m01_ITO起點,SMALL(IF(m01_產出索引*(m01_全ITO索引&gt;26)*(m01_全ITO索引&lt;85),m01_全ITO索引,227),ROW(59:59)),)</f>
        <v>#N/A</v>
      </c>
      <c r="Q85" s="184" t="e">
        <f t="array" aca="1" ref="Q85" ca="1">OFFSET(m01_ITO起點,SMALL(IF(m01_更新索引*(m01_全ITO索引&lt;27),m01_全ITO索引,227),ROW(59:59)),)</f>
        <v>#N/A</v>
      </c>
      <c r="R85" s="21" t="e">
        <f t="array" aca="1" ref="R85" ca="1">OFFSET(m01_ITO起點,SMALL(IF(m01_更新索引*(m01_全ITO索引&gt;26)*(m01_全ITO索引&lt;85),m01_全ITO索引,227),ROW(59:59)),)</f>
        <v>#N/A</v>
      </c>
    </row>
    <row r="86" spans="5:18" x14ac:dyDescent="0.25">
      <c r="E86" s="52" t="str">
        <f t="array" aca="1" ref="E86" ca="1">IFERROR(OFFSET('i01'!$H$1,SMALL(IF((IF(s01_查詢過程組&lt;&gt;"",(i01_過程組過程=s01_查詢過程組),1)*IF(s01_查詢知識領域&lt;&gt;"",(i01_過程組知識領域=s01_查詢知識領域),1)),ROW(i01_清單過程組)-1,""),ROW(38:38)),,,),)</f>
        <v>進行整合變更管制</v>
      </c>
      <c r="F86" s="121"/>
      <c r="H86" s="121"/>
      <c r="J86" s="121"/>
      <c r="K86" s="184" t="e">
        <f t="array" aca="1" ref="K86" ca="1">_xlfn.IFNA(OFFSET(m01_ITO起點,SMALL(IF(m01_投入索引*(m01_全ITO索引&lt;27),m01_全ITO索引,227),ROW(60:60)),),"")</f>
        <v>#N/A</v>
      </c>
      <c r="L86" s="21" t="e">
        <f t="array" aca="1" ref="L86" ca="1">OFFSET(m01_ITO起點,SMALL(IF(m01_投入索引*(m01_全ITO索引&gt;26)*(m01_全ITO索引&lt;85),m01_全ITO索引,227),ROW(60:60)),)</f>
        <v>#N/A</v>
      </c>
      <c r="M86" s="184" t="str">
        <f t="array" aca="1" ref="M86" ca="1">OFFSET(m01_ITO起點,SMALL(IF(m01_投入索引*(m01_全ITO索引&gt;84)*(m01_全ITO索引&lt;150),m01_全ITO索引,227),ROW(60:60)),)</f>
        <v>威脅回應策略</v>
      </c>
      <c r="N86" s="21" t="str">
        <f t="array" aca="1" ref="N86" ca="1">OFFSET(m01_ITO起點,SMALL(IF(m01_投入索引*(m01_全ITO索引&gt;149)*(m01_全ITO索引&lt;226),m01_全ITO索引,227),ROW(60:60)),)</f>
        <v>促進</v>
      </c>
      <c r="O86" s="184" t="e">
        <f t="array" aca="1" ref="O86" ca="1">OFFSET(m01_ITO起點,SMALL(IF(m01_產出索引*(m01_全ITO索引&lt;27),m01_全ITO索引,227),ROW(60:60)),)</f>
        <v>#N/A</v>
      </c>
      <c r="P86" s="21" t="e">
        <f t="array" aca="1" ref="P86" ca="1">OFFSET(m01_ITO起點,SMALL(IF(m01_產出索引*(m01_全ITO索引&gt;26)*(m01_全ITO索引&lt;85),m01_全ITO索引,227),ROW(60:60)),)</f>
        <v>#N/A</v>
      </c>
      <c r="Q86" s="184" t="e">
        <f t="array" aca="1" ref="Q86" ca="1">OFFSET(m01_ITO起點,SMALL(IF(m01_更新索引*(m01_全ITO索引&lt;27),m01_全ITO索引,227),ROW(60:60)),)</f>
        <v>#N/A</v>
      </c>
      <c r="R86" s="21" t="e">
        <f t="array" aca="1" ref="R86" ca="1">OFFSET(m01_ITO起點,SMALL(IF(m01_更新索引*(m01_全ITO索引&gt;26)*(m01_全ITO索引&lt;85),m01_全ITO索引,227),ROW(60:60)),)</f>
        <v>#N/A</v>
      </c>
    </row>
    <row r="87" spans="5:18" x14ac:dyDescent="0.25">
      <c r="E87" s="52" t="str">
        <f t="array" aca="1" ref="E87" ca="1">IFERROR(OFFSET('i01'!$H$1,SMALL(IF((IF(s01_查詢過程組&lt;&gt;"",(i01_過程組過程=s01_查詢過程組),1)*IF(s01_查詢知識領域&lt;&gt;"",(i01_過程組知識領域=s01_查詢知識領域),1)),ROW(i01_清單過程組)-1,""),ROW(39:39)),,,),)</f>
        <v>確認範疇</v>
      </c>
      <c r="F87" s="121"/>
      <c r="H87" s="121"/>
      <c r="J87" s="121"/>
      <c r="K87" s="184" t="e">
        <f t="array" aca="1" ref="K87" ca="1">_xlfn.IFNA(OFFSET(m01_ITO起點,SMALL(IF(m01_投入索引*(m01_全ITO索引&lt;27),m01_全ITO索引,227),ROW(61:61)),),"")</f>
        <v>#N/A</v>
      </c>
      <c r="L87" s="21" t="e">
        <f t="array" aca="1" ref="L87" ca="1">OFFSET(m01_ITO起點,SMALL(IF(m01_投入索引*(m01_全ITO索引&gt;26)*(m01_全ITO索引&lt;85),m01_全ITO索引,227),ROW(61:61)),)</f>
        <v>#N/A</v>
      </c>
      <c r="M87" s="184" t="str">
        <f t="array" aca="1" ref="M87" ca="1">OFFSET(m01_ITO起點,SMALL(IF(m01_投入索引*(m01_全ITO索引&gt;84)*(m01_全ITO索引&lt;150),m01_全ITO索引,227),ROW(61:61)),)</f>
        <v>商源評選分析</v>
      </c>
      <c r="N87" s="21" t="str">
        <f t="array" aca="1" ref="N87" ca="1">OFFSET(m01_ITO起點,SMALL(IF(m01_投入索引*(m01_全ITO索引&gt;149)*(m01_全ITO索引&lt;226),m01_全ITO索引,227),ROW(61:61)),)</f>
        <v>會議管理</v>
      </c>
      <c r="O87" s="184" t="e">
        <f t="array" aca="1" ref="O87" ca="1">OFFSET(m01_ITO起點,SMALL(IF(m01_產出索引*(m01_全ITO索引&lt;27),m01_全ITO索引,227),ROW(61:61)),)</f>
        <v>#N/A</v>
      </c>
      <c r="P87" s="21" t="e">
        <f t="array" aca="1" ref="P87" ca="1">OFFSET(m01_ITO起點,SMALL(IF(m01_產出索引*(m01_全ITO索引&gt;26)*(m01_全ITO索引&lt;85),m01_全ITO索引,227),ROW(61:61)),)</f>
        <v>#N/A</v>
      </c>
      <c r="Q87" s="184" t="e">
        <f t="array" aca="1" ref="Q87" ca="1">OFFSET(m01_ITO起點,SMALL(IF(m01_更新索引*(m01_全ITO索引&lt;27),m01_全ITO索引,227),ROW(61:61)),)</f>
        <v>#N/A</v>
      </c>
      <c r="R87" s="21" t="e">
        <f t="array" aca="1" ref="R87" ca="1">OFFSET(m01_ITO起點,SMALL(IF(m01_更新索引*(m01_全ITO索引&gt;26)*(m01_全ITO索引&lt;85),m01_全ITO索引,227),ROW(61:61)),)</f>
        <v>#N/A</v>
      </c>
    </row>
    <row r="88" spans="5:18" x14ac:dyDescent="0.25">
      <c r="E88" s="52" t="str">
        <f t="array" aca="1" ref="E88" ca="1">IFERROR(OFFSET('i01'!$H$1,SMALL(IF((IF(s01_查詢過程組&lt;&gt;"",(i01_過程組過程=s01_查詢過程組),1)*IF(s01_查詢知識領域&lt;&gt;"",(i01_過程組知識領域=s01_查詢知識領域),1)),ROW(i01_清單過程組)-1,""),ROW(40:40)),,,),)</f>
        <v>管制範疇</v>
      </c>
      <c r="F88" s="121"/>
      <c r="H88" s="121"/>
      <c r="J88" s="121"/>
      <c r="K88" s="184" t="e">
        <f t="array" aca="1" ref="K88" ca="1">_xlfn.IFNA(OFFSET(m01_ITO起點,SMALL(IF(m01_投入索引*(m01_全ITO索引&lt;27),m01_全ITO索引,227),ROW(62:62)),),"")</f>
        <v>#N/A</v>
      </c>
      <c r="L88" s="21" t="e">
        <f t="array" aca="1" ref="L88" ca="1">OFFSET(m01_ITO起點,SMALL(IF(m01_投入索引*(m01_全ITO索引&gt;26)*(m01_全ITO索引&lt;85),m01_全ITO索引,227),ROW(62:62)),)</f>
        <v>#N/A</v>
      </c>
      <c r="M88" s="184" t="str">
        <f t="array" aca="1" ref="M88" ca="1">OFFSET(m01_ITO起點,SMALL(IF(m01_投入索引*(m01_全ITO索引&gt;84)*(m01_全ITO索引&lt;150),m01_全ITO索引,227),ROW(62:62)),)</f>
        <v>廣告</v>
      </c>
      <c r="N88" s="21" t="str">
        <f t="array" aca="1" ref="N88" ca="1">OFFSET(m01_ITO起點,SMALL(IF(m01_投入索引*(m01_全ITO索引&gt;149)*(m01_全ITO索引&lt;226),m01_全ITO索引,227),ROW(62:62)),)</f>
        <v>決策制定</v>
      </c>
      <c r="O88" s="184" t="e">
        <f t="array" aca="1" ref="O88" ca="1">OFFSET(m01_ITO起點,SMALL(IF(m01_產出索引*(m01_全ITO索引&lt;27),m01_全ITO索引,227),ROW(62:62)),)</f>
        <v>#N/A</v>
      </c>
      <c r="P88" s="21" t="e">
        <f t="array" aca="1" ref="P88" ca="1">OFFSET(m01_ITO起點,SMALL(IF(m01_產出索引*(m01_全ITO索引&gt;26)*(m01_全ITO索引&lt;85),m01_全ITO索引,227),ROW(62:62)),)</f>
        <v>#N/A</v>
      </c>
      <c r="Q88" s="184" t="e">
        <f t="array" aca="1" ref="Q88" ca="1">OFFSET(m01_ITO起點,SMALL(IF(m01_更新索引*(m01_全ITO索引&lt;27),m01_全ITO索引,227),ROW(62:62)),)</f>
        <v>#N/A</v>
      </c>
      <c r="R88" s="21" t="e">
        <f t="array" aca="1" ref="R88" ca="1">OFFSET(m01_ITO起點,SMALL(IF(m01_更新索引*(m01_全ITO索引&gt;26)*(m01_全ITO索引&lt;85),m01_全ITO索引,227),ROW(62:62)),)</f>
        <v>#N/A</v>
      </c>
    </row>
    <row r="89" spans="5:18" x14ac:dyDescent="0.25">
      <c r="E89" s="52" t="str">
        <f t="array" aca="1" ref="E89" ca="1">IFERROR(OFFSET('i01'!$H$1,SMALL(IF((IF(s01_查詢過程組&lt;&gt;"",(i01_過程組過程=s01_查詢過程組),1)*IF(s01_查詢知識領域&lt;&gt;"",(i01_過程組知識領域=s01_查詢知識領域),1)),ROW(i01_清單過程組)-1,""),ROW(41:41)),,,),)</f>
        <v>管制時程</v>
      </c>
      <c r="F89" s="121"/>
      <c r="H89" s="121"/>
      <c r="J89" s="121"/>
      <c r="K89" s="184" t="e">
        <f t="array" aca="1" ref="K89" ca="1">_xlfn.IFNA(OFFSET(m01_ITO起點,SMALL(IF(m01_投入索引*(m01_全ITO索引&lt;27),m01_全ITO索引,227),ROW(63:63)),),"")</f>
        <v>#N/A</v>
      </c>
      <c r="L89" s="21" t="e">
        <f t="array" aca="1" ref="L89" ca="1">OFFSET(m01_ITO起點,SMALL(IF(m01_投入索引*(m01_全ITO索引&gt;26)*(m01_全ITO索引&lt;85),m01_全ITO索引,227),ROW(63:63)),)</f>
        <v>#N/A</v>
      </c>
      <c r="M89" s="184" t="str">
        <f t="array" aca="1" ref="M89" ca="1">OFFSET(m01_ITO起點,SMALL(IF(m01_投入索引*(m01_全ITO索引&gt;84)*(m01_全ITO索引&lt;150),m01_全ITO索引,227),ROW(63:63)),)</f>
        <v>投標人會議</v>
      </c>
      <c r="N89" s="21" t="str">
        <f t="array" aca="1" ref="N89" ca="1">OFFSET(m01_ITO起點,SMALL(IF(m01_投入索引*(m01_全ITO索引&gt;149)*(m01_全ITO索引&lt;226),m01_全ITO索引,227),ROW(63:63)),)</f>
        <v>集體發想表決法</v>
      </c>
      <c r="O89" s="184" t="e">
        <f t="array" aca="1" ref="O89" ca="1">OFFSET(m01_ITO起點,SMALL(IF(m01_產出索引*(m01_全ITO索引&lt;27),m01_全ITO索引,227),ROW(63:63)),)</f>
        <v>#N/A</v>
      </c>
      <c r="P89" s="21" t="e">
        <f t="array" aca="1" ref="P89" ca="1">OFFSET(m01_ITO起點,SMALL(IF(m01_產出索引*(m01_全ITO索引&gt;26)*(m01_全ITO索引&lt;85),m01_全ITO索引,227),ROW(63:63)),)</f>
        <v>#N/A</v>
      </c>
      <c r="Q89" s="184" t="e">
        <f t="array" aca="1" ref="Q89" ca="1">OFFSET(m01_ITO起點,SMALL(IF(m01_更新索引*(m01_全ITO索引&lt;27),m01_全ITO索引,227),ROW(63:63)),)</f>
        <v>#N/A</v>
      </c>
      <c r="R89" s="21" t="e">
        <f t="array" aca="1" ref="R89" ca="1">OFFSET(m01_ITO起點,SMALL(IF(m01_更新索引*(m01_全ITO索引&gt;26)*(m01_全ITO索引&lt;85),m01_全ITO索引,227),ROW(63:63)),)</f>
        <v>#N/A</v>
      </c>
    </row>
    <row r="90" spans="5:18" x14ac:dyDescent="0.25">
      <c r="E90" s="52" t="str">
        <f t="array" aca="1" ref="E90" ca="1">IFERROR(OFFSET('i01'!$H$1,SMALL(IF((IF(s01_查詢過程組&lt;&gt;"",(i01_過程組過程=s01_查詢過程組),1)*IF(s01_查詢知識領域&lt;&gt;"",(i01_過程組知識領域=s01_查詢知識領域),1)),ROW(i01_清單過程組)-1,""),ROW(42:42)),,,),)</f>
        <v>管制成本</v>
      </c>
      <c r="F90" s="121"/>
      <c r="H90" s="121"/>
      <c r="J90" s="121"/>
      <c r="K90" s="184" t="e">
        <f t="array" aca="1" ref="K90" ca="1">_xlfn.IFNA(OFFSET(m01_ITO起點,SMALL(IF(m01_投入索引*(m01_全ITO索引&lt;27),m01_全ITO索引,227),ROW(64:64)),),"")</f>
        <v>#N/A</v>
      </c>
      <c r="L90" s="21" t="e">
        <f t="array" aca="1" ref="L90" ca="1">OFFSET(m01_ITO起點,SMALL(IF(m01_投入索引*(m01_全ITO索引&gt;26)*(m01_全ITO索引&lt;85),m01_全ITO索引,227),ROW(64:64)),)</f>
        <v>#N/A</v>
      </c>
      <c r="M90" s="184" t="str">
        <f t="array" aca="1" ref="M90" ca="1">OFFSET(m01_ITO起點,SMALL(IF(m01_投入索引*(m01_全ITO索引&gt;84)*(m01_全ITO索引&lt;150),m01_全ITO索引,227),ROW(64:64)),)</f>
        <v>求償管理</v>
      </c>
      <c r="N90" s="21" t="str">
        <f t="array" aca="1" ref="N90" ca="1">OFFSET(m01_ITO起點,SMALL(IF(m01_投入索引*(m01_全ITO索引&gt;149)*(m01_全ITO索引&lt;226),m01_全ITO索引,227),ROW(64:64)),)</f>
        <v>觀察/交談</v>
      </c>
      <c r="O90" s="184" t="e">
        <f t="array" aca="1" ref="O90" ca="1">OFFSET(m01_ITO起點,SMALL(IF(m01_產出索引*(m01_全ITO索引&lt;27),m01_全ITO索引,227),ROW(64:64)),)</f>
        <v>#N/A</v>
      </c>
      <c r="P90" s="21" t="e">
        <f t="array" aca="1" ref="P90" ca="1">OFFSET(m01_ITO起點,SMALL(IF(m01_產出索引*(m01_全ITO索引&gt;26)*(m01_全ITO索引&lt;85),m01_全ITO索引,227),ROW(64:64)),)</f>
        <v>#N/A</v>
      </c>
      <c r="Q90" s="184" t="e">
        <f t="array" aca="1" ref="Q90" ca="1">OFFSET(m01_ITO起點,SMALL(IF(m01_更新索引*(m01_全ITO索引&lt;27),m01_全ITO索引,227),ROW(64:64)),)</f>
        <v>#N/A</v>
      </c>
      <c r="R90" s="21" t="e">
        <f t="array" aca="1" ref="R90" ca="1">OFFSET(m01_ITO起點,SMALL(IF(m01_更新索引*(m01_全ITO索引&gt;26)*(m01_全ITO索引&lt;85),m01_全ITO索引,227),ROW(64:64)),)</f>
        <v>#N/A</v>
      </c>
    </row>
    <row r="91" spans="5:18" x14ac:dyDescent="0.25">
      <c r="E91" s="52" t="str">
        <f t="array" aca="1" ref="E91" ca="1">IFERROR(OFFSET('i01'!$H$1,SMALL(IF((IF(s01_查詢過程組&lt;&gt;"",(i01_過程組過程=s01_查詢過程組),1)*IF(s01_查詢知識領域&lt;&gt;"",(i01_過程組知識領域=s01_查詢知識領域),1)),ROW(i01_清單過程組)-1,""),ROW(43:43)),,,),)</f>
        <v>管制品質</v>
      </c>
      <c r="F91" s="121"/>
      <c r="H91" s="121"/>
      <c r="J91" s="121"/>
      <c r="K91" s="184" t="e">
        <f t="array" aca="1" ref="K91" ca="1">_xlfn.IFNA(OFFSET(m01_ITO起點,SMALL(IF(m01_投入索引*(m01_全ITO索引&lt;27),m01_全ITO索引,227),ROW(65:65)),),"")</f>
        <v>#N/A</v>
      </c>
      <c r="L91" s="21" t="e">
        <f t="array" aca="1" ref="L91" ca="1">OFFSET(m01_ITO起點,SMALL(IF(m01_投入索引*(m01_全ITO索引&gt;26)*(m01_全ITO索引&lt;85),m01_全ITO索引,227),ROW(65:65)),)</f>
        <v>#N/A</v>
      </c>
      <c r="M91" s="184" t="str">
        <f t="array" aca="1" ref="M91" ca="1">OFFSET(m01_ITO起點,SMALL(IF(m01_投入索引*(m01_全ITO索引&gt;84)*(m01_全ITO索引&lt;150),m01_全ITO索引,227),ROW(65:65)),)</f>
        <v>基本規則</v>
      </c>
      <c r="N91" s="21" t="str">
        <f t="array" aca="1" ref="N91" ca="1">OFFSET(m01_ITO起點,SMALL(IF(m01_投入索引*(m01_全ITO索引&gt;149)*(m01_全ITO索引&lt;226),m01_全ITO索引,227),ROW(65:65)),)</f>
        <v>主動傾聽</v>
      </c>
      <c r="O91" s="184" t="e">
        <f t="array" aca="1" ref="O91" ca="1">OFFSET(m01_ITO起點,SMALL(IF(m01_產出索引*(m01_全ITO索引&lt;27),m01_全ITO索引,227),ROW(65:65)),)</f>
        <v>#N/A</v>
      </c>
      <c r="P91" s="21" t="e">
        <f t="array" aca="1" ref="P91" ca="1">OFFSET(m01_ITO起點,SMALL(IF(m01_產出索引*(m01_全ITO索引&gt;26)*(m01_全ITO索引&lt;85),m01_全ITO索引,227),ROW(65:65)),)</f>
        <v>#N/A</v>
      </c>
      <c r="Q91" s="184" t="e">
        <f t="array" aca="1" ref="Q91" ca="1">OFFSET(m01_ITO起點,SMALL(IF(m01_更新索引*(m01_全ITO索引&lt;27),m01_全ITO索引,227),ROW(65:65)),)</f>
        <v>#N/A</v>
      </c>
      <c r="R91" s="21" t="e">
        <f t="array" aca="1" ref="R91" ca="1">OFFSET(m01_ITO起點,SMALL(IF(m01_更新索引*(m01_全ITO索引&gt;26)*(m01_全ITO索引&lt;85),m01_全ITO索引,227),ROW(65:65)),)</f>
        <v>#N/A</v>
      </c>
    </row>
    <row r="92" spans="5:18" x14ac:dyDescent="0.25">
      <c r="E92" s="52" t="str">
        <f t="array" aca="1" ref="E92" ca="1">IFERROR(OFFSET('i01'!$H$1,SMALL(IF((IF(s01_查詢過程組&lt;&gt;"",(i01_過程組過程=s01_查詢過程組),1)*IF(s01_查詢知識領域&lt;&gt;"",(i01_過程組知識領域=s01_查詢知識領域),1)),ROW(i01_清單過程組)-1,""),ROW(44:44)),,,),)</f>
        <v>管制資源</v>
      </c>
      <c r="F92" s="121"/>
      <c r="H92" s="121"/>
      <c r="J92" s="121"/>
      <c r="K92" s="184" t="e">
        <f t="array" aca="1" ref="K92" ca="1">_xlfn.IFNA(OFFSET(m01_ITO起點,SMALL(IF(m01_投入索引*(m01_全ITO索引&lt;27),m01_全ITO索引,227),ROW(66:66)),),"")</f>
        <v>#N/A</v>
      </c>
      <c r="L92" s="21" t="e">
        <f t="array" aca="1" ref="L92" ca="1">OFFSET(m01_ITO起點,SMALL(IF(m01_投入索引*(m01_全ITO索引&gt;26)*(m01_全ITO索引&lt;85),m01_全ITO索引,227),ROW(66:66)),)</f>
        <v>#N/A</v>
      </c>
      <c r="M92" s="184" t="e">
        <f t="array" aca="1" ref="M92" ca="1">OFFSET(m01_ITO起點,SMALL(IF(m01_投入索引*(m01_全ITO索引&gt;84)*(m01_全ITO索引&lt;150),m01_全ITO索引,227),ROW(66:66)),)</f>
        <v>#N/A</v>
      </c>
      <c r="N92" s="21" t="str">
        <f t="array" aca="1" ref="N92" ca="1">OFFSET(m01_ITO起點,SMALL(IF(m01_投入索引*(m01_全ITO索引&gt;149)*(m01_全ITO索引&lt;226),m01_全ITO索引,227),ROW(66:66)),)</f>
        <v>溝通風格評量</v>
      </c>
      <c r="O92" s="184" t="e">
        <f t="array" aca="1" ref="O92" ca="1">OFFSET(m01_ITO起點,SMALL(IF(m01_產出索引*(m01_全ITO索引&lt;27),m01_全ITO索引,227),ROW(66:66)),)</f>
        <v>#N/A</v>
      </c>
      <c r="P92" s="21" t="e">
        <f t="array" aca="1" ref="P92" ca="1">OFFSET(m01_ITO起點,SMALL(IF(m01_產出索引*(m01_全ITO索引&gt;26)*(m01_全ITO索引&lt;85),m01_全ITO索引,227),ROW(66:66)),)</f>
        <v>#N/A</v>
      </c>
      <c r="Q92" s="184" t="e">
        <f t="array" aca="1" ref="Q92" ca="1">OFFSET(m01_ITO起點,SMALL(IF(m01_更新索引*(m01_全ITO索引&lt;27),m01_全ITO索引,227),ROW(66:66)),)</f>
        <v>#N/A</v>
      </c>
      <c r="R92" s="21" t="e">
        <f t="array" aca="1" ref="R92" ca="1">OFFSET(m01_ITO起點,SMALL(IF(m01_更新索引*(m01_全ITO索引&gt;26)*(m01_全ITO索引&lt;85),m01_全ITO索引,227),ROW(66:66)),)</f>
        <v>#N/A</v>
      </c>
    </row>
    <row r="93" spans="5:18" x14ac:dyDescent="0.25">
      <c r="E93" s="52" t="str">
        <f t="array" aca="1" ref="E93" ca="1">IFERROR(OFFSET('i01'!$H$1,SMALL(IF((IF(s01_查詢過程組&lt;&gt;"",(i01_過程組過程=s01_查詢過程組),1)*IF(s01_查詢知識領域&lt;&gt;"",(i01_過程組知識領域=s01_查詢知識領域),1)),ROW(i01_清單過程組)-1,""),ROW(45:45)),,,),)</f>
        <v>監視溝通</v>
      </c>
      <c r="F93" s="121"/>
      <c r="H93" s="121"/>
      <c r="J93" s="121"/>
      <c r="K93" s="184" t="e">
        <f t="array" aca="1" ref="K93" ca="1">_xlfn.IFNA(OFFSET(m01_ITO起點,SMALL(IF(m01_投入索引*(m01_全ITO索引&lt;27),m01_全ITO索引,227),ROW(67:67)),),"")</f>
        <v>#N/A</v>
      </c>
      <c r="L93" s="21" t="e">
        <f t="array" aca="1" ref="L93" ca="1">OFFSET(m01_ITO起點,SMALL(IF(m01_投入索引*(m01_全ITO索引&gt;26)*(m01_全ITO索引&lt;85),m01_全ITO索引,227),ROW(67:67)),)</f>
        <v>#N/A</v>
      </c>
      <c r="M93" s="184" t="e">
        <f t="array" aca="1" ref="M93" ca="1">OFFSET(m01_ITO起點,SMALL(IF(m01_投入索引*(m01_全ITO索引&gt;84)*(m01_全ITO索引&lt;150),m01_全ITO索引,227),ROW(67:67)),)</f>
        <v>#N/A</v>
      </c>
      <c r="N93" s="21" t="str">
        <f t="array" aca="1" ref="N93" ca="1">OFFSET(m01_ITO起點,SMALL(IF(m01_投入索引*(m01_全ITO索引&gt;149)*(m01_全ITO索引&lt;226),m01_全ITO索引,227),ROW(67:67)),)</f>
        <v>團隊組建</v>
      </c>
      <c r="O93" s="184" t="e">
        <f t="array" aca="1" ref="O93" ca="1">OFFSET(m01_ITO起點,SMALL(IF(m01_產出索引*(m01_全ITO索引&lt;27),m01_全ITO索引,227),ROW(67:67)),)</f>
        <v>#N/A</v>
      </c>
      <c r="P93" s="21" t="e">
        <f t="array" aca="1" ref="P93" ca="1">OFFSET(m01_ITO起點,SMALL(IF(m01_產出索引*(m01_全ITO索引&gt;26)*(m01_全ITO索引&lt;85),m01_全ITO索引,227),ROW(67:67)),)</f>
        <v>#N/A</v>
      </c>
      <c r="Q93" s="184" t="e">
        <f t="array" aca="1" ref="Q93" ca="1">OFFSET(m01_ITO起點,SMALL(IF(m01_更新索引*(m01_全ITO索引&lt;27),m01_全ITO索引,227),ROW(67:67)),)</f>
        <v>#N/A</v>
      </c>
      <c r="R93" s="21" t="e">
        <f t="array" aca="1" ref="R93" ca="1">OFFSET(m01_ITO起點,SMALL(IF(m01_更新索引*(m01_全ITO索引&gt;26)*(m01_全ITO索引&lt;85),m01_全ITO索引,227),ROW(67:67)),)</f>
        <v>#N/A</v>
      </c>
    </row>
    <row r="94" spans="5:18" x14ac:dyDescent="0.25">
      <c r="E94" s="52" t="str">
        <f t="array" aca="1" ref="E94" ca="1">IFERROR(OFFSET('i01'!$H$1,SMALL(IF((IF(s01_查詢過程組&lt;&gt;"",(i01_過程組過程=s01_查詢過程組),1)*IF(s01_查詢知識領域&lt;&gt;"",(i01_過程組知識領域=s01_查詢知識領域),1)),ROW(i01_清單過程組)-1,""),ROW(46:46)),,,),)</f>
        <v>監視風險</v>
      </c>
      <c r="F94" s="121"/>
      <c r="H94" s="121"/>
      <c r="J94" s="121"/>
      <c r="K94" s="184" t="e">
        <f t="array" aca="1" ref="K94" ca="1">_xlfn.IFNA(OFFSET(m01_ITO起點,SMALL(IF(m01_投入索引*(m01_全ITO索引&lt;27),m01_全ITO索引,227),ROW(68:68)),),"")</f>
        <v>#N/A</v>
      </c>
      <c r="L94" s="21" t="e">
        <f t="array" aca="1" ref="L94" ca="1">OFFSET(m01_ITO起點,SMALL(IF(m01_投入索引*(m01_全ITO索引&gt;26)*(m01_全ITO索引&lt;85),m01_全ITO索引,227),ROW(68:68)),)</f>
        <v>#N/A</v>
      </c>
      <c r="M94" s="184" t="e">
        <f t="array" aca="1" ref="M94" ca="1">OFFSET(m01_ITO起點,SMALL(IF(m01_投入索引*(m01_全ITO索引&gt;84)*(m01_全ITO索引&lt;150),m01_全ITO索引,227),ROW(68:68)),)</f>
        <v>#N/A</v>
      </c>
      <c r="N94" s="21" t="str">
        <f t="array" aca="1" ref="N94" ca="1">OFFSET(m01_ITO起點,SMALL(IF(m01_投入索引*(m01_全ITO索引&gt;149)*(m01_全ITO索引&lt;226),m01_全ITO索引,227),ROW(68:68)),)</f>
        <v>衝突管理</v>
      </c>
      <c r="O94" s="184" t="e">
        <f t="array" aca="1" ref="O94" ca="1">OFFSET(m01_ITO起點,SMALL(IF(m01_產出索引*(m01_全ITO索引&lt;27),m01_全ITO索引,227),ROW(68:68)),)</f>
        <v>#N/A</v>
      </c>
      <c r="P94" s="21" t="e">
        <f t="array" aca="1" ref="P94" ca="1">OFFSET(m01_ITO起點,SMALL(IF(m01_產出索引*(m01_全ITO索引&gt;26)*(m01_全ITO索引&lt;85),m01_全ITO索引,227),ROW(68:68)),)</f>
        <v>#N/A</v>
      </c>
      <c r="Q94" s="184" t="e">
        <f t="array" aca="1" ref="Q94" ca="1">OFFSET(m01_ITO起點,SMALL(IF(m01_更新索引*(m01_全ITO索引&lt;27),m01_全ITO索引,227),ROW(68:68)),)</f>
        <v>#N/A</v>
      </c>
      <c r="R94" s="21" t="e">
        <f t="array" aca="1" ref="R94" ca="1">OFFSET(m01_ITO起點,SMALL(IF(m01_更新索引*(m01_全ITO索引&gt;26)*(m01_全ITO索引&lt;85),m01_全ITO索引,227),ROW(68:68)),)</f>
        <v>#N/A</v>
      </c>
    </row>
    <row r="95" spans="5:18" x14ac:dyDescent="0.25">
      <c r="E95" s="52" t="str">
        <f t="array" aca="1" ref="E95" ca="1">IFERROR(OFFSET('i01'!$H$1,SMALL(IF((IF(s01_查詢過程組&lt;&gt;"",(i01_過程組過程=s01_查詢過程組),1)*IF(s01_查詢知識領域&lt;&gt;"",(i01_過程組知識領域=s01_查詢知識領域),1)),ROW(i01_清單過程組)-1,""),ROW(47:47)),,,),)</f>
        <v>管制採購</v>
      </c>
      <c r="F95" s="121"/>
      <c r="H95" s="121"/>
      <c r="J95" s="121"/>
      <c r="K95" s="184" t="e">
        <f t="array" aca="1" ref="K95" ca="1">_xlfn.IFNA(OFFSET(m01_ITO起點,SMALL(IF(m01_投入索引*(m01_全ITO索引&lt;27),m01_全ITO索引,227),ROW(69:69)),),"")</f>
        <v>#N/A</v>
      </c>
      <c r="L95" s="21" t="e">
        <f t="array" aca="1" ref="L95" ca="1">OFFSET(m01_ITO起點,SMALL(IF(m01_投入索引*(m01_全ITO索引&gt;26)*(m01_全ITO索引&lt;85),m01_全ITO索引,227),ROW(69:69)),)</f>
        <v>#N/A</v>
      </c>
      <c r="M95" s="184" t="e">
        <f t="array" aca="1" ref="M95" ca="1">OFFSET(m01_ITO起點,SMALL(IF(m01_投入索引*(m01_全ITO索引&gt;84)*(m01_全ITO索引&lt;150),m01_全ITO索引,227),ROW(69:69)),)</f>
        <v>#N/A</v>
      </c>
      <c r="N95" s="21" t="str">
        <f t="array" aca="1" ref="N95" ca="1">OFFSET(m01_ITO起點,SMALL(IF(m01_投入索引*(m01_全ITO索引&gt;149)*(m01_全ITO索引&lt;226),m01_全ITO索引,227),ROW(69:69)),)</f>
        <v>情緒智商</v>
      </c>
      <c r="O95" s="184" t="e">
        <f t="array" aca="1" ref="O95" ca="1">OFFSET(m01_ITO起點,SMALL(IF(m01_產出索引*(m01_全ITO索引&lt;27),m01_全ITO索引,227),ROW(69:69)),)</f>
        <v>#N/A</v>
      </c>
      <c r="P95" s="21" t="e">
        <f t="array" aca="1" ref="P95" ca="1">OFFSET(m01_ITO起點,SMALL(IF(m01_產出索引*(m01_全ITO索引&gt;26)*(m01_全ITO索引&lt;85),m01_全ITO索引,227),ROW(69:69)),)</f>
        <v>#N/A</v>
      </c>
      <c r="Q95" s="184" t="e">
        <f t="array" aca="1" ref="Q95" ca="1">OFFSET(m01_ITO起點,SMALL(IF(m01_更新索引*(m01_全ITO索引&lt;27),m01_全ITO索引,227),ROW(69:69)),)</f>
        <v>#N/A</v>
      </c>
      <c r="R95" s="21" t="e">
        <f t="array" aca="1" ref="R95" ca="1">OFFSET(m01_ITO起點,SMALL(IF(m01_更新索引*(m01_全ITO索引&gt;26)*(m01_全ITO索引&lt;85),m01_全ITO索引,227),ROW(69:69)),)</f>
        <v>#N/A</v>
      </c>
    </row>
    <row r="96" spans="5:18" x14ac:dyDescent="0.25">
      <c r="E96" s="52" t="str">
        <f t="array" aca="1" ref="E96" ca="1">IFERROR(OFFSET('i01'!$H$1,SMALL(IF((IF(s01_查詢過程組&lt;&gt;"",(i01_過程組過程=s01_查詢過程組),1)*IF(s01_查詢知識領域&lt;&gt;"",(i01_過程組知識領域=s01_查詢知識領域),1)),ROW(i01_清單過程組)-1,""),ROW(48:48)),,,),)</f>
        <v>監視利害關係人參與</v>
      </c>
      <c r="F96" s="121"/>
      <c r="H96" s="121"/>
      <c r="J96" s="121"/>
      <c r="K96" s="184" t="e">
        <f t="array" aca="1" ref="K96" ca="1">_xlfn.IFNA(OFFSET(m01_ITO起點,SMALL(IF(m01_投入索引*(m01_全ITO索引&lt;27),m01_全ITO索引,227),ROW(70:70)),),"")</f>
        <v>#N/A</v>
      </c>
      <c r="L96" s="21" t="e">
        <f t="array" aca="1" ref="L96" ca="1">OFFSET(m01_ITO起點,SMALL(IF(m01_投入索引*(m01_全ITO索引&gt;26)*(m01_全ITO索引&lt;85),m01_全ITO索引,227),ROW(70:70)),)</f>
        <v>#N/A</v>
      </c>
      <c r="M96" s="184" t="e">
        <f t="array" aca="1" ref="M96" ca="1">OFFSET(m01_ITO起點,SMALL(IF(m01_投入索引*(m01_全ITO索引&gt;84)*(m01_全ITO索引&lt;150),m01_全ITO索引,227),ROW(70:70)),)</f>
        <v>#N/A</v>
      </c>
      <c r="N96" s="21" t="str">
        <f t="array" aca="1" ref="N96" ca="1">OFFSET(m01_ITO起點,SMALL(IF(m01_投入索引*(m01_全ITO索引&gt;149)*(m01_全ITO索引&lt;226),m01_全ITO索引,227),ROW(70:70)),)</f>
        <v>文化意識</v>
      </c>
      <c r="O96" s="184" t="e">
        <f t="array" aca="1" ref="O96" ca="1">OFFSET(m01_ITO起點,SMALL(IF(m01_產出索引*(m01_全ITO索引&lt;27),m01_全ITO索引,227),ROW(70:70)),)</f>
        <v>#N/A</v>
      </c>
      <c r="P96" s="21" t="e">
        <f t="array" aca="1" ref="P96" ca="1">OFFSET(m01_ITO起點,SMALL(IF(m01_產出索引*(m01_全ITO索引&gt;26)*(m01_全ITO索引&lt;85),m01_全ITO索引,227),ROW(70:70)),)</f>
        <v>#N/A</v>
      </c>
      <c r="Q96" s="184" t="e">
        <f t="array" aca="1" ref="Q96" ca="1">OFFSET(m01_ITO起點,SMALL(IF(m01_更新索引*(m01_全ITO索引&lt;27),m01_全ITO索引,227),ROW(70:70)),)</f>
        <v>#N/A</v>
      </c>
      <c r="R96" s="21" t="e">
        <f t="array" aca="1" ref="R96" ca="1">OFFSET(m01_ITO起點,SMALL(IF(m01_更新索引*(m01_全ITO索引&gt;26)*(m01_全ITO索引&lt;85),m01_全ITO索引,227),ROW(70:70)),)</f>
        <v>#N/A</v>
      </c>
    </row>
    <row r="97" spans="5:18" x14ac:dyDescent="0.25">
      <c r="E97" s="52" t="str">
        <f t="array" aca="1" ref="E97" ca="1">IFERROR(OFFSET('i01'!$H$1,SMALL(IF((IF(s01_查詢過程組&lt;&gt;"",(i01_過程組過程=s01_查詢過程組),1)*IF(s01_查詢知識領域&lt;&gt;"",(i01_過程組知識領域=s01_查詢知識領域),1)),ROW(i01_清單過程組)-1,""),ROW(49:49)),,,),)</f>
        <v>結束專案或階段</v>
      </c>
      <c r="K97" s="184" t="e">
        <f t="array" aca="1" ref="K97" ca="1">_xlfn.IFNA(OFFSET(m01_ITO起點,SMALL(IF(m01_投入索引*(m01_全ITO索引&lt;27),m01_全ITO索引,227),ROW(71:71)),),"")</f>
        <v>#N/A</v>
      </c>
      <c r="L97" s="21" t="e">
        <f t="array" aca="1" ref="L97" ca="1">OFFSET(m01_ITO起點,SMALL(IF(m01_投入索引*(m01_全ITO索引&gt;26)*(m01_全ITO索引&lt;85),m01_全ITO索引,227),ROW(71:71)),)</f>
        <v>#N/A</v>
      </c>
      <c r="M97" s="184" t="e">
        <f t="array" aca="1" ref="M97" ca="1">OFFSET(m01_ITO起點,SMALL(IF(m01_投入索引*(m01_全ITO索引&gt;84)*(m01_全ITO索引&lt;150),m01_全ITO索引,227),ROW(71:71)),)</f>
        <v>#N/A</v>
      </c>
      <c r="N97" s="21" t="str">
        <f t="array" aca="1" ref="N97" ca="1">OFFSET(m01_ITO起點,SMALL(IF(m01_投入索引*(m01_全ITO索引&gt;149)*(m01_全ITO索引&lt;226),m01_全ITO索引,227),ROW(71:71)),)</f>
        <v>政治意識</v>
      </c>
      <c r="O97" s="184" t="e">
        <f t="array" aca="1" ref="O97" ca="1">OFFSET(m01_ITO起點,SMALL(IF(m01_產出索引*(m01_全ITO索引&lt;27),m01_全ITO索引,227),ROW(71:71)),)</f>
        <v>#N/A</v>
      </c>
      <c r="P97" s="21" t="e">
        <f t="array" aca="1" ref="P97" ca="1">OFFSET(m01_ITO起點,SMALL(IF(m01_產出索引*(m01_全ITO索引&gt;26)*(m01_全ITO索引&lt;85),m01_全ITO索引,227),ROW(71:71)),)</f>
        <v>#N/A</v>
      </c>
      <c r="Q97" s="184" t="e">
        <f t="array" aca="1" ref="Q97" ca="1">OFFSET(m01_ITO起點,SMALL(IF(m01_更新索引*(m01_全ITO索引&lt;27),m01_全ITO索引,227),ROW(71:71)),)</f>
        <v>#N/A</v>
      </c>
      <c r="R97" s="21" t="e">
        <f t="array" aca="1" ref="R97" ca="1">OFFSET(m01_ITO起點,SMALL(IF(m01_更新索引*(m01_全ITO索引&gt;26)*(m01_全ITO索引&lt;85),m01_全ITO索引,227),ROW(71:71)),)</f>
        <v>#N/A</v>
      </c>
    </row>
    <row r="98" spans="5:18" x14ac:dyDescent="0.25">
      <c r="K98" s="184" t="e">
        <f t="array" aca="1" ref="K98" ca="1">_xlfn.IFNA(OFFSET(m01_ITO起點,SMALL(IF(m01_投入索引*(m01_全ITO索引&lt;27),m01_全ITO索引,227),ROW(72:72)),),"")</f>
        <v>#N/A</v>
      </c>
      <c r="L98" s="21" t="e">
        <f t="array" aca="1" ref="L98" ca="1">OFFSET(m01_ITO起點,SMALL(IF(m01_投入索引*(m01_全ITO索引&gt;26)*(m01_全ITO索引&lt;85),m01_全ITO索引,227),ROW(72:72)),)</f>
        <v>#N/A</v>
      </c>
      <c r="M98" s="184" t="e">
        <f t="array" aca="1" ref="M98" ca="1">OFFSET(m01_ITO起點,SMALL(IF(m01_投入索引*(m01_全ITO索引&gt;84)*(m01_全ITO索引&lt;150),m01_全ITO索引,227),ROW(72:72)),)</f>
        <v>#N/A</v>
      </c>
      <c r="N98" s="21" t="str">
        <f t="array" aca="1" ref="N98" ca="1">OFFSET(m01_ITO起點,SMALL(IF(m01_投入索引*(m01_全ITO索引&gt;149)*(m01_全ITO索引&lt;226),m01_全ITO索引,227),ROW(72:72)),)</f>
        <v>影響力</v>
      </c>
      <c r="O98" s="184" t="e">
        <f t="array" aca="1" ref="O98" ca="1">OFFSET(m01_ITO起點,SMALL(IF(m01_產出索引*(m01_全ITO索引&lt;27),m01_全ITO索引,227),ROW(72:72)),)</f>
        <v>#N/A</v>
      </c>
      <c r="P98" s="21" t="e">
        <f t="array" aca="1" ref="P98" ca="1">OFFSET(m01_ITO起點,SMALL(IF(m01_產出索引*(m01_全ITO索引&gt;26)*(m01_全ITO索引&lt;85),m01_全ITO索引,227),ROW(72:72)),)</f>
        <v>#N/A</v>
      </c>
      <c r="Q98" s="184" t="e">
        <f t="array" aca="1" ref="Q98" ca="1">OFFSET(m01_ITO起點,SMALL(IF(m01_更新索引*(m01_全ITO索引&lt;27),m01_全ITO索引,227),ROW(72:72)),)</f>
        <v>#N/A</v>
      </c>
      <c r="R98" s="21" t="e">
        <f t="array" aca="1" ref="R98" ca="1">OFFSET(m01_ITO起點,SMALL(IF(m01_更新索引*(m01_全ITO索引&gt;26)*(m01_全ITO索引&lt;85),m01_全ITO索引,227),ROW(72:72)),)</f>
        <v>#N/A</v>
      </c>
    </row>
    <row r="99" spans="5:18" x14ac:dyDescent="0.25">
      <c r="K99" s="184" t="e">
        <f t="array" aca="1" ref="K99" ca="1">_xlfn.IFNA(OFFSET(m01_ITO起點,SMALL(IF(m01_投入索引*(m01_全ITO索引&lt;27),m01_全ITO索引,227),ROW(73:73)),),"")</f>
        <v>#N/A</v>
      </c>
      <c r="L99" s="21" t="e">
        <f t="array" aca="1" ref="L99" ca="1">OFFSET(m01_ITO起點,SMALL(IF(m01_投入索引*(m01_全ITO索引&gt;26)*(m01_全ITO索引&lt;85),m01_全ITO索引,227),ROW(73:73)),)</f>
        <v>#N/A</v>
      </c>
      <c r="M99" s="184" t="e">
        <f t="array" aca="1" ref="M99" ca="1">OFFSET(m01_ITO起點,SMALL(IF(m01_投入索引*(m01_全ITO索引&gt;84)*(m01_全ITO索引&lt;150),m01_全ITO索引,227),ROW(73:73)),)</f>
        <v>#N/A</v>
      </c>
      <c r="N99" s="21" t="str">
        <f t="array" aca="1" ref="N99" ca="1">OFFSET(m01_ITO起點,SMALL(IF(m01_投入索引*(m01_全ITO索引&gt;149)*(m01_全ITO索引&lt;226),m01_全ITO索引,227),ROW(73:73)),)</f>
        <v>領導</v>
      </c>
      <c r="O99" s="184" t="e">
        <f t="array" aca="1" ref="O99" ca="1">OFFSET(m01_ITO起點,SMALL(IF(m01_產出索引*(m01_全ITO索引&lt;27),m01_全ITO索引,227),ROW(73:73)),)</f>
        <v>#N/A</v>
      </c>
      <c r="P99" s="21" t="e">
        <f t="array" aca="1" ref="P99" ca="1">OFFSET(m01_ITO起點,SMALL(IF(m01_產出索引*(m01_全ITO索引&gt;26)*(m01_全ITO索引&lt;85),m01_全ITO索引,227),ROW(73:73)),)</f>
        <v>#N/A</v>
      </c>
      <c r="Q99" s="184" t="e">
        <f t="array" aca="1" ref="Q99" ca="1">OFFSET(m01_ITO起點,SMALL(IF(m01_更新索引*(m01_全ITO索引&lt;27),m01_全ITO索引,227),ROW(73:73)),)</f>
        <v>#N/A</v>
      </c>
      <c r="R99" s="21" t="e">
        <f t="array" aca="1" ref="R99" ca="1">OFFSET(m01_ITO起點,SMALL(IF(m01_更新索引*(m01_全ITO索引&gt;26)*(m01_全ITO索引&lt;85),m01_全ITO索引,227),ROW(73:73)),)</f>
        <v>#N/A</v>
      </c>
    </row>
    <row r="100" spans="5:18" x14ac:dyDescent="0.25">
      <c r="K100" s="184" t="e">
        <f t="array" aca="1" ref="K100" ca="1">_xlfn.IFNA(OFFSET(m01_ITO起點,SMALL(IF(m01_投入索引*(m01_全ITO索引&lt;27),m01_全ITO索引,227),ROW(74:74)),),"")</f>
        <v>#N/A</v>
      </c>
      <c r="L100" s="21" t="e">
        <f t="array" aca="1" ref="L100" ca="1">OFFSET(m01_ITO起點,SMALL(IF(m01_投入索引*(m01_全ITO索引&gt;26)*(m01_全ITO索引&lt;85),m01_全ITO索引,227),ROW(74:74)),)</f>
        <v>#N/A</v>
      </c>
      <c r="M100" s="184" t="e">
        <f t="array" aca="1" ref="M100" ca="1">OFFSET(m01_ITO起點,SMALL(IF(m01_投入索引*(m01_全ITO索引&gt;84)*(m01_全ITO索引&lt;150),m01_全ITO索引,227),ROW(74:74)),)</f>
        <v>#N/A</v>
      </c>
      <c r="N100" s="21" t="str">
        <f t="array" aca="1" ref="N100" ca="1">OFFSET(m01_ITO起點,SMALL(IF(m01_投入索引*(m01_全ITO索引&gt;149)*(m01_全ITO索引&lt;226),m01_全ITO索引,227),ROW(74:74)),)</f>
        <v>動機</v>
      </c>
      <c r="O100" s="184" t="e">
        <f t="array" aca="1" ref="O100" ca="1">OFFSET(m01_ITO起點,SMALL(IF(m01_產出索引*(m01_全ITO索引&lt;27),m01_全ITO索引,227),ROW(74:74)),)</f>
        <v>#N/A</v>
      </c>
      <c r="P100" s="21" t="e">
        <f t="array" aca="1" ref="P100" ca="1">OFFSET(m01_ITO起點,SMALL(IF(m01_產出索引*(m01_全ITO索引&gt;26)*(m01_全ITO索引&lt;85),m01_全ITO索引,227),ROW(74:74)),)</f>
        <v>#N/A</v>
      </c>
      <c r="Q100" s="184" t="e">
        <f t="array" aca="1" ref="Q100" ca="1">OFFSET(m01_ITO起點,SMALL(IF(m01_更新索引*(m01_全ITO索引&lt;27),m01_全ITO索引,227),ROW(74:74)),)</f>
        <v>#N/A</v>
      </c>
      <c r="R100" s="21" t="e">
        <f t="array" aca="1" ref="R100" ca="1">OFFSET(m01_ITO起點,SMALL(IF(m01_更新索引*(m01_全ITO索引&gt;26)*(m01_全ITO索引&lt;85),m01_全ITO索引,227),ROW(74:74)),)</f>
        <v>#N/A</v>
      </c>
    </row>
    <row r="101" spans="5:18" x14ac:dyDescent="0.25">
      <c r="K101" s="184" t="e">
        <f t="array" aca="1" ref="K101" ca="1">_xlfn.IFNA(OFFSET(m01_ITO起點,SMALL(IF(m01_投入索引*(m01_全ITO索引&lt;27),m01_全ITO索引,227),ROW(75:75)),),"")</f>
        <v>#N/A</v>
      </c>
      <c r="L101" s="21" t="e">
        <f t="array" aca="1" ref="L101" ca="1">OFFSET(m01_ITO起點,SMALL(IF(m01_投入索引*(m01_全ITO索引&gt;26)*(m01_全ITO索引&lt;85),m01_全ITO索引,227),ROW(75:75)),)</f>
        <v>#N/A</v>
      </c>
      <c r="M101" s="184" t="e">
        <f t="array" aca="1" ref="M101" ca="1">OFFSET(m01_ITO起點,SMALL(IF(m01_投入索引*(m01_全ITO索引&gt;84)*(m01_全ITO索引&lt;150),m01_全ITO索引,227),ROW(75:75)),)</f>
        <v>#N/A</v>
      </c>
      <c r="N101" s="21" t="str">
        <f t="array" aca="1" ref="N101" ca="1">OFFSET(m01_ITO起點,SMALL(IF(m01_投入索引*(m01_全ITO索引&gt;149)*(m01_全ITO索引&lt;226),m01_全ITO索引,227),ROW(75:75)),)</f>
        <v>協商</v>
      </c>
      <c r="O101" s="184" t="e">
        <f t="array" aca="1" ref="O101" ca="1">OFFSET(m01_ITO起點,SMALL(IF(m01_產出索引*(m01_全ITO索引&lt;27),m01_全ITO索引,227),ROW(75:75)),)</f>
        <v>#N/A</v>
      </c>
      <c r="P101" s="21" t="e">
        <f t="array" aca="1" ref="P101" ca="1">OFFSET(m01_ITO起點,SMALL(IF(m01_產出索引*(m01_全ITO索引&gt;26)*(m01_全ITO索引&lt;85),m01_全ITO索引,227),ROW(75:75)),)</f>
        <v>#N/A</v>
      </c>
      <c r="Q101" s="184" t="e">
        <f t="array" aca="1" ref="Q101" ca="1">OFFSET(m01_ITO起點,SMALL(IF(m01_更新索引*(m01_全ITO索引&lt;27),m01_全ITO索引,227),ROW(75:75)),)</f>
        <v>#N/A</v>
      </c>
      <c r="R101" s="21" t="e">
        <f t="array" aca="1" ref="R101" ca="1">OFFSET(m01_ITO起點,SMALL(IF(m01_更新索引*(m01_全ITO索引&gt;26)*(m01_全ITO索引&lt;85),m01_全ITO索引,227),ROW(75:75)),)</f>
        <v>#N/A</v>
      </c>
    </row>
    <row r="102" spans="5:18" x14ac:dyDescent="0.25">
      <c r="K102" s="184" t="e">
        <f t="array" aca="1" ref="K102" ca="1">_xlfn.IFNA(OFFSET(m01_ITO起點,SMALL(IF(m01_投入索引*(m01_全ITO索引&lt;27),m01_全ITO索引,227),ROW(76:76)),),"")</f>
        <v>#N/A</v>
      </c>
      <c r="L102" s="21" t="e">
        <f t="array" aca="1" ref="L102" ca="1">OFFSET(m01_ITO起點,SMALL(IF(m01_投入索引*(m01_全ITO索引&gt;26)*(m01_全ITO索引&lt;85),m01_全ITO索引,227),ROW(76:76)),)</f>
        <v>#N/A</v>
      </c>
      <c r="M102" s="184" t="e">
        <f t="array" aca="1" ref="M102" ca="1">OFFSET(m01_ITO起點,SMALL(IF(m01_投入索引*(m01_全ITO索引&gt;84)*(m01_全ITO索引&lt;150),m01_全ITO索引,227),ROW(76:76)),)</f>
        <v>#N/A</v>
      </c>
      <c r="N102" s="21" t="str">
        <f t="array" aca="1" ref="N102" ca="1">OFFSET(m01_ITO起點,SMALL(IF(m01_投入索引*(m01_全ITO索引&gt;149)*(m01_全ITO索引&lt;226),m01_全ITO索引,227),ROW(76:76)),)</f>
        <v>人脈建立</v>
      </c>
      <c r="O102" s="184" t="e">
        <f t="array" aca="1" ref="O102" ca="1">OFFSET(m01_ITO起點,SMALL(IF(m01_產出索引*(m01_全ITO索引&lt;27),m01_全ITO索引,227),ROW(76:76)),)</f>
        <v>#N/A</v>
      </c>
      <c r="P102" s="21" t="e">
        <f t="array" aca="1" ref="P102" ca="1">OFFSET(m01_ITO起點,SMALL(IF(m01_產出索引*(m01_全ITO索引&gt;26)*(m01_全ITO索引&lt;85),m01_全ITO索引,227),ROW(76:76)),)</f>
        <v>#N/A</v>
      </c>
      <c r="Q102" s="184" t="e">
        <f t="array" aca="1" ref="Q102" ca="1">OFFSET(m01_ITO起點,SMALL(IF(m01_更新索引*(m01_全ITO索引&lt;27),m01_全ITO索引,227),ROW(76:76)),)</f>
        <v>#N/A</v>
      </c>
      <c r="R102" s="21" t="e">
        <f t="array" aca="1" ref="R102" ca="1">OFFSET(m01_ITO起點,SMALL(IF(m01_更新索引*(m01_全ITO索引&gt;26)*(m01_全ITO索引&lt;85),m01_全ITO索引,227),ROW(76:76)),)</f>
        <v>#N/A</v>
      </c>
    </row>
  </sheetData>
  <mergeCells count="16">
    <mergeCell ref="B26:C26"/>
    <mergeCell ref="C24:U24"/>
    <mergeCell ref="C20:U20"/>
    <mergeCell ref="C5:U5"/>
    <mergeCell ref="C6:U6"/>
    <mergeCell ref="C7:U7"/>
    <mergeCell ref="C14:U14"/>
    <mergeCell ref="C15:U15"/>
    <mergeCell ref="C16:U16"/>
    <mergeCell ref="K26:L26"/>
    <mergeCell ref="M26:N26"/>
    <mergeCell ref="O26:P26"/>
    <mergeCell ref="Q26:R26"/>
    <mergeCell ref="D26:E26"/>
    <mergeCell ref="F26:G26"/>
    <mergeCell ref="H26:I26"/>
  </mergeCells>
  <phoneticPr fontId="3" type="noConversion"/>
  <dataValidations count="1">
    <dataValidation type="list" allowBlank="1" showInputMessage="1" sqref="B9">
      <formula1>i01_清單投入與產出元件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D85"/>
  <sheetViews>
    <sheetView tabSelected="1"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Q5" sqref="Q5"/>
    </sheetView>
  </sheetViews>
  <sheetFormatPr defaultRowHeight="16.5" x14ac:dyDescent="0.25"/>
  <cols>
    <col min="1" max="8" width="14.625" customWidth="1"/>
    <col min="9" max="9" width="4.625" style="38" customWidth="1"/>
    <col min="10" max="30" width="4.625" customWidth="1"/>
  </cols>
  <sheetData>
    <row r="1" spans="1:30" x14ac:dyDescent="0.25">
      <c r="B1" s="60" t="s">
        <v>1670</v>
      </c>
      <c r="C1" s="92" t="s">
        <v>1671</v>
      </c>
      <c r="D1" s="92"/>
      <c r="I1" s="53"/>
    </row>
    <row r="2" spans="1:30" ht="18.75" customHeight="1" x14ac:dyDescent="0.25">
      <c r="A2" t="s">
        <v>1672</v>
      </c>
      <c r="B2" s="139"/>
      <c r="C2" s="139"/>
      <c r="D2" s="140">
        <f>IFERROR(COUNTIF(IF(s01_查找1&lt;&gt;"",i01_投入與產出元件選單,i01_清單投入與產出元件),"&lt;&gt;"),0)</f>
        <v>59</v>
      </c>
      <c r="F2" s="92"/>
      <c r="G2" s="92"/>
      <c r="I2" s="53"/>
      <c r="M2" s="92"/>
      <c r="N2" s="92"/>
      <c r="O2" s="92"/>
      <c r="P2" s="92"/>
      <c r="Q2" s="92"/>
      <c r="R2" s="92"/>
      <c r="S2" s="92"/>
      <c r="T2" s="92"/>
      <c r="U2" s="92"/>
    </row>
    <row r="3" spans="1:30" x14ac:dyDescent="0.25">
      <c r="A3" s="59"/>
      <c r="B3" s="96"/>
      <c r="C3" s="97"/>
      <c r="D3" s="97"/>
      <c r="E3" s="97"/>
      <c r="F3" s="97"/>
      <c r="G3" s="97"/>
      <c r="I3" s="53"/>
      <c r="J3" s="97"/>
      <c r="K3" s="97"/>
      <c r="L3" s="189"/>
      <c r="M3" s="97"/>
      <c r="N3" s="97"/>
      <c r="O3" s="97"/>
      <c r="P3" s="97"/>
      <c r="Q3" s="97"/>
      <c r="R3" s="97"/>
      <c r="S3" s="97"/>
      <c r="T3" s="97"/>
      <c r="U3" s="97"/>
    </row>
    <row r="4" spans="1:30" x14ac:dyDescent="0.25">
      <c r="A4" t="s">
        <v>1673</v>
      </c>
      <c r="B4" s="139"/>
      <c r="C4" s="190"/>
      <c r="D4" s="140">
        <f>IFERROR(COUNTIF(IF(s01_工具1&lt;&gt;"",i01_工具與技術元件選單,i01_清單工具與技術元件),"&lt;&gt;"),0)</f>
        <v>76</v>
      </c>
      <c r="E4" s="92"/>
      <c r="F4" s="92"/>
      <c r="I4" s="53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</row>
    <row r="5" spans="1:30" ht="17.45" customHeight="1" x14ac:dyDescent="0.25">
      <c r="F5" s="119"/>
      <c r="I5" s="53"/>
      <c r="J5" s="26"/>
      <c r="K5" s="26"/>
      <c r="L5" s="26"/>
    </row>
    <row r="6" spans="1:30" ht="17.25" customHeight="1" x14ac:dyDescent="0.25">
      <c r="A6" s="118" t="s">
        <v>1901</v>
      </c>
      <c r="B6" s="118" t="s">
        <v>1682</v>
      </c>
      <c r="C6" s="118" t="s">
        <v>1902</v>
      </c>
      <c r="I6" s="53"/>
      <c r="J6" s="26"/>
    </row>
    <row r="7" spans="1:30" ht="18.75" customHeight="1" x14ac:dyDescent="0.25">
      <c r="A7" s="139"/>
      <c r="B7" s="139"/>
      <c r="C7" s="135"/>
      <c r="D7" s="140">
        <f ca="1">COUNTIF(s01_程序清單,"&lt;&gt;")</f>
        <v>49</v>
      </c>
      <c r="I7" s="53"/>
      <c r="J7" s="26"/>
    </row>
    <row r="8" spans="1:30" x14ac:dyDescent="0.25">
      <c r="A8" s="134"/>
      <c r="B8" s="134"/>
      <c r="C8" s="78"/>
      <c r="D8" s="127"/>
      <c r="E8" s="127"/>
      <c r="F8" s="127"/>
      <c r="G8" s="127"/>
      <c r="H8" s="127"/>
      <c r="I8" s="53"/>
      <c r="J8" s="26"/>
    </row>
    <row r="9" spans="1:30" x14ac:dyDescent="0.25">
      <c r="A9" s="196" t="s">
        <v>172</v>
      </c>
      <c r="B9" s="197" t="s">
        <v>1700</v>
      </c>
      <c r="C9" s="198" t="s">
        <v>727</v>
      </c>
      <c r="D9" s="198" t="s">
        <v>1701</v>
      </c>
      <c r="E9" s="198" t="s">
        <v>173</v>
      </c>
      <c r="F9" s="198" t="s">
        <v>1702</v>
      </c>
      <c r="G9" s="198" t="s">
        <v>1703</v>
      </c>
      <c r="H9" s="198" t="s">
        <v>1704</v>
      </c>
      <c r="I9" s="53"/>
      <c r="J9" s="185"/>
      <c r="K9" s="203" t="s">
        <v>2</v>
      </c>
      <c r="L9" s="203"/>
      <c r="M9" s="203"/>
      <c r="N9" s="203"/>
      <c r="O9" s="203" t="s">
        <v>3</v>
      </c>
      <c r="P9" s="203"/>
      <c r="Q9" s="203"/>
      <c r="R9" s="203"/>
      <c r="S9" s="203" t="s">
        <v>4</v>
      </c>
      <c r="T9" s="203"/>
      <c r="U9" s="203"/>
      <c r="V9" s="203"/>
      <c r="W9" s="203" t="s">
        <v>296</v>
      </c>
      <c r="X9" s="203"/>
      <c r="Y9" s="203"/>
      <c r="Z9" s="203"/>
      <c r="AA9" s="203" t="s">
        <v>6</v>
      </c>
      <c r="AB9" s="203"/>
      <c r="AC9" s="203"/>
      <c r="AD9" s="203"/>
    </row>
    <row r="10" spans="1:30" ht="17.25" thickBot="1" x14ac:dyDescent="0.3">
      <c r="A10" s="164" t="str">
        <f t="array" aca="1" ref="A10:H85" ca="1">_xlfn.IFNA(IF(C7="",s01_查詢矩陣資料2,s01_查詢矩陣資料1),"")</f>
        <v>專案管理計畫書</v>
      </c>
      <c r="B10" s="21" t="str">
        <f ca="1"/>
        <v>範疇管理計畫書</v>
      </c>
      <c r="C10" s="164" t="str">
        <f ca="1"/>
        <v>資料蒐集工具</v>
      </c>
      <c r="D10" s="21" t="str">
        <f ca="1"/>
        <v>焦點團體</v>
      </c>
      <c r="E10" s="164" t="str">
        <f ca="1"/>
        <v>專案管理計畫書</v>
      </c>
      <c r="F10" s="21" t="str">
        <f ca="1"/>
        <v>範疇管理計畫書</v>
      </c>
      <c r="G10" s="164" t="str">
        <f ca="1"/>
        <v>專案管理計畫書</v>
      </c>
      <c r="H10" s="21" t="str">
        <f ca="1"/>
        <v>範疇管理計畫書</v>
      </c>
      <c r="I10" s="53"/>
      <c r="J10" s="204" t="s">
        <v>274</v>
      </c>
      <c r="K10" s="205" t="s">
        <v>67</v>
      </c>
      <c r="L10" s="206"/>
      <c r="M10" s="206"/>
      <c r="N10" s="207"/>
      <c r="O10" s="205" t="s">
        <v>920</v>
      </c>
      <c r="P10" s="206"/>
      <c r="Q10" s="206"/>
      <c r="R10" s="207"/>
      <c r="S10" s="200" t="s">
        <v>89</v>
      </c>
      <c r="T10" s="200"/>
      <c r="U10" s="200"/>
      <c r="V10" s="200"/>
      <c r="W10" s="200" t="s">
        <v>98</v>
      </c>
      <c r="X10" s="200"/>
      <c r="Y10" s="200"/>
      <c r="Z10" s="200"/>
      <c r="AA10" s="200" t="s">
        <v>108</v>
      </c>
      <c r="AB10" s="200"/>
      <c r="AC10" s="200"/>
      <c r="AD10" s="200"/>
    </row>
    <row r="11" spans="1:30" ht="17.25" thickTop="1" x14ac:dyDescent="0.25">
      <c r="A11" s="164" t="str">
        <f ca="1"/>
        <v>專案文件</v>
      </c>
      <c r="B11" s="21" t="str">
        <f ca="1"/>
        <v>需求管理計畫書</v>
      </c>
      <c r="C11" s="164" t="str">
        <f ca="1"/>
        <v>資料分析工具</v>
      </c>
      <c r="D11" s="21" t="str">
        <f ca="1"/>
        <v>腦力激盪</v>
      </c>
      <c r="E11" s="164" t="str">
        <f ca="1"/>
        <v>專案文件</v>
      </c>
      <c r="F11" s="21" t="str">
        <f ca="1"/>
        <v>需求管理計畫書</v>
      </c>
      <c r="G11" s="164" t="str">
        <f ca="1"/>
        <v>專案文件</v>
      </c>
      <c r="H11" s="21" t="str">
        <f ca="1"/>
        <v>需求管理計畫書</v>
      </c>
      <c r="I11" s="53"/>
      <c r="J11" s="204"/>
      <c r="K11" s="187" t="s">
        <v>172</v>
      </c>
      <c r="L11" s="187" t="s">
        <v>727</v>
      </c>
      <c r="M11" s="187" t="s">
        <v>173</v>
      </c>
      <c r="N11" s="187" t="s">
        <v>715</v>
      </c>
      <c r="O11" s="187" t="s">
        <v>172</v>
      </c>
      <c r="P11" s="187" t="s">
        <v>727</v>
      </c>
      <c r="Q11" s="187" t="s">
        <v>173</v>
      </c>
      <c r="R11" s="187" t="s">
        <v>715</v>
      </c>
      <c r="S11" s="187" t="s">
        <v>172</v>
      </c>
      <c r="T11" s="187" t="s">
        <v>727</v>
      </c>
      <c r="U11" s="187" t="s">
        <v>173</v>
      </c>
      <c r="V11" s="187" t="s">
        <v>715</v>
      </c>
      <c r="W11" s="187" t="s">
        <v>172</v>
      </c>
      <c r="X11" s="187" t="s">
        <v>727</v>
      </c>
      <c r="Y11" s="187" t="s">
        <v>173</v>
      </c>
      <c r="Z11" s="187" t="s">
        <v>715</v>
      </c>
      <c r="AA11" s="187" t="s">
        <v>172</v>
      </c>
      <c r="AB11" s="187" t="s">
        <v>727</v>
      </c>
      <c r="AC11" s="187" t="s">
        <v>173</v>
      </c>
      <c r="AD11" s="187" t="s">
        <v>715</v>
      </c>
    </row>
    <row r="12" spans="1:30" ht="17.25" thickBot="1" x14ac:dyDescent="0.3">
      <c r="A12" s="164" t="str">
        <f ca="1"/>
        <v>商業文件</v>
      </c>
      <c r="B12" s="21" t="str">
        <f ca="1"/>
        <v>時程管理計畫書</v>
      </c>
      <c r="C12" s="164" t="str">
        <f ca="1"/>
        <v>資料呈現工具</v>
      </c>
      <c r="D12" s="21" t="str">
        <f ca="1"/>
        <v>訪談</v>
      </c>
      <c r="E12" s="164" t="str">
        <f ca="1"/>
        <v>採購相關文件</v>
      </c>
      <c r="F12" s="21" t="str">
        <f ca="1"/>
        <v>時程管理計畫書</v>
      </c>
      <c r="G12" s="164" t="str">
        <f ca="1"/>
        <v>採購相關文件</v>
      </c>
      <c r="H12" s="21" t="str">
        <f ca="1"/>
        <v>時程管理計畫書</v>
      </c>
      <c r="I12" s="53"/>
      <c r="J12" s="204"/>
      <c r="K12" s="201"/>
      <c r="L12" s="201"/>
      <c r="M12" s="201"/>
      <c r="N12" s="201"/>
      <c r="O12" s="201"/>
      <c r="P12" s="201"/>
      <c r="Q12" s="201"/>
      <c r="R12" s="201"/>
      <c r="S12" s="200" t="s">
        <v>90</v>
      </c>
      <c r="T12" s="200"/>
      <c r="U12" s="200"/>
      <c r="V12" s="200"/>
      <c r="W12" s="200" t="s">
        <v>99</v>
      </c>
      <c r="X12" s="200"/>
      <c r="Y12" s="200"/>
      <c r="Z12" s="200"/>
      <c r="AA12" s="201"/>
      <c r="AB12" s="201"/>
      <c r="AC12" s="201"/>
      <c r="AD12" s="201"/>
    </row>
    <row r="13" spans="1:30" ht="17.25" thickTop="1" x14ac:dyDescent="0.25">
      <c r="A13" s="164" t="str">
        <f ca="1"/>
        <v>採購相關文件</v>
      </c>
      <c r="B13" s="21" t="str">
        <f ca="1"/>
        <v>成本管理計畫書</v>
      </c>
      <c r="C13" s="164" t="str">
        <f ca="1"/>
        <v>決策制定工具</v>
      </c>
      <c r="D13" s="21" t="str">
        <f ca="1"/>
        <v>問卷調查</v>
      </c>
      <c r="E13" s="164" t="str">
        <f ca="1"/>
        <v>專案章程</v>
      </c>
      <c r="F13" s="21" t="str">
        <f ca="1"/>
        <v>成本管理計畫書</v>
      </c>
      <c r="G13" s="164" t="str">
        <f ca="1"/>
        <v>最終產品、服務或成果轉移</v>
      </c>
      <c r="H13" s="21" t="str">
        <f ca="1"/>
        <v>成本管理計畫書</v>
      </c>
      <c r="I13" s="53"/>
      <c r="J13" s="204"/>
      <c r="K13" s="202"/>
      <c r="L13" s="202"/>
      <c r="M13" s="202"/>
      <c r="N13" s="202"/>
      <c r="O13" s="202"/>
      <c r="P13" s="202"/>
      <c r="Q13" s="202"/>
      <c r="R13" s="202"/>
      <c r="S13" s="187" t="s">
        <v>172</v>
      </c>
      <c r="T13" s="187" t="s">
        <v>727</v>
      </c>
      <c r="U13" s="187" t="s">
        <v>173</v>
      </c>
      <c r="V13" s="187" t="s">
        <v>715</v>
      </c>
      <c r="W13" s="187" t="s">
        <v>172</v>
      </c>
      <c r="X13" s="187" t="s">
        <v>727</v>
      </c>
      <c r="Y13" s="187" t="s">
        <v>173</v>
      </c>
      <c r="Z13" s="187" t="s">
        <v>715</v>
      </c>
      <c r="AA13" s="202"/>
      <c r="AB13" s="202"/>
      <c r="AC13" s="202"/>
      <c r="AD13" s="202"/>
    </row>
    <row r="14" spans="1:30" ht="17.25" thickBot="1" x14ac:dyDescent="0.3">
      <c r="A14" s="164" t="str">
        <f ca="1"/>
        <v>專案章程</v>
      </c>
      <c r="B14" s="21" t="str">
        <f ca="1"/>
        <v>品質管理計畫書</v>
      </c>
      <c r="C14" s="164" t="str">
        <f ca="1"/>
        <v>溝通技巧工具</v>
      </c>
      <c r="D14" s="21" t="str">
        <f ca="1"/>
        <v>標竿比對</v>
      </c>
      <c r="E14" s="164" t="str">
        <f ca="1"/>
        <v>變更申請</v>
      </c>
      <c r="F14" s="21" t="str">
        <f ca="1"/>
        <v>品質管理計畫書</v>
      </c>
      <c r="G14" s="164" t="str">
        <f ca="1"/>
        <v>最終報告</v>
      </c>
      <c r="H14" s="21" t="str">
        <f ca="1"/>
        <v>品質管理計畫書</v>
      </c>
      <c r="I14" s="53"/>
      <c r="J14" s="204" t="s">
        <v>283</v>
      </c>
      <c r="K14" s="201"/>
      <c r="L14" s="201"/>
      <c r="M14" s="201"/>
      <c r="N14" s="201"/>
      <c r="O14" s="200" t="s">
        <v>68</v>
      </c>
      <c r="P14" s="200"/>
      <c r="Q14" s="200"/>
      <c r="R14" s="200"/>
      <c r="S14" s="201"/>
      <c r="T14" s="201"/>
      <c r="U14" s="201"/>
      <c r="V14" s="201"/>
      <c r="W14" s="200" t="s">
        <v>100</v>
      </c>
      <c r="X14" s="200"/>
      <c r="Y14" s="200"/>
      <c r="Z14" s="200"/>
      <c r="AA14" s="201"/>
      <c r="AB14" s="201"/>
      <c r="AC14" s="201"/>
      <c r="AD14" s="201"/>
    </row>
    <row r="15" spans="1:30" ht="17.25" thickTop="1" x14ac:dyDescent="0.25">
      <c r="A15" s="164" t="str">
        <f ca="1"/>
        <v>變更申請</v>
      </c>
      <c r="B15" s="21" t="str">
        <f ca="1"/>
        <v>資源管理計畫書</v>
      </c>
      <c r="C15" s="164" t="str">
        <f ca="1"/>
        <v>人際關係與團隊技巧</v>
      </c>
      <c r="D15" s="21" t="str">
        <f ca="1"/>
        <v>檢核單</v>
      </c>
      <c r="E15" s="164" t="str">
        <f ca="1"/>
        <v>獲准的變更申請</v>
      </c>
      <c r="F15" s="21" t="str">
        <f ca="1"/>
        <v>資源管理計畫書</v>
      </c>
      <c r="G15" s="164" t="str">
        <f ca="1"/>
        <v>企業環境因素</v>
      </c>
      <c r="H15" s="21" t="str">
        <f ca="1"/>
        <v>資源管理計畫書</v>
      </c>
      <c r="I15" s="53"/>
      <c r="J15" s="204"/>
      <c r="K15" s="202"/>
      <c r="L15" s="202"/>
      <c r="M15" s="202"/>
      <c r="N15" s="202"/>
      <c r="O15" s="187" t="s">
        <v>172</v>
      </c>
      <c r="P15" s="187" t="s">
        <v>727</v>
      </c>
      <c r="Q15" s="187" t="s">
        <v>173</v>
      </c>
      <c r="R15" s="187" t="s">
        <v>715</v>
      </c>
      <c r="S15" s="202"/>
      <c r="T15" s="202"/>
      <c r="U15" s="202"/>
      <c r="V15" s="202"/>
      <c r="W15" s="187" t="s">
        <v>172</v>
      </c>
      <c r="X15" s="187" t="s">
        <v>727</v>
      </c>
      <c r="Y15" s="187" t="s">
        <v>173</v>
      </c>
      <c r="Z15" s="187" t="s">
        <v>715</v>
      </c>
      <c r="AA15" s="202"/>
      <c r="AB15" s="202"/>
      <c r="AC15" s="202"/>
      <c r="AD15" s="202"/>
    </row>
    <row r="16" spans="1:30" ht="17.25" thickBot="1" x14ac:dyDescent="0.3">
      <c r="A16" s="164" t="str">
        <f ca="1"/>
        <v>獲准的變更申請</v>
      </c>
      <c r="B16" s="21" t="str">
        <f ca="1"/>
        <v>溝通管理計畫書</v>
      </c>
      <c r="C16" s="164" t="str">
        <f ca="1"/>
        <v>資訊管理</v>
      </c>
      <c r="D16" s="21" t="str">
        <f ca="1"/>
        <v>檢核表</v>
      </c>
      <c r="E16" s="164" t="str">
        <f ca="1"/>
        <v>可交付成果</v>
      </c>
      <c r="F16" s="21" t="str">
        <f ca="1"/>
        <v>溝通管理計畫書</v>
      </c>
      <c r="G16" s="164" t="str">
        <f ca="1"/>
        <v>組織過程資產</v>
      </c>
      <c r="H16" s="21" t="str">
        <f ca="1"/>
        <v>溝通管理計畫書</v>
      </c>
      <c r="I16" s="53"/>
      <c r="J16" s="204"/>
      <c r="K16" s="201"/>
      <c r="L16" s="201"/>
      <c r="M16" s="201"/>
      <c r="N16" s="201"/>
      <c r="O16" s="208" t="s">
        <v>177</v>
      </c>
      <c r="P16" s="200"/>
      <c r="Q16" s="200"/>
      <c r="R16" s="200"/>
      <c r="S16" s="201"/>
      <c r="T16" s="201"/>
      <c r="U16" s="201"/>
      <c r="V16" s="201"/>
      <c r="W16" s="200" t="s">
        <v>101</v>
      </c>
      <c r="X16" s="200"/>
      <c r="Y16" s="200"/>
      <c r="Z16" s="200"/>
      <c r="AA16" s="201"/>
      <c r="AB16" s="201"/>
      <c r="AC16" s="201"/>
      <c r="AD16" s="201"/>
    </row>
    <row r="17" spans="1:30" ht="17.25" thickTop="1" x14ac:dyDescent="0.25">
      <c r="A17" s="164" t="str">
        <f ca="1"/>
        <v>可交付成果</v>
      </c>
      <c r="B17" s="21" t="str">
        <f ca="1"/>
        <v>風險管理計畫書</v>
      </c>
      <c r="C17" s="164" t="str">
        <f ca="1"/>
        <v>知識管理</v>
      </c>
      <c r="D17" s="21" t="str">
        <f ca="1"/>
        <v>統計抽樣</v>
      </c>
      <c r="E17" s="164" t="str">
        <f ca="1"/>
        <v>已驗證的可交付成果</v>
      </c>
      <c r="F17" s="21" t="str">
        <f ca="1"/>
        <v>風險管理計畫書</v>
      </c>
      <c r="G17" s="164" t="str">
        <f ca="1"/>
        <v/>
      </c>
      <c r="H17" s="21" t="str">
        <f ca="1"/>
        <v>風險管理計畫書</v>
      </c>
      <c r="I17" s="53"/>
      <c r="J17" s="204"/>
      <c r="K17" s="202"/>
      <c r="L17" s="202"/>
      <c r="M17" s="202"/>
      <c r="N17" s="202"/>
      <c r="O17" s="187" t="s">
        <v>172</v>
      </c>
      <c r="P17" s="187" t="s">
        <v>727</v>
      </c>
      <c r="Q17" s="187" t="s">
        <v>173</v>
      </c>
      <c r="R17" s="187" t="s">
        <v>715</v>
      </c>
      <c r="S17" s="202"/>
      <c r="T17" s="202"/>
      <c r="U17" s="202"/>
      <c r="V17" s="202"/>
      <c r="W17" s="187" t="s">
        <v>172</v>
      </c>
      <c r="X17" s="187" t="s">
        <v>727</v>
      </c>
      <c r="Y17" s="187" t="s">
        <v>173</v>
      </c>
      <c r="Z17" s="187" t="s">
        <v>715</v>
      </c>
      <c r="AA17" s="202"/>
      <c r="AB17" s="202"/>
      <c r="AC17" s="202"/>
      <c r="AD17" s="202"/>
    </row>
    <row r="18" spans="1:30" ht="17.25" thickBot="1" x14ac:dyDescent="0.3">
      <c r="A18" s="164" t="str">
        <f ca="1"/>
        <v>已驗證的可交付成果</v>
      </c>
      <c r="B18" s="21" t="str">
        <f ca="1"/>
        <v>採購管理計畫書</v>
      </c>
      <c r="C18" s="164" t="str">
        <f ca="1"/>
        <v>專家判斷</v>
      </c>
      <c r="D18" s="21" t="str">
        <f ca="1"/>
        <v>市場調查</v>
      </c>
      <c r="E18" s="164" t="str">
        <f ca="1"/>
        <v>已接受的可交付成果</v>
      </c>
      <c r="F18" s="21" t="str">
        <f ca="1"/>
        <v>採購管理計畫書</v>
      </c>
      <c r="G18" s="164" t="str">
        <f ca="1"/>
        <v/>
      </c>
      <c r="H18" s="21" t="str">
        <f ca="1"/>
        <v>採購管理計畫書</v>
      </c>
      <c r="I18" s="53"/>
      <c r="J18" s="204"/>
      <c r="K18" s="201"/>
      <c r="L18" s="201"/>
      <c r="M18" s="201"/>
      <c r="N18" s="201"/>
      <c r="O18" s="200" t="s">
        <v>69</v>
      </c>
      <c r="P18" s="200"/>
      <c r="Q18" s="200"/>
      <c r="R18" s="200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</row>
    <row r="19" spans="1:30" ht="17.25" thickTop="1" x14ac:dyDescent="0.25">
      <c r="A19" s="164" t="str">
        <f ca="1"/>
        <v>已接受的可交付成果</v>
      </c>
      <c r="B19" s="21" t="str">
        <f ca="1"/>
        <v>利害關係人參與計畫書</v>
      </c>
      <c r="C19" s="164" t="str">
        <f ca="1"/>
        <v>會議</v>
      </c>
      <c r="D19" s="21" t="str">
        <f ca="1"/>
        <v>備選方案分析</v>
      </c>
      <c r="E19" s="164" t="str">
        <f ca="1"/>
        <v>工作績效資料</v>
      </c>
      <c r="F19" s="21" t="str">
        <f ca="1"/>
        <v>利害關係人參與計畫書</v>
      </c>
      <c r="G19" s="164" t="str">
        <f ca="1"/>
        <v/>
      </c>
      <c r="H19" s="21" t="str">
        <f ca="1"/>
        <v>利害關係人參與計畫書</v>
      </c>
      <c r="I19" s="53"/>
      <c r="J19" s="204"/>
      <c r="K19" s="202"/>
      <c r="L19" s="202"/>
      <c r="M19" s="202"/>
      <c r="N19" s="202"/>
      <c r="O19" s="187" t="s">
        <v>172</v>
      </c>
      <c r="P19" s="187" t="s">
        <v>727</v>
      </c>
      <c r="Q19" s="187" t="s">
        <v>173</v>
      </c>
      <c r="R19" s="187" t="s">
        <v>715</v>
      </c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</row>
    <row r="20" spans="1:30" ht="17.25" thickBot="1" x14ac:dyDescent="0.3">
      <c r="A20" s="164" t="str">
        <f ca="1"/>
        <v>工作績效資料</v>
      </c>
      <c r="B20" s="21" t="str">
        <f ca="1"/>
        <v>變更管理計畫書</v>
      </c>
      <c r="C20" s="164" t="str">
        <f ca="1"/>
        <v>專案管理資訊系統</v>
      </c>
      <c r="D20" s="21" t="str">
        <f ca="1"/>
        <v>成本效益分析</v>
      </c>
      <c r="E20" s="164" t="str">
        <f ca="1"/>
        <v>工作績效資訊</v>
      </c>
      <c r="F20" s="21" t="str">
        <f ca="1"/>
        <v>範疇基準</v>
      </c>
      <c r="G20" s="164" t="str">
        <f ca="1"/>
        <v/>
      </c>
      <c r="H20" s="21" t="str">
        <f ca="1"/>
        <v>範疇基準</v>
      </c>
      <c r="I20" s="188"/>
      <c r="J20" s="204"/>
      <c r="K20" s="201"/>
      <c r="L20" s="201"/>
      <c r="M20" s="201"/>
      <c r="N20" s="201"/>
      <c r="O20" s="200" t="s">
        <v>70</v>
      </c>
      <c r="P20" s="200"/>
      <c r="Q20" s="200"/>
      <c r="R20" s="200"/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</row>
    <row r="21" spans="1:30" ht="17.25" thickTop="1" x14ac:dyDescent="0.25">
      <c r="A21" s="164" t="str">
        <f ca="1"/>
        <v>工作績效資訊</v>
      </c>
      <c r="B21" s="21" t="str">
        <f ca="1"/>
        <v>構型管理計畫書</v>
      </c>
      <c r="C21" s="164" t="str">
        <f ca="1"/>
        <v>變更管制工具</v>
      </c>
      <c r="D21" s="21" t="str">
        <f ca="1"/>
        <v>實獲值分析</v>
      </c>
      <c r="E21" s="164" t="str">
        <f ca="1"/>
        <v>工作績效報告</v>
      </c>
      <c r="F21" s="21" t="str">
        <f ca="1"/>
        <v>時程基準</v>
      </c>
      <c r="G21" s="164" t="str">
        <f ca="1"/>
        <v/>
      </c>
      <c r="H21" s="21" t="str">
        <f ca="1"/>
        <v>時程基準</v>
      </c>
      <c r="I21" s="53"/>
      <c r="J21" s="204"/>
      <c r="K21" s="202"/>
      <c r="L21" s="202"/>
      <c r="M21" s="202"/>
      <c r="N21" s="202"/>
      <c r="O21" s="187" t="s">
        <v>172</v>
      </c>
      <c r="P21" s="187" t="s">
        <v>727</v>
      </c>
      <c r="Q21" s="187" t="s">
        <v>173</v>
      </c>
      <c r="R21" s="187" t="s">
        <v>715</v>
      </c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</row>
    <row r="22" spans="1:30" ht="17.25" thickBot="1" x14ac:dyDescent="0.3">
      <c r="A22" s="164" t="str">
        <f ca="1"/>
        <v>工作績效報告</v>
      </c>
      <c r="B22" s="21" t="str">
        <f ca="1"/>
        <v>範疇基準</v>
      </c>
      <c r="C22" s="164" t="str">
        <f ca="1"/>
        <v>系統關聯圖</v>
      </c>
      <c r="D22" s="21" t="str">
        <f ca="1"/>
        <v>趨勢分析</v>
      </c>
      <c r="E22" s="164" t="str">
        <f ca="1"/>
        <v>專案資金需求</v>
      </c>
      <c r="F22" s="21" t="str">
        <f ca="1"/>
        <v>成本基準</v>
      </c>
      <c r="G22" s="164" t="str">
        <f ca="1"/>
        <v/>
      </c>
      <c r="H22" s="21" t="str">
        <f ca="1"/>
        <v>成本基準</v>
      </c>
      <c r="I22" s="53"/>
      <c r="J22" s="204" t="s">
        <v>284</v>
      </c>
      <c r="K22" s="201"/>
      <c r="L22" s="201"/>
      <c r="M22" s="201"/>
      <c r="N22" s="201"/>
      <c r="O22" s="200" t="s">
        <v>71</v>
      </c>
      <c r="P22" s="200"/>
      <c r="Q22" s="200"/>
      <c r="R22" s="200"/>
      <c r="S22" s="201"/>
      <c r="T22" s="201"/>
      <c r="U22" s="201"/>
      <c r="V22" s="201"/>
      <c r="W22" s="200" t="s">
        <v>102</v>
      </c>
      <c r="X22" s="200"/>
      <c r="Y22" s="200"/>
      <c r="Z22" s="200"/>
      <c r="AA22" s="201"/>
      <c r="AB22" s="201"/>
      <c r="AC22" s="201"/>
      <c r="AD22" s="201"/>
    </row>
    <row r="23" spans="1:30" ht="17.25" thickTop="1" x14ac:dyDescent="0.25">
      <c r="A23" s="164" t="str">
        <f ca="1"/>
        <v>企業環境因素</v>
      </c>
      <c r="B23" s="21" t="str">
        <f ca="1"/>
        <v>時程基準</v>
      </c>
      <c r="C23" s="164" t="str">
        <f ca="1"/>
        <v>雛形</v>
      </c>
      <c r="D23" s="21" t="str">
        <f ca="1"/>
        <v>變異分析</v>
      </c>
      <c r="E23" s="164" t="str">
        <f ca="1"/>
        <v>團隊績效評量</v>
      </c>
      <c r="F23" s="21" t="str">
        <f ca="1"/>
        <v>假設紀錄</v>
      </c>
      <c r="G23" s="164" t="str">
        <f ca="1"/>
        <v/>
      </c>
      <c r="H23" s="21" t="str">
        <f ca="1"/>
        <v>績效衡量基準</v>
      </c>
      <c r="I23" s="53"/>
      <c r="J23" s="204"/>
      <c r="K23" s="202"/>
      <c r="L23" s="202"/>
      <c r="M23" s="202"/>
      <c r="N23" s="202"/>
      <c r="O23" s="187" t="s">
        <v>172</v>
      </c>
      <c r="P23" s="187" t="s">
        <v>727</v>
      </c>
      <c r="Q23" s="187" t="s">
        <v>173</v>
      </c>
      <c r="R23" s="187" t="s">
        <v>715</v>
      </c>
      <c r="S23" s="202"/>
      <c r="T23" s="202"/>
      <c r="U23" s="202"/>
      <c r="V23" s="202"/>
      <c r="W23" s="187" t="s">
        <v>172</v>
      </c>
      <c r="X23" s="187" t="s">
        <v>727</v>
      </c>
      <c r="Y23" s="187" t="s">
        <v>173</v>
      </c>
      <c r="Z23" s="187" t="s">
        <v>715</v>
      </c>
      <c r="AA23" s="202"/>
      <c r="AB23" s="202"/>
      <c r="AC23" s="202"/>
      <c r="AD23" s="202"/>
    </row>
    <row r="24" spans="1:30" ht="17.25" thickBot="1" x14ac:dyDescent="0.3">
      <c r="A24" s="164" t="str">
        <f ca="1"/>
        <v>組織過程資產</v>
      </c>
      <c r="B24" s="21" t="str">
        <f ca="1"/>
        <v>成本基準</v>
      </c>
      <c r="C24" s="164" t="str">
        <f ca="1"/>
        <v>產品分析</v>
      </c>
      <c r="D24" s="21" t="str">
        <f ca="1"/>
        <v>迴歸分析</v>
      </c>
      <c r="E24" s="164" t="str">
        <f ca="1"/>
        <v>採購策略</v>
      </c>
      <c r="F24" s="21" t="str">
        <f ca="1"/>
        <v>議題紀錄</v>
      </c>
      <c r="G24" s="164" t="str">
        <f ca="1"/>
        <v/>
      </c>
      <c r="H24" s="21" t="str">
        <f ca="1"/>
        <v>所有組件</v>
      </c>
      <c r="I24" s="53"/>
      <c r="J24" s="204"/>
      <c r="K24" s="201"/>
      <c r="L24" s="201"/>
      <c r="M24" s="201"/>
      <c r="N24" s="201"/>
      <c r="O24" s="200" t="s">
        <v>72</v>
      </c>
      <c r="P24" s="200"/>
      <c r="Q24" s="200"/>
      <c r="R24" s="200"/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</row>
    <row r="25" spans="1:30" ht="17.25" thickTop="1" x14ac:dyDescent="0.25">
      <c r="A25" s="164" t="str">
        <f ca="1"/>
        <v>專案資金需求</v>
      </c>
      <c r="B25" s="21" t="str">
        <f ca="1"/>
        <v>績效衡量基準</v>
      </c>
      <c r="C25" s="164" t="str">
        <f ca="1"/>
        <v>分解</v>
      </c>
      <c r="D25" s="21" t="str">
        <f ca="1"/>
        <v>文件分析</v>
      </c>
      <c r="E25" s="164" t="str">
        <f ca="1"/>
        <v>自製或外購決策</v>
      </c>
      <c r="F25" s="21" t="str">
        <f ca="1"/>
        <v>經驗學習登錄表</v>
      </c>
      <c r="G25" s="164" t="str">
        <f ca="1"/>
        <v/>
      </c>
      <c r="H25" s="21" t="str">
        <f ca="1"/>
        <v>假設紀錄</v>
      </c>
      <c r="I25" s="53"/>
      <c r="J25" s="204"/>
      <c r="K25" s="202"/>
      <c r="L25" s="202"/>
      <c r="M25" s="202"/>
      <c r="N25" s="202"/>
      <c r="O25" s="187" t="s">
        <v>172</v>
      </c>
      <c r="P25" s="187" t="s">
        <v>727</v>
      </c>
      <c r="Q25" s="187" t="s">
        <v>173</v>
      </c>
      <c r="R25" s="187" t="s">
        <v>715</v>
      </c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</row>
    <row r="26" spans="1:30" ht="17.25" thickBot="1" x14ac:dyDescent="0.3">
      <c r="A26" s="164" t="str">
        <f ca="1"/>
        <v>團隊績效評量</v>
      </c>
      <c r="B26" s="21" t="str">
        <f ca="1"/>
        <v>專案生命週期描述</v>
      </c>
      <c r="C26" s="164" t="str">
        <f ca="1"/>
        <v>湧浪規劃法</v>
      </c>
      <c r="D26" s="21" t="str">
        <f ca="1"/>
        <v>儲備分析</v>
      </c>
      <c r="E26" s="164" t="str">
        <f ca="1"/>
        <v>選定的賣方</v>
      </c>
      <c r="F26" s="21" t="str">
        <f ca="1"/>
        <v>專案範疇說明書</v>
      </c>
      <c r="G26" s="164" t="str">
        <f ca="1"/>
        <v/>
      </c>
      <c r="H26" s="21" t="str">
        <f ca="1"/>
        <v>議題紀錄</v>
      </c>
      <c r="I26" s="53"/>
      <c r="J26" s="204"/>
      <c r="K26" s="201"/>
      <c r="L26" s="201"/>
      <c r="M26" s="201"/>
      <c r="N26" s="201"/>
      <c r="O26" s="200" t="s">
        <v>73</v>
      </c>
      <c r="P26" s="200"/>
      <c r="Q26" s="200"/>
      <c r="R26" s="200"/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</row>
    <row r="27" spans="1:30" ht="17.25" thickTop="1" x14ac:dyDescent="0.25">
      <c r="A27" s="164" t="str">
        <f ca="1"/>
        <v>賣方提案書</v>
      </c>
      <c r="B27" s="21" t="str">
        <f ca="1"/>
        <v>開發手法</v>
      </c>
      <c r="C27" s="164" t="str">
        <f ca="1"/>
        <v>相依關係判定與整合</v>
      </c>
      <c r="D27" s="21" t="str">
        <f ca="1"/>
        <v>模擬</v>
      </c>
      <c r="E27" s="164" t="str">
        <f ca="1"/>
        <v>協議</v>
      </c>
      <c r="F27" s="21" t="str">
        <f ca="1"/>
        <v>需求相關文件</v>
      </c>
      <c r="G27" s="164" t="str">
        <f ca="1"/>
        <v/>
      </c>
      <c r="H27" s="21" t="str">
        <f ca="1"/>
        <v>變更紀錄</v>
      </c>
      <c r="I27" s="53"/>
      <c r="J27" s="204"/>
      <c r="K27" s="202"/>
      <c r="L27" s="202"/>
      <c r="M27" s="202"/>
      <c r="N27" s="202"/>
      <c r="O27" s="187" t="s">
        <v>172</v>
      </c>
      <c r="P27" s="187" t="s">
        <v>727</v>
      </c>
      <c r="Q27" s="187" t="s">
        <v>173</v>
      </c>
      <c r="R27" s="187" t="s">
        <v>715</v>
      </c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</row>
    <row r="28" spans="1:30" ht="17.25" thickBot="1" x14ac:dyDescent="0.3">
      <c r="A28" s="164" t="str">
        <f ca="1"/>
        <v>協議</v>
      </c>
      <c r="B28" s="21" t="str">
        <f ca="1"/>
        <v>所有組件</v>
      </c>
      <c r="C28" s="164" t="str">
        <f ca="1"/>
        <v>順序圖示法</v>
      </c>
      <c r="D28" s="21" t="str">
        <f ca="1"/>
        <v>假設情境分析</v>
      </c>
      <c r="E28" s="164" t="str">
        <f ca="1"/>
        <v>結束的採購</v>
      </c>
      <c r="F28" s="21" t="str">
        <f ca="1"/>
        <v>需求追溯矩陣</v>
      </c>
      <c r="G28" s="164" t="str">
        <f ca="1"/>
        <v/>
      </c>
      <c r="H28" s="21" t="str">
        <f ca="1"/>
        <v>經驗學習登錄表</v>
      </c>
      <c r="I28" s="53"/>
      <c r="J28" s="204"/>
      <c r="K28" s="201"/>
      <c r="L28" s="201"/>
      <c r="M28" s="201"/>
      <c r="N28" s="201"/>
      <c r="O28" s="200" t="s">
        <v>74</v>
      </c>
      <c r="P28" s="200"/>
      <c r="Q28" s="200"/>
      <c r="R28" s="200"/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</row>
    <row r="29" spans="1:30" ht="17.25" thickTop="1" x14ac:dyDescent="0.25">
      <c r="A29" s="164" t="str">
        <f ca="1"/>
        <v>其他過程的產出</v>
      </c>
      <c r="B29" s="21" t="str">
        <f ca="1"/>
        <v>假設紀錄</v>
      </c>
      <c r="C29" s="164" t="str">
        <f ca="1"/>
        <v>提前與延後</v>
      </c>
      <c r="D29" s="21" t="str">
        <f ca="1"/>
        <v>績效審查</v>
      </c>
      <c r="E29" s="164" t="str">
        <f ca="1"/>
        <v/>
      </c>
      <c r="F29" s="21" t="str">
        <f ca="1"/>
        <v>活動屬性</v>
      </c>
      <c r="G29" s="164" t="str">
        <f ca="1"/>
        <v/>
      </c>
      <c r="H29" s="21" t="str">
        <f ca="1"/>
        <v>需求相關文件</v>
      </c>
      <c r="I29" s="53"/>
      <c r="J29" s="204"/>
      <c r="K29" s="202"/>
      <c r="L29" s="202"/>
      <c r="M29" s="202"/>
      <c r="N29" s="202"/>
      <c r="O29" s="187" t="s">
        <v>172</v>
      </c>
      <c r="P29" s="187" t="s">
        <v>727</v>
      </c>
      <c r="Q29" s="187" t="s">
        <v>173</v>
      </c>
      <c r="R29" s="187" t="s">
        <v>715</v>
      </c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</row>
    <row r="30" spans="1:30" ht="17.25" thickBot="1" x14ac:dyDescent="0.3">
      <c r="A30" s="164" t="str">
        <f ca="1"/>
        <v/>
      </c>
      <c r="B30" s="21" t="str">
        <f ca="1"/>
        <v>議題紀錄</v>
      </c>
      <c r="C30" s="164" t="str">
        <f ca="1"/>
        <v>類比估算法</v>
      </c>
      <c r="D30" s="21" t="str">
        <f ca="1"/>
        <v>迭代燃盡圖</v>
      </c>
      <c r="E30" s="164" t="str">
        <f ca="1"/>
        <v/>
      </c>
      <c r="F30" s="21" t="str">
        <f ca="1"/>
        <v>活動清單</v>
      </c>
      <c r="G30" s="164" t="str">
        <f ca="1"/>
        <v/>
      </c>
      <c r="H30" s="21" t="str">
        <f ca="1"/>
        <v>需求追溯矩陣</v>
      </c>
      <c r="I30" s="53"/>
      <c r="J30" s="204"/>
      <c r="K30" s="201"/>
      <c r="L30" s="201"/>
      <c r="M30" s="201"/>
      <c r="N30" s="201"/>
      <c r="O30" s="200" t="s">
        <v>75</v>
      </c>
      <c r="P30" s="200"/>
      <c r="Q30" s="200"/>
      <c r="R30" s="200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</row>
    <row r="31" spans="1:30" ht="17.25" thickTop="1" x14ac:dyDescent="0.25">
      <c r="A31" s="164" t="str">
        <f ca="1"/>
        <v/>
      </c>
      <c r="B31" s="21" t="str">
        <f ca="1"/>
        <v>變更紀錄</v>
      </c>
      <c r="C31" s="164" t="str">
        <f ca="1"/>
        <v>參數估算法</v>
      </c>
      <c r="D31" s="21" t="str">
        <f ca="1"/>
        <v>品質成本</v>
      </c>
      <c r="E31" s="164" t="str">
        <f ca="1"/>
        <v/>
      </c>
      <c r="F31" s="21" t="str">
        <f ca="1"/>
        <v>里程碑清單</v>
      </c>
      <c r="G31" s="164" t="str">
        <f ca="1"/>
        <v/>
      </c>
      <c r="H31" s="21" t="str">
        <f ca="1"/>
        <v>活動屬性</v>
      </c>
      <c r="I31" s="53"/>
      <c r="J31" s="204"/>
      <c r="K31" s="202"/>
      <c r="L31" s="202"/>
      <c r="M31" s="202"/>
      <c r="N31" s="202"/>
      <c r="O31" s="187" t="s">
        <v>172</v>
      </c>
      <c r="P31" s="187" t="s">
        <v>727</v>
      </c>
      <c r="Q31" s="187" t="s">
        <v>173</v>
      </c>
      <c r="R31" s="187" t="s">
        <v>715</v>
      </c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</row>
    <row r="32" spans="1:30" ht="17.25" thickBot="1" x14ac:dyDescent="0.3">
      <c r="A32" s="164" t="str">
        <f ca="1"/>
        <v/>
      </c>
      <c r="B32" s="21" t="str">
        <f ca="1"/>
        <v>經驗學習登錄表</v>
      </c>
      <c r="C32" s="164" t="str">
        <f ca="1"/>
        <v>三點估算法</v>
      </c>
      <c r="D32" s="21" t="str">
        <f ca="1"/>
        <v>肇因分析</v>
      </c>
      <c r="E32" s="164" t="str">
        <f ca="1"/>
        <v/>
      </c>
      <c r="F32" s="21" t="str">
        <f ca="1"/>
        <v>專案時程網路圖</v>
      </c>
      <c r="G32" s="164" t="str">
        <f ca="1"/>
        <v/>
      </c>
      <c r="H32" s="21" t="str">
        <f ca="1"/>
        <v>活動清單</v>
      </c>
      <c r="I32" s="53"/>
      <c r="J32" s="204" t="s">
        <v>285</v>
      </c>
      <c r="K32" s="201"/>
      <c r="L32" s="201"/>
      <c r="M32" s="201"/>
      <c r="N32" s="201"/>
      <c r="O32" s="200" t="s">
        <v>76</v>
      </c>
      <c r="P32" s="200"/>
      <c r="Q32" s="200"/>
      <c r="R32" s="200"/>
      <c r="S32" s="201"/>
      <c r="T32" s="201"/>
      <c r="U32" s="201"/>
      <c r="V32" s="201"/>
      <c r="W32" s="200" t="s">
        <v>103</v>
      </c>
      <c r="X32" s="200"/>
      <c r="Y32" s="200"/>
      <c r="Z32" s="200"/>
      <c r="AA32" s="201"/>
      <c r="AB32" s="201"/>
      <c r="AC32" s="201"/>
      <c r="AD32" s="201"/>
    </row>
    <row r="33" spans="1:30" ht="17.25" thickTop="1" x14ac:dyDescent="0.25">
      <c r="A33" s="164" t="str">
        <f ca="1"/>
        <v/>
      </c>
      <c r="B33" s="21" t="str">
        <f ca="1"/>
        <v>專案範疇說明書</v>
      </c>
      <c r="C33" s="164" t="str">
        <f ca="1"/>
        <v>由下而上估算法</v>
      </c>
      <c r="D33" s="21" t="str">
        <f ca="1"/>
        <v>過程分析</v>
      </c>
      <c r="E33" s="164" t="str">
        <f ca="1"/>
        <v/>
      </c>
      <c r="F33" s="21" t="str">
        <f ca="1"/>
        <v>估算基礎</v>
      </c>
      <c r="G33" s="164" t="str">
        <f ca="1"/>
        <v/>
      </c>
      <c r="H33" s="21" t="str">
        <f ca="1"/>
        <v>里程碑清單</v>
      </c>
      <c r="I33" s="53"/>
      <c r="J33" s="204"/>
      <c r="K33" s="202"/>
      <c r="L33" s="202"/>
      <c r="M33" s="202"/>
      <c r="N33" s="202"/>
      <c r="O33" s="187" t="s">
        <v>172</v>
      </c>
      <c r="P33" s="187" t="s">
        <v>727</v>
      </c>
      <c r="Q33" s="187" t="s">
        <v>173</v>
      </c>
      <c r="R33" s="187" t="s">
        <v>715</v>
      </c>
      <c r="S33" s="202"/>
      <c r="T33" s="202"/>
      <c r="U33" s="202"/>
      <c r="V33" s="202"/>
      <c r="W33" s="187" t="s">
        <v>172</v>
      </c>
      <c r="X33" s="187" t="s">
        <v>727</v>
      </c>
      <c r="Y33" s="187" t="s">
        <v>173</v>
      </c>
      <c r="Z33" s="187" t="s">
        <v>715</v>
      </c>
      <c r="AA33" s="202"/>
      <c r="AB33" s="202"/>
      <c r="AC33" s="202"/>
      <c r="AD33" s="202"/>
    </row>
    <row r="34" spans="1:30" ht="17.25" thickBot="1" x14ac:dyDescent="0.3">
      <c r="A34" s="164" t="str">
        <f ca="1"/>
        <v/>
      </c>
      <c r="B34" s="21" t="str">
        <f ca="1"/>
        <v>需求相關文件</v>
      </c>
      <c r="C34" s="164" t="str">
        <f ca="1"/>
        <v>時程網路分析</v>
      </c>
      <c r="D34" s="21" t="str">
        <f ca="1"/>
        <v>SWOT分析</v>
      </c>
      <c r="E34" s="164" t="str">
        <f ca="1"/>
        <v/>
      </c>
      <c r="F34" s="21" t="str">
        <f ca="1"/>
        <v>期程估算</v>
      </c>
      <c r="G34" s="164" t="str">
        <f ca="1"/>
        <v/>
      </c>
      <c r="H34" s="21" t="str">
        <f ca="1"/>
        <v>估算基礎</v>
      </c>
      <c r="I34" s="53"/>
      <c r="J34" s="204"/>
      <c r="K34" s="201"/>
      <c r="L34" s="201"/>
      <c r="M34" s="201"/>
      <c r="N34" s="201"/>
      <c r="O34" s="200" t="s">
        <v>77</v>
      </c>
      <c r="P34" s="200"/>
      <c r="Q34" s="200"/>
      <c r="R34" s="200"/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</row>
    <row r="35" spans="1:30" ht="17.25" thickTop="1" x14ac:dyDescent="0.25">
      <c r="A35" s="164" t="str">
        <f ca="1"/>
        <v/>
      </c>
      <c r="B35" s="21" t="str">
        <f ca="1"/>
        <v>需求追溯矩陣</v>
      </c>
      <c r="C35" s="164" t="str">
        <f ca="1"/>
        <v>要逕法</v>
      </c>
      <c r="D35" s="21" t="str">
        <f ca="1"/>
        <v>假設與限制分析</v>
      </c>
      <c r="E35" s="164" t="str">
        <f ca="1"/>
        <v/>
      </c>
      <c r="F35" s="21" t="str">
        <f ca="1"/>
        <v>專案時程</v>
      </c>
      <c r="G35" s="164" t="str">
        <f ca="1"/>
        <v/>
      </c>
      <c r="H35" s="21" t="str">
        <f ca="1"/>
        <v>期程估算</v>
      </c>
      <c r="I35" s="53"/>
      <c r="J35" s="204"/>
      <c r="K35" s="202"/>
      <c r="L35" s="202"/>
      <c r="M35" s="202"/>
      <c r="N35" s="202"/>
      <c r="O35" s="187" t="s">
        <v>172</v>
      </c>
      <c r="P35" s="187" t="s">
        <v>727</v>
      </c>
      <c r="Q35" s="187" t="s">
        <v>173</v>
      </c>
      <c r="R35" s="187" t="s">
        <v>715</v>
      </c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</row>
    <row r="36" spans="1:30" ht="17.25" thickBot="1" x14ac:dyDescent="0.3">
      <c r="A36" s="164" t="str">
        <f ca="1"/>
        <v/>
      </c>
      <c r="B36" s="21" t="str">
        <f ca="1"/>
        <v>活動屬性</v>
      </c>
      <c r="C36" s="164" t="str">
        <f ca="1"/>
        <v>敏捷發布規劃</v>
      </c>
      <c r="D36" s="21" t="str">
        <f ca="1"/>
        <v>風險機率與衝擊評量</v>
      </c>
      <c r="E36" s="162" t="str">
        <f ca="1"/>
        <v/>
      </c>
      <c r="F36" s="21" t="str">
        <f ca="1"/>
        <v>專案行事曆</v>
      </c>
      <c r="G36" s="162" t="str">
        <f ca="1"/>
        <v/>
      </c>
      <c r="H36" s="21" t="str">
        <f ca="1"/>
        <v>專案時程</v>
      </c>
      <c r="I36" s="53"/>
      <c r="J36" s="204"/>
      <c r="K36" s="201"/>
      <c r="L36" s="201"/>
      <c r="M36" s="201"/>
      <c r="N36" s="201"/>
      <c r="O36" s="200" t="s">
        <v>78</v>
      </c>
      <c r="P36" s="200"/>
      <c r="Q36" s="200"/>
      <c r="R36" s="200"/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</row>
    <row r="37" spans="1:30" ht="17.25" thickTop="1" x14ac:dyDescent="0.25">
      <c r="A37" s="164" t="str">
        <f ca="1"/>
        <v/>
      </c>
      <c r="B37" s="21" t="str">
        <f ca="1"/>
        <v>活動清單</v>
      </c>
      <c r="C37" s="164" t="str">
        <f ca="1"/>
        <v>時程壓縮</v>
      </c>
      <c r="D37" s="21" t="str">
        <f ca="1"/>
        <v>風險資料品質評量</v>
      </c>
      <c r="E37" s="162" t="str">
        <f ca="1"/>
        <v/>
      </c>
      <c r="F37" s="21" t="str">
        <f ca="1"/>
        <v>時程資料</v>
      </c>
      <c r="G37" s="162" t="str">
        <f ca="1"/>
        <v/>
      </c>
      <c r="H37" s="21" t="str">
        <f ca="1"/>
        <v>時程資料</v>
      </c>
      <c r="I37" s="53"/>
      <c r="J37" s="204"/>
      <c r="K37" s="202"/>
      <c r="L37" s="202"/>
      <c r="M37" s="202"/>
      <c r="N37" s="202"/>
      <c r="O37" s="187" t="s">
        <v>172</v>
      </c>
      <c r="P37" s="187" t="s">
        <v>727</v>
      </c>
      <c r="Q37" s="187" t="s">
        <v>173</v>
      </c>
      <c r="R37" s="187" t="s">
        <v>715</v>
      </c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</row>
    <row r="38" spans="1:30" ht="17.25" thickBot="1" x14ac:dyDescent="0.3">
      <c r="A38" s="164" t="str">
        <f ca="1"/>
        <v/>
      </c>
      <c r="B38" s="21" t="str">
        <f ca="1"/>
        <v>里程碑清單</v>
      </c>
      <c r="C38" s="164" t="str">
        <f ca="1"/>
        <v>資源優化</v>
      </c>
      <c r="D38" s="21" t="str">
        <f ca="1"/>
        <v>其他風險參數評量</v>
      </c>
      <c r="E38" s="162" t="str">
        <f ca="1"/>
        <v/>
      </c>
      <c r="F38" s="21" t="str">
        <f ca="1"/>
        <v>時程預測值</v>
      </c>
      <c r="G38" s="162" t="str">
        <f ca="1"/>
        <v/>
      </c>
      <c r="H38" s="21" t="str">
        <f ca="1"/>
        <v>時程預測值</v>
      </c>
      <c r="I38" s="53"/>
      <c r="J38" s="204" t="s">
        <v>286</v>
      </c>
      <c r="K38" s="201"/>
      <c r="L38" s="201"/>
      <c r="M38" s="201"/>
      <c r="N38" s="201"/>
      <c r="O38" s="200" t="s">
        <v>79</v>
      </c>
      <c r="P38" s="200"/>
      <c r="Q38" s="200"/>
      <c r="R38" s="200"/>
      <c r="S38" s="200" t="s">
        <v>91</v>
      </c>
      <c r="T38" s="200"/>
      <c r="U38" s="200"/>
      <c r="V38" s="200"/>
      <c r="W38" s="200" t="s">
        <v>178</v>
      </c>
      <c r="X38" s="200"/>
      <c r="Y38" s="200"/>
      <c r="Z38" s="200"/>
      <c r="AA38" s="201"/>
      <c r="AB38" s="201"/>
      <c r="AC38" s="201"/>
      <c r="AD38" s="201"/>
    </row>
    <row r="39" spans="1:30" ht="17.25" thickTop="1" x14ac:dyDescent="0.25">
      <c r="A39" s="164" t="str">
        <f ca="1"/>
        <v/>
      </c>
      <c r="B39" s="21" t="str">
        <f ca="1"/>
        <v>專案時程網路圖</v>
      </c>
      <c r="C39" s="164" t="str">
        <f ca="1"/>
        <v>成本匯總</v>
      </c>
      <c r="D39" s="21" t="str">
        <f ca="1"/>
        <v>影響圖</v>
      </c>
      <c r="E39" s="162" t="str">
        <f ca="1"/>
        <v/>
      </c>
      <c r="F39" s="21" t="str">
        <f ca="1"/>
        <v>成本估算</v>
      </c>
      <c r="G39" s="162" t="str">
        <f ca="1"/>
        <v/>
      </c>
      <c r="H39" s="21" t="str">
        <f ca="1"/>
        <v>成本估算</v>
      </c>
      <c r="I39" s="53"/>
      <c r="J39" s="204"/>
      <c r="K39" s="202"/>
      <c r="L39" s="202"/>
      <c r="M39" s="202"/>
      <c r="N39" s="202"/>
      <c r="O39" s="187" t="s">
        <v>172</v>
      </c>
      <c r="P39" s="187" t="s">
        <v>727</v>
      </c>
      <c r="Q39" s="187" t="s">
        <v>173</v>
      </c>
      <c r="R39" s="187" t="s">
        <v>715</v>
      </c>
      <c r="S39" s="187" t="s">
        <v>172</v>
      </c>
      <c r="T39" s="187" t="s">
        <v>727</v>
      </c>
      <c r="U39" s="187" t="s">
        <v>173</v>
      </c>
      <c r="V39" s="187" t="s">
        <v>715</v>
      </c>
      <c r="W39" s="187" t="s">
        <v>172</v>
      </c>
      <c r="X39" s="187" t="s">
        <v>727</v>
      </c>
      <c r="Y39" s="187" t="s">
        <v>173</v>
      </c>
      <c r="Z39" s="187" t="s">
        <v>715</v>
      </c>
      <c r="AA39" s="202"/>
      <c r="AB39" s="202"/>
      <c r="AC39" s="202"/>
      <c r="AD39" s="202"/>
    </row>
    <row r="40" spans="1:30" ht="17.25" thickBot="1" x14ac:dyDescent="0.3">
      <c r="A40" s="164" t="str">
        <f ca="1"/>
        <v/>
      </c>
      <c r="B40" s="21" t="str">
        <f ca="1"/>
        <v>估算基礎</v>
      </c>
      <c r="C40" s="164" t="str">
        <f ca="1"/>
        <v>歷史資訊審查</v>
      </c>
      <c r="D40" s="21" t="str">
        <f ca="1"/>
        <v>敏感度分析</v>
      </c>
      <c r="E40" s="162" t="str">
        <f ca="1"/>
        <v/>
      </c>
      <c r="F40" s="21" t="str">
        <f ca="1"/>
        <v>成本預測值</v>
      </c>
      <c r="G40" s="162" t="str">
        <f ca="1"/>
        <v/>
      </c>
      <c r="H40" s="21" t="str">
        <f ca="1"/>
        <v>成本預測值</v>
      </c>
      <c r="I40" s="53"/>
      <c r="J40" s="204" t="s">
        <v>287</v>
      </c>
      <c r="K40" s="201"/>
      <c r="L40" s="201"/>
      <c r="M40" s="201"/>
      <c r="N40" s="201"/>
      <c r="O40" s="200" t="s">
        <v>80</v>
      </c>
      <c r="P40" s="200"/>
      <c r="Q40" s="200"/>
      <c r="R40" s="200"/>
      <c r="S40" s="200" t="s">
        <v>92</v>
      </c>
      <c r="T40" s="200"/>
      <c r="U40" s="200"/>
      <c r="V40" s="200"/>
      <c r="W40" s="200" t="s">
        <v>104</v>
      </c>
      <c r="X40" s="200"/>
      <c r="Y40" s="200"/>
      <c r="Z40" s="200"/>
      <c r="AA40" s="201"/>
      <c r="AB40" s="201"/>
      <c r="AC40" s="201"/>
      <c r="AD40" s="201"/>
    </row>
    <row r="41" spans="1:30" ht="17.25" thickTop="1" x14ac:dyDescent="0.25">
      <c r="A41" s="164" t="str">
        <f ca="1"/>
        <v/>
      </c>
      <c r="B41" s="21" t="str">
        <f ca="1"/>
        <v>期程估算</v>
      </c>
      <c r="C41" s="164" t="str">
        <f ca="1"/>
        <v>資金限制平衡</v>
      </c>
      <c r="D41" s="21" t="str">
        <f ca="1"/>
        <v>決策樹分析</v>
      </c>
      <c r="E41" s="162" t="str">
        <f ca="1"/>
        <v/>
      </c>
      <c r="F41" s="21" t="str">
        <f ca="1"/>
        <v>品質指標</v>
      </c>
      <c r="G41" s="162" t="str">
        <f ca="1"/>
        <v/>
      </c>
      <c r="H41" s="21" t="str">
        <f ca="1"/>
        <v>測試與評估文件</v>
      </c>
      <c r="I41" s="53"/>
      <c r="J41" s="204"/>
      <c r="K41" s="202"/>
      <c r="L41" s="202"/>
      <c r="M41" s="202"/>
      <c r="N41" s="202"/>
      <c r="O41" s="187" t="s">
        <v>172</v>
      </c>
      <c r="P41" s="187" t="s">
        <v>727</v>
      </c>
      <c r="Q41" s="187" t="s">
        <v>173</v>
      </c>
      <c r="R41" s="187" t="s">
        <v>715</v>
      </c>
      <c r="S41" s="187" t="s">
        <v>172</v>
      </c>
      <c r="T41" s="187" t="s">
        <v>727</v>
      </c>
      <c r="U41" s="187" t="s">
        <v>173</v>
      </c>
      <c r="V41" s="187" t="s">
        <v>715</v>
      </c>
      <c r="W41" s="187" t="s">
        <v>172</v>
      </c>
      <c r="X41" s="187" t="s">
        <v>727</v>
      </c>
      <c r="Y41" s="187" t="s">
        <v>173</v>
      </c>
      <c r="Z41" s="187" t="s">
        <v>715</v>
      </c>
      <c r="AA41" s="202"/>
      <c r="AB41" s="202"/>
      <c r="AC41" s="202"/>
      <c r="AD41" s="202"/>
    </row>
    <row r="42" spans="1:30" ht="17.25" thickBot="1" x14ac:dyDescent="0.3">
      <c r="A42" s="164" t="str">
        <f ca="1"/>
        <v/>
      </c>
      <c r="B42" s="21" t="str">
        <f ca="1"/>
        <v>專案時程</v>
      </c>
      <c r="C42" s="164" t="str">
        <f ca="1"/>
        <v>融資</v>
      </c>
      <c r="D42" s="21" t="str">
        <f ca="1"/>
        <v>技術績效分析</v>
      </c>
      <c r="E42" s="162" t="str">
        <f ca="1"/>
        <v/>
      </c>
      <c r="F42" s="21" t="str">
        <f ca="1"/>
        <v>品質報告</v>
      </c>
      <c r="G42" s="162" t="str">
        <f ca="1"/>
        <v/>
      </c>
      <c r="H42" s="21" t="str">
        <f ca="1"/>
        <v>資源需求</v>
      </c>
      <c r="I42" s="53"/>
      <c r="J42" s="204"/>
      <c r="K42" s="201"/>
      <c r="L42" s="201"/>
      <c r="M42" s="201"/>
      <c r="N42" s="201"/>
      <c r="O42" s="200" t="s">
        <v>81</v>
      </c>
      <c r="P42" s="200"/>
      <c r="Q42" s="200"/>
      <c r="R42" s="200"/>
      <c r="S42" s="200" t="s">
        <v>93</v>
      </c>
      <c r="T42" s="200"/>
      <c r="U42" s="200"/>
      <c r="V42" s="200"/>
      <c r="W42" s="201"/>
      <c r="X42" s="201"/>
      <c r="Y42" s="201"/>
      <c r="Z42" s="201"/>
      <c r="AA42" s="201"/>
      <c r="AB42" s="201"/>
      <c r="AC42" s="201"/>
      <c r="AD42" s="201"/>
    </row>
    <row r="43" spans="1:30" ht="17.25" thickTop="1" x14ac:dyDescent="0.25">
      <c r="A43" s="164" t="str">
        <f ca="1"/>
        <v/>
      </c>
      <c r="B43" s="21" t="str">
        <f ca="1"/>
        <v>專案行事曆</v>
      </c>
      <c r="C43" s="164" t="str">
        <f ca="1"/>
        <v>剩餘工作績效指標</v>
      </c>
      <c r="D43" s="21" t="str">
        <f ca="1"/>
        <v>自製或外購分析</v>
      </c>
      <c r="E43" s="162" t="str">
        <f ca="1"/>
        <v/>
      </c>
      <c r="F43" s="21" t="str">
        <f ca="1"/>
        <v>測試與評估文件</v>
      </c>
      <c r="G43" s="162" t="str">
        <f ca="1"/>
        <v/>
      </c>
      <c r="H43" s="21" t="str">
        <f ca="1"/>
        <v>資源分解結構</v>
      </c>
      <c r="I43" s="53"/>
      <c r="J43" s="204"/>
      <c r="K43" s="202"/>
      <c r="L43" s="202"/>
      <c r="M43" s="202"/>
      <c r="N43" s="202"/>
      <c r="O43" s="187" t="s">
        <v>172</v>
      </c>
      <c r="P43" s="187" t="s">
        <v>727</v>
      </c>
      <c r="Q43" s="187" t="s">
        <v>173</v>
      </c>
      <c r="R43" s="187" t="s">
        <v>715</v>
      </c>
      <c r="S43" s="187" t="s">
        <v>172</v>
      </c>
      <c r="T43" s="187" t="s">
        <v>727</v>
      </c>
      <c r="U43" s="187" t="s">
        <v>173</v>
      </c>
      <c r="V43" s="187" t="s">
        <v>715</v>
      </c>
      <c r="W43" s="202"/>
      <c r="X43" s="202"/>
      <c r="Y43" s="202"/>
      <c r="Z43" s="202"/>
      <c r="AA43" s="202"/>
      <c r="AB43" s="202"/>
      <c r="AC43" s="202"/>
      <c r="AD43" s="202"/>
    </row>
    <row r="44" spans="1:30" ht="17.25" thickBot="1" x14ac:dyDescent="0.3">
      <c r="A44" s="164" t="str">
        <f ca="1"/>
        <v/>
      </c>
      <c r="B44" s="21" t="str">
        <f ca="1"/>
        <v>時程資料</v>
      </c>
      <c r="C44" s="164" t="str">
        <f ca="1"/>
        <v>測試與檢驗規劃</v>
      </c>
      <c r="D44" s="21" t="str">
        <f ca="1"/>
        <v>提案書評估</v>
      </c>
      <c r="E44" s="162" t="str">
        <f ca="1"/>
        <v/>
      </c>
      <c r="F44" s="21" t="str">
        <f ca="1"/>
        <v>品質管制衡量值</v>
      </c>
      <c r="G44" s="162" t="str">
        <f ca="1"/>
        <v/>
      </c>
      <c r="H44" s="21" t="str">
        <f ca="1"/>
        <v>團隊章程</v>
      </c>
      <c r="I44" s="53"/>
      <c r="J44" s="204"/>
      <c r="K44" s="201"/>
      <c r="L44" s="201"/>
      <c r="M44" s="201"/>
      <c r="N44" s="201"/>
      <c r="O44" s="201"/>
      <c r="P44" s="201"/>
      <c r="Q44" s="201"/>
      <c r="R44" s="201"/>
      <c r="S44" s="200" t="s">
        <v>94</v>
      </c>
      <c r="T44" s="200"/>
      <c r="U44" s="200"/>
      <c r="V44" s="200"/>
      <c r="W44" s="201"/>
      <c r="X44" s="201"/>
      <c r="Y44" s="201"/>
      <c r="Z44" s="201"/>
      <c r="AA44" s="201"/>
      <c r="AB44" s="201"/>
      <c r="AC44" s="201"/>
      <c r="AD44" s="201"/>
    </row>
    <row r="45" spans="1:30" ht="17.25" thickTop="1" x14ac:dyDescent="0.25">
      <c r="A45" s="164" t="str">
        <f ca="1"/>
        <v/>
      </c>
      <c r="B45" s="21" t="str">
        <f ca="1"/>
        <v>時程預測值</v>
      </c>
      <c r="C45" s="164" t="str">
        <f ca="1"/>
        <v>面向X的設計</v>
      </c>
      <c r="D45" s="21" t="str">
        <f ca="1"/>
        <v>利害關係人分析</v>
      </c>
      <c r="E45" s="162" t="str">
        <f ca="1"/>
        <v/>
      </c>
      <c r="F45" s="21" t="str">
        <f ca="1"/>
        <v>資源需求</v>
      </c>
      <c r="G45" s="162" t="str">
        <f ca="1"/>
        <v/>
      </c>
      <c r="H45" s="21" t="str">
        <f ca="1"/>
        <v>實體資源分派</v>
      </c>
      <c r="I45" s="53"/>
      <c r="J45" s="204"/>
      <c r="K45" s="202"/>
      <c r="L45" s="202"/>
      <c r="M45" s="202"/>
      <c r="N45" s="202"/>
      <c r="O45" s="202"/>
      <c r="P45" s="202"/>
      <c r="Q45" s="202"/>
      <c r="R45" s="202"/>
      <c r="S45" s="187" t="s">
        <v>172</v>
      </c>
      <c r="T45" s="187" t="s">
        <v>727</v>
      </c>
      <c r="U45" s="187" t="s">
        <v>173</v>
      </c>
      <c r="V45" s="187" t="s">
        <v>715</v>
      </c>
      <c r="W45" s="202"/>
      <c r="X45" s="202"/>
      <c r="Y45" s="202"/>
      <c r="Z45" s="202"/>
      <c r="AA45" s="202"/>
      <c r="AB45" s="202"/>
      <c r="AC45" s="202"/>
      <c r="AD45" s="202"/>
    </row>
    <row r="46" spans="1:30" ht="17.25" thickBot="1" x14ac:dyDescent="0.3">
      <c r="A46" s="164" t="str">
        <f ca="1"/>
        <v/>
      </c>
      <c r="B46" s="21" t="str">
        <f ca="1"/>
        <v>成本估算</v>
      </c>
      <c r="C46" s="164" t="str">
        <f ca="1"/>
        <v>稽核</v>
      </c>
      <c r="D46" s="21" t="str">
        <f ca="1"/>
        <v>心智圖法</v>
      </c>
      <c r="E46" s="162" t="str">
        <f ca="1"/>
        <v/>
      </c>
      <c r="F46" s="21" t="str">
        <f ca="1"/>
        <v>資源分解結構</v>
      </c>
      <c r="G46" s="162" t="str">
        <f ca="1"/>
        <v/>
      </c>
      <c r="H46" s="21" t="str">
        <f ca="1"/>
        <v>專案團隊分派</v>
      </c>
      <c r="I46" s="53"/>
      <c r="J46" s="204" t="s">
        <v>288</v>
      </c>
      <c r="K46" s="201"/>
      <c r="L46" s="201"/>
      <c r="M46" s="201"/>
      <c r="N46" s="201"/>
      <c r="O46" s="200" t="s">
        <v>82</v>
      </c>
      <c r="P46" s="200"/>
      <c r="Q46" s="200"/>
      <c r="R46" s="200"/>
      <c r="S46" s="200" t="s">
        <v>95</v>
      </c>
      <c r="T46" s="200"/>
      <c r="U46" s="200"/>
      <c r="V46" s="200"/>
      <c r="W46" s="200" t="s">
        <v>105</v>
      </c>
      <c r="X46" s="200"/>
      <c r="Y46" s="200"/>
      <c r="Z46" s="200"/>
      <c r="AA46" s="201"/>
      <c r="AB46" s="201"/>
      <c r="AC46" s="201"/>
      <c r="AD46" s="201"/>
    </row>
    <row r="47" spans="1:30" ht="17.25" thickTop="1" x14ac:dyDescent="0.25">
      <c r="A47" s="164" t="str">
        <f ca="1"/>
        <v/>
      </c>
      <c r="B47" s="21" t="str">
        <f ca="1"/>
        <v>成本預測值</v>
      </c>
      <c r="C47" s="164" t="str">
        <f ca="1"/>
        <v>品質改善方法</v>
      </c>
      <c r="D47" s="21" t="str">
        <f ca="1"/>
        <v>親合圖</v>
      </c>
      <c r="E47" s="162" t="str">
        <f ca="1"/>
        <v/>
      </c>
      <c r="F47" s="21" t="str">
        <f ca="1"/>
        <v>團隊章程</v>
      </c>
      <c r="G47" s="162" t="str">
        <f ca="1"/>
        <v/>
      </c>
      <c r="H47" s="21" t="str">
        <f ca="1"/>
        <v>資源行事曆</v>
      </c>
      <c r="I47" s="53"/>
      <c r="J47" s="204"/>
      <c r="K47" s="202"/>
      <c r="L47" s="202"/>
      <c r="M47" s="202"/>
      <c r="N47" s="202"/>
      <c r="O47" s="187" t="s">
        <v>172</v>
      </c>
      <c r="P47" s="187" t="s">
        <v>727</v>
      </c>
      <c r="Q47" s="187" t="s">
        <v>173</v>
      </c>
      <c r="R47" s="187" t="s">
        <v>715</v>
      </c>
      <c r="S47" s="187" t="s">
        <v>172</v>
      </c>
      <c r="T47" s="187" t="s">
        <v>727</v>
      </c>
      <c r="U47" s="187" t="s">
        <v>173</v>
      </c>
      <c r="V47" s="187" t="s">
        <v>715</v>
      </c>
      <c r="W47" s="187" t="s">
        <v>172</v>
      </c>
      <c r="X47" s="187" t="s">
        <v>727</v>
      </c>
      <c r="Y47" s="187" t="s">
        <v>173</v>
      </c>
      <c r="Z47" s="187" t="s">
        <v>715</v>
      </c>
      <c r="AA47" s="202"/>
      <c r="AB47" s="202"/>
      <c r="AC47" s="202"/>
      <c r="AD47" s="202"/>
    </row>
    <row r="48" spans="1:30" ht="17.25" thickBot="1" x14ac:dyDescent="0.3">
      <c r="A48" s="164" t="str">
        <f ca="1"/>
        <v/>
      </c>
      <c r="B48" s="21" t="str">
        <f ca="1"/>
        <v>品質指標</v>
      </c>
      <c r="C48" s="164" t="str">
        <f ca="1"/>
        <v>測試/產品評估</v>
      </c>
      <c r="D48" s="21" t="str">
        <f ca="1"/>
        <v>邏輯資料模型</v>
      </c>
      <c r="E48" s="162" t="str">
        <f ca="1"/>
        <v/>
      </c>
      <c r="F48" s="21" t="str">
        <f ca="1"/>
        <v>實體資源分派</v>
      </c>
      <c r="G48" s="162" t="str">
        <f ca="1"/>
        <v/>
      </c>
      <c r="H48" s="21" t="str">
        <f ca="1"/>
        <v>風險登錄表</v>
      </c>
      <c r="I48" s="53"/>
      <c r="J48" s="204" t="s">
        <v>289</v>
      </c>
      <c r="K48" s="201"/>
      <c r="L48" s="201"/>
      <c r="M48" s="201"/>
      <c r="N48" s="201"/>
      <c r="O48" s="200" t="s">
        <v>83</v>
      </c>
      <c r="P48" s="200"/>
      <c r="Q48" s="200"/>
      <c r="R48" s="200"/>
      <c r="S48" s="200" t="s">
        <v>96</v>
      </c>
      <c r="T48" s="200"/>
      <c r="U48" s="200"/>
      <c r="V48" s="200"/>
      <c r="W48" s="200" t="s">
        <v>106</v>
      </c>
      <c r="X48" s="200"/>
      <c r="Y48" s="200"/>
      <c r="Z48" s="200"/>
      <c r="AA48" s="201"/>
      <c r="AB48" s="201"/>
      <c r="AC48" s="201"/>
      <c r="AD48" s="201"/>
    </row>
    <row r="49" spans="1:30" ht="17.25" thickTop="1" x14ac:dyDescent="0.25">
      <c r="A49" s="164" t="str">
        <f ca="1"/>
        <v/>
      </c>
      <c r="B49" s="21" t="str">
        <f ca="1"/>
        <v>品質報告</v>
      </c>
      <c r="C49" s="164" t="str">
        <f ca="1"/>
        <v>檢驗</v>
      </c>
      <c r="D49" s="21" t="str">
        <f ca="1"/>
        <v>矩陣圖</v>
      </c>
      <c r="E49" s="162" t="str">
        <f ca="1"/>
        <v/>
      </c>
      <c r="F49" s="21" t="str">
        <f ca="1"/>
        <v>專案團隊分派</v>
      </c>
      <c r="G49" s="162" t="str">
        <f ca="1"/>
        <v/>
      </c>
      <c r="H49" s="21" t="str">
        <f ca="1"/>
        <v>風險報告</v>
      </c>
      <c r="I49" s="53"/>
      <c r="J49" s="204"/>
      <c r="K49" s="202"/>
      <c r="L49" s="202"/>
      <c r="M49" s="202"/>
      <c r="N49" s="202"/>
      <c r="O49" s="187" t="s">
        <v>172</v>
      </c>
      <c r="P49" s="187" t="s">
        <v>727</v>
      </c>
      <c r="Q49" s="187" t="s">
        <v>173</v>
      </c>
      <c r="R49" s="187" t="s">
        <v>715</v>
      </c>
      <c r="S49" s="187" t="s">
        <v>172</v>
      </c>
      <c r="T49" s="187" t="s">
        <v>727</v>
      </c>
      <c r="U49" s="187" t="s">
        <v>173</v>
      </c>
      <c r="V49" s="187" t="s">
        <v>715</v>
      </c>
      <c r="W49" s="187" t="s">
        <v>172</v>
      </c>
      <c r="X49" s="187" t="s">
        <v>727</v>
      </c>
      <c r="Y49" s="187" t="s">
        <v>173</v>
      </c>
      <c r="Z49" s="187" t="s">
        <v>715</v>
      </c>
      <c r="AA49" s="202"/>
      <c r="AB49" s="202"/>
      <c r="AC49" s="202"/>
      <c r="AD49" s="202"/>
    </row>
    <row r="50" spans="1:30" ht="17.25" thickBot="1" x14ac:dyDescent="0.3">
      <c r="A50" s="164" t="str">
        <f ca="1"/>
        <v/>
      </c>
      <c r="B50" s="21" t="str">
        <f ca="1"/>
        <v>測試與評估文件</v>
      </c>
      <c r="C50" s="164" t="str">
        <f ca="1"/>
        <v>問題解決</v>
      </c>
      <c r="D50" s="21" t="str">
        <f ca="1"/>
        <v>流程圖</v>
      </c>
      <c r="E50" s="162" t="str">
        <f ca="1"/>
        <v/>
      </c>
      <c r="F50" s="21" t="str">
        <f ca="1"/>
        <v>資源行事曆</v>
      </c>
      <c r="G50" s="162" t="str">
        <f ca="1"/>
        <v/>
      </c>
      <c r="H50" s="21" t="str">
        <f ca="1"/>
        <v>利害關係人登錄表</v>
      </c>
      <c r="I50" s="53"/>
      <c r="J50" s="204"/>
      <c r="K50" s="201"/>
      <c r="L50" s="201"/>
      <c r="M50" s="201"/>
      <c r="N50" s="201"/>
      <c r="O50" s="200" t="s">
        <v>84</v>
      </c>
      <c r="P50" s="200"/>
      <c r="Q50" s="200"/>
      <c r="R50" s="200"/>
      <c r="S50" s="201"/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</row>
    <row r="51" spans="1:30" ht="17.25" thickTop="1" x14ac:dyDescent="0.25">
      <c r="A51" s="164" t="str">
        <f ca="1"/>
        <v/>
      </c>
      <c r="B51" s="21" t="str">
        <f ca="1"/>
        <v>品質管制衡量值</v>
      </c>
      <c r="C51" s="164" t="str">
        <f ca="1"/>
        <v>組織理論</v>
      </c>
      <c r="D51" s="21" t="str">
        <f ca="1"/>
        <v>因果圖</v>
      </c>
      <c r="E51" s="162" t="str">
        <f ca="1"/>
        <v/>
      </c>
      <c r="F51" s="21" t="str">
        <f ca="1"/>
        <v>專案溝通</v>
      </c>
      <c r="G51" s="162" t="str">
        <f ca="1"/>
        <v/>
      </c>
      <c r="H51" s="21" t="str">
        <f ca="1"/>
        <v/>
      </c>
      <c r="I51" s="53"/>
      <c r="J51" s="204"/>
      <c r="K51" s="202"/>
      <c r="L51" s="202"/>
      <c r="M51" s="202"/>
      <c r="N51" s="202"/>
      <c r="O51" s="187" t="s">
        <v>172</v>
      </c>
      <c r="P51" s="187" t="s">
        <v>727</v>
      </c>
      <c r="Q51" s="187" t="s">
        <v>173</v>
      </c>
      <c r="R51" s="187" t="s">
        <v>715</v>
      </c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</row>
    <row r="52" spans="1:30" ht="17.25" thickBot="1" x14ac:dyDescent="0.3">
      <c r="A52" s="164" t="str">
        <f ca="1"/>
        <v/>
      </c>
      <c r="B52" s="21" t="str">
        <f ca="1"/>
        <v>資源需求</v>
      </c>
      <c r="C52" s="164" t="str">
        <f ca="1"/>
        <v>預分派</v>
      </c>
      <c r="D52" s="21" t="str">
        <f ca="1"/>
        <v>直方圖</v>
      </c>
      <c r="E52" s="162" t="str">
        <f ca="1"/>
        <v/>
      </c>
      <c r="F52" s="21" t="str">
        <f ca="1"/>
        <v>風險登錄表</v>
      </c>
      <c r="G52" s="162" t="str">
        <f ca="1"/>
        <v/>
      </c>
      <c r="H52" s="21" t="str">
        <f ca="1"/>
        <v/>
      </c>
      <c r="I52" s="53"/>
      <c r="J52" s="204"/>
      <c r="K52" s="201"/>
      <c r="L52" s="201"/>
      <c r="M52" s="201"/>
      <c r="N52" s="201"/>
      <c r="O52" s="200" t="s">
        <v>85</v>
      </c>
      <c r="P52" s="200"/>
      <c r="Q52" s="200"/>
      <c r="R52" s="200"/>
      <c r="S52" s="201"/>
      <c r="T52" s="201"/>
      <c r="U52" s="201"/>
      <c r="V52" s="201"/>
      <c r="W52" s="201"/>
      <c r="X52" s="201"/>
      <c r="Y52" s="201"/>
      <c r="Z52" s="201"/>
      <c r="AA52" s="201"/>
      <c r="AB52" s="201"/>
      <c r="AC52" s="201"/>
      <c r="AD52" s="201"/>
    </row>
    <row r="53" spans="1:30" ht="17.25" thickTop="1" x14ac:dyDescent="0.25">
      <c r="A53" s="164" t="str">
        <f ca="1"/>
        <v/>
      </c>
      <c r="B53" s="21" t="str">
        <f ca="1"/>
        <v>資源分解結構</v>
      </c>
      <c r="C53" s="164" t="str">
        <f ca="1"/>
        <v>虛擬團隊</v>
      </c>
      <c r="D53" s="21" t="str">
        <f ca="1"/>
        <v>散布圖</v>
      </c>
      <c r="E53" s="162" t="str">
        <f ca="1"/>
        <v/>
      </c>
      <c r="F53" s="21" t="str">
        <f ca="1"/>
        <v>風險報告</v>
      </c>
      <c r="G53" s="162" t="str">
        <f ca="1"/>
        <v/>
      </c>
      <c r="H53" s="21" t="str">
        <f ca="1"/>
        <v/>
      </c>
      <c r="I53" s="53"/>
      <c r="J53" s="204"/>
      <c r="K53" s="202"/>
      <c r="L53" s="202"/>
      <c r="M53" s="202"/>
      <c r="N53" s="202"/>
      <c r="O53" s="187" t="s">
        <v>172</v>
      </c>
      <c r="P53" s="187" t="s">
        <v>727</v>
      </c>
      <c r="Q53" s="187" t="s">
        <v>173</v>
      </c>
      <c r="R53" s="187" t="s">
        <v>715</v>
      </c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</row>
    <row r="54" spans="1:30" ht="17.25" thickBot="1" x14ac:dyDescent="0.3">
      <c r="A54" s="164" t="str">
        <f ca="1"/>
        <v/>
      </c>
      <c r="B54" s="21" t="str">
        <f ca="1"/>
        <v>團隊章程</v>
      </c>
      <c r="C54" s="164" t="str">
        <f ca="1"/>
        <v>集中作業</v>
      </c>
      <c r="D54" s="21" t="str">
        <f ca="1"/>
        <v>管制圖</v>
      </c>
      <c r="E54" s="162" t="str">
        <f ca="1"/>
        <v/>
      </c>
      <c r="F54" s="21" t="str">
        <f ca="1"/>
        <v>利害關係人登錄表</v>
      </c>
      <c r="G54" s="162" t="str">
        <f ca="1"/>
        <v/>
      </c>
      <c r="H54" s="21" t="str">
        <f ca="1"/>
        <v/>
      </c>
      <c r="I54" s="53"/>
      <c r="J54" s="204"/>
      <c r="K54" s="201"/>
      <c r="L54" s="201"/>
      <c r="M54" s="201"/>
      <c r="N54" s="201"/>
      <c r="O54" s="200" t="s">
        <v>86</v>
      </c>
      <c r="P54" s="200"/>
      <c r="Q54" s="200"/>
      <c r="R54" s="200"/>
      <c r="S54" s="201"/>
      <c r="T54" s="201"/>
      <c r="U54" s="201"/>
      <c r="V54" s="201"/>
      <c r="W54" s="201"/>
      <c r="X54" s="201"/>
      <c r="Y54" s="201"/>
      <c r="Z54" s="201"/>
      <c r="AA54" s="201"/>
      <c r="AB54" s="201"/>
      <c r="AC54" s="201"/>
      <c r="AD54" s="201"/>
    </row>
    <row r="55" spans="1:30" ht="17.25" thickTop="1" x14ac:dyDescent="0.25">
      <c r="A55" s="164" t="str">
        <f ca="1"/>
        <v/>
      </c>
      <c r="B55" s="21" t="str">
        <f ca="1"/>
        <v>實體資源分派</v>
      </c>
      <c r="C55" s="164" t="str">
        <f ca="1"/>
        <v>個人與團隊評量</v>
      </c>
      <c r="D55" s="21" t="str">
        <f ca="1"/>
        <v>階層圖</v>
      </c>
      <c r="E55" s="162" t="str">
        <f ca="1"/>
        <v/>
      </c>
      <c r="F55" s="21" t="str">
        <f ca="1"/>
        <v>獨立成本估算</v>
      </c>
      <c r="G55" s="162" t="str">
        <f ca="1"/>
        <v/>
      </c>
      <c r="H55" s="21" t="str">
        <f ca="1"/>
        <v/>
      </c>
      <c r="I55" s="53"/>
      <c r="J55" s="204"/>
      <c r="K55" s="202"/>
      <c r="L55" s="202"/>
      <c r="M55" s="202"/>
      <c r="N55" s="202"/>
      <c r="O55" s="187" t="s">
        <v>172</v>
      </c>
      <c r="P55" s="187" t="s">
        <v>727</v>
      </c>
      <c r="Q55" s="187" t="s">
        <v>173</v>
      </c>
      <c r="R55" s="187" t="s">
        <v>715</v>
      </c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</row>
    <row r="56" spans="1:30" ht="17.25" thickBot="1" x14ac:dyDescent="0.3">
      <c r="A56" s="164" t="str">
        <f ca="1"/>
        <v/>
      </c>
      <c r="B56" s="21" t="str">
        <f ca="1"/>
        <v>專案團隊分派</v>
      </c>
      <c r="C56" s="164" t="str">
        <f ca="1"/>
        <v>訓練</v>
      </c>
      <c r="D56" s="21" t="str">
        <f ca="1"/>
        <v>責任分派矩陣</v>
      </c>
      <c r="E56" s="162" t="str">
        <f ca="1"/>
        <v/>
      </c>
      <c r="F56" s="21" t="str">
        <f ca="1"/>
        <v>採購工作說明書</v>
      </c>
      <c r="G56" s="162" t="str">
        <f ca="1"/>
        <v/>
      </c>
      <c r="H56" s="21" t="str">
        <f ca="1"/>
        <v/>
      </c>
      <c r="I56" s="53"/>
      <c r="J56" s="204"/>
      <c r="K56" s="201"/>
      <c r="L56" s="201"/>
      <c r="M56" s="201"/>
      <c r="N56" s="201"/>
      <c r="O56" s="200" t="s">
        <v>87</v>
      </c>
      <c r="P56" s="200"/>
      <c r="Q56" s="200"/>
      <c r="R56" s="200"/>
      <c r="S56" s="201"/>
      <c r="T56" s="201"/>
      <c r="U56" s="201"/>
      <c r="V56" s="201"/>
      <c r="W56" s="201"/>
      <c r="X56" s="201"/>
      <c r="Y56" s="201"/>
      <c r="Z56" s="201"/>
      <c r="AA56" s="201"/>
      <c r="AB56" s="201"/>
      <c r="AC56" s="201"/>
      <c r="AD56" s="201"/>
    </row>
    <row r="57" spans="1:30" ht="17.25" thickTop="1" x14ac:dyDescent="0.25">
      <c r="A57" s="164" t="str">
        <f ca="1"/>
        <v/>
      </c>
      <c r="B57" s="21" t="str">
        <f ca="1"/>
        <v>資源行事曆</v>
      </c>
      <c r="C57" s="164" t="str">
        <f ca="1"/>
        <v>表彰與獎勵</v>
      </c>
      <c r="D57" s="21" t="str">
        <f ca="1"/>
        <v>文字導向的格式</v>
      </c>
      <c r="E57" s="162" t="str">
        <f ca="1"/>
        <v/>
      </c>
      <c r="F57" s="21" t="str">
        <f ca="1"/>
        <v>投(招)標文件</v>
      </c>
      <c r="G57" s="162" t="str">
        <f ca="1"/>
        <v/>
      </c>
      <c r="H57" s="21" t="str">
        <f ca="1"/>
        <v/>
      </c>
      <c r="I57" s="53"/>
      <c r="J57" s="204"/>
      <c r="K57" s="202"/>
      <c r="L57" s="202"/>
      <c r="M57" s="202"/>
      <c r="N57" s="202"/>
      <c r="O57" s="187" t="s">
        <v>172</v>
      </c>
      <c r="P57" s="187" t="s">
        <v>727</v>
      </c>
      <c r="Q57" s="187" t="s">
        <v>173</v>
      </c>
      <c r="R57" s="187" t="s">
        <v>715</v>
      </c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</row>
    <row r="58" spans="1:30" ht="17.25" thickBot="1" x14ac:dyDescent="0.3">
      <c r="A58" s="164" t="str">
        <f ca="1"/>
        <v/>
      </c>
      <c r="B58" s="21" t="str">
        <f ca="1"/>
        <v>專案溝通</v>
      </c>
      <c r="C58" s="164" t="str">
        <f ca="1"/>
        <v>溝通科技</v>
      </c>
      <c r="D58" s="21" t="str">
        <f ca="1"/>
        <v>機率與衝擊矩陣</v>
      </c>
      <c r="E58" s="162" t="str">
        <f ca="1"/>
        <v/>
      </c>
      <c r="F58" s="21" t="str">
        <f ca="1"/>
        <v>商源評選準則</v>
      </c>
      <c r="G58" s="162" t="str">
        <f ca="1"/>
        <v/>
      </c>
      <c r="H58" s="21" t="str">
        <f ca="1"/>
        <v/>
      </c>
      <c r="I58" s="53"/>
      <c r="J58" s="204" t="s">
        <v>290</v>
      </c>
      <c r="K58" s="201"/>
      <c r="L58" s="201"/>
      <c r="M58" s="201"/>
      <c r="N58" s="201"/>
      <c r="O58" s="200" t="s">
        <v>88</v>
      </c>
      <c r="P58" s="200"/>
      <c r="Q58" s="200"/>
      <c r="R58" s="200"/>
      <c r="S58" s="200" t="s">
        <v>97</v>
      </c>
      <c r="T58" s="200"/>
      <c r="U58" s="200"/>
      <c r="V58" s="200"/>
      <c r="W58" s="200" t="s">
        <v>107</v>
      </c>
      <c r="X58" s="200"/>
      <c r="Y58" s="200"/>
      <c r="Z58" s="200"/>
      <c r="AA58" s="201"/>
      <c r="AB58" s="201"/>
      <c r="AC58" s="201"/>
      <c r="AD58" s="201"/>
    </row>
    <row r="59" spans="1:30" ht="17.25" thickTop="1" x14ac:dyDescent="0.25">
      <c r="A59" s="164" t="str">
        <f ca="1"/>
        <v/>
      </c>
      <c r="B59" s="21" t="str">
        <f ca="1"/>
        <v>風險登錄表</v>
      </c>
      <c r="C59" s="164" t="str">
        <f ca="1"/>
        <v>溝通模式</v>
      </c>
      <c r="D59" s="21" t="str">
        <f ca="1"/>
        <v>利害關係人對應/呈現</v>
      </c>
      <c r="E59" s="162" t="str">
        <f ca="1"/>
        <v/>
      </c>
      <c r="F59" s="21" t="str">
        <f ca="1"/>
        <v/>
      </c>
      <c r="G59" s="162" t="str">
        <f ca="1"/>
        <v/>
      </c>
      <c r="H59" s="21" t="str">
        <f ca="1"/>
        <v/>
      </c>
      <c r="I59" s="53"/>
      <c r="J59" s="204"/>
      <c r="K59" s="202"/>
      <c r="L59" s="202"/>
      <c r="M59" s="202"/>
      <c r="N59" s="202"/>
      <c r="O59" s="187" t="s">
        <v>172</v>
      </c>
      <c r="P59" s="187" t="s">
        <v>727</v>
      </c>
      <c r="Q59" s="187" t="s">
        <v>173</v>
      </c>
      <c r="R59" s="187" t="s">
        <v>715</v>
      </c>
      <c r="S59" s="187" t="s">
        <v>172</v>
      </c>
      <c r="T59" s="187" t="s">
        <v>727</v>
      </c>
      <c r="U59" s="187" t="s">
        <v>173</v>
      </c>
      <c r="V59" s="187" t="s">
        <v>715</v>
      </c>
      <c r="W59" s="187" t="s">
        <v>172</v>
      </c>
      <c r="X59" s="187" t="s">
        <v>727</v>
      </c>
      <c r="Y59" s="187" t="s">
        <v>173</v>
      </c>
      <c r="Z59" s="187" t="s">
        <v>715</v>
      </c>
      <c r="AA59" s="202"/>
      <c r="AB59" s="202"/>
      <c r="AC59" s="202"/>
      <c r="AD59" s="202"/>
    </row>
    <row r="60" spans="1:30" ht="17.25" thickBot="1" x14ac:dyDescent="0.3">
      <c r="A60" s="164" t="str">
        <f ca="1"/>
        <v/>
      </c>
      <c r="B60" s="21" t="str">
        <f ca="1"/>
        <v>風險報告</v>
      </c>
      <c r="C60" s="164" t="str">
        <f ca="1"/>
        <v>溝通方法</v>
      </c>
      <c r="D60" s="21" t="str">
        <f ca="1"/>
        <v>利害關係人參與評量矩陣</v>
      </c>
      <c r="E60" s="162" t="str">
        <f ca="1"/>
        <v/>
      </c>
      <c r="F60" s="21" t="str">
        <f ca="1"/>
        <v/>
      </c>
      <c r="G60" s="162" t="str">
        <f ca="1"/>
        <v/>
      </c>
      <c r="H60" s="21" t="str">
        <f ca="1"/>
        <v/>
      </c>
      <c r="J60" s="209" t="s">
        <v>292</v>
      </c>
      <c r="K60" s="200" t="s">
        <v>179</v>
      </c>
      <c r="L60" s="200"/>
      <c r="M60" s="200"/>
      <c r="N60" s="200"/>
      <c r="O60" s="200" t="s">
        <v>174</v>
      </c>
      <c r="P60" s="200"/>
      <c r="Q60" s="200"/>
      <c r="R60" s="200"/>
      <c r="S60" s="200" t="s">
        <v>175</v>
      </c>
      <c r="T60" s="200"/>
      <c r="U60" s="200"/>
      <c r="V60" s="200"/>
      <c r="W60" s="200" t="s">
        <v>176</v>
      </c>
      <c r="X60" s="200"/>
      <c r="Y60" s="200"/>
      <c r="Z60" s="200"/>
      <c r="AA60" s="201"/>
      <c r="AB60" s="201"/>
      <c r="AC60" s="201"/>
      <c r="AD60" s="201"/>
    </row>
    <row r="61" spans="1:30" ht="17.25" thickTop="1" x14ac:dyDescent="0.25">
      <c r="A61" s="164" t="str">
        <f ca="1"/>
        <v/>
      </c>
      <c r="B61" s="21" t="str">
        <f ca="1"/>
        <v>利害關係人登錄表</v>
      </c>
      <c r="C61" s="164" t="str">
        <f ca="1"/>
        <v>溝通需求分析</v>
      </c>
      <c r="D61" s="21" t="str">
        <f ca="1"/>
        <v>多準則決策分析</v>
      </c>
      <c r="E61" s="162" t="str">
        <f ca="1"/>
        <v/>
      </c>
      <c r="F61" s="21" t="str">
        <f ca="1"/>
        <v/>
      </c>
      <c r="G61" s="162" t="str">
        <f ca="1"/>
        <v/>
      </c>
      <c r="H61" s="21" t="str">
        <f ca="1"/>
        <v/>
      </c>
      <c r="J61" s="210"/>
      <c r="K61" s="186" t="s">
        <v>172</v>
      </c>
      <c r="L61" s="186" t="s">
        <v>727</v>
      </c>
      <c r="M61" s="186" t="s">
        <v>173</v>
      </c>
      <c r="N61" s="186" t="s">
        <v>715</v>
      </c>
      <c r="O61" s="187" t="s">
        <v>172</v>
      </c>
      <c r="P61" s="187" t="s">
        <v>727</v>
      </c>
      <c r="Q61" s="187" t="s">
        <v>173</v>
      </c>
      <c r="R61" s="187" t="s">
        <v>715</v>
      </c>
      <c r="S61" s="187" t="s">
        <v>172</v>
      </c>
      <c r="T61" s="187" t="s">
        <v>727</v>
      </c>
      <c r="U61" s="187" t="s">
        <v>173</v>
      </c>
      <c r="V61" s="187" t="s">
        <v>715</v>
      </c>
      <c r="W61" s="187" t="s">
        <v>172</v>
      </c>
      <c r="X61" s="187" t="s">
        <v>727</v>
      </c>
      <c r="Y61" s="187" t="s">
        <v>173</v>
      </c>
      <c r="Z61" s="187" t="s">
        <v>715</v>
      </c>
      <c r="AA61" s="202"/>
      <c r="AB61" s="202"/>
      <c r="AC61" s="202"/>
      <c r="AD61" s="202"/>
    </row>
    <row r="62" spans="1:30" x14ac:dyDescent="0.25">
      <c r="A62" s="164" t="str">
        <f ca="1"/>
        <v/>
      </c>
      <c r="B62" s="21" t="str">
        <f ca="1"/>
        <v>商業企劃案</v>
      </c>
      <c r="C62" s="164" t="str">
        <f ca="1"/>
        <v>專案報告</v>
      </c>
      <c r="D62" s="21" t="str">
        <f ca="1"/>
        <v>獨裁式決策制定</v>
      </c>
      <c r="E62" s="162" t="str">
        <f ca="1"/>
        <v/>
      </c>
      <c r="F62" s="21" t="str">
        <f ca="1"/>
        <v/>
      </c>
      <c r="G62" s="162" t="str">
        <f ca="1"/>
        <v/>
      </c>
      <c r="H62" s="21" t="str">
        <f ca="1"/>
        <v/>
      </c>
    </row>
    <row r="63" spans="1:30" x14ac:dyDescent="0.25">
      <c r="A63" s="164" t="str">
        <f ca="1"/>
        <v/>
      </c>
      <c r="B63" s="21" t="str">
        <f ca="1"/>
        <v>效益管理計畫書</v>
      </c>
      <c r="C63" s="164" t="str">
        <f ca="1"/>
        <v>提示清單</v>
      </c>
      <c r="D63" s="21" t="str">
        <f ca="1"/>
        <v>投票</v>
      </c>
      <c r="E63" s="162" t="str">
        <f ca="1"/>
        <v/>
      </c>
      <c r="F63" s="21" t="str">
        <f ca="1"/>
        <v/>
      </c>
      <c r="G63" s="162" t="str">
        <f ca="1"/>
        <v/>
      </c>
      <c r="H63" s="21" t="str">
        <f ca="1"/>
        <v/>
      </c>
    </row>
    <row r="64" spans="1:30" x14ac:dyDescent="0.25">
      <c r="A64" s="164" t="str">
        <f ca="1"/>
        <v/>
      </c>
      <c r="B64" s="21" t="str">
        <f ca="1"/>
        <v>商源評選準則</v>
      </c>
      <c r="C64" s="164" t="str">
        <f ca="1"/>
        <v>風險分類</v>
      </c>
      <c r="D64" s="21" t="str">
        <f ca="1"/>
        <v>優先順序/排名</v>
      </c>
      <c r="E64" s="162" t="str">
        <f ca="1"/>
        <v/>
      </c>
      <c r="F64" s="21" t="str">
        <f ca="1"/>
        <v/>
      </c>
      <c r="G64" s="162" t="str">
        <f ca="1"/>
        <v/>
      </c>
      <c r="H64" s="21" t="str">
        <f ca="1"/>
        <v/>
      </c>
    </row>
    <row r="65" spans="1:8" x14ac:dyDescent="0.25">
      <c r="A65" s="164" t="str">
        <f ca="1"/>
        <v/>
      </c>
      <c r="B65" s="21" t="str">
        <f ca="1"/>
        <v/>
      </c>
      <c r="C65" s="164" t="str">
        <f ca="1"/>
        <v>不確定性的呈現方式</v>
      </c>
      <c r="D65" s="21" t="str">
        <f ca="1"/>
        <v>溝通能力</v>
      </c>
      <c r="E65" s="162" t="str">
        <f ca="1"/>
        <v/>
      </c>
      <c r="F65" s="21" t="str">
        <f ca="1"/>
        <v/>
      </c>
      <c r="G65" s="162" t="str">
        <f ca="1"/>
        <v/>
      </c>
      <c r="H65" s="21" t="str">
        <f ca="1"/>
        <v/>
      </c>
    </row>
    <row r="66" spans="1:8" x14ac:dyDescent="0.25">
      <c r="A66" s="164" t="str">
        <f ca="1"/>
        <v/>
      </c>
      <c r="B66" s="21" t="str">
        <f ca="1"/>
        <v/>
      </c>
      <c r="C66" s="164" t="str">
        <f ca="1"/>
        <v>專案整體風險回應策略</v>
      </c>
      <c r="D66" s="21" t="str">
        <f ca="1"/>
        <v>回饋</v>
      </c>
      <c r="E66" s="162" t="str">
        <f ca="1"/>
        <v/>
      </c>
      <c r="F66" s="21" t="str">
        <f ca="1"/>
        <v/>
      </c>
      <c r="G66" s="162" t="str">
        <f ca="1"/>
        <v/>
      </c>
      <c r="H66" s="21" t="str">
        <f ca="1"/>
        <v/>
      </c>
    </row>
    <row r="67" spans="1:8" x14ac:dyDescent="0.25">
      <c r="A67" s="164" t="str">
        <f ca="1"/>
        <v/>
      </c>
      <c r="B67" s="21" t="str">
        <f ca="1"/>
        <v/>
      </c>
      <c r="C67" s="164" t="str">
        <f ca="1"/>
        <v>應變回應策略</v>
      </c>
      <c r="D67" s="21" t="str">
        <f ca="1"/>
        <v>非語言</v>
      </c>
      <c r="E67" s="162" t="str">
        <f ca="1"/>
        <v/>
      </c>
      <c r="F67" s="21" t="str">
        <f ca="1"/>
        <v/>
      </c>
      <c r="G67" s="162" t="str">
        <f ca="1"/>
        <v/>
      </c>
      <c r="H67" s="21" t="str">
        <f ca="1"/>
        <v/>
      </c>
    </row>
    <row r="68" spans="1:8" x14ac:dyDescent="0.25">
      <c r="A68" s="164" t="str">
        <f ca="1"/>
        <v/>
      </c>
      <c r="B68" s="21" t="str">
        <f ca="1"/>
        <v/>
      </c>
      <c r="C68" s="164" t="str">
        <f ca="1"/>
        <v>機會回應策略</v>
      </c>
      <c r="D68" s="21" t="str">
        <f ca="1"/>
        <v>簡報</v>
      </c>
      <c r="E68" s="162" t="str">
        <f ca="1"/>
        <v/>
      </c>
      <c r="F68" s="21" t="str">
        <f ca="1"/>
        <v/>
      </c>
      <c r="G68" s="162" t="str">
        <f ca="1"/>
        <v/>
      </c>
      <c r="H68" s="21" t="str">
        <f ca="1"/>
        <v/>
      </c>
    </row>
    <row r="69" spans="1:8" x14ac:dyDescent="0.25">
      <c r="A69" s="164" t="str">
        <f ca="1"/>
        <v/>
      </c>
      <c r="B69" s="21" t="str">
        <f ca="1"/>
        <v/>
      </c>
      <c r="C69" s="164" t="str">
        <f ca="1"/>
        <v>威脅回應策略</v>
      </c>
      <c r="D69" s="21" t="str">
        <f ca="1"/>
        <v>促進</v>
      </c>
      <c r="E69" s="162" t="str">
        <f ca="1"/>
        <v/>
      </c>
      <c r="F69" s="21" t="str">
        <f ca="1"/>
        <v/>
      </c>
      <c r="G69" s="162" t="str">
        <f ca="1"/>
        <v/>
      </c>
      <c r="H69" s="21" t="str">
        <f ca="1"/>
        <v/>
      </c>
    </row>
    <row r="70" spans="1:8" x14ac:dyDescent="0.25">
      <c r="A70" s="164" t="str">
        <f ca="1"/>
        <v/>
      </c>
      <c r="B70" s="21" t="str">
        <f ca="1"/>
        <v/>
      </c>
      <c r="C70" s="164" t="str">
        <f ca="1"/>
        <v>商源評選分析</v>
      </c>
      <c r="D70" s="21" t="str">
        <f ca="1"/>
        <v>會議管理</v>
      </c>
      <c r="E70" s="162" t="str">
        <f ca="1"/>
        <v/>
      </c>
      <c r="F70" s="21" t="str">
        <f ca="1"/>
        <v/>
      </c>
      <c r="G70" s="162" t="str">
        <f ca="1"/>
        <v/>
      </c>
      <c r="H70" s="21" t="str">
        <f ca="1"/>
        <v/>
      </c>
    </row>
    <row r="71" spans="1:8" x14ac:dyDescent="0.25">
      <c r="A71" s="164" t="str">
        <f ca="1"/>
        <v/>
      </c>
      <c r="B71" s="21" t="str">
        <f ca="1"/>
        <v/>
      </c>
      <c r="C71" s="164" t="str">
        <f ca="1"/>
        <v>廣告</v>
      </c>
      <c r="D71" s="21" t="str">
        <f ca="1"/>
        <v>決策制定</v>
      </c>
      <c r="E71" s="162" t="str">
        <f ca="1"/>
        <v/>
      </c>
      <c r="F71" s="21" t="str">
        <f ca="1"/>
        <v/>
      </c>
      <c r="G71" s="162" t="str">
        <f ca="1"/>
        <v/>
      </c>
      <c r="H71" s="21" t="str">
        <f ca="1"/>
        <v/>
      </c>
    </row>
    <row r="72" spans="1:8" x14ac:dyDescent="0.25">
      <c r="A72" s="164" t="str">
        <f ca="1"/>
        <v/>
      </c>
      <c r="B72" s="21" t="str">
        <f ca="1"/>
        <v/>
      </c>
      <c r="C72" s="164" t="str">
        <f ca="1"/>
        <v>投標人會議</v>
      </c>
      <c r="D72" s="21" t="str">
        <f ca="1"/>
        <v>集體發想表決法</v>
      </c>
      <c r="E72" s="162" t="str">
        <f ca="1"/>
        <v/>
      </c>
      <c r="F72" s="21" t="str">
        <f ca="1"/>
        <v/>
      </c>
      <c r="G72" s="162" t="str">
        <f ca="1"/>
        <v/>
      </c>
      <c r="H72" s="21" t="str">
        <f ca="1"/>
        <v/>
      </c>
    </row>
    <row r="73" spans="1:8" x14ac:dyDescent="0.25">
      <c r="A73" s="164" t="str">
        <f ca="1"/>
        <v/>
      </c>
      <c r="B73" s="21" t="str">
        <f ca="1"/>
        <v/>
      </c>
      <c r="C73" s="164" t="str">
        <f ca="1"/>
        <v>求償管理</v>
      </c>
      <c r="D73" s="21" t="str">
        <f ca="1"/>
        <v>觀察/交談</v>
      </c>
      <c r="E73" s="162" t="str">
        <f ca="1"/>
        <v/>
      </c>
      <c r="F73" s="21" t="str">
        <f ca="1"/>
        <v/>
      </c>
      <c r="G73" s="162" t="str">
        <f ca="1"/>
        <v/>
      </c>
      <c r="H73" s="21" t="str">
        <f ca="1"/>
        <v/>
      </c>
    </row>
    <row r="74" spans="1:8" x14ac:dyDescent="0.25">
      <c r="A74" s="164" t="str">
        <f ca="1"/>
        <v/>
      </c>
      <c r="B74" s="21" t="str">
        <f ca="1"/>
        <v/>
      </c>
      <c r="C74" s="164" t="str">
        <f ca="1"/>
        <v>基本規則</v>
      </c>
      <c r="D74" s="21" t="str">
        <f ca="1"/>
        <v>主動傾聽</v>
      </c>
      <c r="E74" s="162" t="str">
        <f ca="1"/>
        <v/>
      </c>
      <c r="F74" s="21" t="str">
        <f ca="1"/>
        <v/>
      </c>
      <c r="G74" s="162" t="str">
        <f ca="1"/>
        <v/>
      </c>
      <c r="H74" s="21" t="str">
        <f ca="1"/>
        <v/>
      </c>
    </row>
    <row r="75" spans="1:8" x14ac:dyDescent="0.25">
      <c r="A75" s="164" t="str">
        <f ca="1"/>
        <v/>
      </c>
      <c r="B75" s="21" t="str">
        <f ca="1"/>
        <v/>
      </c>
      <c r="C75" s="164" t="str">
        <f ca="1"/>
        <v/>
      </c>
      <c r="D75" s="21" t="str">
        <f ca="1"/>
        <v>溝通風格評量</v>
      </c>
      <c r="E75" s="162" t="str">
        <f ca="1"/>
        <v/>
      </c>
      <c r="F75" s="21" t="str">
        <f ca="1"/>
        <v/>
      </c>
      <c r="G75" s="162" t="str">
        <f ca="1"/>
        <v/>
      </c>
      <c r="H75" s="21" t="str">
        <f ca="1"/>
        <v/>
      </c>
    </row>
    <row r="76" spans="1:8" x14ac:dyDescent="0.25">
      <c r="A76" s="164" t="str">
        <f ca="1"/>
        <v/>
      </c>
      <c r="B76" s="21" t="str">
        <f ca="1"/>
        <v/>
      </c>
      <c r="C76" s="162" t="str">
        <f ca="1"/>
        <v/>
      </c>
      <c r="D76" s="21" t="str">
        <f ca="1"/>
        <v>團隊組建</v>
      </c>
      <c r="E76" s="162" t="str">
        <f ca="1"/>
        <v/>
      </c>
      <c r="F76" s="21" t="str">
        <f ca="1"/>
        <v/>
      </c>
      <c r="G76" s="162" t="str">
        <f ca="1"/>
        <v/>
      </c>
      <c r="H76" s="21" t="str">
        <f ca="1"/>
        <v/>
      </c>
    </row>
    <row r="77" spans="1:8" x14ac:dyDescent="0.25">
      <c r="A77" s="164" t="str">
        <f ca="1"/>
        <v/>
      </c>
      <c r="B77" s="21" t="str">
        <f ca="1"/>
        <v/>
      </c>
      <c r="C77" s="162" t="str">
        <f ca="1"/>
        <v/>
      </c>
      <c r="D77" s="21" t="str">
        <f ca="1"/>
        <v>衝突管理</v>
      </c>
      <c r="E77" s="162" t="str">
        <f ca="1"/>
        <v/>
      </c>
      <c r="F77" s="21" t="str">
        <f ca="1"/>
        <v/>
      </c>
      <c r="G77" s="162" t="str">
        <f ca="1"/>
        <v/>
      </c>
      <c r="H77" s="21" t="str">
        <f ca="1"/>
        <v/>
      </c>
    </row>
    <row r="78" spans="1:8" x14ac:dyDescent="0.25">
      <c r="A78" s="164" t="str">
        <f ca="1"/>
        <v/>
      </c>
      <c r="B78" s="21" t="str">
        <f ca="1"/>
        <v/>
      </c>
      <c r="C78" s="162" t="str">
        <f ca="1"/>
        <v/>
      </c>
      <c r="D78" s="21" t="str">
        <f ca="1"/>
        <v>情緒智商</v>
      </c>
      <c r="E78" s="162" t="str">
        <f ca="1"/>
        <v/>
      </c>
      <c r="F78" s="21" t="str">
        <f ca="1"/>
        <v/>
      </c>
      <c r="G78" s="162" t="str">
        <f ca="1"/>
        <v/>
      </c>
      <c r="H78" s="21" t="str">
        <f ca="1"/>
        <v/>
      </c>
    </row>
    <row r="79" spans="1:8" x14ac:dyDescent="0.25">
      <c r="A79" s="164" t="str">
        <f ca="1"/>
        <v/>
      </c>
      <c r="B79" s="21" t="str">
        <f ca="1"/>
        <v/>
      </c>
      <c r="C79" s="162" t="str">
        <f ca="1"/>
        <v/>
      </c>
      <c r="D79" s="21" t="str">
        <f ca="1"/>
        <v>文化意識</v>
      </c>
      <c r="E79" s="162" t="str">
        <f ca="1"/>
        <v/>
      </c>
      <c r="F79" s="21" t="str">
        <f ca="1"/>
        <v/>
      </c>
      <c r="G79" s="162" t="str">
        <f ca="1"/>
        <v/>
      </c>
      <c r="H79" s="21" t="str">
        <f ca="1"/>
        <v/>
      </c>
    </row>
    <row r="80" spans="1:8" x14ac:dyDescent="0.25">
      <c r="A80" s="164" t="str">
        <f ca="1"/>
        <v/>
      </c>
      <c r="B80" s="21" t="str">
        <f ca="1"/>
        <v/>
      </c>
      <c r="C80" s="162" t="str">
        <f ca="1"/>
        <v/>
      </c>
      <c r="D80" s="21" t="str">
        <f ca="1"/>
        <v>政治意識</v>
      </c>
      <c r="E80" s="162" t="str">
        <f ca="1"/>
        <v/>
      </c>
      <c r="F80" s="21" t="str">
        <f ca="1"/>
        <v/>
      </c>
      <c r="G80" s="162" t="str">
        <f ca="1"/>
        <v/>
      </c>
      <c r="H80" s="21" t="str">
        <f ca="1"/>
        <v/>
      </c>
    </row>
    <row r="81" spans="1:8" x14ac:dyDescent="0.25">
      <c r="A81" s="164" t="str">
        <f ca="1"/>
        <v/>
      </c>
      <c r="B81" s="21" t="str">
        <f ca="1"/>
        <v/>
      </c>
      <c r="C81" s="162" t="str">
        <f ca="1"/>
        <v/>
      </c>
      <c r="D81" s="21" t="str">
        <f ca="1"/>
        <v>影響力</v>
      </c>
      <c r="E81" s="162" t="str">
        <f ca="1"/>
        <v/>
      </c>
      <c r="F81" s="21" t="str">
        <f ca="1"/>
        <v/>
      </c>
      <c r="G81" s="162" t="str">
        <f ca="1"/>
        <v/>
      </c>
      <c r="H81" s="21" t="str">
        <f ca="1"/>
        <v/>
      </c>
    </row>
    <row r="82" spans="1:8" x14ac:dyDescent="0.25">
      <c r="A82" s="164" t="str">
        <f ca="1"/>
        <v/>
      </c>
      <c r="B82" s="21" t="str">
        <f ca="1"/>
        <v/>
      </c>
      <c r="C82" s="162" t="str">
        <f ca="1"/>
        <v/>
      </c>
      <c r="D82" s="21" t="str">
        <f ca="1"/>
        <v>領導</v>
      </c>
      <c r="E82" s="162" t="str">
        <f ca="1"/>
        <v/>
      </c>
      <c r="F82" s="21" t="str">
        <f ca="1"/>
        <v/>
      </c>
      <c r="G82" s="162" t="str">
        <f ca="1"/>
        <v/>
      </c>
      <c r="H82" s="21" t="str">
        <f ca="1"/>
        <v/>
      </c>
    </row>
    <row r="83" spans="1:8" x14ac:dyDescent="0.25">
      <c r="A83" s="164" t="str">
        <f ca="1"/>
        <v/>
      </c>
      <c r="B83" s="21" t="str">
        <f ca="1"/>
        <v/>
      </c>
      <c r="C83" s="162" t="str">
        <f ca="1"/>
        <v/>
      </c>
      <c r="D83" s="21" t="str">
        <f ca="1"/>
        <v>動機</v>
      </c>
      <c r="E83" s="162" t="str">
        <f ca="1"/>
        <v/>
      </c>
      <c r="F83" s="21" t="str">
        <f ca="1"/>
        <v/>
      </c>
      <c r="G83" s="162" t="str">
        <f ca="1"/>
        <v/>
      </c>
      <c r="H83" s="21" t="str">
        <f ca="1"/>
        <v/>
      </c>
    </row>
    <row r="84" spans="1:8" x14ac:dyDescent="0.25">
      <c r="A84" s="164" t="str">
        <f ca="1"/>
        <v/>
      </c>
      <c r="B84" s="21" t="str">
        <f ca="1"/>
        <v/>
      </c>
      <c r="C84" s="162" t="str">
        <f ca="1"/>
        <v/>
      </c>
      <c r="D84" s="21" t="str">
        <f ca="1"/>
        <v>協商</v>
      </c>
      <c r="E84" s="162" t="str">
        <f ca="1"/>
        <v/>
      </c>
      <c r="F84" s="21" t="str">
        <f ca="1"/>
        <v/>
      </c>
      <c r="G84" s="162" t="str">
        <f ca="1"/>
        <v/>
      </c>
      <c r="H84" s="21" t="str">
        <f ca="1"/>
        <v/>
      </c>
    </row>
    <row r="85" spans="1:8" x14ac:dyDescent="0.25">
      <c r="A85" s="164" t="str">
        <f ca="1"/>
        <v/>
      </c>
      <c r="B85" s="21" t="str">
        <f ca="1"/>
        <v/>
      </c>
      <c r="C85" s="162" t="str">
        <f ca="1"/>
        <v/>
      </c>
      <c r="D85" s="21" t="str">
        <f ca="1"/>
        <v>人脈建立</v>
      </c>
      <c r="E85" s="162" t="str">
        <f ca="1"/>
        <v/>
      </c>
      <c r="F85" s="21" t="str">
        <f ca="1"/>
        <v/>
      </c>
      <c r="G85" s="162" t="str">
        <f ca="1"/>
        <v/>
      </c>
      <c r="H85" s="21" t="str">
        <f ca="1"/>
        <v/>
      </c>
    </row>
  </sheetData>
  <mergeCells count="230">
    <mergeCell ref="AA60:AD60"/>
    <mergeCell ref="AA61:AD61"/>
    <mergeCell ref="J60:J61"/>
    <mergeCell ref="K60:N60"/>
    <mergeCell ref="O60:R60"/>
    <mergeCell ref="S60:V60"/>
    <mergeCell ref="W60:Z60"/>
    <mergeCell ref="W57:Z57"/>
    <mergeCell ref="AA57:AD57"/>
    <mergeCell ref="J58:J59"/>
    <mergeCell ref="K58:N58"/>
    <mergeCell ref="O58:R58"/>
    <mergeCell ref="S58:V58"/>
    <mergeCell ref="W58:Z58"/>
    <mergeCell ref="AA58:AD58"/>
    <mergeCell ref="K59:N59"/>
    <mergeCell ref="AA59:AD59"/>
    <mergeCell ref="J48:J57"/>
    <mergeCell ref="K57:N57"/>
    <mergeCell ref="S57:V57"/>
    <mergeCell ref="AA55:AD55"/>
    <mergeCell ref="K56:N56"/>
    <mergeCell ref="O56:R56"/>
    <mergeCell ref="S56:V56"/>
    <mergeCell ref="W56:Z56"/>
    <mergeCell ref="AA56:AD56"/>
    <mergeCell ref="AA53:AD53"/>
    <mergeCell ref="K54:N54"/>
    <mergeCell ref="O54:R54"/>
    <mergeCell ref="S54:V54"/>
    <mergeCell ref="W54:Z54"/>
    <mergeCell ref="AA54:AD54"/>
    <mergeCell ref="K53:N53"/>
    <mergeCell ref="S53:V53"/>
    <mergeCell ref="W53:Z53"/>
    <mergeCell ref="K55:N55"/>
    <mergeCell ref="S55:V55"/>
    <mergeCell ref="W55:Z55"/>
    <mergeCell ref="AA51:AD51"/>
    <mergeCell ref="K52:N52"/>
    <mergeCell ref="O52:R52"/>
    <mergeCell ref="S52:V52"/>
    <mergeCell ref="W52:Z52"/>
    <mergeCell ref="AA52:AD52"/>
    <mergeCell ref="AA48:AD48"/>
    <mergeCell ref="K49:N49"/>
    <mergeCell ref="AA49:AD49"/>
    <mergeCell ref="K50:N50"/>
    <mergeCell ref="O50:R50"/>
    <mergeCell ref="S50:V50"/>
    <mergeCell ref="W50:Z50"/>
    <mergeCell ref="AA50:AD50"/>
    <mergeCell ref="K48:N48"/>
    <mergeCell ref="O48:R48"/>
    <mergeCell ref="S48:V48"/>
    <mergeCell ref="W48:Z48"/>
    <mergeCell ref="K51:N51"/>
    <mergeCell ref="S51:V51"/>
    <mergeCell ref="W51:Z51"/>
    <mergeCell ref="AA45:AD45"/>
    <mergeCell ref="J46:J47"/>
    <mergeCell ref="K46:N46"/>
    <mergeCell ref="O46:R46"/>
    <mergeCell ref="S46:V46"/>
    <mergeCell ref="W46:Z46"/>
    <mergeCell ref="AA46:AD46"/>
    <mergeCell ref="K47:N47"/>
    <mergeCell ref="AA47:AD47"/>
    <mergeCell ref="J40:J45"/>
    <mergeCell ref="K45:N45"/>
    <mergeCell ref="O45:R45"/>
    <mergeCell ref="W45:Z45"/>
    <mergeCell ref="AA43:AD43"/>
    <mergeCell ref="K44:N44"/>
    <mergeCell ref="O44:R44"/>
    <mergeCell ref="S44:V44"/>
    <mergeCell ref="W44:Z44"/>
    <mergeCell ref="AA44:AD44"/>
    <mergeCell ref="AA40:AD40"/>
    <mergeCell ref="K41:N41"/>
    <mergeCell ref="AA41:AD41"/>
    <mergeCell ref="K42:N42"/>
    <mergeCell ref="O42:R42"/>
    <mergeCell ref="S42:V42"/>
    <mergeCell ref="W42:Z42"/>
    <mergeCell ref="AA42:AD42"/>
    <mergeCell ref="K40:N40"/>
    <mergeCell ref="O40:R40"/>
    <mergeCell ref="S40:V40"/>
    <mergeCell ref="W40:Z40"/>
    <mergeCell ref="K43:N43"/>
    <mergeCell ref="W43:Z43"/>
    <mergeCell ref="J38:J39"/>
    <mergeCell ref="K38:N38"/>
    <mergeCell ref="O38:R38"/>
    <mergeCell ref="S38:V38"/>
    <mergeCell ref="W38:Z38"/>
    <mergeCell ref="AA38:AD38"/>
    <mergeCell ref="K39:N39"/>
    <mergeCell ref="AA39:AD39"/>
    <mergeCell ref="J32:J37"/>
    <mergeCell ref="K32:N32"/>
    <mergeCell ref="O32:R32"/>
    <mergeCell ref="S32:V32"/>
    <mergeCell ref="W32:Z32"/>
    <mergeCell ref="AA32:AD32"/>
    <mergeCell ref="K33:N33"/>
    <mergeCell ref="S33:V33"/>
    <mergeCell ref="AA33:AD33"/>
    <mergeCell ref="K34:N34"/>
    <mergeCell ref="O34:R34"/>
    <mergeCell ref="S34:V34"/>
    <mergeCell ref="K36:N36"/>
    <mergeCell ref="K37:N37"/>
    <mergeCell ref="O36:R36"/>
    <mergeCell ref="S36:V36"/>
    <mergeCell ref="K30:N30"/>
    <mergeCell ref="O30:R30"/>
    <mergeCell ref="S30:V30"/>
    <mergeCell ref="W30:Z30"/>
    <mergeCell ref="AA30:AD30"/>
    <mergeCell ref="K31:N31"/>
    <mergeCell ref="S31:V31"/>
    <mergeCell ref="W31:Z31"/>
    <mergeCell ref="AA31:AD31"/>
    <mergeCell ref="W36:Z36"/>
    <mergeCell ref="AA36:AD36"/>
    <mergeCell ref="W34:Z34"/>
    <mergeCell ref="AA34:AD34"/>
    <mergeCell ref="K35:N35"/>
    <mergeCell ref="S35:V35"/>
    <mergeCell ref="W35:Z35"/>
    <mergeCell ref="AA35:AD35"/>
    <mergeCell ref="S37:V37"/>
    <mergeCell ref="W37:Z37"/>
    <mergeCell ref="AA37:AD37"/>
    <mergeCell ref="K28:N28"/>
    <mergeCell ref="O28:R28"/>
    <mergeCell ref="S28:V28"/>
    <mergeCell ref="W28:Z28"/>
    <mergeCell ref="AA28:AD28"/>
    <mergeCell ref="K29:N29"/>
    <mergeCell ref="S29:V29"/>
    <mergeCell ref="W29:Z29"/>
    <mergeCell ref="AA29:AD29"/>
    <mergeCell ref="AA26:AD26"/>
    <mergeCell ref="W24:Z24"/>
    <mergeCell ref="AA24:AD24"/>
    <mergeCell ref="K25:N25"/>
    <mergeCell ref="S25:V25"/>
    <mergeCell ref="W25:Z25"/>
    <mergeCell ref="AA25:AD25"/>
    <mergeCell ref="K27:N27"/>
    <mergeCell ref="S27:V27"/>
    <mergeCell ref="W27:Z27"/>
    <mergeCell ref="AA27:AD27"/>
    <mergeCell ref="K21:N21"/>
    <mergeCell ref="S21:V21"/>
    <mergeCell ref="W21:Z21"/>
    <mergeCell ref="AA21:AD21"/>
    <mergeCell ref="J22:J31"/>
    <mergeCell ref="K22:N22"/>
    <mergeCell ref="O22:R22"/>
    <mergeCell ref="S22:V22"/>
    <mergeCell ref="W22:Z22"/>
    <mergeCell ref="AA22:AD22"/>
    <mergeCell ref="K23:N23"/>
    <mergeCell ref="S23:V23"/>
    <mergeCell ref="AA23:AD23"/>
    <mergeCell ref="K24:N24"/>
    <mergeCell ref="O24:R24"/>
    <mergeCell ref="S24:V24"/>
    <mergeCell ref="J14:J21"/>
    <mergeCell ref="K14:N14"/>
    <mergeCell ref="O14:R14"/>
    <mergeCell ref="S14:V14"/>
    <mergeCell ref="K26:N26"/>
    <mergeCell ref="O26:R26"/>
    <mergeCell ref="S26:V26"/>
    <mergeCell ref="W26:Z26"/>
    <mergeCell ref="K19:N19"/>
    <mergeCell ref="S19:V19"/>
    <mergeCell ref="W19:Z19"/>
    <mergeCell ref="AA19:AD19"/>
    <mergeCell ref="K20:N20"/>
    <mergeCell ref="O20:R20"/>
    <mergeCell ref="S20:V20"/>
    <mergeCell ref="W20:Z20"/>
    <mergeCell ref="AA20:AD20"/>
    <mergeCell ref="AA13:AD13"/>
    <mergeCell ref="K9:N9"/>
    <mergeCell ref="O9:R9"/>
    <mergeCell ref="S9:V9"/>
    <mergeCell ref="K18:N18"/>
    <mergeCell ref="O18:R18"/>
    <mergeCell ref="S18:V18"/>
    <mergeCell ref="W18:Z18"/>
    <mergeCell ref="AA18:AD18"/>
    <mergeCell ref="O16:R16"/>
    <mergeCell ref="S16:V16"/>
    <mergeCell ref="W16:Z16"/>
    <mergeCell ref="AA16:AD16"/>
    <mergeCell ref="K17:N17"/>
    <mergeCell ref="S17:V17"/>
    <mergeCell ref="AA17:AD17"/>
    <mergeCell ref="K16:N16"/>
    <mergeCell ref="A9:B9"/>
    <mergeCell ref="C9:D9"/>
    <mergeCell ref="E9:F9"/>
    <mergeCell ref="G9:H9"/>
    <mergeCell ref="W14:Z14"/>
    <mergeCell ref="AA14:AD14"/>
    <mergeCell ref="K15:N15"/>
    <mergeCell ref="S15:V15"/>
    <mergeCell ref="AA15:AD15"/>
    <mergeCell ref="W9:Z9"/>
    <mergeCell ref="AA9:AD9"/>
    <mergeCell ref="J10:J13"/>
    <mergeCell ref="K10:N10"/>
    <mergeCell ref="O10:R10"/>
    <mergeCell ref="S10:V10"/>
    <mergeCell ref="W10:Z10"/>
    <mergeCell ref="AA10:AD10"/>
    <mergeCell ref="K12:N12"/>
    <mergeCell ref="O12:R12"/>
    <mergeCell ref="S12:V12"/>
    <mergeCell ref="W12:Z12"/>
    <mergeCell ref="AA12:AD12"/>
    <mergeCell ref="K13:N13"/>
    <mergeCell ref="O13:R13"/>
  </mergeCells>
  <phoneticPr fontId="3" type="noConversion"/>
  <conditionalFormatting sqref="A10:H29">
    <cfRule type="expression" dxfId="88" priority="12">
      <formula>A10="採購相關文件"</formula>
    </cfRule>
    <cfRule type="expression" dxfId="87" priority="13">
      <formula>A10="商業文件"</formula>
    </cfRule>
    <cfRule type="expression" dxfId="86" priority="15">
      <formula>A10="專案文件"</formula>
    </cfRule>
  </conditionalFormatting>
  <conditionalFormatting sqref="C10:C74">
    <cfRule type="expression" dxfId="85" priority="6">
      <formula>C10="人際關係與團隊技巧"</formula>
    </cfRule>
    <cfRule type="expression" dxfId="84" priority="7">
      <formula>C10="溝通技巧工具"</formula>
    </cfRule>
    <cfRule type="expression" dxfId="83" priority="8">
      <formula>C10="決策制定工具"</formula>
    </cfRule>
    <cfRule type="expression" dxfId="82" priority="9">
      <formula>C10="資料呈現工具"</formula>
    </cfRule>
    <cfRule type="expression" dxfId="81" priority="10">
      <formula>C10="資料分析工具"</formula>
    </cfRule>
    <cfRule type="expression" dxfId="80" priority="11">
      <formula>C10="資料蒐集工具"</formula>
    </cfRule>
  </conditionalFormatting>
  <conditionalFormatting sqref="K11:AD61">
    <cfRule type="expression" dxfId="79" priority="5">
      <formula>FIND(IF(K10="","八七",K10),s01d_查找_投入)</formula>
    </cfRule>
  </conditionalFormatting>
  <conditionalFormatting sqref="L11:AD61">
    <cfRule type="expression" dxfId="78" priority="4">
      <formula>FIND(IF(K10="","八七",K10),s01_工具_組件)</formula>
    </cfRule>
  </conditionalFormatting>
  <conditionalFormatting sqref="M11:AD61">
    <cfRule type="expression" dxfId="77" priority="3">
      <formula>FIND(IF(K10="","八七",K10),s01d_查找_產出)</formula>
    </cfRule>
  </conditionalFormatting>
  <conditionalFormatting sqref="N11:AD61">
    <cfRule type="expression" dxfId="76" priority="2">
      <formula>FIND(IF(K10="","八七",K10),s01d_查找_更新)</formula>
    </cfRule>
  </conditionalFormatting>
  <conditionalFormatting sqref="K10:AD61">
    <cfRule type="expression" dxfId="75" priority="1">
      <formula>FIND(IF(K10="","八七",K10),s01d_查找全)</formula>
    </cfRule>
  </conditionalFormatting>
  <conditionalFormatting sqref="A10:H64">
    <cfRule type="expression" dxfId="74" priority="136">
      <formula>MATCH(A10,i01_清單採購相關文件,0)+(A10="採購相關文件")</formula>
    </cfRule>
    <cfRule type="expression" dxfId="73" priority="137">
      <formula>MATCH(A10,i01_清單商業文件,0)</formula>
    </cfRule>
    <cfRule type="expression" dxfId="72" priority="138">
      <formula>MATCH(A10,i01_清單專案文件,0)</formula>
    </cfRule>
    <cfRule type="expression" dxfId="71" priority="139">
      <formula>MATCH(A10,i01_清單專案管理計畫書,0)</formula>
    </cfRule>
  </conditionalFormatting>
  <dataValidations count="6">
    <dataValidation type="list" allowBlank="1" showInputMessage="1" sqref="C4">
      <formula1>IF(s01_工具1&lt;&gt;"",i01_工具與技術元件選單,i01_清單工具與技術元件)</formula1>
    </dataValidation>
    <dataValidation type="list" allowBlank="1" showInputMessage="1" showErrorMessage="1" sqref="C2">
      <formula1>IF(s01_查找1&lt;&gt;"",i01_投入與產出元件選單,i01_清單投入與產出元件)</formula1>
    </dataValidation>
    <dataValidation type="list" allowBlank="1" showInputMessage="1" showErrorMessage="1" sqref="A8">
      <formula1>s01_過程組清單</formula1>
    </dataValidation>
    <dataValidation type="list" allowBlank="1" showInputMessage="1" showErrorMessage="1" sqref="C7">
      <formula1>s01_程序清單</formula1>
    </dataValidation>
    <dataValidation type="list" allowBlank="1" showInputMessage="1" showErrorMessage="1" sqref="B7">
      <formula1>IF(s01_查詢程序&lt;&gt;"",INDEX(i01_過程組知識領域,MATCH(s01_查詢程序,i01_清單過程組,0)),s01_知識領域清單)</formula1>
    </dataValidation>
    <dataValidation type="list" allowBlank="1" showInputMessage="1" showErrorMessage="1" sqref="A7">
      <formula1>IF(s01_查詢程序&lt;&gt;"",INDEX(i01_過程組過程,MATCH(s01_查詢程序,i01_清單過程組,0)),s01_過程組清單)</formula1>
    </dataValidation>
  </dataValidations>
  <hyperlinks>
    <hyperlink ref="K10:N10" location="'a02'!B2" display="發展專案章程"/>
    <hyperlink ref="O10:R10" location="'a02'!J2" display="發展專案管理計畫書"/>
    <hyperlink ref="S10:V10" location="'a02'!R2" display="指導與管理專案工作"/>
    <hyperlink ref="W10:Z10" location="'a02'!Z2" display="監視與管制專案工作"/>
    <hyperlink ref="AA10:AD10" location="'a02'!AH2" display="結束專案或階段"/>
    <hyperlink ref="S12:V12" location="'a02'!R16" display="管理專案知識"/>
    <hyperlink ref="W12:Z12" location="'a02'!Z19" display="進行整合變更管制"/>
    <hyperlink ref="O14:R14" location="'a02'!J33" display="規劃範疇管理"/>
    <hyperlink ref="W14:Z14" location="'a02'!Z33" display="確認範疇"/>
    <hyperlink ref="O16:R16" location="'a02'!J41" display="蒐集需求"/>
    <hyperlink ref="W16:Z16" location="'a02'!Z44" display="管制範疇"/>
    <hyperlink ref="O18:R18" location="'a02'!J59" display="定義範疇"/>
    <hyperlink ref="O20:R20" location="'a02'!J68" display="建立工作分解結構"/>
    <hyperlink ref="O22:R22" location="'a02'!J75" display="規劃時程管理"/>
    <hyperlink ref="W22:Z22" location="'a02'!Z75" display="管制時程"/>
    <hyperlink ref="O24:R24" location="'a02'!J82" display="定義活動"/>
    <hyperlink ref="O26:R26" location="'a02'!J88" display="排序活動"/>
    <hyperlink ref="O28:R28" location="'a02'!J98" display="估算活動期程"/>
    <hyperlink ref="O30:R30" location="'a02'!J114" display="發展時程"/>
    <hyperlink ref="O32:R32" location="'a02'!J133" display="規劃成本管理"/>
    <hyperlink ref="W32:Z32" location="'a02'!Z133" display="管制成本"/>
    <hyperlink ref="O34:R34" location="'a02'!J140" display="估算成本"/>
    <hyperlink ref="O36:R36" location="'a02'!J152" display="決定預算"/>
    <hyperlink ref="O38:R38" location="'a02'!J166" display="規劃品質管理"/>
    <hyperlink ref="S38:V38" location="'a02'!R166" display="管理品質"/>
    <hyperlink ref="W38:Z38" location="'a02'!Z166" display="管制品質"/>
    <hyperlink ref="O40:R40" location="'a02'!J184" display="規劃資源管理"/>
    <hyperlink ref="S40:V40" location="'a02'!R184" display="獲得資源"/>
    <hyperlink ref="W40:Z40" location="'a02'!Z184" display="管制資源"/>
    <hyperlink ref="O42:R42" location="'a02'!J197" display="估算活動資源"/>
    <hyperlink ref="S42:V42" location="'a02'!R197" display="發展團隊"/>
    <hyperlink ref="S44:V44" location="'a02'!R211" display="管理團隊"/>
    <hyperlink ref="O46:R46" location="'a02'!J222" display="規劃溝通管理"/>
    <hyperlink ref="S46:V46" location="'a02'!R222" display="管理溝通"/>
    <hyperlink ref="W46:Z46" location="'a02'!Z222" display="監視溝通"/>
    <hyperlink ref="O48:R48" location="'a02'!J239" display="規劃風險管理"/>
    <hyperlink ref="S48:V48" location="'a02'!R239" display="實施風險回應"/>
    <hyperlink ref="W48:Z48" location="'a02'!Z239" display="監視風險"/>
    <hyperlink ref="O50:R50" location="'a02'!J246" display="辨識風險"/>
    <hyperlink ref="O52:R52" location="'a02'!J269" display="進行定性風險分析"/>
    <hyperlink ref="O54:R54" location="'a02'!J281" display="進行定量風險分析"/>
    <hyperlink ref="O56:R56" location="'a02'!J299" display="規劃風險回應"/>
    <hyperlink ref="O58:R58" location="'a02'!J316" display="規劃採購管理"/>
    <hyperlink ref="S58:V58" location="'a02'!R316" display="執行採購"/>
    <hyperlink ref="W58:Z58" location="'a02'!Z316" display="管制採購"/>
    <hyperlink ref="K60:N60" location="'a02'!B337" display="辨識利害關係人"/>
    <hyperlink ref="O60:R60" location="'a02'!J337" display="規劃利害關係人參與"/>
    <hyperlink ref="S60:V60" location="'a02'!R337" display="管理利害關係人參與"/>
    <hyperlink ref="W60:Z60" location="'a02'!Z337" display="監視利害關係人參與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CD7979C2-830A-4919-964D-2D7230848847}">
            <xm:f>MATCH(D10,'m01'!$B$212:$B$228,0)</xm:f>
            <x14:dxf>
              <font>
                <color theme="4" tint="-0.24994659260841701"/>
              </font>
            </x14:dxf>
          </x14:cfRule>
          <x14:cfRule type="expression" priority="17" id="{F8BAB94E-BB5A-448C-BE5C-E592D592C439}">
            <xm:f>MATCH(D10,'m01'!$B$208:$B$211,0)</xm:f>
            <x14:dxf>
              <font>
                <color theme="5" tint="-0.24994659260841701"/>
              </font>
            </x14:dxf>
          </x14:cfRule>
          <x14:cfRule type="expression" priority="18" id="{D407DB1F-26F6-4F6D-BE83-949CB1F52400}">
            <xm:f>MATCH(D10,'m01'!$B$204:$B$207,0)</xm:f>
            <x14:dxf>
              <font>
                <color rgb="FF7030A0"/>
              </font>
            </x14:dxf>
          </x14:cfRule>
          <x14:cfRule type="expression" priority="21" id="{6D505730-DDD7-4474-8613-204BED70301A}">
            <xm:f>MATCH(D10,'m01'!$B$189:$B$203,0)</xm:f>
            <x14:dxf>
              <font>
                <color rgb="FFFF0000"/>
              </font>
            </x14:dxf>
          </x14:cfRule>
          <x14:cfRule type="expression" priority="22" id="{3ED5D430-69C5-41F2-A411-7384099091E8}">
            <xm:f>MATCH(D10,'m01'!$B$162:$B$188,0)</xm:f>
            <x14:dxf>
              <font>
                <color rgb="FF00B0F0"/>
              </font>
            </x14:dxf>
          </x14:cfRule>
          <x14:cfRule type="expression" priority="23" id="{FBC8D852-FE28-4F99-93E1-600BC9DD0F37}">
            <xm:f>MATCH(D10,'m01'!$B$153:$B$161,0)</xm:f>
            <x14:dxf>
              <font>
                <color rgb="FF00B050"/>
              </font>
            </x14:dxf>
          </x14:cfRule>
          <xm:sqref>D10:D85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IF(s01_工具2&lt;&gt;"",OFFSET('i01'!$U$1,MATCH(s01_工具2,i01_清單工具與技術元件,0),),i01_清單工具與技術)</xm:f>
          </x14:formula1>
          <xm:sqref>B4</xm:sqref>
        </x14:dataValidation>
        <x14:dataValidation type="list" allowBlank="1" showInputMessage="1">
          <x14:formula1>
            <xm:f>IF(s01_查找2&lt;&gt;"",OFFSET('i01'!$N$1,MATCH(s01_查找2,i01_清單投入與產出元件,0),),i01_清單投入與產出)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fitToPage="1"/>
  </sheetPr>
  <dimension ref="A1:F27"/>
  <sheetViews>
    <sheetView zoomScale="25" zoomScaleNormal="2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6" sqref="T16"/>
    </sheetView>
  </sheetViews>
  <sheetFormatPr defaultColWidth="9" defaultRowHeight="16.5" x14ac:dyDescent="0.25"/>
  <cols>
    <col min="1" max="1" width="30.625" style="84" customWidth="1"/>
    <col min="2" max="6" width="62.375" style="85" customWidth="1"/>
    <col min="7" max="16384" width="9" style="85"/>
  </cols>
  <sheetData>
    <row r="1" spans="1:6" s="66" customFormat="1" ht="80.099999999999994" customHeight="1" x14ac:dyDescent="0.25">
      <c r="A1" s="14"/>
      <c r="B1" s="80" t="s">
        <v>2</v>
      </c>
      <c r="C1" s="80" t="s">
        <v>3</v>
      </c>
      <c r="D1" s="80" t="s">
        <v>4</v>
      </c>
      <c r="E1" s="80" t="s">
        <v>296</v>
      </c>
      <c r="F1" s="81" t="s">
        <v>6</v>
      </c>
    </row>
    <row r="2" spans="1:6" s="66" customFormat="1" ht="50.25" x14ac:dyDescent="0.25">
      <c r="A2" s="211" t="s">
        <v>1705</v>
      </c>
      <c r="B2" s="141" t="s">
        <v>67</v>
      </c>
      <c r="C2" s="141" t="s">
        <v>920</v>
      </c>
      <c r="D2" s="141" t="s">
        <v>1383</v>
      </c>
      <c r="E2" s="141" t="s">
        <v>98</v>
      </c>
      <c r="F2" s="142" t="s">
        <v>1384</v>
      </c>
    </row>
    <row r="3" spans="1:6" customFormat="1" ht="50.25" x14ac:dyDescent="0.25">
      <c r="A3" s="211"/>
      <c r="B3" s="143"/>
      <c r="C3" s="143"/>
      <c r="D3" s="144" t="s">
        <v>1385</v>
      </c>
      <c r="E3" s="144" t="s">
        <v>1386</v>
      </c>
      <c r="F3" s="145"/>
    </row>
    <row r="4" spans="1:6" s="66" customFormat="1" ht="50.25" x14ac:dyDescent="0.25">
      <c r="A4" s="211" t="s">
        <v>1706</v>
      </c>
      <c r="B4" s="146"/>
      <c r="C4" s="141" t="s">
        <v>1387</v>
      </c>
      <c r="D4" s="146"/>
      <c r="E4" s="141" t="s">
        <v>1388</v>
      </c>
      <c r="F4" s="147"/>
    </row>
    <row r="5" spans="1:6" s="66" customFormat="1" ht="50.25" x14ac:dyDescent="0.25">
      <c r="A5" s="211"/>
      <c r="B5" s="148"/>
      <c r="C5" s="149" t="s">
        <v>177</v>
      </c>
      <c r="D5" s="148"/>
      <c r="E5" s="149" t="s">
        <v>101</v>
      </c>
      <c r="F5" s="150"/>
    </row>
    <row r="6" spans="1:6" s="66" customFormat="1" ht="50.25" x14ac:dyDescent="0.25">
      <c r="A6" s="211"/>
      <c r="B6" s="148"/>
      <c r="C6" s="149" t="s">
        <v>1142</v>
      </c>
      <c r="D6" s="148"/>
      <c r="E6" s="148"/>
      <c r="F6" s="150"/>
    </row>
    <row r="7" spans="1:6" s="66" customFormat="1" ht="50.25" x14ac:dyDescent="0.25">
      <c r="A7" s="211"/>
      <c r="B7" s="143"/>
      <c r="C7" s="144" t="s">
        <v>1143</v>
      </c>
      <c r="D7" s="143"/>
      <c r="E7" s="143"/>
      <c r="F7" s="145"/>
    </row>
    <row r="8" spans="1:6" s="66" customFormat="1" ht="50.25" x14ac:dyDescent="0.25">
      <c r="A8" s="211" t="s">
        <v>1707</v>
      </c>
      <c r="B8" s="146"/>
      <c r="C8" s="141" t="s">
        <v>1144</v>
      </c>
      <c r="D8" s="146"/>
      <c r="E8" s="141" t="s">
        <v>102</v>
      </c>
      <c r="F8" s="147"/>
    </row>
    <row r="9" spans="1:6" s="66" customFormat="1" ht="50.25" x14ac:dyDescent="0.25">
      <c r="A9" s="211"/>
      <c r="B9" s="148"/>
      <c r="C9" s="149" t="s">
        <v>72</v>
      </c>
      <c r="D9" s="148"/>
      <c r="E9" s="148"/>
      <c r="F9" s="150"/>
    </row>
    <row r="10" spans="1:6" s="66" customFormat="1" ht="50.25" x14ac:dyDescent="0.25">
      <c r="A10" s="211"/>
      <c r="B10" s="148"/>
      <c r="C10" s="149" t="s">
        <v>1146</v>
      </c>
      <c r="D10" s="148"/>
      <c r="E10" s="148"/>
      <c r="F10" s="150"/>
    </row>
    <row r="11" spans="1:6" s="66" customFormat="1" ht="50.25" x14ac:dyDescent="0.25">
      <c r="A11" s="211"/>
      <c r="B11" s="148"/>
      <c r="C11" s="149" t="s">
        <v>1147</v>
      </c>
      <c r="D11" s="148"/>
      <c r="E11" s="148"/>
      <c r="F11" s="150"/>
    </row>
    <row r="12" spans="1:6" s="66" customFormat="1" ht="50.25" x14ac:dyDescent="0.25">
      <c r="A12" s="211"/>
      <c r="B12" s="143"/>
      <c r="C12" s="144" t="s">
        <v>1389</v>
      </c>
      <c r="D12" s="143"/>
      <c r="E12" s="143"/>
      <c r="F12" s="145"/>
    </row>
    <row r="13" spans="1:6" s="66" customFormat="1" ht="50.25" x14ac:dyDescent="0.25">
      <c r="A13" s="211" t="s">
        <v>1708</v>
      </c>
      <c r="B13" s="146"/>
      <c r="C13" s="141" t="s">
        <v>1390</v>
      </c>
      <c r="D13" s="146"/>
      <c r="E13" s="141" t="s">
        <v>103</v>
      </c>
      <c r="F13" s="147"/>
    </row>
    <row r="14" spans="1:6" s="66" customFormat="1" ht="50.25" x14ac:dyDescent="0.25">
      <c r="A14" s="211"/>
      <c r="B14" s="148"/>
      <c r="C14" s="149" t="s">
        <v>1391</v>
      </c>
      <c r="D14" s="148"/>
      <c r="E14" s="148"/>
      <c r="F14" s="150"/>
    </row>
    <row r="15" spans="1:6" s="66" customFormat="1" ht="50.25" x14ac:dyDescent="0.25">
      <c r="A15" s="211"/>
      <c r="B15" s="143"/>
      <c r="C15" s="144" t="s">
        <v>1392</v>
      </c>
      <c r="D15" s="143"/>
      <c r="E15" s="143"/>
      <c r="F15" s="145"/>
    </row>
    <row r="16" spans="1:6" s="66" customFormat="1" ht="67.5" x14ac:dyDescent="0.25">
      <c r="A16" s="86" t="s">
        <v>1709</v>
      </c>
      <c r="B16" s="151"/>
      <c r="C16" s="152" t="s">
        <v>1393</v>
      </c>
      <c r="D16" s="152" t="s">
        <v>91</v>
      </c>
      <c r="E16" s="152" t="s">
        <v>178</v>
      </c>
      <c r="F16" s="153"/>
    </row>
    <row r="17" spans="1:6" s="66" customFormat="1" ht="50.25" x14ac:dyDescent="0.25">
      <c r="A17" s="211" t="s">
        <v>1710</v>
      </c>
      <c r="B17" s="146"/>
      <c r="C17" s="141" t="s">
        <v>1394</v>
      </c>
      <c r="D17" s="141" t="s">
        <v>1395</v>
      </c>
      <c r="E17" s="141" t="s">
        <v>104</v>
      </c>
      <c r="F17" s="147"/>
    </row>
    <row r="18" spans="1:6" s="66" customFormat="1" ht="50.25" x14ac:dyDescent="0.25">
      <c r="A18" s="211"/>
      <c r="B18" s="148"/>
      <c r="C18" s="149" t="s">
        <v>1149</v>
      </c>
      <c r="D18" s="149" t="s">
        <v>1396</v>
      </c>
      <c r="E18" s="148"/>
      <c r="F18" s="150"/>
    </row>
    <row r="19" spans="1:6" customFormat="1" ht="50.25" x14ac:dyDescent="0.25">
      <c r="A19" s="211"/>
      <c r="B19" s="143"/>
      <c r="C19" s="143"/>
      <c r="D19" s="144" t="s">
        <v>1397</v>
      </c>
      <c r="E19" s="143"/>
      <c r="F19" s="145"/>
    </row>
    <row r="20" spans="1:6" s="66" customFormat="1" ht="67.5" x14ac:dyDescent="0.25">
      <c r="A20" s="86" t="s">
        <v>1711</v>
      </c>
      <c r="B20" s="151"/>
      <c r="C20" s="152" t="s">
        <v>924</v>
      </c>
      <c r="D20" s="152" t="s">
        <v>925</v>
      </c>
      <c r="E20" s="152" t="s">
        <v>1398</v>
      </c>
      <c r="F20" s="153"/>
    </row>
    <row r="21" spans="1:6" s="66" customFormat="1" ht="50.25" x14ac:dyDescent="0.25">
      <c r="A21" s="211" t="s">
        <v>1713</v>
      </c>
      <c r="B21" s="146"/>
      <c r="C21" s="141" t="s">
        <v>926</v>
      </c>
      <c r="D21" s="141" t="s">
        <v>927</v>
      </c>
      <c r="E21" s="141" t="s">
        <v>106</v>
      </c>
      <c r="F21" s="147"/>
    </row>
    <row r="22" spans="1:6" s="66" customFormat="1" ht="50.25" x14ac:dyDescent="0.25">
      <c r="A22" s="211"/>
      <c r="B22" s="148"/>
      <c r="C22" s="149" t="s">
        <v>84</v>
      </c>
      <c r="D22" s="148"/>
      <c r="E22" s="148"/>
      <c r="F22" s="150"/>
    </row>
    <row r="23" spans="1:6" s="66" customFormat="1" ht="50.25" x14ac:dyDescent="0.25">
      <c r="A23" s="211"/>
      <c r="B23" s="148"/>
      <c r="C23" s="149" t="s">
        <v>1152</v>
      </c>
      <c r="D23" s="148"/>
      <c r="E23" s="148"/>
      <c r="F23" s="150"/>
    </row>
    <row r="24" spans="1:6" s="66" customFormat="1" ht="50.25" x14ac:dyDescent="0.25">
      <c r="A24" s="211"/>
      <c r="B24" s="148"/>
      <c r="C24" s="149" t="s">
        <v>86</v>
      </c>
      <c r="D24" s="148"/>
      <c r="E24" s="148"/>
      <c r="F24" s="150"/>
    </row>
    <row r="25" spans="1:6" s="66" customFormat="1" ht="50.25" x14ac:dyDescent="0.25">
      <c r="A25" s="211"/>
      <c r="B25" s="143"/>
      <c r="C25" s="144" t="s">
        <v>929</v>
      </c>
      <c r="D25" s="143"/>
      <c r="E25" s="143"/>
      <c r="F25" s="145"/>
    </row>
    <row r="26" spans="1:6" s="66" customFormat="1" ht="67.5" x14ac:dyDescent="0.25">
      <c r="A26" s="86" t="s">
        <v>1712</v>
      </c>
      <c r="B26" s="151"/>
      <c r="C26" s="152" t="s">
        <v>1399</v>
      </c>
      <c r="D26" s="152" t="s">
        <v>1400</v>
      </c>
      <c r="E26" s="152" t="s">
        <v>1401</v>
      </c>
      <c r="F26" s="153"/>
    </row>
    <row r="27" spans="1:6" s="66" customFormat="1" ht="100.5" x14ac:dyDescent="0.25">
      <c r="A27" s="87" t="s">
        <v>1714</v>
      </c>
      <c r="B27" s="152" t="s">
        <v>179</v>
      </c>
      <c r="C27" s="152" t="s">
        <v>174</v>
      </c>
      <c r="D27" s="152" t="s">
        <v>175</v>
      </c>
      <c r="E27" s="152" t="s">
        <v>176</v>
      </c>
      <c r="F27" s="153"/>
    </row>
  </sheetData>
  <mergeCells count="6">
    <mergeCell ref="A4:A7"/>
    <mergeCell ref="A2:A3"/>
    <mergeCell ref="A13:A15"/>
    <mergeCell ref="A8:A12"/>
    <mergeCell ref="A21:A25"/>
    <mergeCell ref="A17:A19"/>
  </mergeCells>
  <phoneticPr fontId="3" type="noConversion"/>
  <conditionalFormatting sqref="B2:F27">
    <cfRule type="expression" dxfId="64" priority="1">
      <formula>FIND(IF(B2="","八七",B2),s01d_查找全)</formula>
    </cfRule>
  </conditionalFormatting>
  <dataValidations count="2">
    <dataValidation type="list" allowBlank="1" showInputMessage="1" showErrorMessage="1" sqref="F2:F1048576 C2:C1048576 B2:B1048576 E2:E1048576 D2:D1048576">
      <formula1>i01_清單投入與產出</formula1>
    </dataValidation>
    <dataValidation type="list" allowBlank="1" showInputMessage="1" showErrorMessage="1" sqref="A1:XFD1">
      <formula1>i01_清單知識領域</formula1>
    </dataValidation>
  </dataValidation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40" fitToWidth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U53"/>
  <sheetViews>
    <sheetView zoomScale="25" zoomScaleNormal="2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E2"/>
    </sheetView>
  </sheetViews>
  <sheetFormatPr defaultColWidth="9" defaultRowHeight="16.5" x14ac:dyDescent="0.25"/>
  <cols>
    <col min="1" max="1" width="20.625" style="84" customWidth="1"/>
    <col min="2" max="21" width="15.625" style="84" customWidth="1"/>
    <col min="22" max="24" width="9" style="85"/>
    <col min="25" max="25" width="10.125" style="85" bestFit="1" customWidth="1"/>
    <col min="26" max="16384" width="9" style="85"/>
  </cols>
  <sheetData>
    <row r="1" spans="1:21" s="83" customFormat="1" ht="75.75" customHeight="1" x14ac:dyDescent="0.25">
      <c r="A1" s="14"/>
      <c r="B1" s="217" t="s">
        <v>2</v>
      </c>
      <c r="C1" s="217"/>
      <c r="D1" s="217"/>
      <c r="E1" s="217"/>
      <c r="F1" s="217" t="s">
        <v>3</v>
      </c>
      <c r="G1" s="217"/>
      <c r="H1" s="217"/>
      <c r="I1" s="217"/>
      <c r="J1" s="217" t="s">
        <v>4</v>
      </c>
      <c r="K1" s="217"/>
      <c r="L1" s="217"/>
      <c r="M1" s="217"/>
      <c r="N1" s="217" t="s">
        <v>296</v>
      </c>
      <c r="O1" s="217"/>
      <c r="P1" s="217"/>
      <c r="Q1" s="217"/>
      <c r="R1" s="217" t="s">
        <v>6</v>
      </c>
      <c r="S1" s="217"/>
      <c r="T1" s="217"/>
      <c r="U1" s="217"/>
    </row>
    <row r="2" spans="1:21" s="83" customFormat="1" ht="54.95" customHeight="1" thickBot="1" x14ac:dyDescent="0.3">
      <c r="A2" s="221" t="s">
        <v>274</v>
      </c>
      <c r="B2" s="218" t="s">
        <v>67</v>
      </c>
      <c r="C2" s="219"/>
      <c r="D2" s="219"/>
      <c r="E2" s="220"/>
      <c r="F2" s="218" t="s">
        <v>920</v>
      </c>
      <c r="G2" s="219"/>
      <c r="H2" s="219"/>
      <c r="I2" s="220"/>
      <c r="J2" s="216" t="s">
        <v>1411</v>
      </c>
      <c r="K2" s="216"/>
      <c r="L2" s="216"/>
      <c r="M2" s="216"/>
      <c r="N2" s="216" t="s">
        <v>1412</v>
      </c>
      <c r="O2" s="216"/>
      <c r="P2" s="216"/>
      <c r="Q2" s="216"/>
      <c r="R2" s="216" t="s">
        <v>1413</v>
      </c>
      <c r="S2" s="216"/>
      <c r="T2" s="216"/>
      <c r="U2" s="216"/>
    </row>
    <row r="3" spans="1:21" s="89" customFormat="1" ht="54.95" customHeight="1" thickTop="1" x14ac:dyDescent="0.25">
      <c r="A3" s="221"/>
      <c r="B3" s="88" t="s">
        <v>1436</v>
      </c>
      <c r="C3" s="88" t="s">
        <v>1433</v>
      </c>
      <c r="D3" s="88" t="s">
        <v>1434</v>
      </c>
      <c r="E3" s="88" t="s">
        <v>1435</v>
      </c>
      <c r="F3" s="88" t="s">
        <v>1436</v>
      </c>
      <c r="G3" s="88" t="s">
        <v>1433</v>
      </c>
      <c r="H3" s="88" t="s">
        <v>1434</v>
      </c>
      <c r="I3" s="88" t="s">
        <v>1435</v>
      </c>
      <c r="J3" s="88" t="s">
        <v>1436</v>
      </c>
      <c r="K3" s="88" t="s">
        <v>1433</v>
      </c>
      <c r="L3" s="88" t="s">
        <v>1434</v>
      </c>
      <c r="M3" s="88" t="s">
        <v>1435</v>
      </c>
      <c r="N3" s="88" t="s">
        <v>1436</v>
      </c>
      <c r="O3" s="88" t="s">
        <v>1433</v>
      </c>
      <c r="P3" s="88" t="s">
        <v>1434</v>
      </c>
      <c r="Q3" s="88" t="s">
        <v>1435</v>
      </c>
      <c r="R3" s="88" t="s">
        <v>1436</v>
      </c>
      <c r="S3" s="88" t="s">
        <v>1433</v>
      </c>
      <c r="T3" s="88" t="s">
        <v>1434</v>
      </c>
      <c r="U3" s="88" t="s">
        <v>1435</v>
      </c>
    </row>
    <row r="4" spans="1:21" customFormat="1" ht="54.95" customHeight="1" thickBot="1" x14ac:dyDescent="0.3">
      <c r="A4" s="221"/>
      <c r="B4" s="213"/>
      <c r="C4" s="213"/>
      <c r="D4" s="213"/>
      <c r="E4" s="213"/>
      <c r="F4" s="213"/>
      <c r="G4" s="213"/>
      <c r="H4" s="213"/>
      <c r="I4" s="213"/>
      <c r="J4" s="216" t="s">
        <v>1414</v>
      </c>
      <c r="K4" s="216"/>
      <c r="L4" s="216"/>
      <c r="M4" s="216"/>
      <c r="N4" s="216" t="s">
        <v>99</v>
      </c>
      <c r="O4" s="216"/>
      <c r="P4" s="216"/>
      <c r="Q4" s="216"/>
      <c r="R4" s="213"/>
      <c r="S4" s="213"/>
      <c r="T4" s="213"/>
      <c r="U4" s="213"/>
    </row>
    <row r="5" spans="1:21" s="90" customFormat="1" ht="54.95" customHeight="1" thickTop="1" x14ac:dyDescent="0.25">
      <c r="A5" s="221"/>
      <c r="B5" s="212"/>
      <c r="C5" s="212"/>
      <c r="D5" s="212"/>
      <c r="E5" s="212"/>
      <c r="F5" s="212"/>
      <c r="G5" s="212"/>
      <c r="H5" s="212"/>
      <c r="I5" s="212"/>
      <c r="J5" s="88" t="s">
        <v>172</v>
      </c>
      <c r="K5" s="88" t="s">
        <v>727</v>
      </c>
      <c r="L5" s="88" t="s">
        <v>173</v>
      </c>
      <c r="M5" s="88" t="s">
        <v>715</v>
      </c>
      <c r="N5" s="88" t="s">
        <v>172</v>
      </c>
      <c r="O5" s="88" t="s">
        <v>727</v>
      </c>
      <c r="P5" s="88" t="s">
        <v>173</v>
      </c>
      <c r="Q5" s="88" t="s">
        <v>715</v>
      </c>
      <c r="R5" s="212"/>
      <c r="S5" s="212"/>
      <c r="T5" s="212"/>
      <c r="U5" s="212"/>
    </row>
    <row r="6" spans="1:21" s="83" customFormat="1" ht="54.95" customHeight="1" thickBot="1" x14ac:dyDescent="0.3">
      <c r="A6" s="221" t="s">
        <v>283</v>
      </c>
      <c r="B6" s="213"/>
      <c r="C6" s="213"/>
      <c r="D6" s="213"/>
      <c r="E6" s="213"/>
      <c r="F6" s="216" t="s">
        <v>1402</v>
      </c>
      <c r="G6" s="216"/>
      <c r="H6" s="216"/>
      <c r="I6" s="216"/>
      <c r="J6" s="213"/>
      <c r="K6" s="213"/>
      <c r="L6" s="213"/>
      <c r="M6" s="213"/>
      <c r="N6" s="216" t="s">
        <v>1403</v>
      </c>
      <c r="O6" s="216"/>
      <c r="P6" s="216"/>
      <c r="Q6" s="216"/>
      <c r="R6" s="213"/>
      <c r="S6" s="213"/>
      <c r="T6" s="213"/>
      <c r="U6" s="213"/>
    </row>
    <row r="7" spans="1:21" s="89" customFormat="1" ht="54.95" customHeight="1" thickTop="1" x14ac:dyDescent="0.25">
      <c r="A7" s="221"/>
      <c r="B7" s="212"/>
      <c r="C7" s="212"/>
      <c r="D7" s="212"/>
      <c r="E7" s="212"/>
      <c r="F7" s="88" t="s">
        <v>172</v>
      </c>
      <c r="G7" s="88" t="s">
        <v>727</v>
      </c>
      <c r="H7" s="88" t="s">
        <v>173</v>
      </c>
      <c r="I7" s="88" t="s">
        <v>715</v>
      </c>
      <c r="J7" s="212"/>
      <c r="K7" s="212"/>
      <c r="L7" s="212"/>
      <c r="M7" s="212"/>
      <c r="N7" s="88" t="s">
        <v>172</v>
      </c>
      <c r="O7" s="88" t="s">
        <v>727</v>
      </c>
      <c r="P7" s="88" t="s">
        <v>173</v>
      </c>
      <c r="Q7" s="88" t="s">
        <v>715</v>
      </c>
      <c r="R7" s="212"/>
      <c r="S7" s="212"/>
      <c r="T7" s="212"/>
      <c r="U7" s="212"/>
    </row>
    <row r="8" spans="1:21" s="83" customFormat="1" ht="54.95" customHeight="1" thickBot="1" x14ac:dyDescent="0.3">
      <c r="A8" s="221"/>
      <c r="B8" s="213"/>
      <c r="C8" s="213"/>
      <c r="D8" s="213"/>
      <c r="E8" s="213"/>
      <c r="F8" s="216" t="s">
        <v>1415</v>
      </c>
      <c r="G8" s="216"/>
      <c r="H8" s="216"/>
      <c r="I8" s="216"/>
      <c r="J8" s="213"/>
      <c r="K8" s="213"/>
      <c r="L8" s="213"/>
      <c r="M8" s="213"/>
      <c r="N8" s="216" t="s">
        <v>101</v>
      </c>
      <c r="O8" s="216"/>
      <c r="P8" s="216"/>
      <c r="Q8" s="216"/>
      <c r="R8" s="213"/>
      <c r="S8" s="213"/>
      <c r="T8" s="213"/>
      <c r="U8" s="213"/>
    </row>
    <row r="9" spans="1:21" s="89" customFormat="1" ht="54.95" customHeight="1" thickTop="1" x14ac:dyDescent="0.25">
      <c r="A9" s="221"/>
      <c r="B9" s="212"/>
      <c r="C9" s="212"/>
      <c r="D9" s="212"/>
      <c r="E9" s="212"/>
      <c r="F9" s="88" t="s">
        <v>172</v>
      </c>
      <c r="G9" s="88" t="s">
        <v>727</v>
      </c>
      <c r="H9" s="88" t="s">
        <v>173</v>
      </c>
      <c r="I9" s="88" t="s">
        <v>715</v>
      </c>
      <c r="J9" s="212"/>
      <c r="K9" s="212"/>
      <c r="L9" s="212"/>
      <c r="M9" s="212"/>
      <c r="N9" s="88" t="s">
        <v>172</v>
      </c>
      <c r="O9" s="88" t="s">
        <v>727</v>
      </c>
      <c r="P9" s="88" t="s">
        <v>173</v>
      </c>
      <c r="Q9" s="88" t="s">
        <v>715</v>
      </c>
      <c r="R9" s="212"/>
      <c r="S9" s="212"/>
      <c r="T9" s="212"/>
      <c r="U9" s="212"/>
    </row>
    <row r="10" spans="1:21" s="83" customFormat="1" ht="54.95" customHeight="1" thickBot="1" x14ac:dyDescent="0.3">
      <c r="A10" s="221"/>
      <c r="B10" s="213"/>
      <c r="C10" s="213"/>
      <c r="D10" s="213"/>
      <c r="E10" s="213"/>
      <c r="F10" s="216" t="s">
        <v>1404</v>
      </c>
      <c r="G10" s="216"/>
      <c r="H10" s="216"/>
      <c r="I10" s="216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</row>
    <row r="11" spans="1:21" s="89" customFormat="1" ht="54.95" customHeight="1" thickTop="1" x14ac:dyDescent="0.25">
      <c r="A11" s="221"/>
      <c r="B11" s="212"/>
      <c r="C11" s="212"/>
      <c r="D11" s="212"/>
      <c r="E11" s="212"/>
      <c r="F11" s="88" t="s">
        <v>172</v>
      </c>
      <c r="G11" s="88" t="s">
        <v>727</v>
      </c>
      <c r="H11" s="88" t="s">
        <v>173</v>
      </c>
      <c r="I11" s="88" t="s">
        <v>715</v>
      </c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</row>
    <row r="12" spans="1:21" s="83" customFormat="1" ht="54.95" customHeight="1" thickBot="1" x14ac:dyDescent="0.3">
      <c r="A12" s="221"/>
      <c r="B12" s="213"/>
      <c r="C12" s="213"/>
      <c r="D12" s="213"/>
      <c r="E12" s="213"/>
      <c r="F12" s="216" t="s">
        <v>1416</v>
      </c>
      <c r="G12" s="216"/>
      <c r="H12" s="216"/>
      <c r="I12" s="216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</row>
    <row r="13" spans="1:21" s="89" customFormat="1" ht="54.95" customHeight="1" thickTop="1" x14ac:dyDescent="0.25">
      <c r="A13" s="221"/>
      <c r="B13" s="212"/>
      <c r="C13" s="212"/>
      <c r="D13" s="212"/>
      <c r="E13" s="212"/>
      <c r="F13" s="88" t="s">
        <v>172</v>
      </c>
      <c r="G13" s="88" t="s">
        <v>727</v>
      </c>
      <c r="H13" s="88" t="s">
        <v>173</v>
      </c>
      <c r="I13" s="88" t="s">
        <v>715</v>
      </c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</row>
    <row r="14" spans="1:21" s="83" customFormat="1" ht="54.95" customHeight="1" thickBot="1" x14ac:dyDescent="0.3">
      <c r="A14" s="221" t="s">
        <v>284</v>
      </c>
      <c r="B14" s="213"/>
      <c r="C14" s="213"/>
      <c r="D14" s="213"/>
      <c r="E14" s="213"/>
      <c r="F14" s="216" t="s">
        <v>1417</v>
      </c>
      <c r="G14" s="216"/>
      <c r="H14" s="216"/>
      <c r="I14" s="216"/>
      <c r="J14" s="213"/>
      <c r="K14" s="213"/>
      <c r="L14" s="213"/>
      <c r="M14" s="213"/>
      <c r="N14" s="216" t="s">
        <v>102</v>
      </c>
      <c r="O14" s="216"/>
      <c r="P14" s="216"/>
      <c r="Q14" s="216"/>
      <c r="R14" s="213"/>
      <c r="S14" s="213"/>
      <c r="T14" s="213"/>
      <c r="U14" s="213"/>
    </row>
    <row r="15" spans="1:21" s="89" customFormat="1" ht="54.95" customHeight="1" thickTop="1" x14ac:dyDescent="0.25">
      <c r="A15" s="221"/>
      <c r="B15" s="212"/>
      <c r="C15" s="212"/>
      <c r="D15" s="212"/>
      <c r="E15" s="212"/>
      <c r="F15" s="88" t="s">
        <v>172</v>
      </c>
      <c r="G15" s="88" t="s">
        <v>727</v>
      </c>
      <c r="H15" s="88" t="s">
        <v>173</v>
      </c>
      <c r="I15" s="88" t="s">
        <v>715</v>
      </c>
      <c r="J15" s="212"/>
      <c r="K15" s="212"/>
      <c r="L15" s="212"/>
      <c r="M15" s="212"/>
      <c r="N15" s="88" t="s">
        <v>172</v>
      </c>
      <c r="O15" s="88" t="s">
        <v>727</v>
      </c>
      <c r="P15" s="88" t="s">
        <v>173</v>
      </c>
      <c r="Q15" s="88" t="s">
        <v>715</v>
      </c>
      <c r="R15" s="212"/>
      <c r="S15" s="212"/>
      <c r="T15" s="212"/>
      <c r="U15" s="212"/>
    </row>
    <row r="16" spans="1:21" s="83" customFormat="1" ht="54.95" customHeight="1" thickBot="1" x14ac:dyDescent="0.3">
      <c r="A16" s="221"/>
      <c r="B16" s="213"/>
      <c r="C16" s="213"/>
      <c r="D16" s="213"/>
      <c r="E16" s="213"/>
      <c r="F16" s="216" t="s">
        <v>1418</v>
      </c>
      <c r="G16" s="216"/>
      <c r="H16" s="216"/>
      <c r="I16" s="216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</row>
    <row r="17" spans="1:21" s="89" customFormat="1" ht="54.95" customHeight="1" thickTop="1" x14ac:dyDescent="0.25">
      <c r="A17" s="221"/>
      <c r="B17" s="212"/>
      <c r="C17" s="212"/>
      <c r="D17" s="212"/>
      <c r="E17" s="212"/>
      <c r="F17" s="88" t="s">
        <v>172</v>
      </c>
      <c r="G17" s="88" t="s">
        <v>727</v>
      </c>
      <c r="H17" s="88" t="s">
        <v>173</v>
      </c>
      <c r="I17" s="88" t="s">
        <v>715</v>
      </c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</row>
    <row r="18" spans="1:21" s="83" customFormat="1" ht="54.95" customHeight="1" thickBot="1" x14ac:dyDescent="0.3">
      <c r="A18" s="221"/>
      <c r="B18" s="213"/>
      <c r="C18" s="213"/>
      <c r="D18" s="213"/>
      <c r="E18" s="213"/>
      <c r="F18" s="216" t="s">
        <v>73</v>
      </c>
      <c r="G18" s="216"/>
      <c r="H18" s="216"/>
      <c r="I18" s="216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</row>
    <row r="19" spans="1:21" s="89" customFormat="1" ht="54.95" customHeight="1" thickTop="1" x14ac:dyDescent="0.25">
      <c r="A19" s="221"/>
      <c r="B19" s="212"/>
      <c r="C19" s="212"/>
      <c r="D19" s="212"/>
      <c r="E19" s="212"/>
      <c r="F19" s="88" t="s">
        <v>172</v>
      </c>
      <c r="G19" s="88" t="s">
        <v>727</v>
      </c>
      <c r="H19" s="88" t="s">
        <v>173</v>
      </c>
      <c r="I19" s="88" t="s">
        <v>715</v>
      </c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</row>
    <row r="20" spans="1:21" s="83" customFormat="1" ht="54.95" customHeight="1" thickBot="1" x14ac:dyDescent="0.3">
      <c r="A20" s="221"/>
      <c r="B20" s="213"/>
      <c r="C20" s="213"/>
      <c r="D20" s="213"/>
      <c r="E20" s="213"/>
      <c r="F20" s="216" t="s">
        <v>1405</v>
      </c>
      <c r="G20" s="216"/>
      <c r="H20" s="216"/>
      <c r="I20" s="216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3"/>
    </row>
    <row r="21" spans="1:21" s="89" customFormat="1" ht="54.95" customHeight="1" thickTop="1" x14ac:dyDescent="0.25">
      <c r="A21" s="221"/>
      <c r="B21" s="212"/>
      <c r="C21" s="212"/>
      <c r="D21" s="212"/>
      <c r="E21" s="212"/>
      <c r="F21" s="88" t="s">
        <v>172</v>
      </c>
      <c r="G21" s="88" t="s">
        <v>727</v>
      </c>
      <c r="H21" s="88" t="s">
        <v>173</v>
      </c>
      <c r="I21" s="88" t="s">
        <v>715</v>
      </c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</row>
    <row r="22" spans="1:21" s="83" customFormat="1" ht="54.95" customHeight="1" thickBot="1" x14ac:dyDescent="0.3">
      <c r="A22" s="221"/>
      <c r="B22" s="213"/>
      <c r="C22" s="213"/>
      <c r="D22" s="213"/>
      <c r="E22" s="213"/>
      <c r="F22" s="216" t="s">
        <v>1419</v>
      </c>
      <c r="G22" s="216"/>
      <c r="H22" s="216"/>
      <c r="I22" s="216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</row>
    <row r="23" spans="1:21" s="89" customFormat="1" ht="54.95" customHeight="1" thickTop="1" x14ac:dyDescent="0.25">
      <c r="A23" s="221"/>
      <c r="B23" s="212"/>
      <c r="C23" s="212"/>
      <c r="D23" s="212"/>
      <c r="E23" s="212"/>
      <c r="F23" s="88" t="s">
        <v>172</v>
      </c>
      <c r="G23" s="88" t="s">
        <v>727</v>
      </c>
      <c r="H23" s="88" t="s">
        <v>173</v>
      </c>
      <c r="I23" s="88" t="s">
        <v>715</v>
      </c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</row>
    <row r="24" spans="1:21" s="83" customFormat="1" ht="54.95" customHeight="1" thickBot="1" x14ac:dyDescent="0.3">
      <c r="A24" s="221" t="s">
        <v>285</v>
      </c>
      <c r="B24" s="213"/>
      <c r="C24" s="213"/>
      <c r="D24" s="213"/>
      <c r="E24" s="213"/>
      <c r="F24" s="216" t="s">
        <v>1420</v>
      </c>
      <c r="G24" s="216"/>
      <c r="H24" s="216"/>
      <c r="I24" s="216"/>
      <c r="J24" s="213"/>
      <c r="K24" s="213"/>
      <c r="L24" s="213"/>
      <c r="M24" s="213"/>
      <c r="N24" s="216" t="s">
        <v>1421</v>
      </c>
      <c r="O24" s="216"/>
      <c r="P24" s="216"/>
      <c r="Q24" s="216"/>
      <c r="R24" s="213"/>
      <c r="S24" s="213"/>
      <c r="T24" s="213"/>
      <c r="U24" s="213"/>
    </row>
    <row r="25" spans="1:21" s="89" customFormat="1" ht="54.95" customHeight="1" thickTop="1" x14ac:dyDescent="0.25">
      <c r="A25" s="221"/>
      <c r="B25" s="212"/>
      <c r="C25" s="212"/>
      <c r="D25" s="212"/>
      <c r="E25" s="212"/>
      <c r="F25" s="88" t="s">
        <v>172</v>
      </c>
      <c r="G25" s="88" t="s">
        <v>727</v>
      </c>
      <c r="H25" s="88" t="s">
        <v>173</v>
      </c>
      <c r="I25" s="88" t="s">
        <v>715</v>
      </c>
      <c r="J25" s="212"/>
      <c r="K25" s="212"/>
      <c r="L25" s="212"/>
      <c r="M25" s="212"/>
      <c r="N25" s="88" t="s">
        <v>172</v>
      </c>
      <c r="O25" s="88" t="s">
        <v>727</v>
      </c>
      <c r="P25" s="88" t="s">
        <v>173</v>
      </c>
      <c r="Q25" s="88" t="s">
        <v>715</v>
      </c>
      <c r="R25" s="212"/>
      <c r="S25" s="212"/>
      <c r="T25" s="212"/>
      <c r="U25" s="212"/>
    </row>
    <row r="26" spans="1:21" s="83" customFormat="1" ht="54.95" customHeight="1" thickBot="1" x14ac:dyDescent="0.3">
      <c r="A26" s="221"/>
      <c r="B26" s="213"/>
      <c r="C26" s="213"/>
      <c r="D26" s="213"/>
      <c r="E26" s="213"/>
      <c r="F26" s="216" t="s">
        <v>1406</v>
      </c>
      <c r="G26" s="216"/>
      <c r="H26" s="216"/>
      <c r="I26" s="216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</row>
    <row r="27" spans="1:21" s="89" customFormat="1" ht="54.95" customHeight="1" thickTop="1" x14ac:dyDescent="0.25">
      <c r="A27" s="221"/>
      <c r="B27" s="212"/>
      <c r="C27" s="212"/>
      <c r="D27" s="212"/>
      <c r="E27" s="212"/>
      <c r="F27" s="88" t="s">
        <v>172</v>
      </c>
      <c r="G27" s="88" t="s">
        <v>727</v>
      </c>
      <c r="H27" s="88" t="s">
        <v>173</v>
      </c>
      <c r="I27" s="88" t="s">
        <v>715</v>
      </c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</row>
    <row r="28" spans="1:21" s="83" customFormat="1" ht="54.95" customHeight="1" thickBot="1" x14ac:dyDescent="0.3">
      <c r="A28" s="221"/>
      <c r="B28" s="213"/>
      <c r="C28" s="213"/>
      <c r="D28" s="213"/>
      <c r="E28" s="213"/>
      <c r="F28" s="216" t="s">
        <v>1422</v>
      </c>
      <c r="G28" s="216"/>
      <c r="H28" s="216"/>
      <c r="I28" s="216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</row>
    <row r="29" spans="1:21" s="89" customFormat="1" ht="54.95" customHeight="1" thickTop="1" x14ac:dyDescent="0.25">
      <c r="A29" s="221"/>
      <c r="B29" s="212"/>
      <c r="C29" s="212"/>
      <c r="D29" s="212"/>
      <c r="E29" s="212"/>
      <c r="F29" s="88" t="s">
        <v>172</v>
      </c>
      <c r="G29" s="88" t="s">
        <v>727</v>
      </c>
      <c r="H29" s="88" t="s">
        <v>173</v>
      </c>
      <c r="I29" s="88" t="s">
        <v>715</v>
      </c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</row>
    <row r="30" spans="1:21" s="83" customFormat="1" ht="54.95" customHeight="1" thickBot="1" x14ac:dyDescent="0.3">
      <c r="A30" s="221" t="s">
        <v>286</v>
      </c>
      <c r="B30" s="213"/>
      <c r="C30" s="213"/>
      <c r="D30" s="213"/>
      <c r="E30" s="213"/>
      <c r="F30" s="216" t="s">
        <v>1423</v>
      </c>
      <c r="G30" s="216"/>
      <c r="H30" s="216"/>
      <c r="I30" s="216"/>
      <c r="J30" s="216" t="s">
        <v>91</v>
      </c>
      <c r="K30" s="216"/>
      <c r="L30" s="216"/>
      <c r="M30" s="216"/>
      <c r="N30" s="216" t="s">
        <v>1407</v>
      </c>
      <c r="O30" s="216"/>
      <c r="P30" s="216"/>
      <c r="Q30" s="216"/>
      <c r="R30" s="213"/>
      <c r="S30" s="213"/>
      <c r="T30" s="213"/>
      <c r="U30" s="213"/>
    </row>
    <row r="31" spans="1:21" s="89" customFormat="1" ht="54.95" customHeight="1" thickTop="1" x14ac:dyDescent="0.25">
      <c r="A31" s="221"/>
      <c r="B31" s="212"/>
      <c r="C31" s="212"/>
      <c r="D31" s="212"/>
      <c r="E31" s="212"/>
      <c r="F31" s="88" t="s">
        <v>172</v>
      </c>
      <c r="G31" s="88" t="s">
        <v>727</v>
      </c>
      <c r="H31" s="88" t="s">
        <v>173</v>
      </c>
      <c r="I31" s="88" t="s">
        <v>715</v>
      </c>
      <c r="J31" s="88" t="s">
        <v>172</v>
      </c>
      <c r="K31" s="88" t="s">
        <v>727</v>
      </c>
      <c r="L31" s="88" t="s">
        <v>173</v>
      </c>
      <c r="M31" s="88" t="s">
        <v>715</v>
      </c>
      <c r="N31" s="88" t="s">
        <v>172</v>
      </c>
      <c r="O31" s="88" t="s">
        <v>727</v>
      </c>
      <c r="P31" s="88" t="s">
        <v>173</v>
      </c>
      <c r="Q31" s="88" t="s">
        <v>715</v>
      </c>
      <c r="R31" s="212"/>
      <c r="S31" s="212"/>
      <c r="T31" s="212"/>
      <c r="U31" s="212"/>
    </row>
    <row r="32" spans="1:21" s="83" customFormat="1" ht="54.95" customHeight="1" thickBot="1" x14ac:dyDescent="0.3">
      <c r="A32" s="221" t="s">
        <v>287</v>
      </c>
      <c r="B32" s="213"/>
      <c r="C32" s="213"/>
      <c r="D32" s="213"/>
      <c r="E32" s="213"/>
      <c r="F32" s="216" t="s">
        <v>80</v>
      </c>
      <c r="G32" s="216"/>
      <c r="H32" s="216"/>
      <c r="I32" s="216"/>
      <c r="J32" s="216" t="s">
        <v>92</v>
      </c>
      <c r="K32" s="216"/>
      <c r="L32" s="216"/>
      <c r="M32" s="216"/>
      <c r="N32" s="216" t="s">
        <v>104</v>
      </c>
      <c r="O32" s="216"/>
      <c r="P32" s="216"/>
      <c r="Q32" s="216"/>
      <c r="R32" s="213"/>
      <c r="S32" s="213"/>
      <c r="T32" s="213"/>
      <c r="U32" s="213"/>
    </row>
    <row r="33" spans="1:21" s="89" customFormat="1" ht="54.95" customHeight="1" thickTop="1" x14ac:dyDescent="0.25">
      <c r="A33" s="221"/>
      <c r="B33" s="212"/>
      <c r="C33" s="212"/>
      <c r="D33" s="212"/>
      <c r="E33" s="212"/>
      <c r="F33" s="88" t="s">
        <v>172</v>
      </c>
      <c r="G33" s="88" t="s">
        <v>727</v>
      </c>
      <c r="H33" s="88" t="s">
        <v>173</v>
      </c>
      <c r="I33" s="88" t="s">
        <v>715</v>
      </c>
      <c r="J33" s="88" t="s">
        <v>172</v>
      </c>
      <c r="K33" s="88" t="s">
        <v>727</v>
      </c>
      <c r="L33" s="88" t="s">
        <v>173</v>
      </c>
      <c r="M33" s="88" t="s">
        <v>715</v>
      </c>
      <c r="N33" s="88" t="s">
        <v>172</v>
      </c>
      <c r="O33" s="88" t="s">
        <v>727</v>
      </c>
      <c r="P33" s="88" t="s">
        <v>173</v>
      </c>
      <c r="Q33" s="88" t="s">
        <v>715</v>
      </c>
      <c r="R33" s="212"/>
      <c r="S33" s="212"/>
      <c r="T33" s="212"/>
      <c r="U33" s="212"/>
    </row>
    <row r="34" spans="1:21" s="83" customFormat="1" ht="54.95" customHeight="1" thickBot="1" x14ac:dyDescent="0.3">
      <c r="A34" s="221"/>
      <c r="B34" s="213"/>
      <c r="C34" s="213"/>
      <c r="D34" s="213"/>
      <c r="E34" s="213"/>
      <c r="F34" s="216" t="s">
        <v>81</v>
      </c>
      <c r="G34" s="216"/>
      <c r="H34" s="216"/>
      <c r="I34" s="216"/>
      <c r="J34" s="216" t="s">
        <v>1424</v>
      </c>
      <c r="K34" s="216"/>
      <c r="L34" s="216"/>
      <c r="M34" s="216"/>
      <c r="N34" s="213"/>
      <c r="O34" s="213"/>
      <c r="P34" s="213"/>
      <c r="Q34" s="213"/>
      <c r="R34" s="213"/>
      <c r="S34" s="213"/>
      <c r="T34" s="213"/>
      <c r="U34" s="213"/>
    </row>
    <row r="35" spans="1:21" s="89" customFormat="1" ht="54.95" customHeight="1" thickTop="1" x14ac:dyDescent="0.25">
      <c r="A35" s="221"/>
      <c r="B35" s="212"/>
      <c r="C35" s="212"/>
      <c r="D35" s="212"/>
      <c r="E35" s="212"/>
      <c r="F35" s="88" t="s">
        <v>172</v>
      </c>
      <c r="G35" s="88" t="s">
        <v>727</v>
      </c>
      <c r="H35" s="88" t="s">
        <v>173</v>
      </c>
      <c r="I35" s="88" t="s">
        <v>715</v>
      </c>
      <c r="J35" s="88" t="s">
        <v>172</v>
      </c>
      <c r="K35" s="88" t="s">
        <v>727</v>
      </c>
      <c r="L35" s="88" t="s">
        <v>173</v>
      </c>
      <c r="M35" s="88" t="s">
        <v>715</v>
      </c>
      <c r="N35" s="212"/>
      <c r="O35" s="212"/>
      <c r="P35" s="212"/>
      <c r="Q35" s="212"/>
      <c r="R35" s="212"/>
      <c r="S35" s="212"/>
      <c r="T35" s="212"/>
      <c r="U35" s="212"/>
    </row>
    <row r="36" spans="1:21" customFormat="1" ht="54.95" customHeight="1" thickBot="1" x14ac:dyDescent="0.3">
      <c r="A36" s="221"/>
      <c r="B36" s="213"/>
      <c r="C36" s="213"/>
      <c r="D36" s="213"/>
      <c r="E36" s="213"/>
      <c r="F36" s="213"/>
      <c r="G36" s="213"/>
      <c r="H36" s="213"/>
      <c r="I36" s="213"/>
      <c r="J36" s="216" t="s">
        <v>1425</v>
      </c>
      <c r="K36" s="216"/>
      <c r="L36" s="216"/>
      <c r="M36" s="216"/>
      <c r="N36" s="213"/>
      <c r="O36" s="213"/>
      <c r="P36" s="213"/>
      <c r="Q36" s="213"/>
      <c r="R36" s="213"/>
      <c r="S36" s="213"/>
      <c r="T36" s="213"/>
      <c r="U36" s="213"/>
    </row>
    <row r="37" spans="1:21" s="90" customFormat="1" ht="54.95" customHeight="1" thickTop="1" x14ac:dyDescent="0.25">
      <c r="A37" s="221"/>
      <c r="B37" s="212"/>
      <c r="C37" s="212"/>
      <c r="D37" s="212"/>
      <c r="E37" s="212"/>
      <c r="F37" s="212"/>
      <c r="G37" s="212"/>
      <c r="H37" s="212"/>
      <c r="I37" s="212"/>
      <c r="J37" s="88" t="s">
        <v>172</v>
      </c>
      <c r="K37" s="88" t="s">
        <v>727</v>
      </c>
      <c r="L37" s="88" t="s">
        <v>173</v>
      </c>
      <c r="M37" s="88" t="s">
        <v>715</v>
      </c>
      <c r="N37" s="212"/>
      <c r="O37" s="212"/>
      <c r="P37" s="212"/>
      <c r="Q37" s="212"/>
      <c r="R37" s="212"/>
      <c r="S37" s="212"/>
      <c r="T37" s="212"/>
      <c r="U37" s="212"/>
    </row>
    <row r="38" spans="1:21" s="83" customFormat="1" ht="54.95" customHeight="1" thickBot="1" x14ac:dyDescent="0.3">
      <c r="A38" s="221" t="s">
        <v>288</v>
      </c>
      <c r="B38" s="213"/>
      <c r="C38" s="213"/>
      <c r="D38" s="213"/>
      <c r="E38" s="213"/>
      <c r="F38" s="216" t="s">
        <v>1426</v>
      </c>
      <c r="G38" s="216"/>
      <c r="H38" s="216"/>
      <c r="I38" s="216"/>
      <c r="J38" s="216" t="s">
        <v>95</v>
      </c>
      <c r="K38" s="216"/>
      <c r="L38" s="216"/>
      <c r="M38" s="216"/>
      <c r="N38" s="216" t="s">
        <v>105</v>
      </c>
      <c r="O38" s="216"/>
      <c r="P38" s="216"/>
      <c r="Q38" s="216"/>
      <c r="R38" s="213"/>
      <c r="S38" s="213"/>
      <c r="T38" s="213"/>
      <c r="U38" s="213"/>
    </row>
    <row r="39" spans="1:21" s="89" customFormat="1" ht="54.95" customHeight="1" thickTop="1" x14ac:dyDescent="0.25">
      <c r="A39" s="221"/>
      <c r="B39" s="212"/>
      <c r="C39" s="212"/>
      <c r="D39" s="212"/>
      <c r="E39" s="212"/>
      <c r="F39" s="88" t="s">
        <v>172</v>
      </c>
      <c r="G39" s="88" t="s">
        <v>727</v>
      </c>
      <c r="H39" s="88" t="s">
        <v>173</v>
      </c>
      <c r="I39" s="88" t="s">
        <v>715</v>
      </c>
      <c r="J39" s="88" t="s">
        <v>172</v>
      </c>
      <c r="K39" s="88" t="s">
        <v>727</v>
      </c>
      <c r="L39" s="88" t="s">
        <v>173</v>
      </c>
      <c r="M39" s="88" t="s">
        <v>715</v>
      </c>
      <c r="N39" s="88" t="s">
        <v>172</v>
      </c>
      <c r="O39" s="88" t="s">
        <v>727</v>
      </c>
      <c r="P39" s="88" t="s">
        <v>173</v>
      </c>
      <c r="Q39" s="88" t="s">
        <v>715</v>
      </c>
      <c r="R39" s="212"/>
      <c r="S39" s="212"/>
      <c r="T39" s="212"/>
      <c r="U39" s="212"/>
    </row>
    <row r="40" spans="1:21" s="83" customFormat="1" ht="54.95" customHeight="1" thickBot="1" x14ac:dyDescent="0.3">
      <c r="A40" s="221" t="s">
        <v>289</v>
      </c>
      <c r="B40" s="213"/>
      <c r="C40" s="213"/>
      <c r="D40" s="213"/>
      <c r="E40" s="213"/>
      <c r="F40" s="216" t="s">
        <v>1427</v>
      </c>
      <c r="G40" s="216"/>
      <c r="H40" s="216"/>
      <c r="I40" s="216"/>
      <c r="J40" s="216" t="s">
        <v>1428</v>
      </c>
      <c r="K40" s="216"/>
      <c r="L40" s="216"/>
      <c r="M40" s="216"/>
      <c r="N40" s="216" t="s">
        <v>106</v>
      </c>
      <c r="O40" s="216"/>
      <c r="P40" s="216"/>
      <c r="Q40" s="216"/>
      <c r="R40" s="213"/>
      <c r="S40" s="213"/>
      <c r="T40" s="213"/>
      <c r="U40" s="213"/>
    </row>
    <row r="41" spans="1:21" s="89" customFormat="1" ht="54.95" customHeight="1" thickTop="1" x14ac:dyDescent="0.25">
      <c r="A41" s="221"/>
      <c r="B41" s="212"/>
      <c r="C41" s="212"/>
      <c r="D41" s="212"/>
      <c r="E41" s="212"/>
      <c r="F41" s="88" t="s">
        <v>172</v>
      </c>
      <c r="G41" s="88" t="s">
        <v>727</v>
      </c>
      <c r="H41" s="88" t="s">
        <v>173</v>
      </c>
      <c r="I41" s="88" t="s">
        <v>715</v>
      </c>
      <c r="J41" s="88" t="s">
        <v>172</v>
      </c>
      <c r="K41" s="88" t="s">
        <v>727</v>
      </c>
      <c r="L41" s="88" t="s">
        <v>173</v>
      </c>
      <c r="M41" s="88" t="s">
        <v>715</v>
      </c>
      <c r="N41" s="88" t="s">
        <v>172</v>
      </c>
      <c r="O41" s="88" t="s">
        <v>727</v>
      </c>
      <c r="P41" s="88" t="s">
        <v>173</v>
      </c>
      <c r="Q41" s="88" t="s">
        <v>715</v>
      </c>
      <c r="R41" s="212"/>
      <c r="S41" s="212"/>
      <c r="T41" s="212"/>
      <c r="U41" s="212"/>
    </row>
    <row r="42" spans="1:21" s="83" customFormat="1" ht="54.95" customHeight="1" thickBot="1" x14ac:dyDescent="0.3">
      <c r="A42" s="221"/>
      <c r="B42" s="213"/>
      <c r="C42" s="213"/>
      <c r="D42" s="213"/>
      <c r="E42" s="213"/>
      <c r="F42" s="216" t="s">
        <v>84</v>
      </c>
      <c r="G42" s="216"/>
      <c r="H42" s="216"/>
      <c r="I42" s="216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213"/>
      <c r="U42" s="213"/>
    </row>
    <row r="43" spans="1:21" s="89" customFormat="1" ht="54.95" customHeight="1" thickTop="1" x14ac:dyDescent="0.25">
      <c r="A43" s="221"/>
      <c r="B43" s="212"/>
      <c r="C43" s="212"/>
      <c r="D43" s="212"/>
      <c r="E43" s="212"/>
      <c r="F43" s="88" t="s">
        <v>172</v>
      </c>
      <c r="G43" s="88" t="s">
        <v>727</v>
      </c>
      <c r="H43" s="88" t="s">
        <v>173</v>
      </c>
      <c r="I43" s="88" t="s">
        <v>715</v>
      </c>
      <c r="J43" s="212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</row>
    <row r="44" spans="1:21" s="83" customFormat="1" ht="54.95" customHeight="1" thickBot="1" x14ac:dyDescent="0.3">
      <c r="A44" s="221"/>
      <c r="B44" s="213"/>
      <c r="C44" s="213"/>
      <c r="D44" s="213"/>
      <c r="E44" s="213"/>
      <c r="F44" s="216" t="s">
        <v>1429</v>
      </c>
      <c r="G44" s="216"/>
      <c r="H44" s="216"/>
      <c r="I44" s="216"/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</row>
    <row r="45" spans="1:21" s="89" customFormat="1" ht="54.95" customHeight="1" thickTop="1" x14ac:dyDescent="0.25">
      <c r="A45" s="221"/>
      <c r="B45" s="212"/>
      <c r="C45" s="212"/>
      <c r="D45" s="212"/>
      <c r="E45" s="212"/>
      <c r="F45" s="88" t="s">
        <v>172</v>
      </c>
      <c r="G45" s="88" t="s">
        <v>727</v>
      </c>
      <c r="H45" s="88" t="s">
        <v>173</v>
      </c>
      <c r="I45" s="88" t="s">
        <v>715</v>
      </c>
      <c r="J45" s="212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</row>
    <row r="46" spans="1:21" s="83" customFormat="1" ht="54.95" customHeight="1" thickBot="1" x14ac:dyDescent="0.3">
      <c r="A46" s="221"/>
      <c r="B46" s="213"/>
      <c r="C46" s="213"/>
      <c r="D46" s="213"/>
      <c r="E46" s="213"/>
      <c r="F46" s="216" t="s">
        <v>1430</v>
      </c>
      <c r="G46" s="216"/>
      <c r="H46" s="216"/>
      <c r="I46" s="216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</row>
    <row r="47" spans="1:21" s="89" customFormat="1" ht="54.95" customHeight="1" thickTop="1" x14ac:dyDescent="0.25">
      <c r="A47" s="221"/>
      <c r="B47" s="212"/>
      <c r="C47" s="212"/>
      <c r="D47" s="212"/>
      <c r="E47" s="212"/>
      <c r="F47" s="88" t="s">
        <v>172</v>
      </c>
      <c r="G47" s="88" t="s">
        <v>727</v>
      </c>
      <c r="H47" s="88" t="s">
        <v>173</v>
      </c>
      <c r="I47" s="88" t="s">
        <v>715</v>
      </c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</row>
    <row r="48" spans="1:21" s="83" customFormat="1" ht="54.95" customHeight="1" thickBot="1" x14ac:dyDescent="0.3">
      <c r="A48" s="221"/>
      <c r="B48" s="213"/>
      <c r="C48" s="213"/>
      <c r="D48" s="213"/>
      <c r="E48" s="213"/>
      <c r="F48" s="216" t="s">
        <v>1408</v>
      </c>
      <c r="G48" s="216"/>
      <c r="H48" s="216"/>
      <c r="I48" s="216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</row>
    <row r="49" spans="1:21" s="89" customFormat="1" ht="54.95" customHeight="1" thickTop="1" x14ac:dyDescent="0.25">
      <c r="A49" s="221"/>
      <c r="B49" s="212"/>
      <c r="C49" s="212"/>
      <c r="D49" s="212"/>
      <c r="E49" s="212"/>
      <c r="F49" s="88" t="s">
        <v>172</v>
      </c>
      <c r="G49" s="88" t="s">
        <v>727</v>
      </c>
      <c r="H49" s="88" t="s">
        <v>173</v>
      </c>
      <c r="I49" s="88" t="s">
        <v>715</v>
      </c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</row>
    <row r="50" spans="1:21" s="83" customFormat="1" ht="54.95" customHeight="1" thickBot="1" x14ac:dyDescent="0.3">
      <c r="A50" s="221" t="s">
        <v>290</v>
      </c>
      <c r="B50" s="213"/>
      <c r="C50" s="213"/>
      <c r="D50" s="213"/>
      <c r="E50" s="213"/>
      <c r="F50" s="216" t="s">
        <v>88</v>
      </c>
      <c r="G50" s="216"/>
      <c r="H50" s="216"/>
      <c r="I50" s="216"/>
      <c r="J50" s="216" t="s">
        <v>1431</v>
      </c>
      <c r="K50" s="216"/>
      <c r="L50" s="216"/>
      <c r="M50" s="216"/>
      <c r="N50" s="216" t="s">
        <v>107</v>
      </c>
      <c r="O50" s="216"/>
      <c r="P50" s="216"/>
      <c r="Q50" s="216"/>
      <c r="R50" s="213"/>
      <c r="S50" s="213"/>
      <c r="T50" s="213"/>
      <c r="U50" s="213"/>
    </row>
    <row r="51" spans="1:21" s="89" customFormat="1" ht="54.95" customHeight="1" thickTop="1" x14ac:dyDescent="0.25">
      <c r="A51" s="221"/>
      <c r="B51" s="212"/>
      <c r="C51" s="212"/>
      <c r="D51" s="212"/>
      <c r="E51" s="212"/>
      <c r="F51" s="88" t="s">
        <v>172</v>
      </c>
      <c r="G51" s="88" t="s">
        <v>727</v>
      </c>
      <c r="H51" s="88" t="s">
        <v>173</v>
      </c>
      <c r="I51" s="88" t="s">
        <v>715</v>
      </c>
      <c r="J51" s="88" t="s">
        <v>172</v>
      </c>
      <c r="K51" s="88" t="s">
        <v>727</v>
      </c>
      <c r="L51" s="88" t="s">
        <v>173</v>
      </c>
      <c r="M51" s="88" t="s">
        <v>715</v>
      </c>
      <c r="N51" s="88" t="s">
        <v>172</v>
      </c>
      <c r="O51" s="88" t="s">
        <v>727</v>
      </c>
      <c r="P51" s="88" t="s">
        <v>173</v>
      </c>
      <c r="Q51" s="88" t="s">
        <v>715</v>
      </c>
      <c r="R51" s="212"/>
      <c r="S51" s="212"/>
      <c r="T51" s="212"/>
      <c r="U51" s="212"/>
    </row>
    <row r="52" spans="1:21" s="83" customFormat="1" ht="54.95" customHeight="1" thickBot="1" x14ac:dyDescent="0.3">
      <c r="A52" s="214" t="s">
        <v>292</v>
      </c>
      <c r="B52" s="216" t="s">
        <v>1409</v>
      </c>
      <c r="C52" s="216"/>
      <c r="D52" s="216"/>
      <c r="E52" s="216"/>
      <c r="F52" s="216" t="s">
        <v>174</v>
      </c>
      <c r="G52" s="216"/>
      <c r="H52" s="216"/>
      <c r="I52" s="216"/>
      <c r="J52" s="216" t="s">
        <v>1432</v>
      </c>
      <c r="K52" s="216"/>
      <c r="L52" s="216"/>
      <c r="M52" s="216"/>
      <c r="N52" s="216" t="s">
        <v>1410</v>
      </c>
      <c r="O52" s="216"/>
      <c r="P52" s="216"/>
      <c r="Q52" s="216"/>
      <c r="R52" s="213"/>
      <c r="S52" s="213"/>
      <c r="T52" s="213"/>
      <c r="U52" s="213"/>
    </row>
    <row r="53" spans="1:21" s="89" customFormat="1" ht="54.95" customHeight="1" thickTop="1" x14ac:dyDescent="0.25">
      <c r="A53" s="215"/>
      <c r="B53" s="91" t="s">
        <v>1437</v>
      </c>
      <c r="C53" s="91" t="s">
        <v>1438</v>
      </c>
      <c r="D53" s="91" t="s">
        <v>1439</v>
      </c>
      <c r="E53" s="91" t="s">
        <v>1440</v>
      </c>
      <c r="F53" s="88" t="s">
        <v>172</v>
      </c>
      <c r="G53" s="88" t="s">
        <v>727</v>
      </c>
      <c r="H53" s="88" t="s">
        <v>173</v>
      </c>
      <c r="I53" s="88" t="s">
        <v>715</v>
      </c>
      <c r="J53" s="88" t="s">
        <v>172</v>
      </c>
      <c r="K53" s="88" t="s">
        <v>727</v>
      </c>
      <c r="L53" s="88" t="s">
        <v>173</v>
      </c>
      <c r="M53" s="88" t="s">
        <v>715</v>
      </c>
      <c r="N53" s="88" t="s">
        <v>172</v>
      </c>
      <c r="O53" s="88" t="s">
        <v>727</v>
      </c>
      <c r="P53" s="88" t="s">
        <v>173</v>
      </c>
      <c r="Q53" s="88" t="s">
        <v>715</v>
      </c>
      <c r="R53" s="212"/>
      <c r="S53" s="212"/>
      <c r="T53" s="212"/>
      <c r="U53" s="212"/>
    </row>
  </sheetData>
  <mergeCells count="226">
    <mergeCell ref="B48:E48"/>
    <mergeCell ref="B50:E50"/>
    <mergeCell ref="B52:E52"/>
    <mergeCell ref="A30:A31"/>
    <mergeCell ref="A32:A37"/>
    <mergeCell ref="A38:A39"/>
    <mergeCell ref="A50:A51"/>
    <mergeCell ref="B4:E4"/>
    <mergeCell ref="A2:A5"/>
    <mergeCell ref="A6:A13"/>
    <mergeCell ref="B42:E42"/>
    <mergeCell ref="B44:E44"/>
    <mergeCell ref="B46:E46"/>
    <mergeCell ref="B24:E24"/>
    <mergeCell ref="B28:E28"/>
    <mergeCell ref="B32:E32"/>
    <mergeCell ref="B34:E34"/>
    <mergeCell ref="B36:E36"/>
    <mergeCell ref="B40:E40"/>
    <mergeCell ref="B2:E2"/>
    <mergeCell ref="A14:A23"/>
    <mergeCell ref="A24:A29"/>
    <mergeCell ref="B14:E14"/>
    <mergeCell ref="A40:A49"/>
    <mergeCell ref="J46:M46"/>
    <mergeCell ref="N46:Q46"/>
    <mergeCell ref="R46:U46"/>
    <mergeCell ref="F40:I40"/>
    <mergeCell ref="J40:M40"/>
    <mergeCell ref="N40:Q40"/>
    <mergeCell ref="R40:U40"/>
    <mergeCell ref="F42:I42"/>
    <mergeCell ref="J42:M42"/>
    <mergeCell ref="N42:Q42"/>
    <mergeCell ref="R42:U42"/>
    <mergeCell ref="F44:I44"/>
    <mergeCell ref="F46:I46"/>
    <mergeCell ref="J36:M36"/>
    <mergeCell ref="N36:Q36"/>
    <mergeCell ref="R36:U36"/>
    <mergeCell ref="F38:I38"/>
    <mergeCell ref="J38:M38"/>
    <mergeCell ref="N38:Q38"/>
    <mergeCell ref="R38:U38"/>
    <mergeCell ref="F32:I32"/>
    <mergeCell ref="J32:M32"/>
    <mergeCell ref="N32:Q32"/>
    <mergeCell ref="R32:U32"/>
    <mergeCell ref="F34:I34"/>
    <mergeCell ref="J34:M34"/>
    <mergeCell ref="N34:Q34"/>
    <mergeCell ref="R34:U34"/>
    <mergeCell ref="N35:Q35"/>
    <mergeCell ref="R35:U35"/>
    <mergeCell ref="F37:I37"/>
    <mergeCell ref="N37:Q37"/>
    <mergeCell ref="R37:U37"/>
    <mergeCell ref="F36:I36"/>
    <mergeCell ref="J28:M28"/>
    <mergeCell ref="N28:Q28"/>
    <mergeCell ref="R28:U28"/>
    <mergeCell ref="F30:I30"/>
    <mergeCell ref="J30:M30"/>
    <mergeCell ref="N30:Q30"/>
    <mergeCell ref="R30:U30"/>
    <mergeCell ref="F24:I24"/>
    <mergeCell ref="J24:M24"/>
    <mergeCell ref="N24:Q24"/>
    <mergeCell ref="R24:U24"/>
    <mergeCell ref="F26:I26"/>
    <mergeCell ref="J26:M26"/>
    <mergeCell ref="N26:Q26"/>
    <mergeCell ref="R26:U26"/>
    <mergeCell ref="J27:M27"/>
    <mergeCell ref="N27:Q27"/>
    <mergeCell ref="R27:U27"/>
    <mergeCell ref="J29:M29"/>
    <mergeCell ref="N29:Q29"/>
    <mergeCell ref="R29:U29"/>
    <mergeCell ref="F28:I28"/>
    <mergeCell ref="J20:M20"/>
    <mergeCell ref="N20:Q20"/>
    <mergeCell ref="R20:U20"/>
    <mergeCell ref="F22:I22"/>
    <mergeCell ref="J22:M22"/>
    <mergeCell ref="N22:Q22"/>
    <mergeCell ref="R22:U22"/>
    <mergeCell ref="F16:I16"/>
    <mergeCell ref="J16:M16"/>
    <mergeCell ref="N16:Q16"/>
    <mergeCell ref="R16:U16"/>
    <mergeCell ref="F18:I18"/>
    <mergeCell ref="J18:M18"/>
    <mergeCell ref="N18:Q18"/>
    <mergeCell ref="R18:U18"/>
    <mergeCell ref="J19:M19"/>
    <mergeCell ref="N19:Q19"/>
    <mergeCell ref="R19:U19"/>
    <mergeCell ref="J21:M21"/>
    <mergeCell ref="N21:Q21"/>
    <mergeCell ref="R21:U21"/>
    <mergeCell ref="F20:I20"/>
    <mergeCell ref="R17:U17"/>
    <mergeCell ref="J14:M14"/>
    <mergeCell ref="N14:Q14"/>
    <mergeCell ref="R14:U14"/>
    <mergeCell ref="N8:Q8"/>
    <mergeCell ref="R8:U8"/>
    <mergeCell ref="F10:I10"/>
    <mergeCell ref="J10:M10"/>
    <mergeCell ref="N10:Q10"/>
    <mergeCell ref="R10:U10"/>
    <mergeCell ref="F8:I8"/>
    <mergeCell ref="J8:M8"/>
    <mergeCell ref="J13:M13"/>
    <mergeCell ref="N13:Q13"/>
    <mergeCell ref="R13:U13"/>
    <mergeCell ref="F12:I12"/>
    <mergeCell ref="J11:M11"/>
    <mergeCell ref="N11:Q11"/>
    <mergeCell ref="R11:U11"/>
    <mergeCell ref="J12:M12"/>
    <mergeCell ref="N12:Q12"/>
    <mergeCell ref="R12:U12"/>
    <mergeCell ref="F14:I14"/>
    <mergeCell ref="N4:Q4"/>
    <mergeCell ref="R4:U4"/>
    <mergeCell ref="F6:I6"/>
    <mergeCell ref="J6:M6"/>
    <mergeCell ref="N6:Q6"/>
    <mergeCell ref="R6:U6"/>
    <mergeCell ref="N2:Q2"/>
    <mergeCell ref="R2:U2"/>
    <mergeCell ref="F1:I1"/>
    <mergeCell ref="J1:M1"/>
    <mergeCell ref="N1:Q1"/>
    <mergeCell ref="R1:U1"/>
    <mergeCell ref="F2:I2"/>
    <mergeCell ref="J2:M2"/>
    <mergeCell ref="F4:I4"/>
    <mergeCell ref="J4:M4"/>
    <mergeCell ref="F5:I5"/>
    <mergeCell ref="R5:U5"/>
    <mergeCell ref="B1:E1"/>
    <mergeCell ref="B26:E26"/>
    <mergeCell ref="B30:E30"/>
    <mergeCell ref="B38:E38"/>
    <mergeCell ref="B16:E16"/>
    <mergeCell ref="B18:E18"/>
    <mergeCell ref="B20:E20"/>
    <mergeCell ref="B22:E22"/>
    <mergeCell ref="B15:E15"/>
    <mergeCell ref="B19:E19"/>
    <mergeCell ref="B21:E21"/>
    <mergeCell ref="B27:E27"/>
    <mergeCell ref="B29:E29"/>
    <mergeCell ref="B31:E31"/>
    <mergeCell ref="B35:E35"/>
    <mergeCell ref="B37:E37"/>
    <mergeCell ref="B11:E11"/>
    <mergeCell ref="B13:E13"/>
    <mergeCell ref="B6:E6"/>
    <mergeCell ref="B8:E8"/>
    <mergeCell ref="B10:E10"/>
    <mergeCell ref="B12:E12"/>
    <mergeCell ref="B5:E5"/>
    <mergeCell ref="B7:E7"/>
    <mergeCell ref="J7:M7"/>
    <mergeCell ref="R7:U7"/>
    <mergeCell ref="B9:E9"/>
    <mergeCell ref="J9:M9"/>
    <mergeCell ref="R9:U9"/>
    <mergeCell ref="B39:E39"/>
    <mergeCell ref="R39:U39"/>
    <mergeCell ref="B41:E41"/>
    <mergeCell ref="R41:U41"/>
    <mergeCell ref="R31:U31"/>
    <mergeCell ref="B33:E33"/>
    <mergeCell ref="R33:U33"/>
    <mergeCell ref="B23:E23"/>
    <mergeCell ref="J23:M23"/>
    <mergeCell ref="N23:Q23"/>
    <mergeCell ref="R23:U23"/>
    <mergeCell ref="B25:E25"/>
    <mergeCell ref="J25:M25"/>
    <mergeCell ref="R25:U25"/>
    <mergeCell ref="J15:M15"/>
    <mergeCell ref="R15:U15"/>
    <mergeCell ref="B17:E17"/>
    <mergeCell ref="J17:M17"/>
    <mergeCell ref="N17:Q17"/>
    <mergeCell ref="B49:E49"/>
    <mergeCell ref="J49:M49"/>
    <mergeCell ref="N49:Q49"/>
    <mergeCell ref="R49:U49"/>
    <mergeCell ref="A52:A53"/>
    <mergeCell ref="B47:E47"/>
    <mergeCell ref="J47:M47"/>
    <mergeCell ref="N47:Q47"/>
    <mergeCell ref="R47:U47"/>
    <mergeCell ref="B51:E51"/>
    <mergeCell ref="R51:U51"/>
    <mergeCell ref="J52:M52"/>
    <mergeCell ref="N52:Q52"/>
    <mergeCell ref="R52:U52"/>
    <mergeCell ref="R53:U53"/>
    <mergeCell ref="F48:I48"/>
    <mergeCell ref="J48:M48"/>
    <mergeCell ref="N48:Q48"/>
    <mergeCell ref="R48:U48"/>
    <mergeCell ref="F50:I50"/>
    <mergeCell ref="J50:M50"/>
    <mergeCell ref="N50:Q50"/>
    <mergeCell ref="R50:U50"/>
    <mergeCell ref="F52:I52"/>
    <mergeCell ref="B43:E43"/>
    <mergeCell ref="J43:M43"/>
    <mergeCell ref="N43:Q43"/>
    <mergeCell ref="R43:U43"/>
    <mergeCell ref="B45:E45"/>
    <mergeCell ref="J45:M45"/>
    <mergeCell ref="N45:Q45"/>
    <mergeCell ref="R45:U45"/>
    <mergeCell ref="J44:M44"/>
    <mergeCell ref="N44:Q44"/>
    <mergeCell ref="R44:U44"/>
  </mergeCells>
  <phoneticPr fontId="3" type="noConversion"/>
  <conditionalFormatting sqref="B3:U53">
    <cfRule type="expression" dxfId="63" priority="52">
      <formula>FIND(IF(B2="","八七",B2),s01d_查找_投入)</formula>
    </cfRule>
  </conditionalFormatting>
  <conditionalFormatting sqref="C3:U53">
    <cfRule type="expression" dxfId="62" priority="4">
      <formula>FIND(IF(B2="","八七",B2),s01_工具_組件)</formula>
    </cfRule>
  </conditionalFormatting>
  <conditionalFormatting sqref="D3:U53">
    <cfRule type="expression" dxfId="61" priority="3">
      <formula>FIND(IF(B2="","八七",B2),s01d_查找_產出)</formula>
    </cfRule>
  </conditionalFormatting>
  <conditionalFormatting sqref="E3:U53">
    <cfRule type="expression" dxfId="60" priority="2">
      <formula>FIND(IF(B2="","八七",B2),s01d_查找_更新)</formula>
    </cfRule>
  </conditionalFormatting>
  <conditionalFormatting sqref="B2:U53">
    <cfRule type="expression" dxfId="59" priority="1">
      <formula>FIND(IF(B2="","八七",B2),s01d_查找全)</formula>
    </cfRule>
  </conditionalFormatting>
  <hyperlinks>
    <hyperlink ref="B2:E2" location="'a02'!B2" display="發展專案章程"/>
    <hyperlink ref="F2:I2" location="'a02'!J2" display="發展專案管理計畫書"/>
    <hyperlink ref="J2:M2" location="'a02'!R2" display="指導與管理專案工作"/>
    <hyperlink ref="N2:Q2" location="'a02'!Z2" display="監視與管制專案工作"/>
    <hyperlink ref="R2:U2" location="'a02'!AH2" display="結束專案或階段"/>
    <hyperlink ref="J4:M4" location="'a02'!R16" display="管理專案知識"/>
    <hyperlink ref="N4:Q4" location="'a02'!Z19" display="進行整合變更管制"/>
    <hyperlink ref="F6:I6" location="'a02'!J33" display="規劃範疇管理"/>
    <hyperlink ref="N6:Q6" location="'a02'!Z33" display="確認範疇"/>
    <hyperlink ref="F8:I8" location="'a02'!J41" display="蒐集需求"/>
    <hyperlink ref="N8:Q8" location="'a02'!Z44" display="管制範疇"/>
    <hyperlink ref="F10:I10" location="'a02'!J59" display="定義範疇"/>
    <hyperlink ref="F12:I12" location="'a02'!J68" display="建立工作分解結構"/>
    <hyperlink ref="F14:I14" location="'a02'!J75" display="規劃時程管理"/>
    <hyperlink ref="N14:Q14" location="'a02'!Z75" display="管制時程"/>
    <hyperlink ref="F16:I16" location="'a02'!J82" display="定義活動"/>
    <hyperlink ref="F18:I18" location="'a02'!J88" display="排序活動"/>
    <hyperlink ref="F20:I20" location="'a02'!J98" display="估算活動期程"/>
    <hyperlink ref="F22:I22" location="'a02'!J114" display="發展時程"/>
    <hyperlink ref="F24:I24" location="'a02'!J133" display="規劃成本管理"/>
    <hyperlink ref="N24:Q24" location="'a02'!Z133" display="管制成本"/>
    <hyperlink ref="F26:I26" location="'a02'!J140" display="估算成本"/>
    <hyperlink ref="F28:I28" location="'a02'!J152" display="決定預算"/>
    <hyperlink ref="F30:I30" location="'a02'!J166" display="規劃品質管理"/>
    <hyperlink ref="J30:M30" location="'a02'!R166" display="管理品質"/>
    <hyperlink ref="N30:Q30" location="'a02'!Z166" display="管制品質"/>
    <hyperlink ref="F32:I32" location="'a02'!J184" display="規劃資源管理"/>
    <hyperlink ref="J32:M32" location="'a02'!R184" display="獲得資源"/>
    <hyperlink ref="N32:Q32" location="'a02'!Z184" display="管制資源"/>
    <hyperlink ref="F34:I34" location="'a02'!J197" display="估算活動資源"/>
    <hyperlink ref="J34:M34" location="'a02'!R197" display="發展團隊"/>
    <hyperlink ref="J36:M36" location="'a02'!R211" display="管理團隊"/>
    <hyperlink ref="F38:I38" location="'a02'!J222" display="規劃溝通管理"/>
    <hyperlink ref="J38:M38" location="'a02'!R222" display="管理溝通"/>
    <hyperlink ref="N38:Q38" location="'a02'!Z222" display="監視溝通"/>
    <hyperlink ref="F40:I40" location="'a02'!J239" display="規劃風險管理"/>
    <hyperlink ref="J40:M40" location="'a02'!R239" display="實施風險回應"/>
    <hyperlink ref="N40:Q40" location="'a02'!Z239" display="監視風險"/>
    <hyperlink ref="F42:I42" location="'a02'!J246" display="辨識風險"/>
    <hyperlink ref="F44:I44" location="'a02'!J269" display="進行定性風險分析"/>
    <hyperlink ref="F46:I46" location="'a02'!J281" display="進行定量風險分析"/>
    <hyperlink ref="F48:I48" location="'a02'!J299" display="規劃風險回應"/>
    <hyperlink ref="F50:I50" location="'a02'!J316" display="規劃採購管理"/>
    <hyperlink ref="J50:M50" location="'a02'!R316" display="執行採購"/>
    <hyperlink ref="N50:Q50" location="'a02'!Z316" display="管制採購"/>
    <hyperlink ref="B52:E52" location="'a02'!B337" display="辨識利害關係人"/>
    <hyperlink ref="F52:I52" location="'a02'!J337" display="規劃利害關係人參與"/>
    <hyperlink ref="J52:M52" location="'a02'!R337" display="管理利害關係人參與"/>
    <hyperlink ref="N52:Q52" location="'a02'!Z337" display="監視利害關係人參與"/>
  </hyperlink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40" fitToWidth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O352"/>
  <sheetViews>
    <sheetView zoomScale="85" zoomScaleNormal="85"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R5" sqref="R5:R12"/>
    </sheetView>
  </sheetViews>
  <sheetFormatPr defaultRowHeight="16.5" x14ac:dyDescent="0.25"/>
  <cols>
    <col min="1" max="1" width="13.875" style="11" customWidth="1"/>
    <col min="2" max="2" width="7.625" customWidth="1"/>
    <col min="3" max="3" width="7.625" style="13" customWidth="1"/>
    <col min="4" max="4" width="7.625" customWidth="1"/>
    <col min="5" max="5" width="7.625" style="13" customWidth="1"/>
    <col min="6" max="6" width="7.625" customWidth="1"/>
    <col min="7" max="7" width="7.625" style="13" customWidth="1"/>
    <col min="8" max="8" width="7.625" customWidth="1"/>
    <col min="9" max="9" width="7.625" style="13" customWidth="1"/>
    <col min="10" max="10" width="7.625" customWidth="1"/>
    <col min="11" max="11" width="7.625" style="13" customWidth="1"/>
    <col min="12" max="12" width="7.625" customWidth="1"/>
    <col min="13" max="13" width="7.625" style="13" customWidth="1"/>
    <col min="14" max="14" width="7.625" customWidth="1"/>
    <col min="15" max="15" width="7.625" style="13" customWidth="1"/>
    <col min="16" max="16" width="7.625" customWidth="1"/>
    <col min="17" max="17" width="7.625" style="13" customWidth="1"/>
    <col min="18" max="18" width="7.625" customWidth="1"/>
    <col min="19" max="19" width="7.625" style="13" customWidth="1"/>
    <col min="20" max="20" width="7.625" customWidth="1"/>
    <col min="21" max="21" width="7.625" style="13" customWidth="1"/>
    <col min="22" max="22" width="7.625" customWidth="1"/>
    <col min="23" max="23" width="7.625" style="13" customWidth="1"/>
    <col min="24" max="24" width="7.625" customWidth="1"/>
    <col min="25" max="25" width="7.625" style="13" customWidth="1"/>
    <col min="26" max="26" width="7.625" customWidth="1"/>
    <col min="27" max="27" width="7.625" style="13" customWidth="1"/>
    <col min="28" max="28" width="7.625" customWidth="1"/>
    <col min="29" max="29" width="7.625" style="13" customWidth="1"/>
    <col min="30" max="30" width="7.625" customWidth="1"/>
    <col min="31" max="31" width="7.625" style="13" customWidth="1"/>
    <col min="32" max="32" width="7.625" customWidth="1"/>
    <col min="33" max="33" width="7.625" style="13" customWidth="1"/>
    <col min="34" max="34" width="7.625" customWidth="1"/>
    <col min="35" max="35" width="7.625" style="13" customWidth="1"/>
    <col min="36" max="36" width="7.625" customWidth="1"/>
    <col min="37" max="37" width="7.625" style="13" customWidth="1"/>
    <col min="38" max="38" width="7.625" customWidth="1"/>
    <col min="39" max="39" width="7.625" style="13" customWidth="1"/>
    <col min="40" max="40" width="7.625" customWidth="1"/>
    <col min="41" max="41" width="7.625" style="13" customWidth="1"/>
  </cols>
  <sheetData>
    <row r="1" spans="1:41" s="11" customFormat="1" ht="52.5" customHeight="1" x14ac:dyDescent="0.25">
      <c r="A1" s="14"/>
      <c r="B1" s="217" t="s">
        <v>2</v>
      </c>
      <c r="C1" s="217"/>
      <c r="D1" s="217"/>
      <c r="E1" s="217"/>
      <c r="F1" s="217"/>
      <c r="G1" s="217"/>
      <c r="H1" s="217"/>
      <c r="I1" s="217"/>
      <c r="J1" s="217" t="s">
        <v>3</v>
      </c>
      <c r="K1" s="217"/>
      <c r="L1" s="217"/>
      <c r="M1" s="217"/>
      <c r="N1" s="217"/>
      <c r="O1" s="217"/>
      <c r="P1" s="217"/>
      <c r="Q1" s="217"/>
      <c r="R1" s="217" t="s">
        <v>4</v>
      </c>
      <c r="S1" s="217"/>
      <c r="T1" s="217"/>
      <c r="U1" s="217"/>
      <c r="V1" s="217"/>
      <c r="W1" s="217"/>
      <c r="X1" s="217"/>
      <c r="Y1" s="217"/>
      <c r="Z1" s="217" t="s">
        <v>296</v>
      </c>
      <c r="AA1" s="217"/>
      <c r="AB1" s="217"/>
      <c r="AC1" s="217"/>
      <c r="AD1" s="217"/>
      <c r="AE1" s="217"/>
      <c r="AF1" s="217"/>
      <c r="AG1" s="217"/>
      <c r="AH1" s="217" t="s">
        <v>6</v>
      </c>
      <c r="AI1" s="217"/>
      <c r="AJ1" s="217"/>
      <c r="AK1" s="217"/>
      <c r="AL1" s="217"/>
      <c r="AM1" s="217"/>
      <c r="AN1" s="217"/>
      <c r="AO1" s="217"/>
    </row>
    <row r="2" spans="1:41" s="11" customFormat="1" ht="51" thickBot="1" x14ac:dyDescent="0.3">
      <c r="A2" s="221" t="s">
        <v>274</v>
      </c>
      <c r="B2" s="222" t="s">
        <v>67</v>
      </c>
      <c r="C2" s="222"/>
      <c r="D2" s="222"/>
      <c r="E2" s="222"/>
      <c r="F2" s="222"/>
      <c r="G2" s="222"/>
      <c r="H2" s="222"/>
      <c r="I2" s="222"/>
      <c r="J2" s="222" t="s">
        <v>920</v>
      </c>
      <c r="K2" s="222"/>
      <c r="L2" s="222"/>
      <c r="M2" s="222"/>
      <c r="N2" s="222"/>
      <c r="O2" s="222"/>
      <c r="P2" s="222"/>
      <c r="Q2" s="222"/>
      <c r="R2" s="222" t="s">
        <v>921</v>
      </c>
      <c r="S2" s="222"/>
      <c r="T2" s="222"/>
      <c r="U2" s="222"/>
      <c r="V2" s="222"/>
      <c r="W2" s="222"/>
      <c r="X2" s="222"/>
      <c r="Y2" s="222"/>
      <c r="Z2" s="222" t="s">
        <v>922</v>
      </c>
      <c r="AA2" s="222"/>
      <c r="AB2" s="222"/>
      <c r="AC2" s="222"/>
      <c r="AD2" s="222"/>
      <c r="AE2" s="222"/>
      <c r="AF2" s="222"/>
      <c r="AG2" s="222"/>
      <c r="AH2" s="222" t="s">
        <v>108</v>
      </c>
      <c r="AI2" s="222"/>
      <c r="AJ2" s="222"/>
      <c r="AK2" s="222"/>
      <c r="AL2" s="222"/>
      <c r="AM2" s="222"/>
      <c r="AN2" s="222"/>
      <c r="AO2" s="222"/>
    </row>
    <row r="3" spans="1:41" s="11" customFormat="1" ht="17.25" thickTop="1" x14ac:dyDescent="0.25">
      <c r="A3" s="221"/>
      <c r="B3" s="223" t="s">
        <v>172</v>
      </c>
      <c r="C3" s="224" t="s">
        <v>172</v>
      </c>
      <c r="D3" s="223" t="s">
        <v>171</v>
      </c>
      <c r="E3" s="224" t="s">
        <v>171</v>
      </c>
      <c r="F3" s="223" t="s">
        <v>173</v>
      </c>
      <c r="G3" s="224" t="s">
        <v>173</v>
      </c>
      <c r="H3" s="223" t="s">
        <v>715</v>
      </c>
      <c r="I3" s="224" t="s">
        <v>715</v>
      </c>
      <c r="J3" s="223" t="s">
        <v>172</v>
      </c>
      <c r="K3" s="224" t="s">
        <v>172</v>
      </c>
      <c r="L3" s="223" t="s">
        <v>171</v>
      </c>
      <c r="M3" s="224" t="s">
        <v>171</v>
      </c>
      <c r="N3" s="223" t="s">
        <v>173</v>
      </c>
      <c r="O3" s="224" t="s">
        <v>173</v>
      </c>
      <c r="P3" s="223" t="s">
        <v>715</v>
      </c>
      <c r="Q3" s="224" t="s">
        <v>715</v>
      </c>
      <c r="R3" s="223" t="s">
        <v>172</v>
      </c>
      <c r="S3" s="224" t="s">
        <v>172</v>
      </c>
      <c r="T3" s="223" t="s">
        <v>171</v>
      </c>
      <c r="U3" s="224" t="s">
        <v>171</v>
      </c>
      <c r="V3" s="223" t="s">
        <v>173</v>
      </c>
      <c r="W3" s="224" t="s">
        <v>173</v>
      </c>
      <c r="X3" s="223" t="s">
        <v>715</v>
      </c>
      <c r="Y3" s="224" t="s">
        <v>715</v>
      </c>
      <c r="Z3" s="223" t="s">
        <v>172</v>
      </c>
      <c r="AA3" s="224" t="s">
        <v>172</v>
      </c>
      <c r="AB3" s="223" t="s">
        <v>171</v>
      </c>
      <c r="AC3" s="224" t="s">
        <v>171</v>
      </c>
      <c r="AD3" s="223" t="s">
        <v>173</v>
      </c>
      <c r="AE3" s="224" t="s">
        <v>173</v>
      </c>
      <c r="AF3" s="223" t="s">
        <v>715</v>
      </c>
      <c r="AG3" s="224" t="s">
        <v>715</v>
      </c>
      <c r="AH3" s="223" t="s">
        <v>172</v>
      </c>
      <c r="AI3" s="224" t="s">
        <v>172</v>
      </c>
      <c r="AJ3" s="223" t="s">
        <v>171</v>
      </c>
      <c r="AK3" s="224" t="s">
        <v>171</v>
      </c>
      <c r="AL3" s="223" t="s">
        <v>173</v>
      </c>
      <c r="AM3" s="224" t="s">
        <v>173</v>
      </c>
      <c r="AN3" s="223" t="s">
        <v>715</v>
      </c>
      <c r="AO3" s="224" t="s">
        <v>715</v>
      </c>
    </row>
    <row r="4" spans="1:41" x14ac:dyDescent="0.25">
      <c r="A4" s="221"/>
      <c r="B4" s="225" t="s">
        <v>147</v>
      </c>
      <c r="C4" s="17" t="s">
        <v>180</v>
      </c>
      <c r="D4" s="18" t="s">
        <v>182</v>
      </c>
      <c r="E4" s="17"/>
      <c r="F4" s="18" t="s">
        <v>151</v>
      </c>
      <c r="G4" s="17"/>
      <c r="H4" s="18"/>
      <c r="I4" s="17"/>
      <c r="J4" s="29" t="s">
        <v>151</v>
      </c>
      <c r="K4" s="30"/>
      <c r="L4" s="29" t="s">
        <v>182</v>
      </c>
      <c r="M4" s="30"/>
      <c r="N4" s="29" t="s">
        <v>558</v>
      </c>
      <c r="O4" s="30"/>
      <c r="P4" s="18"/>
      <c r="Q4" s="17"/>
      <c r="R4" s="18" t="s">
        <v>379</v>
      </c>
      <c r="S4" s="17" t="s">
        <v>574</v>
      </c>
      <c r="T4" s="18" t="s">
        <v>182</v>
      </c>
      <c r="U4" s="17"/>
      <c r="V4" s="18" t="s">
        <v>153</v>
      </c>
      <c r="W4" s="17"/>
      <c r="X4" s="18" t="s">
        <v>379</v>
      </c>
      <c r="Y4" s="17" t="s">
        <v>574</v>
      </c>
      <c r="Z4" s="18" t="s">
        <v>558</v>
      </c>
      <c r="AA4" s="17" t="s">
        <v>574</v>
      </c>
      <c r="AB4" s="18" t="s">
        <v>182</v>
      </c>
      <c r="AC4" s="17"/>
      <c r="AD4" s="18" t="s">
        <v>157</v>
      </c>
      <c r="AE4" s="17"/>
      <c r="AF4" s="18" t="s">
        <v>379</v>
      </c>
      <c r="AG4" s="17" t="s">
        <v>574</v>
      </c>
      <c r="AH4" s="29" t="s">
        <v>151</v>
      </c>
      <c r="AI4" s="30"/>
      <c r="AJ4" s="29" t="s">
        <v>182</v>
      </c>
      <c r="AK4" s="30"/>
      <c r="AL4" s="29"/>
      <c r="AM4" s="30"/>
      <c r="AN4" s="29" t="s">
        <v>378</v>
      </c>
      <c r="AO4" s="30" t="s">
        <v>125</v>
      </c>
    </row>
    <row r="5" spans="1:41" x14ac:dyDescent="0.25">
      <c r="A5" s="221"/>
      <c r="B5" s="227"/>
      <c r="C5" s="17" t="s">
        <v>181</v>
      </c>
      <c r="D5" s="225" t="s">
        <v>702</v>
      </c>
      <c r="E5" s="17" t="s">
        <v>183</v>
      </c>
      <c r="F5" s="18" t="s">
        <v>115</v>
      </c>
      <c r="G5" s="17" t="s">
        <v>397</v>
      </c>
      <c r="H5" s="18"/>
      <c r="I5" s="17"/>
      <c r="J5" s="29" t="s">
        <v>601</v>
      </c>
      <c r="K5" s="30"/>
      <c r="L5" s="228" t="s">
        <v>709</v>
      </c>
      <c r="M5" s="30" t="s">
        <v>183</v>
      </c>
      <c r="N5" s="29"/>
      <c r="O5" s="30"/>
      <c r="P5" s="18"/>
      <c r="Q5" s="17"/>
      <c r="R5" s="225" t="s">
        <v>115</v>
      </c>
      <c r="S5" s="17" t="s">
        <v>120</v>
      </c>
      <c r="T5" s="18" t="s">
        <v>191</v>
      </c>
      <c r="U5" s="17"/>
      <c r="V5" s="18" t="s">
        <v>154</v>
      </c>
      <c r="W5" s="17"/>
      <c r="X5" s="225" t="s">
        <v>378</v>
      </c>
      <c r="Y5" s="17" t="s">
        <v>117</v>
      </c>
      <c r="Z5" s="225" t="s">
        <v>115</v>
      </c>
      <c r="AA5" s="17" t="s">
        <v>118</v>
      </c>
      <c r="AB5" s="225" t="s">
        <v>703</v>
      </c>
      <c r="AC5" s="17" t="s">
        <v>197</v>
      </c>
      <c r="AD5" s="18" t="s">
        <v>155</v>
      </c>
      <c r="AE5" s="17"/>
      <c r="AF5" s="225" t="s">
        <v>378</v>
      </c>
      <c r="AG5" s="17" t="s">
        <v>122</v>
      </c>
      <c r="AH5" s="29" t="s">
        <v>558</v>
      </c>
      <c r="AI5" s="30" t="s">
        <v>574</v>
      </c>
      <c r="AJ5" s="228" t="s">
        <v>703</v>
      </c>
      <c r="AK5" s="30" t="s">
        <v>249</v>
      </c>
      <c r="AL5" s="29"/>
      <c r="AM5" s="30"/>
      <c r="AN5" s="29" t="s">
        <v>160</v>
      </c>
      <c r="AO5" s="30"/>
    </row>
    <row r="6" spans="1:41" x14ac:dyDescent="0.25">
      <c r="A6" s="221"/>
      <c r="B6" s="18" t="s">
        <v>148</v>
      </c>
      <c r="C6" s="17"/>
      <c r="D6" s="226"/>
      <c r="E6" s="17" t="s">
        <v>184</v>
      </c>
      <c r="F6" s="18"/>
      <c r="G6" s="17"/>
      <c r="H6" s="18"/>
      <c r="I6" s="17"/>
      <c r="J6" s="29" t="s">
        <v>149</v>
      </c>
      <c r="K6" s="30"/>
      <c r="L6" s="229"/>
      <c r="M6" s="30" t="s">
        <v>555</v>
      </c>
      <c r="N6" s="29"/>
      <c r="O6" s="30"/>
      <c r="P6" s="18"/>
      <c r="Q6" s="17"/>
      <c r="R6" s="226"/>
      <c r="S6" s="17" t="s">
        <v>125</v>
      </c>
      <c r="T6" s="18" t="s">
        <v>190</v>
      </c>
      <c r="U6" s="17"/>
      <c r="V6" s="18" t="s">
        <v>115</v>
      </c>
      <c r="W6" s="17" t="s">
        <v>124</v>
      </c>
      <c r="X6" s="226"/>
      <c r="Y6" s="17" t="s">
        <v>118</v>
      </c>
      <c r="Z6" s="226"/>
      <c r="AA6" s="17" t="s">
        <v>119</v>
      </c>
      <c r="AB6" s="226"/>
      <c r="AC6" s="17" t="s">
        <v>198</v>
      </c>
      <c r="AD6" s="18"/>
      <c r="AE6" s="17"/>
      <c r="AF6" s="226"/>
      <c r="AG6" s="17" t="s">
        <v>124</v>
      </c>
      <c r="AH6" s="235" t="s">
        <v>115</v>
      </c>
      <c r="AI6" s="30" t="s">
        <v>118</v>
      </c>
      <c r="AJ6" s="229"/>
      <c r="AK6" s="30" t="s">
        <v>207</v>
      </c>
      <c r="AL6" s="29"/>
      <c r="AM6" s="30"/>
      <c r="AN6" s="29" t="s">
        <v>161</v>
      </c>
      <c r="AO6" s="30"/>
    </row>
    <row r="7" spans="1:41" x14ac:dyDescent="0.25">
      <c r="A7" s="221"/>
      <c r="B7" s="18" t="s">
        <v>149</v>
      </c>
      <c r="C7" s="17"/>
      <c r="D7" s="227"/>
      <c r="E7" s="17" t="s">
        <v>185</v>
      </c>
      <c r="F7" s="18"/>
      <c r="G7" s="17"/>
      <c r="H7" s="18"/>
      <c r="I7" s="17"/>
      <c r="J7" s="29" t="s">
        <v>150</v>
      </c>
      <c r="K7" s="30"/>
      <c r="L7" s="229"/>
      <c r="M7" s="30" t="s">
        <v>184</v>
      </c>
      <c r="N7" s="29"/>
      <c r="O7" s="30"/>
      <c r="P7" s="18"/>
      <c r="Q7" s="17"/>
      <c r="R7" s="226"/>
      <c r="S7" s="17" t="s">
        <v>126</v>
      </c>
      <c r="T7" s="18"/>
      <c r="U7" s="17"/>
      <c r="V7" s="18" t="s">
        <v>155</v>
      </c>
      <c r="W7" s="17"/>
      <c r="X7" s="226"/>
      <c r="Y7" s="17" t="s">
        <v>125</v>
      </c>
      <c r="Z7" s="226"/>
      <c r="AA7" s="17" t="s">
        <v>122</v>
      </c>
      <c r="AB7" s="226"/>
      <c r="AC7" s="17" t="s">
        <v>199</v>
      </c>
      <c r="AD7" s="19"/>
      <c r="AE7" s="17"/>
      <c r="AF7" s="226"/>
      <c r="AG7" s="17" t="s">
        <v>125</v>
      </c>
      <c r="AH7" s="236"/>
      <c r="AI7" s="30" t="s">
        <v>119</v>
      </c>
      <c r="AJ7" s="229"/>
      <c r="AK7" s="30" t="s">
        <v>201</v>
      </c>
      <c r="AL7" s="29"/>
      <c r="AM7" s="30"/>
      <c r="AN7" s="18" t="s">
        <v>1164</v>
      </c>
      <c r="AO7" s="17"/>
    </row>
    <row r="8" spans="1:41" x14ac:dyDescent="0.25">
      <c r="A8" s="221"/>
      <c r="B8" s="18" t="s">
        <v>405</v>
      </c>
      <c r="C8" s="17"/>
      <c r="D8" s="225" t="s">
        <v>186</v>
      </c>
      <c r="E8" s="17" t="s">
        <v>187</v>
      </c>
      <c r="F8" s="18"/>
      <c r="G8" s="17"/>
      <c r="H8" s="18"/>
      <c r="I8" s="17"/>
      <c r="J8" s="29"/>
      <c r="K8" s="30"/>
      <c r="L8" s="229"/>
      <c r="M8" s="30" t="s">
        <v>185</v>
      </c>
      <c r="N8" s="29"/>
      <c r="O8" s="30"/>
      <c r="P8" s="18"/>
      <c r="Q8" s="17"/>
      <c r="R8" s="226"/>
      <c r="S8" s="17" t="s">
        <v>129</v>
      </c>
      <c r="T8" s="18"/>
      <c r="U8" s="17"/>
      <c r="V8" s="18"/>
      <c r="W8" s="17"/>
      <c r="X8" s="226"/>
      <c r="Y8" s="17" t="s">
        <v>136</v>
      </c>
      <c r="Z8" s="226"/>
      <c r="AA8" s="17" t="s">
        <v>124</v>
      </c>
      <c r="AB8" s="226"/>
      <c r="AC8" s="17" t="s">
        <v>200</v>
      </c>
      <c r="AD8" s="19"/>
      <c r="AE8" s="17"/>
      <c r="AF8" s="226"/>
      <c r="AG8" s="17" t="s">
        <v>141</v>
      </c>
      <c r="AH8" s="236"/>
      <c r="AI8" s="30" t="s">
        <v>120</v>
      </c>
      <c r="AJ8" s="230"/>
      <c r="AK8" s="30" t="s">
        <v>202</v>
      </c>
      <c r="AL8" s="29"/>
      <c r="AM8" s="30"/>
      <c r="AN8" s="18"/>
      <c r="AO8" s="17"/>
    </row>
    <row r="9" spans="1:41" x14ac:dyDescent="0.25">
      <c r="A9" s="221"/>
      <c r="B9" s="18"/>
      <c r="C9" s="17"/>
      <c r="D9" s="226"/>
      <c r="E9" s="17" t="s">
        <v>188</v>
      </c>
      <c r="F9" s="18"/>
      <c r="G9" s="17"/>
      <c r="H9" s="18"/>
      <c r="I9" s="17"/>
      <c r="J9" s="29"/>
      <c r="K9" s="30"/>
      <c r="L9" s="228" t="s">
        <v>186</v>
      </c>
      <c r="M9" s="30" t="s">
        <v>187</v>
      </c>
      <c r="N9" s="29"/>
      <c r="O9" s="30"/>
      <c r="P9" s="18"/>
      <c r="Q9" s="17"/>
      <c r="R9" s="226"/>
      <c r="S9" s="17" t="s">
        <v>130</v>
      </c>
      <c r="T9" s="18"/>
      <c r="U9" s="17"/>
      <c r="V9" s="19"/>
      <c r="W9" s="17"/>
      <c r="X9" s="226"/>
      <c r="Y9" s="17" t="s">
        <v>141</v>
      </c>
      <c r="Z9" s="226"/>
      <c r="AA9" s="17" t="s">
        <v>125</v>
      </c>
      <c r="AB9" s="226"/>
      <c r="AC9" s="17" t="s">
        <v>201</v>
      </c>
      <c r="AD9" s="19"/>
      <c r="AE9" s="17"/>
      <c r="AF9" s="227"/>
      <c r="AG9" s="17" t="s">
        <v>144</v>
      </c>
      <c r="AH9" s="236"/>
      <c r="AI9" s="30" t="s">
        <v>124</v>
      </c>
      <c r="AJ9" s="29" t="s">
        <v>190</v>
      </c>
      <c r="AK9" s="30"/>
      <c r="AL9" s="29"/>
      <c r="AM9" s="30"/>
      <c r="AN9" s="18"/>
      <c r="AO9" s="17"/>
    </row>
    <row r="10" spans="1:41" x14ac:dyDescent="0.25">
      <c r="A10" s="221"/>
      <c r="B10" s="18"/>
      <c r="C10" s="17"/>
      <c r="D10" s="227"/>
      <c r="E10" s="17" t="s">
        <v>189</v>
      </c>
      <c r="F10" s="18"/>
      <c r="G10" s="17"/>
      <c r="H10" s="18"/>
      <c r="I10" s="17"/>
      <c r="J10" s="29"/>
      <c r="K10" s="30"/>
      <c r="L10" s="229"/>
      <c r="M10" s="30" t="s">
        <v>188</v>
      </c>
      <c r="N10" s="29"/>
      <c r="O10" s="30"/>
      <c r="P10" s="18"/>
      <c r="Q10" s="17"/>
      <c r="R10" s="226"/>
      <c r="S10" s="17" t="s">
        <v>137</v>
      </c>
      <c r="T10" s="18"/>
      <c r="U10" s="17"/>
      <c r="V10" s="19"/>
      <c r="W10" s="17"/>
      <c r="X10" s="227"/>
      <c r="Y10" s="17" t="s">
        <v>145</v>
      </c>
      <c r="Z10" s="226"/>
      <c r="AA10" s="17" t="s">
        <v>126</v>
      </c>
      <c r="AB10" s="227"/>
      <c r="AC10" s="17" t="s">
        <v>202</v>
      </c>
      <c r="AD10" s="19"/>
      <c r="AE10" s="17"/>
      <c r="AF10" s="18"/>
      <c r="AG10" s="17"/>
      <c r="AH10" s="236"/>
      <c r="AI10" s="30" t="s">
        <v>125</v>
      </c>
      <c r="AJ10" s="29"/>
      <c r="AK10" s="30"/>
      <c r="AL10" s="29"/>
      <c r="AM10" s="30"/>
      <c r="AN10" s="18"/>
      <c r="AO10" s="17"/>
    </row>
    <row r="11" spans="1:41" x14ac:dyDescent="0.25">
      <c r="A11" s="221"/>
      <c r="B11" s="18"/>
      <c r="C11" s="17"/>
      <c r="D11" s="18" t="s">
        <v>190</v>
      </c>
      <c r="E11" s="20"/>
      <c r="F11" s="18"/>
      <c r="G11" s="17"/>
      <c r="H11" s="18"/>
      <c r="I11" s="17"/>
      <c r="J11" s="29"/>
      <c r="K11" s="30"/>
      <c r="L11" s="230"/>
      <c r="M11" s="30" t="s">
        <v>189</v>
      </c>
      <c r="N11" s="29"/>
      <c r="O11" s="30"/>
      <c r="P11" s="18"/>
      <c r="Q11" s="17"/>
      <c r="R11" s="226"/>
      <c r="S11" s="17" t="s">
        <v>141</v>
      </c>
      <c r="T11" s="18"/>
      <c r="U11" s="17"/>
      <c r="V11" s="19"/>
      <c r="W11" s="17"/>
      <c r="X11" s="18" t="s">
        <v>1163</v>
      </c>
      <c r="Y11" s="17"/>
      <c r="Z11" s="226"/>
      <c r="AA11" s="17" t="s">
        <v>135</v>
      </c>
      <c r="AB11" s="18" t="s">
        <v>706</v>
      </c>
      <c r="AC11" s="17"/>
      <c r="AD11" s="19"/>
      <c r="AE11" s="17"/>
      <c r="AF11" s="18"/>
      <c r="AG11" s="17"/>
      <c r="AH11" s="236"/>
      <c r="AI11" s="30" t="s">
        <v>126</v>
      </c>
      <c r="AJ11" s="29"/>
      <c r="AK11" s="30"/>
      <c r="AL11" s="29"/>
      <c r="AM11" s="30"/>
      <c r="AN11" s="18"/>
      <c r="AO11" s="17"/>
    </row>
    <row r="12" spans="1:41" x14ac:dyDescent="0.25">
      <c r="A12" s="221"/>
      <c r="B12" s="18"/>
      <c r="C12" s="17"/>
      <c r="D12" s="18"/>
      <c r="E12" s="17"/>
      <c r="F12" s="18"/>
      <c r="G12" s="17"/>
      <c r="H12" s="18"/>
      <c r="I12" s="17"/>
      <c r="J12" s="29"/>
      <c r="K12" s="30"/>
      <c r="L12" s="29" t="s">
        <v>190</v>
      </c>
      <c r="M12" s="30"/>
      <c r="N12" s="29"/>
      <c r="O12" s="30"/>
      <c r="P12" s="18"/>
      <c r="Q12" s="17"/>
      <c r="R12" s="227"/>
      <c r="S12" s="17" t="s">
        <v>142</v>
      </c>
      <c r="T12" s="18"/>
      <c r="U12" s="17"/>
      <c r="V12" s="19"/>
      <c r="W12" s="17"/>
      <c r="X12" s="18"/>
      <c r="Y12" s="17"/>
      <c r="Z12" s="226"/>
      <c r="AA12" s="17" t="s">
        <v>141</v>
      </c>
      <c r="AB12" s="18" t="s">
        <v>190</v>
      </c>
      <c r="AC12" s="17"/>
      <c r="AD12" s="18"/>
      <c r="AE12" s="20"/>
      <c r="AF12" s="18"/>
      <c r="AG12" s="17"/>
      <c r="AH12" s="236"/>
      <c r="AI12" s="30" t="s">
        <v>129</v>
      </c>
      <c r="AJ12" s="29"/>
      <c r="AK12" s="30"/>
      <c r="AL12" s="29"/>
      <c r="AM12" s="30"/>
      <c r="AN12" s="18"/>
      <c r="AO12" s="17"/>
    </row>
    <row r="13" spans="1:41" x14ac:dyDescent="0.25">
      <c r="A13" s="221"/>
      <c r="B13" s="18"/>
      <c r="C13" s="17"/>
      <c r="D13" s="18"/>
      <c r="E13" s="17"/>
      <c r="F13" s="18"/>
      <c r="G13" s="17"/>
      <c r="H13" s="18"/>
      <c r="I13" s="17"/>
      <c r="J13" s="18"/>
      <c r="K13" s="17"/>
      <c r="L13" s="27"/>
      <c r="M13" s="17"/>
      <c r="N13" s="18"/>
      <c r="O13" s="17"/>
      <c r="P13" s="18"/>
      <c r="Q13" s="17"/>
      <c r="R13" s="18" t="s">
        <v>152</v>
      </c>
      <c r="S13" s="17"/>
      <c r="T13" s="18"/>
      <c r="U13" s="17"/>
      <c r="V13" s="19"/>
      <c r="W13" s="17"/>
      <c r="X13" s="18"/>
      <c r="Y13" s="17"/>
      <c r="Z13" s="226"/>
      <c r="AA13" s="17" t="s">
        <v>142</v>
      </c>
      <c r="AB13" s="18"/>
      <c r="AC13" s="17"/>
      <c r="AD13" s="18"/>
      <c r="AF13" s="18"/>
      <c r="AG13" s="17"/>
      <c r="AH13" s="236"/>
      <c r="AI13" s="30" t="s">
        <v>134</v>
      </c>
      <c r="AJ13" s="29"/>
      <c r="AK13" s="30"/>
      <c r="AL13" s="29"/>
      <c r="AM13" s="30"/>
      <c r="AN13" s="18"/>
      <c r="AO13" s="17"/>
    </row>
    <row r="14" spans="1:41" x14ac:dyDescent="0.25">
      <c r="A14" s="221"/>
      <c r="B14" s="18"/>
      <c r="C14" s="17"/>
      <c r="D14" s="18"/>
      <c r="E14" s="17"/>
      <c r="F14" s="18"/>
      <c r="G14" s="17"/>
      <c r="H14" s="18"/>
      <c r="I14" s="17"/>
      <c r="J14" s="18"/>
      <c r="K14" s="17"/>
      <c r="L14" s="18"/>
      <c r="M14" s="17"/>
      <c r="N14" s="18"/>
      <c r="O14" s="17"/>
      <c r="P14" s="18"/>
      <c r="Q14" s="17"/>
      <c r="R14" s="18" t="s">
        <v>149</v>
      </c>
      <c r="S14" s="17"/>
      <c r="T14" s="18"/>
      <c r="U14" s="17"/>
      <c r="V14" s="19"/>
      <c r="W14" s="17"/>
      <c r="X14" s="18"/>
      <c r="Y14" s="17"/>
      <c r="Z14" s="227"/>
      <c r="AA14" s="17" t="s">
        <v>144</v>
      </c>
      <c r="AB14" s="18"/>
      <c r="AC14" s="17"/>
      <c r="AD14" s="18"/>
      <c r="AE14" s="17"/>
      <c r="AF14" s="18"/>
      <c r="AG14" s="17"/>
      <c r="AH14" s="236"/>
      <c r="AI14" s="30" t="s">
        <v>135</v>
      </c>
      <c r="AJ14" s="29"/>
      <c r="AK14" s="30"/>
      <c r="AL14" s="29"/>
      <c r="AM14" s="30"/>
      <c r="AN14" s="18"/>
      <c r="AO14" s="17"/>
    </row>
    <row r="15" spans="1:41" x14ac:dyDescent="0.25">
      <c r="A15" s="221"/>
      <c r="B15" s="18"/>
      <c r="C15" s="17"/>
      <c r="D15" s="18"/>
      <c r="E15" s="17"/>
      <c r="F15" s="18"/>
      <c r="G15" s="17"/>
      <c r="H15" s="18"/>
      <c r="I15" s="17"/>
      <c r="J15" s="18"/>
      <c r="K15" s="17"/>
      <c r="L15" s="18"/>
      <c r="M15" s="17"/>
      <c r="N15" s="18"/>
      <c r="O15" s="17"/>
      <c r="P15" s="18"/>
      <c r="Q15" s="17"/>
      <c r="R15" s="18" t="s">
        <v>150</v>
      </c>
      <c r="S15" s="17"/>
      <c r="T15" s="18"/>
      <c r="U15" s="17"/>
      <c r="V15" s="18"/>
      <c r="W15" s="17"/>
      <c r="X15" s="18"/>
      <c r="Y15" s="17"/>
      <c r="Z15" s="18" t="s">
        <v>156</v>
      </c>
      <c r="AA15" s="17"/>
      <c r="AB15" s="18"/>
      <c r="AC15" s="17"/>
      <c r="AD15" s="18"/>
      <c r="AE15" s="17"/>
      <c r="AF15" s="18"/>
      <c r="AG15" s="17"/>
      <c r="AH15" s="236"/>
      <c r="AI15" s="30" t="s">
        <v>136</v>
      </c>
      <c r="AJ15" s="29"/>
      <c r="AK15" s="30"/>
      <c r="AL15" s="29"/>
      <c r="AM15" s="30"/>
      <c r="AN15" s="18"/>
      <c r="AO15" s="17"/>
    </row>
    <row r="16" spans="1:41" ht="51" thickBot="1" x14ac:dyDescent="0.3">
      <c r="A16" s="221"/>
      <c r="B16" s="18"/>
      <c r="C16" s="17"/>
      <c r="D16" s="18"/>
      <c r="E16" s="17"/>
      <c r="F16" s="18"/>
      <c r="G16" s="17"/>
      <c r="H16" s="18"/>
      <c r="I16" s="17"/>
      <c r="J16" s="18"/>
      <c r="K16" s="17"/>
      <c r="L16" s="18"/>
      <c r="M16" s="17"/>
      <c r="N16" s="18"/>
      <c r="O16" s="17"/>
      <c r="P16" s="18"/>
      <c r="Q16" s="17"/>
      <c r="R16" s="222" t="s">
        <v>90</v>
      </c>
      <c r="S16" s="222"/>
      <c r="T16" s="222"/>
      <c r="U16" s="222"/>
      <c r="V16" s="222"/>
      <c r="W16" s="222"/>
      <c r="X16" s="222"/>
      <c r="Y16" s="222"/>
      <c r="Z16" s="18" t="s">
        <v>148</v>
      </c>
      <c r="AA16" s="17"/>
      <c r="AB16" s="18"/>
      <c r="AC16" s="17"/>
      <c r="AD16" s="18"/>
      <c r="AE16" s="17"/>
      <c r="AF16" s="18"/>
      <c r="AG16" s="17"/>
      <c r="AH16" s="236"/>
      <c r="AI16" s="30" t="s">
        <v>141</v>
      </c>
      <c r="AJ16" s="29"/>
      <c r="AK16" s="30"/>
      <c r="AL16" s="31"/>
      <c r="AM16" s="32"/>
      <c r="AN16" s="18"/>
      <c r="AO16" s="17"/>
    </row>
    <row r="17" spans="1:41" ht="17.25" thickTop="1" x14ac:dyDescent="0.25">
      <c r="A17" s="221"/>
      <c r="B17" s="18"/>
      <c r="C17" s="17"/>
      <c r="D17" s="18"/>
      <c r="E17" s="17"/>
      <c r="F17" s="18"/>
      <c r="G17" s="17"/>
      <c r="H17" s="18"/>
      <c r="I17" s="17"/>
      <c r="J17" s="18"/>
      <c r="K17" s="17"/>
      <c r="L17" s="18"/>
      <c r="M17" s="17"/>
      <c r="N17" s="18"/>
      <c r="O17" s="17"/>
      <c r="P17" s="18"/>
      <c r="Q17" s="17"/>
      <c r="R17" s="223" t="s">
        <v>172</v>
      </c>
      <c r="S17" s="224" t="s">
        <v>172</v>
      </c>
      <c r="T17" s="231" t="s">
        <v>1448</v>
      </c>
      <c r="U17" s="231" t="s">
        <v>1449</v>
      </c>
      <c r="V17" s="231" t="s">
        <v>1450</v>
      </c>
      <c r="W17" s="231" t="s">
        <v>1451</v>
      </c>
      <c r="X17" s="231" t="s">
        <v>715</v>
      </c>
      <c r="Y17" s="231" t="s">
        <v>1447</v>
      </c>
      <c r="Z17" s="18" t="s">
        <v>149</v>
      </c>
      <c r="AA17" s="17"/>
      <c r="AB17" s="18"/>
      <c r="AC17" s="17"/>
      <c r="AD17" s="18"/>
      <c r="AE17" s="17"/>
      <c r="AF17" s="18"/>
      <c r="AG17" s="17"/>
      <c r="AH17" s="237"/>
      <c r="AI17" s="30" t="s">
        <v>142</v>
      </c>
      <c r="AJ17" s="29"/>
      <c r="AK17" s="30"/>
      <c r="AL17" s="29"/>
      <c r="AM17" s="30"/>
      <c r="AN17" s="18"/>
      <c r="AO17" s="17"/>
    </row>
    <row r="18" spans="1:41" x14ac:dyDescent="0.25">
      <c r="A18" s="221"/>
      <c r="B18" s="18"/>
      <c r="C18" s="17"/>
      <c r="D18" s="18"/>
      <c r="E18" s="17"/>
      <c r="F18" s="18"/>
      <c r="G18" s="17"/>
      <c r="H18" s="18"/>
      <c r="I18" s="17"/>
      <c r="J18" s="18"/>
      <c r="K18" s="17"/>
      <c r="L18" s="18"/>
      <c r="M18" s="17"/>
      <c r="N18" s="18"/>
      <c r="O18" s="17"/>
      <c r="P18" s="18"/>
      <c r="Q18" s="17"/>
      <c r="R18" s="29" t="s">
        <v>379</v>
      </c>
      <c r="S18" s="30" t="s">
        <v>192</v>
      </c>
      <c r="T18" s="29" t="s">
        <v>182</v>
      </c>
      <c r="U18" s="30"/>
      <c r="V18" s="29" t="s">
        <v>378</v>
      </c>
      <c r="W18" s="30" t="s">
        <v>444</v>
      </c>
      <c r="X18" s="29" t="s">
        <v>379</v>
      </c>
      <c r="Y18" s="30" t="s">
        <v>574</v>
      </c>
      <c r="Z18" s="18" t="s">
        <v>150</v>
      </c>
      <c r="AA18" s="17"/>
      <c r="AB18" s="18"/>
      <c r="AC18" s="17"/>
      <c r="AD18" s="18"/>
      <c r="AE18" s="17"/>
      <c r="AF18" s="18"/>
      <c r="AG18" s="17"/>
      <c r="AH18" s="29" t="s">
        <v>158</v>
      </c>
      <c r="AI18" s="32"/>
      <c r="AJ18" s="29"/>
      <c r="AK18" s="30"/>
      <c r="AL18" s="29"/>
      <c r="AM18" s="30"/>
      <c r="AN18" s="18"/>
      <c r="AO18" s="17"/>
    </row>
    <row r="19" spans="1:41" ht="51" thickBot="1" x14ac:dyDescent="0.3">
      <c r="A19" s="221"/>
      <c r="B19" s="18"/>
      <c r="C19" s="17"/>
      <c r="D19" s="18"/>
      <c r="E19" s="17"/>
      <c r="F19" s="18"/>
      <c r="G19" s="17"/>
      <c r="H19" s="18"/>
      <c r="I19" s="17"/>
      <c r="J19" s="18"/>
      <c r="K19" s="17"/>
      <c r="L19" s="18"/>
      <c r="M19" s="17"/>
      <c r="N19" s="18"/>
      <c r="O19" s="17"/>
      <c r="P19" s="18"/>
      <c r="Q19" s="17"/>
      <c r="R19" s="228" t="s">
        <v>115</v>
      </c>
      <c r="S19" s="30" t="s">
        <v>125</v>
      </c>
      <c r="T19" s="29" t="s">
        <v>547</v>
      </c>
      <c r="U19" s="30"/>
      <c r="V19" s="29"/>
      <c r="W19" s="30"/>
      <c r="X19" s="29" t="s">
        <v>150</v>
      </c>
      <c r="Y19" s="30"/>
      <c r="Z19" s="222" t="s">
        <v>99</v>
      </c>
      <c r="AA19" s="222"/>
      <c r="AB19" s="222"/>
      <c r="AC19" s="222"/>
      <c r="AD19" s="222"/>
      <c r="AE19" s="222"/>
      <c r="AF19" s="222"/>
      <c r="AG19" s="222"/>
      <c r="AH19" s="228" t="s">
        <v>147</v>
      </c>
      <c r="AI19" s="30" t="s">
        <v>180</v>
      </c>
      <c r="AJ19" s="29"/>
      <c r="AK19" s="30"/>
      <c r="AL19" s="29"/>
      <c r="AM19" s="30"/>
      <c r="AN19" s="18"/>
      <c r="AO19" s="17"/>
    </row>
    <row r="20" spans="1:41" ht="17.25" thickTop="1" x14ac:dyDescent="0.25">
      <c r="A20" s="221"/>
      <c r="B20" s="18"/>
      <c r="C20" s="17"/>
      <c r="D20" s="18"/>
      <c r="E20" s="17"/>
      <c r="F20" s="18"/>
      <c r="G20" s="17"/>
      <c r="H20" s="18"/>
      <c r="I20" s="17"/>
      <c r="J20" s="18"/>
      <c r="K20" s="17"/>
      <c r="L20" s="18"/>
      <c r="M20" s="17"/>
      <c r="N20" s="18"/>
      <c r="O20" s="17"/>
      <c r="P20" s="18"/>
      <c r="Q20" s="17"/>
      <c r="R20" s="229"/>
      <c r="S20" s="30" t="s">
        <v>133</v>
      </c>
      <c r="T20" s="29" t="s">
        <v>193</v>
      </c>
      <c r="U20" s="30"/>
      <c r="V20" s="29"/>
      <c r="W20" s="30"/>
      <c r="X20" s="18"/>
      <c r="Y20" s="17"/>
      <c r="Z20" s="231" t="s">
        <v>1445</v>
      </c>
      <c r="AA20" s="231" t="s">
        <v>1446</v>
      </c>
      <c r="AB20" s="231" t="s">
        <v>1448</v>
      </c>
      <c r="AC20" s="231" t="s">
        <v>1449</v>
      </c>
      <c r="AD20" s="231" t="s">
        <v>1450</v>
      </c>
      <c r="AE20" s="231" t="s">
        <v>1451</v>
      </c>
      <c r="AF20" s="231" t="s">
        <v>715</v>
      </c>
      <c r="AG20" s="231" t="s">
        <v>1447</v>
      </c>
      <c r="AH20" s="230"/>
      <c r="AI20" s="30" t="s">
        <v>181</v>
      </c>
      <c r="AJ20" s="29"/>
      <c r="AK20" s="30"/>
      <c r="AL20" s="29"/>
      <c r="AM20" s="30"/>
      <c r="AN20" s="18"/>
      <c r="AO20" s="17"/>
    </row>
    <row r="21" spans="1:41" x14ac:dyDescent="0.25">
      <c r="A21" s="221"/>
      <c r="B21" s="18"/>
      <c r="C21" s="17"/>
      <c r="D21" s="18"/>
      <c r="E21" s="17"/>
      <c r="F21" s="18"/>
      <c r="G21" s="17"/>
      <c r="H21" s="18"/>
      <c r="I21" s="17"/>
      <c r="J21" s="18"/>
      <c r="K21" s="17"/>
      <c r="L21" s="18"/>
      <c r="M21" s="17"/>
      <c r="N21" s="18"/>
      <c r="O21" s="17"/>
      <c r="P21" s="18"/>
      <c r="Q21" s="17"/>
      <c r="R21" s="229"/>
      <c r="S21" s="30" t="s">
        <v>138</v>
      </c>
      <c r="T21" s="228" t="s">
        <v>186</v>
      </c>
      <c r="U21" s="30" t="s">
        <v>194</v>
      </c>
      <c r="V21" s="29"/>
      <c r="W21" s="30"/>
      <c r="X21" s="18"/>
      <c r="Y21" s="17"/>
      <c r="Z21" s="232" t="s">
        <v>379</v>
      </c>
      <c r="AA21" s="20" t="s">
        <v>390</v>
      </c>
      <c r="AB21" s="19" t="s">
        <v>182</v>
      </c>
      <c r="AC21" s="20"/>
      <c r="AD21" s="19" t="s">
        <v>152</v>
      </c>
      <c r="AE21" s="17"/>
      <c r="AF21" s="19" t="s">
        <v>379</v>
      </c>
      <c r="AG21" s="17" t="s">
        <v>574</v>
      </c>
      <c r="AH21" s="29" t="s">
        <v>148</v>
      </c>
      <c r="AI21" s="32"/>
      <c r="AJ21" s="29"/>
      <c r="AK21" s="30"/>
      <c r="AL21" s="29"/>
      <c r="AM21" s="30"/>
      <c r="AN21" s="18"/>
      <c r="AO21" s="17"/>
    </row>
    <row r="22" spans="1:41" x14ac:dyDescent="0.25">
      <c r="A22" s="221"/>
      <c r="B22" s="18"/>
      <c r="C22" s="17"/>
      <c r="D22" s="18"/>
      <c r="E22" s="17"/>
      <c r="F22" s="18"/>
      <c r="G22" s="17"/>
      <c r="H22" s="18"/>
      <c r="I22" s="17"/>
      <c r="J22" s="18"/>
      <c r="K22" s="17"/>
      <c r="L22" s="18"/>
      <c r="M22" s="17"/>
      <c r="N22" s="18"/>
      <c r="O22" s="17"/>
      <c r="P22" s="18"/>
      <c r="Q22" s="17"/>
      <c r="R22" s="229"/>
      <c r="S22" s="30" t="s">
        <v>145</v>
      </c>
      <c r="T22" s="229"/>
      <c r="U22" s="30" t="s">
        <v>188</v>
      </c>
      <c r="V22" s="29"/>
      <c r="W22" s="30"/>
      <c r="X22" s="18"/>
      <c r="Y22" s="17"/>
      <c r="Z22" s="233"/>
      <c r="AA22" s="20" t="s">
        <v>391</v>
      </c>
      <c r="AB22" s="19" t="s">
        <v>204</v>
      </c>
      <c r="AC22" s="20"/>
      <c r="AD22" s="19"/>
      <c r="AE22" s="17"/>
      <c r="AF22" s="19" t="s">
        <v>378</v>
      </c>
      <c r="AG22" s="17" t="s">
        <v>120</v>
      </c>
      <c r="AH22" s="29" t="s">
        <v>159</v>
      </c>
      <c r="AI22" s="32"/>
      <c r="AJ22" s="29"/>
      <c r="AK22" s="30"/>
      <c r="AL22" s="29"/>
      <c r="AM22" s="30"/>
      <c r="AN22" s="18"/>
      <c r="AO22" s="17"/>
    </row>
    <row r="23" spans="1:41" x14ac:dyDescent="0.25">
      <c r="A23" s="221"/>
      <c r="B23" s="18"/>
      <c r="C23" s="17"/>
      <c r="D23" s="18"/>
      <c r="E23" s="17"/>
      <c r="F23" s="18"/>
      <c r="G23" s="17"/>
      <c r="H23" s="18"/>
      <c r="I23" s="17"/>
      <c r="J23" s="18"/>
      <c r="K23" s="17"/>
      <c r="L23" s="18"/>
      <c r="M23" s="17"/>
      <c r="N23" s="18"/>
      <c r="O23" s="17"/>
      <c r="P23" s="18"/>
      <c r="Q23" s="17"/>
      <c r="R23" s="29" t="s">
        <v>153</v>
      </c>
      <c r="S23" s="30"/>
      <c r="T23" s="229"/>
      <c r="U23" s="30" t="s">
        <v>195</v>
      </c>
      <c r="V23" s="29"/>
      <c r="W23" s="30"/>
      <c r="X23" s="18"/>
      <c r="Y23" s="17"/>
      <c r="Z23" s="233"/>
      <c r="AA23" s="20" t="s">
        <v>109</v>
      </c>
      <c r="AB23" s="232" t="s">
        <v>703</v>
      </c>
      <c r="AC23" s="20" t="s">
        <v>197</v>
      </c>
      <c r="AD23" s="19"/>
      <c r="AE23" s="17"/>
      <c r="AF23" s="18"/>
      <c r="AG23" s="17"/>
      <c r="AH23" s="29" t="s">
        <v>150</v>
      </c>
      <c r="AI23" s="30"/>
      <c r="AJ23" s="29"/>
      <c r="AK23" s="30"/>
      <c r="AL23" s="29"/>
      <c r="AM23" s="30"/>
      <c r="AN23" s="18"/>
      <c r="AO23" s="17"/>
    </row>
    <row r="24" spans="1:41" x14ac:dyDescent="0.25">
      <c r="A24" s="221"/>
      <c r="B24" s="18"/>
      <c r="C24" s="17"/>
      <c r="D24" s="18"/>
      <c r="E24" s="17"/>
      <c r="F24" s="18"/>
      <c r="G24" s="17"/>
      <c r="H24" s="18"/>
      <c r="I24" s="17"/>
      <c r="J24" s="18"/>
      <c r="K24" s="17"/>
      <c r="L24" s="18"/>
      <c r="M24" s="17"/>
      <c r="N24" s="18"/>
      <c r="O24" s="17"/>
      <c r="P24" s="18"/>
      <c r="Q24" s="17"/>
      <c r="R24" s="29" t="s">
        <v>149</v>
      </c>
      <c r="S24" s="30"/>
      <c r="T24" s="229"/>
      <c r="U24" s="30" t="s">
        <v>349</v>
      </c>
      <c r="V24" s="29"/>
      <c r="W24" s="30"/>
      <c r="X24" s="18"/>
      <c r="Y24" s="17"/>
      <c r="Z24" s="233"/>
      <c r="AA24" s="20" t="s">
        <v>110</v>
      </c>
      <c r="AB24" s="234"/>
      <c r="AC24" s="20" t="s">
        <v>198</v>
      </c>
      <c r="AD24" s="19"/>
      <c r="AE24" s="17"/>
      <c r="AF24" s="18"/>
      <c r="AG24" s="17"/>
      <c r="AH24" s="19"/>
      <c r="AI24" s="17"/>
      <c r="AJ24" s="18"/>
      <c r="AK24" s="17"/>
      <c r="AL24" s="18"/>
      <c r="AM24" s="17"/>
      <c r="AN24" s="18"/>
      <c r="AO24" s="17"/>
    </row>
    <row r="25" spans="1:41" x14ac:dyDescent="0.25">
      <c r="A25" s="221"/>
      <c r="B25" s="18"/>
      <c r="C25" s="17"/>
      <c r="D25" s="18"/>
      <c r="E25" s="17"/>
      <c r="F25" s="18"/>
      <c r="G25" s="17"/>
      <c r="H25" s="18"/>
      <c r="I25" s="17"/>
      <c r="J25" s="18"/>
      <c r="K25" s="17"/>
      <c r="L25" s="18"/>
      <c r="M25" s="17"/>
      <c r="N25" s="18"/>
      <c r="O25" s="17"/>
      <c r="P25" s="18"/>
      <c r="Q25" s="17"/>
      <c r="R25" s="29" t="s">
        <v>150</v>
      </c>
      <c r="S25" s="30"/>
      <c r="T25" s="230"/>
      <c r="U25" s="30" t="s">
        <v>196</v>
      </c>
      <c r="V25" s="29"/>
      <c r="W25" s="30"/>
      <c r="X25" s="18"/>
      <c r="Y25" s="17"/>
      <c r="Z25" s="234"/>
      <c r="AA25" s="20" t="s">
        <v>111</v>
      </c>
      <c r="AB25" s="232" t="s">
        <v>706</v>
      </c>
      <c r="AC25" s="20" t="s">
        <v>205</v>
      </c>
      <c r="AD25" s="19"/>
      <c r="AE25" s="17"/>
      <c r="AF25" s="18"/>
      <c r="AG25" s="17"/>
      <c r="AH25" s="19"/>
      <c r="AI25" s="17"/>
      <c r="AJ25" s="18"/>
      <c r="AK25" s="17"/>
      <c r="AL25" s="18"/>
      <c r="AM25" s="17"/>
      <c r="AN25" s="18"/>
      <c r="AO25" s="17"/>
    </row>
    <row r="26" spans="1:41" x14ac:dyDescent="0.25">
      <c r="A26" s="221"/>
      <c r="B26" s="18"/>
      <c r="C26" s="17"/>
      <c r="D26" s="18"/>
      <c r="E26" s="17"/>
      <c r="F26" s="18"/>
      <c r="G26" s="17"/>
      <c r="H26" s="18"/>
      <c r="I26" s="17"/>
      <c r="J26" s="18"/>
      <c r="K26" s="17"/>
      <c r="L26" s="18"/>
      <c r="M26" s="17"/>
      <c r="N26" s="18"/>
      <c r="O26" s="17"/>
      <c r="P26" s="18"/>
      <c r="Q26" s="17"/>
      <c r="R26" s="33" t="s">
        <v>159</v>
      </c>
      <c r="S26" s="30" t="s">
        <v>425</v>
      </c>
      <c r="T26" s="29"/>
      <c r="U26" s="30"/>
      <c r="V26" s="29"/>
      <c r="W26" s="30"/>
      <c r="X26" s="18"/>
      <c r="Y26" s="17"/>
      <c r="Z26" s="232" t="s">
        <v>115</v>
      </c>
      <c r="AA26" s="20" t="s">
        <v>119</v>
      </c>
      <c r="AB26" s="233"/>
      <c r="AC26" s="20" t="s">
        <v>206</v>
      </c>
      <c r="AD26" s="19"/>
      <c r="AE26" s="17"/>
      <c r="AF26" s="18"/>
      <c r="AG26" s="17"/>
      <c r="AH26" s="18"/>
      <c r="AI26" s="20"/>
      <c r="AJ26" s="18"/>
      <c r="AK26" s="17"/>
      <c r="AL26" s="18"/>
      <c r="AM26" s="17"/>
      <c r="AN26" s="18"/>
      <c r="AO26" s="17"/>
    </row>
    <row r="27" spans="1:41" x14ac:dyDescent="0.25">
      <c r="A27" s="221"/>
      <c r="B27" s="18"/>
      <c r="C27" s="17"/>
      <c r="D27" s="18"/>
      <c r="E27" s="17"/>
      <c r="F27" s="18"/>
      <c r="G27" s="17"/>
      <c r="H27" s="18"/>
      <c r="I27" s="17"/>
      <c r="J27" s="18"/>
      <c r="K27" s="17"/>
      <c r="L27" s="18"/>
      <c r="M27" s="17"/>
      <c r="N27" s="18"/>
      <c r="O27" s="17"/>
      <c r="P27" s="18"/>
      <c r="Q27" s="17"/>
      <c r="R27" s="18"/>
      <c r="S27" s="17"/>
      <c r="T27" s="18"/>
      <c r="U27" s="17"/>
      <c r="V27" s="18"/>
      <c r="W27" s="17"/>
      <c r="X27" s="18"/>
      <c r="Y27" s="17"/>
      <c r="Z27" s="233"/>
      <c r="AA27" s="20" t="s">
        <v>137</v>
      </c>
      <c r="AB27" s="234"/>
      <c r="AC27" s="20" t="s">
        <v>210</v>
      </c>
      <c r="AD27" s="19"/>
      <c r="AE27" s="17"/>
      <c r="AF27" s="18"/>
      <c r="AG27" s="17"/>
      <c r="AH27" s="18"/>
      <c r="AI27" s="20"/>
      <c r="AJ27" s="18"/>
      <c r="AK27" s="17"/>
      <c r="AL27" s="18"/>
      <c r="AM27" s="17"/>
      <c r="AN27" s="18"/>
      <c r="AO27" s="17"/>
    </row>
    <row r="28" spans="1:41" x14ac:dyDescent="0.25">
      <c r="A28" s="221"/>
      <c r="B28" s="18"/>
      <c r="C28" s="17"/>
      <c r="D28" s="18"/>
      <c r="E28" s="17"/>
      <c r="F28" s="18"/>
      <c r="G28" s="17"/>
      <c r="H28" s="18"/>
      <c r="I28" s="17"/>
      <c r="J28" s="18"/>
      <c r="K28" s="17"/>
      <c r="L28" s="18"/>
      <c r="M28" s="17"/>
      <c r="N28" s="18"/>
      <c r="O28" s="17"/>
      <c r="P28" s="18"/>
      <c r="Q28" s="17"/>
      <c r="R28" s="18"/>
      <c r="S28" s="17"/>
      <c r="T28" s="18"/>
      <c r="U28" s="17"/>
      <c r="V28" s="18"/>
      <c r="W28" s="17"/>
      <c r="X28" s="18"/>
      <c r="Y28" s="17"/>
      <c r="Z28" s="234"/>
      <c r="AA28" s="20" t="s">
        <v>142</v>
      </c>
      <c r="AB28" s="19" t="s">
        <v>190</v>
      </c>
      <c r="AC28" s="20"/>
      <c r="AD28" s="19"/>
      <c r="AE28" s="17"/>
      <c r="AF28" s="18"/>
      <c r="AG28" s="17"/>
      <c r="AH28" s="18"/>
      <c r="AI28" s="17"/>
      <c r="AJ28" s="18"/>
      <c r="AK28" s="17"/>
      <c r="AL28" s="18"/>
      <c r="AM28" s="17"/>
      <c r="AN28" s="18"/>
      <c r="AO28" s="17"/>
    </row>
    <row r="29" spans="1:41" x14ac:dyDescent="0.25">
      <c r="A29" s="221"/>
      <c r="B29" s="18"/>
      <c r="C29" s="17"/>
      <c r="D29" s="18"/>
      <c r="E29" s="17"/>
      <c r="F29" s="18"/>
      <c r="G29" s="17"/>
      <c r="H29" s="18"/>
      <c r="I29" s="17"/>
      <c r="J29" s="18"/>
      <c r="K29" s="17"/>
      <c r="L29" s="18"/>
      <c r="M29" s="17"/>
      <c r="N29" s="18"/>
      <c r="O29" s="17"/>
      <c r="P29" s="18"/>
      <c r="Q29" s="17"/>
      <c r="R29" s="18"/>
      <c r="S29" s="17"/>
      <c r="T29" s="18"/>
      <c r="U29" s="17"/>
      <c r="V29" s="18"/>
      <c r="W29" s="17"/>
      <c r="X29" s="18"/>
      <c r="Y29" s="17"/>
      <c r="Z29" s="18" t="s">
        <v>157</v>
      </c>
      <c r="AA29" s="17"/>
      <c r="AB29" s="18"/>
      <c r="AC29" s="17"/>
      <c r="AD29" s="18"/>
      <c r="AE29" s="17"/>
      <c r="AF29" s="18"/>
      <c r="AG29" s="17"/>
      <c r="AH29" s="18"/>
      <c r="AI29" s="17"/>
      <c r="AJ29" s="18"/>
      <c r="AK29" s="17"/>
      <c r="AL29" s="18"/>
      <c r="AM29" s="17"/>
      <c r="AN29" s="18"/>
      <c r="AO29" s="17"/>
    </row>
    <row r="30" spans="1:41" x14ac:dyDescent="0.25">
      <c r="A30" s="221"/>
      <c r="B30" s="18"/>
      <c r="C30" s="17"/>
      <c r="D30" s="18"/>
      <c r="E30" s="17"/>
      <c r="F30" s="18"/>
      <c r="G30" s="17"/>
      <c r="H30" s="18"/>
      <c r="I30" s="17"/>
      <c r="J30" s="18"/>
      <c r="K30" s="17"/>
      <c r="L30" s="18"/>
      <c r="M30" s="17"/>
      <c r="N30" s="18"/>
      <c r="O30" s="17"/>
      <c r="P30" s="18"/>
      <c r="Q30" s="17"/>
      <c r="R30" s="18"/>
      <c r="S30" s="17"/>
      <c r="T30" s="18"/>
      <c r="U30" s="17"/>
      <c r="V30" s="18"/>
      <c r="W30" s="17"/>
      <c r="X30" s="18"/>
      <c r="Y30" s="17"/>
      <c r="Z30" s="18" t="s">
        <v>155</v>
      </c>
      <c r="AA30" s="17"/>
      <c r="AB30" s="18"/>
      <c r="AC30" s="17"/>
      <c r="AD30" s="18"/>
      <c r="AE30" s="17"/>
      <c r="AF30" s="18"/>
      <c r="AG30" s="17"/>
      <c r="AH30" s="18"/>
      <c r="AI30" s="17"/>
      <c r="AJ30" s="18"/>
      <c r="AK30" s="17"/>
      <c r="AL30" s="18"/>
      <c r="AM30" s="17"/>
      <c r="AN30" s="18"/>
      <c r="AO30" s="17"/>
    </row>
    <row r="31" spans="1:41" x14ac:dyDescent="0.25">
      <c r="A31" s="221"/>
      <c r="B31" s="18"/>
      <c r="C31" s="17"/>
      <c r="D31" s="18"/>
      <c r="E31" s="17"/>
      <c r="F31" s="18"/>
      <c r="G31" s="17"/>
      <c r="H31" s="18"/>
      <c r="I31" s="17"/>
      <c r="J31" s="18"/>
      <c r="K31" s="17"/>
      <c r="L31" s="18"/>
      <c r="M31" s="17"/>
      <c r="N31" s="18"/>
      <c r="O31" s="17"/>
      <c r="P31" s="18"/>
      <c r="Q31" s="17"/>
      <c r="R31" s="18"/>
      <c r="S31" s="17"/>
      <c r="T31" s="18"/>
      <c r="U31" s="17"/>
      <c r="V31" s="18"/>
      <c r="W31" s="17"/>
      <c r="X31" s="18"/>
      <c r="Y31" s="17"/>
      <c r="Z31" s="18" t="s">
        <v>149</v>
      </c>
      <c r="AA31" s="17"/>
      <c r="AB31" s="18"/>
      <c r="AC31" s="17"/>
      <c r="AD31" s="18"/>
      <c r="AE31" s="17"/>
      <c r="AF31" s="18"/>
      <c r="AG31" s="17"/>
      <c r="AH31" s="18"/>
      <c r="AI31" s="17"/>
      <c r="AJ31" s="18"/>
      <c r="AK31" s="17"/>
      <c r="AL31" s="18"/>
      <c r="AM31" s="17"/>
      <c r="AN31" s="18"/>
      <c r="AO31" s="17"/>
    </row>
    <row r="32" spans="1:41" x14ac:dyDescent="0.25">
      <c r="A32" s="221"/>
      <c r="B32" s="18"/>
      <c r="C32" s="17"/>
      <c r="D32" s="18"/>
      <c r="E32" s="17"/>
      <c r="F32" s="18"/>
      <c r="G32" s="17"/>
      <c r="H32" s="18"/>
      <c r="I32" s="17"/>
      <c r="J32" s="18"/>
      <c r="K32" s="17"/>
      <c r="L32" s="18"/>
      <c r="M32" s="17"/>
      <c r="N32" s="18"/>
      <c r="O32" s="17"/>
      <c r="P32" s="18"/>
      <c r="Q32" s="17"/>
      <c r="R32" s="18"/>
      <c r="S32" s="17"/>
      <c r="T32" s="18"/>
      <c r="U32" s="17"/>
      <c r="V32" s="18"/>
      <c r="W32" s="17"/>
      <c r="X32" s="18"/>
      <c r="Y32" s="17"/>
      <c r="Z32" s="18" t="s">
        <v>150</v>
      </c>
      <c r="AA32" s="17"/>
      <c r="AB32" s="18"/>
      <c r="AC32" s="17"/>
      <c r="AD32" s="18"/>
      <c r="AE32" s="17"/>
      <c r="AF32" s="18"/>
      <c r="AG32" s="17"/>
      <c r="AH32" s="18"/>
      <c r="AI32" s="17"/>
      <c r="AJ32" s="18"/>
      <c r="AK32" s="17"/>
      <c r="AL32" s="18"/>
      <c r="AM32" s="17"/>
      <c r="AN32" s="18"/>
      <c r="AO32" s="17"/>
    </row>
    <row r="33" spans="1:41" s="11" customFormat="1" ht="51" thickBot="1" x14ac:dyDescent="0.3">
      <c r="A33" s="221" t="s">
        <v>283</v>
      </c>
      <c r="B33" s="22"/>
      <c r="C33" s="21"/>
      <c r="D33" s="22"/>
      <c r="E33" s="21"/>
      <c r="F33" s="22"/>
      <c r="G33" s="21"/>
      <c r="H33" s="22"/>
      <c r="I33" s="21"/>
      <c r="J33" s="222" t="s">
        <v>68</v>
      </c>
      <c r="K33" s="222"/>
      <c r="L33" s="222"/>
      <c r="M33" s="222"/>
      <c r="N33" s="222"/>
      <c r="O33" s="222"/>
      <c r="P33" s="222"/>
      <c r="Q33" s="222"/>
      <c r="R33" s="22"/>
      <c r="S33" s="21"/>
      <c r="T33" s="22"/>
      <c r="U33" s="21"/>
      <c r="V33" s="22"/>
      <c r="W33" s="21"/>
      <c r="X33" s="22"/>
      <c r="Y33" s="21"/>
      <c r="Z33" s="222" t="s">
        <v>100</v>
      </c>
      <c r="AA33" s="222"/>
      <c r="AB33" s="222"/>
      <c r="AC33" s="222"/>
      <c r="AD33" s="222"/>
      <c r="AE33" s="222"/>
      <c r="AF33" s="222"/>
      <c r="AG33" s="222"/>
      <c r="AH33" s="18"/>
      <c r="AI33" s="17"/>
      <c r="AJ33" s="18"/>
      <c r="AK33" s="17"/>
      <c r="AL33" s="18"/>
      <c r="AM33" s="17"/>
      <c r="AN33" s="22"/>
      <c r="AO33" s="21"/>
    </row>
    <row r="34" spans="1:41" s="11" customFormat="1" ht="17.25" thickTop="1" x14ac:dyDescent="0.25">
      <c r="A34" s="221"/>
      <c r="B34" s="22"/>
      <c r="C34" s="21"/>
      <c r="D34" s="22"/>
      <c r="E34" s="21"/>
      <c r="F34" s="22"/>
      <c r="G34" s="21"/>
      <c r="H34" s="22"/>
      <c r="I34" s="21"/>
      <c r="J34" s="231" t="s">
        <v>1445</v>
      </c>
      <c r="K34" s="231" t="s">
        <v>1446</v>
      </c>
      <c r="L34" s="231" t="s">
        <v>1448</v>
      </c>
      <c r="M34" s="231" t="s">
        <v>1449</v>
      </c>
      <c r="N34" s="231" t="s">
        <v>1450</v>
      </c>
      <c r="O34" s="231" t="s">
        <v>1451</v>
      </c>
      <c r="P34" s="231" t="s">
        <v>715</v>
      </c>
      <c r="Q34" s="231" t="s">
        <v>1447</v>
      </c>
      <c r="R34" s="22"/>
      <c r="S34" s="21"/>
      <c r="T34" s="22"/>
      <c r="U34" s="21"/>
      <c r="V34" s="22"/>
      <c r="W34" s="21"/>
      <c r="X34" s="22"/>
      <c r="Y34" s="21"/>
      <c r="Z34" s="231" t="s">
        <v>1445</v>
      </c>
      <c r="AA34" s="231" t="s">
        <v>1446</v>
      </c>
      <c r="AB34" s="231" t="s">
        <v>1448</v>
      </c>
      <c r="AC34" s="231" t="s">
        <v>1449</v>
      </c>
      <c r="AD34" s="231" t="s">
        <v>1450</v>
      </c>
      <c r="AE34" s="231" t="s">
        <v>1451</v>
      </c>
      <c r="AF34" s="231" t="s">
        <v>715</v>
      </c>
      <c r="AG34" s="231" t="s">
        <v>1447</v>
      </c>
      <c r="AH34" s="22"/>
      <c r="AI34" s="21"/>
      <c r="AJ34" s="22"/>
      <c r="AK34" s="21"/>
      <c r="AL34" s="22"/>
      <c r="AM34" s="21"/>
      <c r="AN34" s="22"/>
      <c r="AO34" s="21"/>
    </row>
    <row r="35" spans="1:41" s="12" customFormat="1" x14ac:dyDescent="0.25">
      <c r="A35" s="221"/>
      <c r="B35" s="18"/>
      <c r="C35" s="17"/>
      <c r="D35" s="18"/>
      <c r="E35" s="17"/>
      <c r="F35" s="18"/>
      <c r="G35" s="17"/>
      <c r="H35" s="18"/>
      <c r="I35" s="17"/>
      <c r="J35" s="18" t="s">
        <v>151</v>
      </c>
      <c r="K35" s="17"/>
      <c r="L35" s="18" t="s">
        <v>182</v>
      </c>
      <c r="M35" s="17"/>
      <c r="N35" s="225" t="s">
        <v>558</v>
      </c>
      <c r="O35" s="17" t="s">
        <v>380</v>
      </c>
      <c r="P35" s="18"/>
      <c r="Q35" s="17"/>
      <c r="R35" s="18"/>
      <c r="S35" s="17"/>
      <c r="T35" s="18"/>
      <c r="U35" s="17"/>
      <c r="V35" s="18"/>
      <c r="W35" s="17"/>
      <c r="X35" s="18"/>
      <c r="Y35" s="17"/>
      <c r="Z35" s="225" t="s">
        <v>379</v>
      </c>
      <c r="AA35" s="17" t="s">
        <v>380</v>
      </c>
      <c r="AB35" s="18" t="s">
        <v>217</v>
      </c>
      <c r="AC35" s="17"/>
      <c r="AD35" s="18" t="s">
        <v>158</v>
      </c>
      <c r="AE35" s="17"/>
      <c r="AF35" s="225" t="s">
        <v>378</v>
      </c>
      <c r="AG35" s="17" t="s">
        <v>125</v>
      </c>
      <c r="AH35" s="18"/>
      <c r="AI35" s="17"/>
      <c r="AJ35" s="18"/>
      <c r="AK35" s="17"/>
      <c r="AL35" s="18"/>
      <c r="AM35" s="17"/>
      <c r="AN35" s="18"/>
      <c r="AO35" s="17"/>
    </row>
    <row r="36" spans="1:41" s="12" customFormat="1" x14ac:dyDescent="0.25">
      <c r="A36" s="221"/>
      <c r="B36" s="18"/>
      <c r="C36" s="17"/>
      <c r="D36" s="18"/>
      <c r="E36" s="17"/>
      <c r="F36" s="18"/>
      <c r="G36" s="17"/>
      <c r="H36" s="18"/>
      <c r="I36" s="17"/>
      <c r="J36" s="225" t="s">
        <v>379</v>
      </c>
      <c r="K36" s="17" t="s">
        <v>384</v>
      </c>
      <c r="L36" s="18" t="s">
        <v>703</v>
      </c>
      <c r="M36" s="17" t="s">
        <v>197</v>
      </c>
      <c r="N36" s="227"/>
      <c r="O36" s="17" t="s">
        <v>381</v>
      </c>
      <c r="P36" s="18"/>
      <c r="Q36" s="17"/>
      <c r="R36" s="18"/>
      <c r="S36" s="17"/>
      <c r="T36" s="18"/>
      <c r="U36" s="17"/>
      <c r="V36" s="18"/>
      <c r="W36" s="17"/>
      <c r="X36" s="18"/>
      <c r="Y36" s="17"/>
      <c r="Z36" s="226"/>
      <c r="AA36" s="17" t="s">
        <v>381</v>
      </c>
      <c r="AB36" s="18" t="s">
        <v>706</v>
      </c>
      <c r="AC36" s="17" t="s">
        <v>205</v>
      </c>
      <c r="AD36" s="18" t="s">
        <v>156</v>
      </c>
      <c r="AE36" s="17"/>
      <c r="AF36" s="226"/>
      <c r="AG36" s="17" t="s">
        <v>136</v>
      </c>
      <c r="AH36" s="18"/>
      <c r="AI36" s="17"/>
      <c r="AJ36" s="18"/>
      <c r="AK36" s="17"/>
      <c r="AL36" s="18"/>
      <c r="AM36" s="17"/>
      <c r="AN36" s="18"/>
      <c r="AO36" s="17"/>
    </row>
    <row r="37" spans="1:41" s="12" customFormat="1" x14ac:dyDescent="0.25">
      <c r="A37" s="221"/>
      <c r="B37" s="18"/>
      <c r="C37" s="17"/>
      <c r="D37" s="18"/>
      <c r="E37" s="17"/>
      <c r="F37" s="18"/>
      <c r="G37" s="17"/>
      <c r="H37" s="18"/>
      <c r="I37" s="17"/>
      <c r="J37" s="226"/>
      <c r="K37" s="17" t="s">
        <v>113</v>
      </c>
      <c r="L37" s="18" t="s">
        <v>190</v>
      </c>
      <c r="M37" s="17"/>
      <c r="N37" s="18"/>
      <c r="O37" s="17"/>
      <c r="P37" s="18"/>
      <c r="Q37" s="17"/>
      <c r="R37" s="18"/>
      <c r="S37" s="17"/>
      <c r="T37" s="18"/>
      <c r="U37" s="17"/>
      <c r="V37" s="18"/>
      <c r="W37" s="17"/>
      <c r="X37" s="18"/>
      <c r="Y37" s="17"/>
      <c r="Z37" s="227"/>
      <c r="AA37" s="17" t="s">
        <v>109</v>
      </c>
      <c r="AB37" s="18"/>
      <c r="AC37" s="17"/>
      <c r="AD37" s="18" t="s">
        <v>155</v>
      </c>
      <c r="AE37" s="17"/>
      <c r="AF37" s="227"/>
      <c r="AG37" s="17" t="s">
        <v>137</v>
      </c>
      <c r="AH37" s="18"/>
      <c r="AI37" s="17"/>
      <c r="AJ37" s="18"/>
      <c r="AK37" s="17"/>
      <c r="AL37" s="18"/>
      <c r="AM37" s="17"/>
      <c r="AN37" s="18"/>
      <c r="AO37" s="17"/>
    </row>
    <row r="38" spans="1:41" s="12" customFormat="1" x14ac:dyDescent="0.25">
      <c r="A38" s="221"/>
      <c r="B38" s="18"/>
      <c r="C38" s="17"/>
      <c r="D38" s="18"/>
      <c r="E38" s="17"/>
      <c r="F38" s="18"/>
      <c r="G38" s="17"/>
      <c r="H38" s="18"/>
      <c r="I38" s="17"/>
      <c r="J38" s="227"/>
      <c r="K38" s="17" t="s">
        <v>114</v>
      </c>
      <c r="L38" s="18"/>
      <c r="M38" s="17"/>
      <c r="N38" s="18"/>
      <c r="O38" s="17"/>
      <c r="P38" s="18"/>
      <c r="Q38" s="17"/>
      <c r="R38" s="18"/>
      <c r="S38" s="17"/>
      <c r="T38" s="18"/>
      <c r="U38" s="17"/>
      <c r="V38" s="18"/>
      <c r="W38" s="17"/>
      <c r="X38" s="18"/>
      <c r="Y38" s="17"/>
      <c r="Z38" s="225" t="s">
        <v>115</v>
      </c>
      <c r="AA38" s="17" t="s">
        <v>125</v>
      </c>
      <c r="AB38" s="18"/>
      <c r="AC38" s="17"/>
      <c r="AD38" s="19"/>
      <c r="AE38" s="17"/>
      <c r="AF38" s="18"/>
      <c r="AG38" s="17"/>
      <c r="AH38" s="18"/>
      <c r="AI38" s="17"/>
      <c r="AJ38" s="18"/>
      <c r="AK38" s="17"/>
      <c r="AL38" s="18"/>
      <c r="AM38" s="17"/>
      <c r="AN38" s="18"/>
      <c r="AO38" s="17"/>
    </row>
    <row r="39" spans="1:41" s="12" customFormat="1" x14ac:dyDescent="0.25">
      <c r="A39" s="221"/>
      <c r="B39" s="18"/>
      <c r="C39" s="17"/>
      <c r="D39" s="18"/>
      <c r="E39" s="17"/>
      <c r="F39" s="18"/>
      <c r="G39" s="17"/>
      <c r="H39" s="18"/>
      <c r="I39" s="17"/>
      <c r="J39" s="18" t="s">
        <v>149</v>
      </c>
      <c r="K39" s="17"/>
      <c r="L39" s="18"/>
      <c r="M39" s="17"/>
      <c r="N39" s="18"/>
      <c r="O39" s="17"/>
      <c r="P39" s="18"/>
      <c r="Q39" s="17"/>
      <c r="R39" s="18"/>
      <c r="S39" s="17"/>
      <c r="T39" s="18"/>
      <c r="U39" s="17"/>
      <c r="V39" s="18"/>
      <c r="W39" s="17"/>
      <c r="X39" s="18"/>
      <c r="Y39" s="17"/>
      <c r="Z39" s="226"/>
      <c r="AA39" s="17" t="s">
        <v>135</v>
      </c>
      <c r="AB39" s="18"/>
      <c r="AC39" s="17"/>
      <c r="AD39" s="19"/>
      <c r="AE39" s="17"/>
      <c r="AF39" s="18"/>
      <c r="AG39" s="17"/>
      <c r="AH39" s="18"/>
      <c r="AI39" s="17"/>
      <c r="AJ39" s="18"/>
      <c r="AK39" s="17"/>
      <c r="AL39" s="18"/>
      <c r="AM39" s="17"/>
      <c r="AN39" s="18"/>
      <c r="AO39" s="17"/>
    </row>
    <row r="40" spans="1:41" s="12" customFormat="1" x14ac:dyDescent="0.25">
      <c r="A40" s="221"/>
      <c r="B40" s="18"/>
      <c r="C40" s="17"/>
      <c r="D40" s="18"/>
      <c r="E40" s="17"/>
      <c r="F40" s="18"/>
      <c r="G40" s="17"/>
      <c r="H40" s="18"/>
      <c r="I40" s="17"/>
      <c r="J40" s="18" t="s">
        <v>150</v>
      </c>
      <c r="K40" s="17"/>
      <c r="L40" s="18"/>
      <c r="M40" s="17"/>
      <c r="N40" s="18"/>
      <c r="O40" s="17"/>
      <c r="P40" s="18"/>
      <c r="Q40" s="17"/>
      <c r="R40" s="18"/>
      <c r="S40" s="17"/>
      <c r="T40" s="18"/>
      <c r="U40" s="17"/>
      <c r="V40" s="18"/>
      <c r="W40" s="17"/>
      <c r="X40" s="18"/>
      <c r="Y40" s="17"/>
      <c r="Z40" s="226"/>
      <c r="AA40" s="17" t="s">
        <v>136</v>
      </c>
      <c r="AB40" s="18"/>
      <c r="AC40" s="17"/>
      <c r="AD40" s="19"/>
      <c r="AE40" s="17"/>
      <c r="AF40" s="18"/>
      <c r="AG40" s="17"/>
      <c r="AH40" s="18"/>
      <c r="AI40" s="17"/>
      <c r="AJ40" s="18"/>
      <c r="AK40" s="17"/>
      <c r="AL40" s="18"/>
      <c r="AM40" s="17"/>
      <c r="AN40" s="18"/>
      <c r="AO40" s="17"/>
    </row>
    <row r="41" spans="1:41" s="11" customFormat="1" ht="51" thickBot="1" x14ac:dyDescent="0.3">
      <c r="A41" s="221"/>
      <c r="B41" s="22"/>
      <c r="C41" s="21"/>
      <c r="D41" s="18"/>
      <c r="E41" s="21"/>
      <c r="F41" s="22"/>
      <c r="G41" s="21"/>
      <c r="H41" s="22"/>
      <c r="I41" s="21"/>
      <c r="J41" s="222" t="s">
        <v>923</v>
      </c>
      <c r="K41" s="222"/>
      <c r="L41" s="222"/>
      <c r="M41" s="222"/>
      <c r="N41" s="222"/>
      <c r="O41" s="222"/>
      <c r="P41" s="222"/>
      <c r="Q41" s="222"/>
      <c r="R41" s="22"/>
      <c r="S41" s="21"/>
      <c r="T41" s="22"/>
      <c r="U41" s="21"/>
      <c r="V41" s="22"/>
      <c r="W41" s="21"/>
      <c r="X41" s="22"/>
      <c r="Y41" s="21"/>
      <c r="Z41" s="227"/>
      <c r="AA41" s="17" t="s">
        <v>137</v>
      </c>
      <c r="AB41" s="18"/>
      <c r="AC41" s="17"/>
      <c r="AD41" s="18"/>
      <c r="AE41" s="17"/>
      <c r="AF41" s="22"/>
      <c r="AG41" s="21"/>
      <c r="AH41" s="22"/>
      <c r="AI41" s="21"/>
      <c r="AJ41" s="22"/>
      <c r="AK41" s="21"/>
      <c r="AL41" s="22"/>
      <c r="AM41" s="21"/>
      <c r="AN41" s="22"/>
      <c r="AO41" s="21"/>
    </row>
    <row r="42" spans="1:41" s="11" customFormat="1" ht="17.25" thickTop="1" x14ac:dyDescent="0.25">
      <c r="A42" s="221"/>
      <c r="B42" s="22"/>
      <c r="C42" s="21"/>
      <c r="D42" s="22"/>
      <c r="E42" s="21"/>
      <c r="F42" s="22"/>
      <c r="G42" s="21"/>
      <c r="H42" s="22"/>
      <c r="I42" s="21"/>
      <c r="J42" s="231" t="s">
        <v>1445</v>
      </c>
      <c r="K42" s="231" t="s">
        <v>1446</v>
      </c>
      <c r="L42" s="231" t="s">
        <v>1448</v>
      </c>
      <c r="M42" s="231" t="s">
        <v>1449</v>
      </c>
      <c r="N42" s="231" t="s">
        <v>1450</v>
      </c>
      <c r="O42" s="231" t="s">
        <v>1451</v>
      </c>
      <c r="P42" s="231" t="s">
        <v>715</v>
      </c>
      <c r="Q42" s="231" t="s">
        <v>1447</v>
      </c>
      <c r="R42" s="22"/>
      <c r="S42" s="21"/>
      <c r="T42" s="22"/>
      <c r="U42" s="21"/>
      <c r="V42" s="22"/>
      <c r="W42" s="21"/>
      <c r="X42" s="22"/>
      <c r="Y42" s="21"/>
      <c r="Z42" s="18" t="s">
        <v>164</v>
      </c>
      <c r="AA42" s="17"/>
      <c r="AB42" s="18"/>
      <c r="AC42" s="17"/>
      <c r="AD42" s="18"/>
      <c r="AE42" s="17"/>
      <c r="AF42" s="22"/>
      <c r="AG42" s="21"/>
      <c r="AH42" s="22"/>
      <c r="AI42" s="21"/>
      <c r="AJ42" s="22"/>
      <c r="AK42" s="21"/>
      <c r="AL42" s="22"/>
      <c r="AM42" s="21"/>
      <c r="AN42" s="22"/>
      <c r="AO42" s="21"/>
    </row>
    <row r="43" spans="1:41" s="12" customFormat="1" x14ac:dyDescent="0.25">
      <c r="A43" s="221"/>
      <c r="B43" s="18"/>
      <c r="C43" s="17"/>
      <c r="D43" s="18"/>
      <c r="E43" s="17"/>
      <c r="F43" s="18"/>
      <c r="G43" s="17"/>
      <c r="H43" s="18"/>
      <c r="I43" s="17"/>
      <c r="J43" s="18" t="s">
        <v>151</v>
      </c>
      <c r="K43" s="17"/>
      <c r="L43" s="18" t="s">
        <v>182</v>
      </c>
      <c r="M43" s="17"/>
      <c r="N43" s="225" t="s">
        <v>115</v>
      </c>
      <c r="O43" s="17" t="s">
        <v>455</v>
      </c>
      <c r="P43" s="18"/>
      <c r="Q43" s="17"/>
      <c r="R43" s="18"/>
      <c r="S43" s="17"/>
      <c r="T43" s="18"/>
      <c r="U43" s="17"/>
      <c r="V43" s="18"/>
      <c r="W43" s="17"/>
      <c r="X43" s="18"/>
      <c r="Y43" s="17"/>
      <c r="Z43" s="18" t="s">
        <v>154</v>
      </c>
      <c r="AA43" s="17"/>
      <c r="AB43" s="18"/>
      <c r="AC43" s="17"/>
      <c r="AD43" s="18"/>
      <c r="AE43" s="17"/>
      <c r="AF43" s="18"/>
      <c r="AG43" s="17"/>
      <c r="AH43" s="18"/>
      <c r="AI43" s="17"/>
      <c r="AJ43" s="18"/>
      <c r="AK43" s="17"/>
      <c r="AL43" s="18"/>
      <c r="AM43" s="17"/>
      <c r="AN43" s="18"/>
      <c r="AO43" s="17"/>
    </row>
    <row r="44" spans="1:41" s="12" customFormat="1" ht="51" thickBot="1" x14ac:dyDescent="0.3">
      <c r="A44" s="221"/>
      <c r="B44" s="18"/>
      <c r="C44" s="17"/>
      <c r="D44" s="18"/>
      <c r="E44" s="17"/>
      <c r="F44" s="18"/>
      <c r="G44" s="17"/>
      <c r="H44" s="18"/>
      <c r="I44" s="17"/>
      <c r="J44" s="225" t="s">
        <v>379</v>
      </c>
      <c r="K44" s="17" t="s">
        <v>380</v>
      </c>
      <c r="L44" s="225" t="s">
        <v>702</v>
      </c>
      <c r="M44" s="17" t="s">
        <v>183</v>
      </c>
      <c r="N44" s="227"/>
      <c r="O44" s="17" t="s">
        <v>456</v>
      </c>
      <c r="P44" s="18"/>
      <c r="Q44" s="17"/>
      <c r="R44" s="18"/>
      <c r="S44" s="17"/>
      <c r="T44" s="18"/>
      <c r="U44" s="17"/>
      <c r="V44" s="18"/>
      <c r="W44" s="17"/>
      <c r="X44" s="18"/>
      <c r="Y44" s="17"/>
      <c r="Z44" s="222" t="s">
        <v>101</v>
      </c>
      <c r="AA44" s="222"/>
      <c r="AB44" s="222"/>
      <c r="AC44" s="222"/>
      <c r="AD44" s="222"/>
      <c r="AE44" s="222"/>
      <c r="AF44" s="222"/>
      <c r="AG44" s="222"/>
      <c r="AH44" s="18"/>
      <c r="AI44" s="17"/>
      <c r="AJ44" s="18"/>
      <c r="AK44" s="17"/>
      <c r="AL44" s="18"/>
      <c r="AM44" s="17"/>
      <c r="AN44" s="18"/>
      <c r="AO44" s="17"/>
    </row>
    <row r="45" spans="1:41" s="12" customFormat="1" ht="17.25" thickTop="1" x14ac:dyDescent="0.25">
      <c r="A45" s="221"/>
      <c r="B45" s="18"/>
      <c r="C45" s="17"/>
      <c r="D45" s="18"/>
      <c r="E45" s="17"/>
      <c r="F45" s="18"/>
      <c r="G45" s="17"/>
      <c r="H45" s="18"/>
      <c r="I45" s="17"/>
      <c r="J45" s="226"/>
      <c r="K45" s="17" t="s">
        <v>381</v>
      </c>
      <c r="L45" s="226"/>
      <c r="M45" s="17" t="s">
        <v>185</v>
      </c>
      <c r="N45" s="18"/>
      <c r="O45" s="17"/>
      <c r="P45" s="18"/>
      <c r="Q45" s="17"/>
      <c r="R45" s="18"/>
      <c r="S45" s="17"/>
      <c r="T45" s="18"/>
      <c r="U45" s="17"/>
      <c r="V45" s="18"/>
      <c r="W45" s="17"/>
      <c r="X45" s="18"/>
      <c r="Y45" s="17"/>
      <c r="Z45" s="231" t="s">
        <v>1445</v>
      </c>
      <c r="AA45" s="231" t="s">
        <v>1446</v>
      </c>
      <c r="AB45" s="231" t="s">
        <v>1448</v>
      </c>
      <c r="AC45" s="231" t="s">
        <v>1449</v>
      </c>
      <c r="AD45" s="231" t="s">
        <v>1450</v>
      </c>
      <c r="AE45" s="231" t="s">
        <v>1451</v>
      </c>
      <c r="AF45" s="231" t="s">
        <v>715</v>
      </c>
      <c r="AG45" s="231" t="s">
        <v>1447</v>
      </c>
      <c r="AH45" s="18"/>
      <c r="AI45" s="17"/>
      <c r="AJ45" s="18"/>
      <c r="AK45" s="17"/>
      <c r="AL45" s="18"/>
      <c r="AM45" s="17"/>
      <c r="AN45" s="18"/>
      <c r="AO45" s="17"/>
    </row>
    <row r="46" spans="1:41" s="12" customFormat="1" x14ac:dyDescent="0.25">
      <c r="A46" s="221"/>
      <c r="B46" s="18"/>
      <c r="C46" s="17"/>
      <c r="D46" s="18"/>
      <c r="E46" s="17"/>
      <c r="F46" s="18"/>
      <c r="G46" s="17"/>
      <c r="H46" s="18"/>
      <c r="I46" s="17"/>
      <c r="J46" s="227"/>
      <c r="K46" s="17" t="s">
        <v>208</v>
      </c>
      <c r="L46" s="226"/>
      <c r="M46" s="17" t="s">
        <v>184</v>
      </c>
      <c r="N46" s="18"/>
      <c r="O46" s="17"/>
      <c r="P46" s="18"/>
      <c r="Q46" s="17"/>
      <c r="R46" s="18"/>
      <c r="S46" s="17"/>
      <c r="T46" s="18"/>
      <c r="U46" s="17"/>
      <c r="V46" s="18"/>
      <c r="W46" s="17"/>
      <c r="X46" s="18"/>
      <c r="Y46" s="17"/>
      <c r="Z46" s="225" t="s">
        <v>379</v>
      </c>
      <c r="AA46" s="17" t="s">
        <v>380</v>
      </c>
      <c r="AB46" s="225" t="s">
        <v>703</v>
      </c>
      <c r="AC46" s="17" t="s">
        <v>202</v>
      </c>
      <c r="AD46" s="18" t="s">
        <v>156</v>
      </c>
      <c r="AE46" s="17"/>
      <c r="AF46" s="225" t="s">
        <v>379</v>
      </c>
      <c r="AG46" s="20" t="s">
        <v>380</v>
      </c>
      <c r="AH46" s="18"/>
      <c r="AI46" s="17"/>
      <c r="AJ46" s="18"/>
      <c r="AK46" s="17"/>
      <c r="AL46" s="18"/>
      <c r="AM46" s="17"/>
      <c r="AN46" s="18"/>
      <c r="AO46" s="17"/>
    </row>
    <row r="47" spans="1:41" s="12" customFormat="1" x14ac:dyDescent="0.25">
      <c r="A47" s="221"/>
      <c r="B47" s="18"/>
      <c r="C47" s="17"/>
      <c r="D47" s="18"/>
      <c r="E47" s="17"/>
      <c r="F47" s="18"/>
      <c r="G47" s="17"/>
      <c r="H47" s="18"/>
      <c r="I47" s="17"/>
      <c r="J47" s="225" t="s">
        <v>115</v>
      </c>
      <c r="K47" s="17" t="s">
        <v>118</v>
      </c>
      <c r="L47" s="226"/>
      <c r="M47" s="17" t="s">
        <v>564</v>
      </c>
      <c r="N47" s="18"/>
      <c r="O47" s="17"/>
      <c r="P47" s="18"/>
      <c r="Q47" s="17"/>
      <c r="R47" s="18"/>
      <c r="S47" s="17"/>
      <c r="T47" s="18"/>
      <c r="U47" s="17"/>
      <c r="V47" s="18"/>
      <c r="W47" s="17"/>
      <c r="X47" s="18"/>
      <c r="Y47" s="17"/>
      <c r="Z47" s="226"/>
      <c r="AA47" s="17" t="s">
        <v>381</v>
      </c>
      <c r="AB47" s="227"/>
      <c r="AC47" s="17" t="s">
        <v>201</v>
      </c>
      <c r="AD47" s="18" t="s">
        <v>155</v>
      </c>
      <c r="AE47" s="17"/>
      <c r="AF47" s="226"/>
      <c r="AG47" s="17" t="s">
        <v>109</v>
      </c>
      <c r="AH47" s="18"/>
      <c r="AI47" s="17"/>
      <c r="AJ47" s="18"/>
      <c r="AK47" s="17"/>
      <c r="AL47" s="18"/>
      <c r="AM47" s="17"/>
      <c r="AN47" s="18"/>
      <c r="AO47" s="17"/>
    </row>
    <row r="48" spans="1:41" s="12" customFormat="1" x14ac:dyDescent="0.25">
      <c r="A48" s="221"/>
      <c r="B48" s="18"/>
      <c r="C48" s="17"/>
      <c r="D48" s="18"/>
      <c r="E48" s="17"/>
      <c r="F48" s="18"/>
      <c r="G48" s="17"/>
      <c r="H48" s="18"/>
      <c r="I48" s="17"/>
      <c r="J48" s="226"/>
      <c r="K48" s="17" t="s">
        <v>125</v>
      </c>
      <c r="L48" s="227"/>
      <c r="M48" s="17" t="s">
        <v>209</v>
      </c>
      <c r="N48" s="18"/>
      <c r="O48" s="17"/>
      <c r="P48" s="18"/>
      <c r="Q48" s="17"/>
      <c r="R48" s="18"/>
      <c r="S48" s="17"/>
      <c r="T48" s="18"/>
      <c r="U48" s="17"/>
      <c r="V48" s="18"/>
      <c r="W48" s="17"/>
      <c r="X48" s="18"/>
      <c r="Y48" s="17"/>
      <c r="Z48" s="226"/>
      <c r="AA48" s="17" t="s">
        <v>390</v>
      </c>
      <c r="AB48" s="18"/>
      <c r="AC48" s="17"/>
      <c r="AD48" s="19"/>
      <c r="AE48" s="20"/>
      <c r="AF48" s="226"/>
      <c r="AG48" s="17" t="s">
        <v>110</v>
      </c>
      <c r="AH48" s="18"/>
      <c r="AI48" s="17"/>
      <c r="AJ48" s="18"/>
      <c r="AK48" s="17"/>
      <c r="AL48" s="18"/>
      <c r="AM48" s="17"/>
      <c r="AN48" s="18"/>
      <c r="AO48" s="17"/>
    </row>
    <row r="49" spans="1:41" s="12" customFormat="1" x14ac:dyDescent="0.25">
      <c r="A49" s="221"/>
      <c r="B49" s="18"/>
      <c r="C49" s="17"/>
      <c r="D49" s="18"/>
      <c r="E49" s="17"/>
      <c r="F49" s="18"/>
      <c r="G49" s="17"/>
      <c r="H49" s="18"/>
      <c r="I49" s="17"/>
      <c r="J49" s="227"/>
      <c r="K49" s="17" t="s">
        <v>145</v>
      </c>
      <c r="L49" s="18" t="s">
        <v>703</v>
      </c>
      <c r="M49" s="17" t="s">
        <v>249</v>
      </c>
      <c r="N49" s="18"/>
      <c r="O49" s="17"/>
      <c r="P49" s="18"/>
      <c r="Q49" s="17"/>
      <c r="R49" s="18"/>
      <c r="S49" s="17"/>
      <c r="T49" s="18"/>
      <c r="U49" s="17"/>
      <c r="V49" s="18"/>
      <c r="W49" s="17"/>
      <c r="X49" s="18"/>
      <c r="Y49" s="17"/>
      <c r="Z49" s="226"/>
      <c r="AA49" s="17" t="s">
        <v>391</v>
      </c>
      <c r="AB49" s="18"/>
      <c r="AC49" s="17"/>
      <c r="AD49" s="19"/>
      <c r="AE49" s="17"/>
      <c r="AF49" s="226"/>
      <c r="AG49" s="17" t="s">
        <v>111</v>
      </c>
      <c r="AH49" s="18"/>
      <c r="AI49" s="17"/>
      <c r="AJ49" s="18"/>
      <c r="AK49" s="17"/>
      <c r="AL49" s="18"/>
      <c r="AM49" s="17"/>
      <c r="AN49" s="18"/>
      <c r="AO49" s="17"/>
    </row>
    <row r="50" spans="1:41" s="12" customFormat="1" x14ac:dyDescent="0.25">
      <c r="A50" s="221"/>
      <c r="B50" s="18"/>
      <c r="C50" s="17"/>
      <c r="D50" s="18"/>
      <c r="E50" s="17"/>
      <c r="F50" s="18"/>
      <c r="G50" s="17"/>
      <c r="H50" s="18"/>
      <c r="I50" s="17"/>
      <c r="J50" s="18" t="s">
        <v>147</v>
      </c>
      <c r="K50" s="17" t="s">
        <v>180</v>
      </c>
      <c r="L50" s="225" t="s">
        <v>706</v>
      </c>
      <c r="M50" s="17" t="s">
        <v>205</v>
      </c>
      <c r="N50" s="18"/>
      <c r="O50" s="17"/>
      <c r="P50" s="18"/>
      <c r="Q50" s="17"/>
      <c r="R50" s="18"/>
      <c r="S50" s="17"/>
      <c r="T50" s="18"/>
      <c r="U50" s="17"/>
      <c r="V50" s="18"/>
      <c r="W50" s="17"/>
      <c r="X50" s="18"/>
      <c r="Y50" s="17"/>
      <c r="Z50" s="226"/>
      <c r="AA50" s="17" t="s">
        <v>109</v>
      </c>
      <c r="AB50" s="18"/>
      <c r="AC50" s="17"/>
      <c r="AD50" s="19"/>
      <c r="AE50" s="17"/>
      <c r="AF50" s="227"/>
      <c r="AG50" s="20" t="s">
        <v>112</v>
      </c>
      <c r="AH50" s="18"/>
      <c r="AI50" s="17"/>
      <c r="AJ50" s="18"/>
      <c r="AK50" s="17"/>
      <c r="AL50" s="18"/>
      <c r="AM50" s="17"/>
      <c r="AN50" s="18"/>
      <c r="AO50" s="17"/>
    </row>
    <row r="51" spans="1:41" s="12" customFormat="1" x14ac:dyDescent="0.25">
      <c r="A51" s="221"/>
      <c r="B51" s="18"/>
      <c r="C51" s="17"/>
      <c r="D51" s="18"/>
      <c r="E51" s="17"/>
      <c r="F51" s="18"/>
      <c r="G51" s="17"/>
      <c r="H51" s="18"/>
      <c r="I51" s="17"/>
      <c r="J51" s="18" t="s">
        <v>148</v>
      </c>
      <c r="K51" s="17"/>
      <c r="L51" s="227"/>
      <c r="M51" s="17" t="s">
        <v>210</v>
      </c>
      <c r="N51" s="18"/>
      <c r="O51" s="17"/>
      <c r="P51" s="18"/>
      <c r="Q51" s="17"/>
      <c r="R51" s="18"/>
      <c r="S51" s="17"/>
      <c r="T51" s="18"/>
      <c r="U51" s="17"/>
      <c r="V51" s="18"/>
      <c r="W51" s="17"/>
      <c r="X51" s="18"/>
      <c r="Y51" s="17"/>
      <c r="Z51" s="227"/>
      <c r="AA51" s="17" t="s">
        <v>112</v>
      </c>
      <c r="AB51" s="18"/>
      <c r="AC51" s="17"/>
      <c r="AD51" s="19"/>
      <c r="AE51" s="17"/>
      <c r="AF51" s="225" t="s">
        <v>378</v>
      </c>
      <c r="AG51" s="17" t="s">
        <v>125</v>
      </c>
      <c r="AH51" s="18"/>
      <c r="AI51" s="17"/>
      <c r="AJ51" s="18"/>
      <c r="AK51" s="17"/>
      <c r="AL51" s="18"/>
      <c r="AM51" s="17"/>
      <c r="AN51" s="18"/>
      <c r="AO51" s="17"/>
    </row>
    <row r="52" spans="1:41" s="12" customFormat="1" x14ac:dyDescent="0.25">
      <c r="A52" s="221"/>
      <c r="B52" s="18"/>
      <c r="C52" s="17"/>
      <c r="D52" s="18"/>
      <c r="E52" s="17"/>
      <c r="F52" s="18"/>
      <c r="G52" s="17"/>
      <c r="H52" s="18"/>
      <c r="I52" s="17"/>
      <c r="J52" s="18" t="s">
        <v>149</v>
      </c>
      <c r="K52" s="17"/>
      <c r="L52" s="225" t="s">
        <v>704</v>
      </c>
      <c r="M52" s="17" t="s">
        <v>302</v>
      </c>
      <c r="N52" s="18"/>
      <c r="O52" s="17"/>
      <c r="P52" s="18"/>
      <c r="Q52" s="17"/>
      <c r="R52" s="18"/>
      <c r="S52" s="17"/>
      <c r="T52" s="18"/>
      <c r="U52" s="17"/>
      <c r="V52" s="18"/>
      <c r="W52" s="17"/>
      <c r="X52" s="18"/>
      <c r="Y52" s="17"/>
      <c r="Z52" s="225" t="s">
        <v>115</v>
      </c>
      <c r="AA52" s="17" t="s">
        <v>125</v>
      </c>
      <c r="AB52" s="18"/>
      <c r="AC52" s="17"/>
      <c r="AD52" s="19"/>
      <c r="AE52" s="20"/>
      <c r="AF52" s="226"/>
      <c r="AG52" s="17" t="s">
        <v>136</v>
      </c>
      <c r="AH52" s="18"/>
      <c r="AI52" s="17"/>
      <c r="AJ52" s="18"/>
      <c r="AK52" s="17"/>
      <c r="AL52" s="18"/>
      <c r="AM52" s="17"/>
      <c r="AN52" s="18"/>
      <c r="AO52" s="17"/>
    </row>
    <row r="53" spans="1:41" s="12" customFormat="1" x14ac:dyDescent="0.25">
      <c r="A53" s="221"/>
      <c r="B53" s="18"/>
      <c r="C53" s="17"/>
      <c r="D53" s="18"/>
      <c r="E53" s="17"/>
      <c r="F53" s="18"/>
      <c r="G53" s="17"/>
      <c r="H53" s="18"/>
      <c r="I53" s="17"/>
      <c r="J53" s="18" t="s">
        <v>150</v>
      </c>
      <c r="K53" s="17"/>
      <c r="L53" s="227"/>
      <c r="M53" s="17" t="s">
        <v>211</v>
      </c>
      <c r="N53" s="18"/>
      <c r="O53" s="17"/>
      <c r="P53" s="18"/>
      <c r="Q53" s="17"/>
      <c r="R53" s="18"/>
      <c r="S53" s="17"/>
      <c r="T53" s="18"/>
      <c r="U53" s="17"/>
      <c r="V53" s="18"/>
      <c r="W53" s="17"/>
      <c r="X53" s="18"/>
      <c r="Y53" s="17"/>
      <c r="Z53" s="226"/>
      <c r="AA53" s="17" t="s">
        <v>136</v>
      </c>
      <c r="AB53" s="18"/>
      <c r="AC53" s="17"/>
      <c r="AD53" s="19"/>
      <c r="AE53" s="17"/>
      <c r="AF53" s="227"/>
      <c r="AG53" s="17" t="s">
        <v>137</v>
      </c>
      <c r="AH53" s="18"/>
      <c r="AI53" s="17"/>
      <c r="AJ53" s="18"/>
      <c r="AK53" s="17"/>
      <c r="AL53" s="18"/>
      <c r="AM53" s="17"/>
      <c r="AN53" s="18"/>
      <c r="AO53" s="17"/>
    </row>
    <row r="54" spans="1:41" s="12" customFormat="1" x14ac:dyDescent="0.25">
      <c r="A54" s="221"/>
      <c r="B54" s="18"/>
      <c r="C54" s="17"/>
      <c r="D54" s="18"/>
      <c r="E54" s="17"/>
      <c r="F54" s="18"/>
      <c r="G54" s="17"/>
      <c r="H54" s="18"/>
      <c r="I54" s="17"/>
      <c r="J54" s="18"/>
      <c r="K54" s="17"/>
      <c r="L54" s="225" t="s">
        <v>186</v>
      </c>
      <c r="M54" s="17" t="s">
        <v>212</v>
      </c>
      <c r="N54" s="18"/>
      <c r="O54" s="17"/>
      <c r="P54" s="18"/>
      <c r="Q54" s="17"/>
      <c r="R54" s="18"/>
      <c r="S54" s="17"/>
      <c r="T54" s="18"/>
      <c r="U54" s="17"/>
      <c r="V54" s="18"/>
      <c r="W54" s="17"/>
      <c r="X54" s="18"/>
      <c r="Y54" s="17"/>
      <c r="Z54" s="227"/>
      <c r="AA54" s="17" t="s">
        <v>137</v>
      </c>
      <c r="AB54" s="18"/>
      <c r="AC54" s="17"/>
      <c r="AD54" s="19"/>
      <c r="AE54" s="17"/>
      <c r="AF54" s="18"/>
      <c r="AG54" s="17"/>
      <c r="AH54" s="18"/>
      <c r="AI54" s="17"/>
      <c r="AJ54" s="18"/>
      <c r="AK54" s="17"/>
      <c r="AL54" s="18"/>
      <c r="AM54" s="17"/>
      <c r="AN54" s="18"/>
      <c r="AO54" s="17"/>
    </row>
    <row r="55" spans="1:41" s="12" customFormat="1" x14ac:dyDescent="0.25">
      <c r="A55" s="221"/>
      <c r="B55" s="18"/>
      <c r="C55" s="17"/>
      <c r="D55" s="18"/>
      <c r="E55" s="17"/>
      <c r="F55" s="18"/>
      <c r="G55" s="17"/>
      <c r="H55" s="18"/>
      <c r="I55" s="17"/>
      <c r="J55" s="18"/>
      <c r="K55" s="17"/>
      <c r="L55" s="226"/>
      <c r="M55" s="17" t="s">
        <v>353</v>
      </c>
      <c r="N55" s="18"/>
      <c r="O55" s="17"/>
      <c r="P55" s="18"/>
      <c r="Q55" s="17"/>
      <c r="R55" s="18"/>
      <c r="S55" s="17"/>
      <c r="T55" s="18"/>
      <c r="U55" s="17"/>
      <c r="V55" s="18"/>
      <c r="W55" s="17"/>
      <c r="X55" s="18"/>
      <c r="Y55" s="17"/>
      <c r="Z55" s="18" t="s">
        <v>154</v>
      </c>
      <c r="AA55" s="17"/>
      <c r="AB55" s="18"/>
      <c r="AC55" s="17"/>
      <c r="AD55" s="19"/>
      <c r="AE55" s="17"/>
      <c r="AF55" s="18"/>
      <c r="AG55" s="17"/>
      <c r="AH55" s="18"/>
      <c r="AI55" s="17"/>
      <c r="AJ55" s="18"/>
      <c r="AK55" s="17"/>
      <c r="AL55" s="18"/>
      <c r="AM55" s="17"/>
      <c r="AN55" s="18"/>
      <c r="AO55" s="17"/>
    </row>
    <row r="56" spans="1:41" s="12" customFormat="1" x14ac:dyDescent="0.25">
      <c r="A56" s="221"/>
      <c r="B56" s="18"/>
      <c r="C56" s="17"/>
      <c r="D56" s="18"/>
      <c r="E56" s="17"/>
      <c r="F56" s="18"/>
      <c r="G56" s="17"/>
      <c r="H56" s="18"/>
      <c r="I56" s="17"/>
      <c r="J56" s="18"/>
      <c r="K56" s="17"/>
      <c r="L56" s="227"/>
      <c r="M56" s="17" t="s">
        <v>188</v>
      </c>
      <c r="N56" s="18"/>
      <c r="O56" s="17"/>
      <c r="P56" s="18"/>
      <c r="Q56" s="17"/>
      <c r="R56" s="18"/>
      <c r="S56" s="17"/>
      <c r="T56" s="18"/>
      <c r="U56" s="17"/>
      <c r="V56" s="18"/>
      <c r="W56" s="17"/>
      <c r="X56" s="18"/>
      <c r="Y56" s="17"/>
      <c r="Z56" s="18" t="s">
        <v>150</v>
      </c>
      <c r="AA56" s="17"/>
      <c r="AB56" s="18"/>
      <c r="AC56" s="17"/>
      <c r="AD56" s="18"/>
      <c r="AE56" s="17"/>
      <c r="AF56" s="18"/>
      <c r="AG56" s="17"/>
      <c r="AH56" s="18"/>
      <c r="AI56" s="17"/>
      <c r="AJ56" s="18"/>
      <c r="AK56" s="17"/>
      <c r="AL56" s="18"/>
      <c r="AM56" s="17"/>
      <c r="AN56" s="18"/>
      <c r="AO56" s="17"/>
    </row>
    <row r="57" spans="1:41" s="12" customFormat="1" x14ac:dyDescent="0.25">
      <c r="A57" s="221"/>
      <c r="B57" s="18"/>
      <c r="C57" s="17"/>
      <c r="D57" s="18"/>
      <c r="E57" s="17"/>
      <c r="F57" s="18"/>
      <c r="G57" s="17"/>
      <c r="H57" s="18"/>
      <c r="I57" s="17"/>
      <c r="J57" s="18"/>
      <c r="K57" s="17"/>
      <c r="L57" s="18" t="s">
        <v>213</v>
      </c>
      <c r="M57" s="17"/>
      <c r="N57" s="18"/>
      <c r="O57" s="17"/>
      <c r="P57" s="18"/>
      <c r="Q57" s="17"/>
      <c r="R57" s="18"/>
      <c r="S57" s="17"/>
      <c r="T57" s="18"/>
      <c r="U57" s="17"/>
      <c r="V57" s="18"/>
      <c r="W57" s="17"/>
      <c r="X57" s="18"/>
      <c r="Y57" s="17"/>
      <c r="Z57" s="18"/>
      <c r="AA57" s="17"/>
      <c r="AB57" s="18"/>
      <c r="AC57" s="17"/>
      <c r="AD57" s="18"/>
      <c r="AE57" s="17"/>
      <c r="AF57" s="18"/>
      <c r="AG57" s="17"/>
      <c r="AH57" s="18"/>
      <c r="AI57" s="17"/>
      <c r="AJ57" s="18"/>
      <c r="AK57" s="17"/>
      <c r="AL57" s="18"/>
      <c r="AM57" s="17"/>
      <c r="AN57" s="18"/>
      <c r="AO57" s="17"/>
    </row>
    <row r="58" spans="1:41" s="12" customFormat="1" x14ac:dyDescent="0.25">
      <c r="A58" s="221"/>
      <c r="B58" s="18"/>
      <c r="C58" s="17"/>
      <c r="D58" s="18"/>
      <c r="E58" s="17"/>
      <c r="F58" s="18"/>
      <c r="G58" s="17"/>
      <c r="H58" s="18"/>
      <c r="I58" s="17"/>
      <c r="J58" s="18"/>
      <c r="K58" s="17"/>
      <c r="L58" s="18" t="s">
        <v>214</v>
      </c>
      <c r="M58" s="17"/>
      <c r="N58" s="18"/>
      <c r="O58" s="17"/>
      <c r="P58" s="18"/>
      <c r="Q58" s="17"/>
      <c r="R58" s="18"/>
      <c r="S58" s="17"/>
      <c r="T58" s="18"/>
      <c r="U58" s="17"/>
      <c r="V58" s="18"/>
      <c r="W58" s="17"/>
      <c r="X58" s="18"/>
      <c r="Y58" s="17"/>
      <c r="Z58" s="18"/>
      <c r="AA58" s="17"/>
      <c r="AB58" s="18"/>
      <c r="AC58" s="17"/>
      <c r="AD58" s="18"/>
      <c r="AE58" s="17"/>
      <c r="AF58" s="18"/>
      <c r="AG58" s="17"/>
      <c r="AH58" s="18"/>
      <c r="AI58" s="17"/>
      <c r="AJ58" s="18"/>
      <c r="AK58" s="17"/>
      <c r="AL58" s="18"/>
      <c r="AM58" s="17"/>
      <c r="AN58" s="18"/>
      <c r="AO58" s="17"/>
    </row>
    <row r="59" spans="1:41" s="11" customFormat="1" ht="51" thickBot="1" x14ac:dyDescent="0.3">
      <c r="A59" s="221"/>
      <c r="B59" s="22"/>
      <c r="C59" s="21"/>
      <c r="D59" s="22"/>
      <c r="E59" s="21"/>
      <c r="F59" s="22"/>
      <c r="G59" s="21"/>
      <c r="H59" s="22"/>
      <c r="I59" s="21"/>
      <c r="J59" s="222" t="s">
        <v>69</v>
      </c>
      <c r="K59" s="222"/>
      <c r="L59" s="222"/>
      <c r="M59" s="222"/>
      <c r="N59" s="222"/>
      <c r="O59" s="222"/>
      <c r="P59" s="222"/>
      <c r="Q59" s="222"/>
      <c r="R59" s="22"/>
      <c r="S59" s="21"/>
      <c r="T59" s="22"/>
      <c r="U59" s="21"/>
      <c r="V59" s="22"/>
      <c r="W59" s="21"/>
      <c r="X59" s="22"/>
      <c r="Y59" s="21"/>
      <c r="Z59" s="22"/>
      <c r="AA59" s="21"/>
      <c r="AB59" s="22"/>
      <c r="AC59" s="21"/>
      <c r="AD59" s="22"/>
      <c r="AE59" s="21"/>
      <c r="AF59" s="22"/>
      <c r="AG59" s="21"/>
      <c r="AH59" s="22"/>
      <c r="AI59" s="21"/>
      <c r="AJ59" s="22"/>
      <c r="AK59" s="21"/>
      <c r="AL59" s="22"/>
      <c r="AM59" s="21"/>
      <c r="AN59" s="22"/>
      <c r="AO59" s="21"/>
    </row>
    <row r="60" spans="1:41" s="11" customFormat="1" ht="17.25" thickTop="1" x14ac:dyDescent="0.25">
      <c r="A60" s="221"/>
      <c r="B60" s="22"/>
      <c r="C60" s="21"/>
      <c r="D60" s="22"/>
      <c r="E60" s="21"/>
      <c r="F60" s="22"/>
      <c r="G60" s="21"/>
      <c r="H60" s="22"/>
      <c r="I60" s="21"/>
      <c r="J60" s="231" t="s">
        <v>1445</v>
      </c>
      <c r="K60" s="231" t="s">
        <v>1446</v>
      </c>
      <c r="L60" s="231" t="s">
        <v>1448</v>
      </c>
      <c r="M60" s="231" t="s">
        <v>1449</v>
      </c>
      <c r="N60" s="231" t="s">
        <v>1450</v>
      </c>
      <c r="O60" s="231" t="s">
        <v>1451</v>
      </c>
      <c r="P60" s="231" t="s">
        <v>715</v>
      </c>
      <c r="Q60" s="231" t="s">
        <v>1447</v>
      </c>
      <c r="R60" s="22"/>
      <c r="S60" s="21"/>
      <c r="T60" s="22"/>
      <c r="U60" s="21"/>
      <c r="V60" s="22"/>
      <c r="W60" s="21"/>
      <c r="X60" s="22"/>
      <c r="Y60" s="21"/>
      <c r="Z60" s="22"/>
      <c r="AA60" s="21"/>
      <c r="AB60" s="22"/>
      <c r="AC60" s="21"/>
      <c r="AD60" s="22"/>
      <c r="AE60" s="21"/>
      <c r="AF60" s="22"/>
      <c r="AG60" s="21"/>
      <c r="AH60" s="22"/>
      <c r="AI60" s="21"/>
      <c r="AJ60" s="22"/>
      <c r="AK60" s="21"/>
      <c r="AL60" s="22"/>
      <c r="AM60" s="21"/>
      <c r="AN60" s="22"/>
      <c r="AO60" s="21"/>
    </row>
    <row r="61" spans="1:41" s="12" customFormat="1" x14ac:dyDescent="0.25">
      <c r="A61" s="221"/>
      <c r="B61" s="18"/>
      <c r="C61" s="17"/>
      <c r="D61" s="18"/>
      <c r="E61" s="17"/>
      <c r="F61" s="18"/>
      <c r="G61" s="17"/>
      <c r="H61" s="18"/>
      <c r="I61" s="17"/>
      <c r="J61" s="18" t="s">
        <v>151</v>
      </c>
      <c r="K61" s="17"/>
      <c r="L61" s="18" t="s">
        <v>182</v>
      </c>
      <c r="M61" s="17"/>
      <c r="N61" s="18" t="s">
        <v>378</v>
      </c>
      <c r="O61" s="17" t="s">
        <v>451</v>
      </c>
      <c r="P61" s="225" t="s">
        <v>378</v>
      </c>
      <c r="Q61" s="17" t="s">
        <v>118</v>
      </c>
      <c r="R61" s="18"/>
      <c r="S61" s="17"/>
      <c r="T61" s="18"/>
      <c r="U61" s="17"/>
      <c r="V61" s="18"/>
      <c r="W61" s="17"/>
      <c r="X61" s="18"/>
      <c r="Y61" s="17"/>
      <c r="Z61" s="18"/>
      <c r="AA61" s="17"/>
      <c r="AB61" s="18"/>
      <c r="AC61" s="17"/>
      <c r="AD61" s="18"/>
      <c r="AE61" s="17"/>
      <c r="AF61" s="18"/>
      <c r="AG61" s="17"/>
      <c r="AH61" s="18"/>
      <c r="AI61" s="17"/>
      <c r="AJ61" s="18"/>
      <c r="AK61" s="17"/>
      <c r="AL61" s="18"/>
      <c r="AM61" s="17"/>
      <c r="AN61" s="18"/>
      <c r="AO61" s="17"/>
    </row>
    <row r="62" spans="1:41" s="12" customFormat="1" x14ac:dyDescent="0.25">
      <c r="A62" s="221"/>
      <c r="B62" s="18"/>
      <c r="C62" s="17"/>
      <c r="D62" s="18"/>
      <c r="E62" s="17"/>
      <c r="F62" s="18"/>
      <c r="G62" s="17"/>
      <c r="H62" s="18"/>
      <c r="I62" s="17"/>
      <c r="J62" s="18" t="s">
        <v>379</v>
      </c>
      <c r="K62" s="17" t="s">
        <v>380</v>
      </c>
      <c r="L62" s="18" t="s">
        <v>703</v>
      </c>
      <c r="M62" s="17" t="s">
        <v>197</v>
      </c>
      <c r="N62" s="19"/>
      <c r="O62" s="17"/>
      <c r="P62" s="226"/>
      <c r="Q62" s="17" t="s">
        <v>136</v>
      </c>
      <c r="R62" s="18"/>
      <c r="S62" s="17"/>
      <c r="T62" s="18"/>
      <c r="U62" s="17"/>
      <c r="V62" s="18"/>
      <c r="W62" s="17"/>
      <c r="X62" s="18"/>
      <c r="Y62" s="17"/>
      <c r="Z62" s="18"/>
      <c r="AA62" s="17"/>
      <c r="AB62" s="18"/>
      <c r="AC62" s="17"/>
      <c r="AD62" s="18"/>
      <c r="AE62" s="17"/>
      <c r="AF62" s="18"/>
      <c r="AG62" s="17"/>
      <c r="AH62" s="18"/>
      <c r="AI62" s="17"/>
      <c r="AJ62" s="18"/>
      <c r="AK62" s="17"/>
      <c r="AL62" s="18"/>
      <c r="AM62" s="17"/>
      <c r="AN62" s="18"/>
      <c r="AO62" s="17"/>
    </row>
    <row r="63" spans="1:41" s="12" customFormat="1" x14ac:dyDescent="0.25">
      <c r="A63" s="221"/>
      <c r="B63" s="18"/>
      <c r="C63" s="17"/>
      <c r="D63" s="18"/>
      <c r="E63" s="17"/>
      <c r="F63" s="18"/>
      <c r="G63" s="17"/>
      <c r="H63" s="18"/>
      <c r="I63" s="17"/>
      <c r="J63" s="225" t="s">
        <v>115</v>
      </c>
      <c r="K63" s="17" t="s">
        <v>118</v>
      </c>
      <c r="L63" s="18" t="s">
        <v>706</v>
      </c>
      <c r="M63" s="17" t="s">
        <v>210</v>
      </c>
      <c r="N63" s="19"/>
      <c r="O63" s="17"/>
      <c r="P63" s="226"/>
      <c r="Q63" s="17" t="s">
        <v>137</v>
      </c>
      <c r="R63" s="18"/>
      <c r="S63" s="17"/>
      <c r="T63" s="18"/>
      <c r="U63" s="17"/>
      <c r="V63" s="18"/>
      <c r="W63" s="17"/>
      <c r="X63" s="18"/>
      <c r="Y63" s="17"/>
      <c r="Z63" s="18"/>
      <c r="AA63" s="17"/>
      <c r="AB63" s="18"/>
      <c r="AC63" s="17"/>
      <c r="AD63" s="18"/>
      <c r="AE63" s="17"/>
      <c r="AF63" s="18"/>
      <c r="AG63" s="17"/>
      <c r="AH63" s="18"/>
      <c r="AI63" s="17"/>
      <c r="AJ63" s="18"/>
      <c r="AK63" s="17"/>
      <c r="AL63" s="18"/>
      <c r="AM63" s="17"/>
      <c r="AN63" s="18"/>
      <c r="AO63" s="17"/>
    </row>
    <row r="64" spans="1:41" s="12" customFormat="1" x14ac:dyDescent="0.25">
      <c r="A64" s="221"/>
      <c r="B64" s="18"/>
      <c r="C64" s="17"/>
      <c r="D64" s="18"/>
      <c r="E64" s="17"/>
      <c r="F64" s="18"/>
      <c r="G64" s="17"/>
      <c r="H64" s="18"/>
      <c r="I64" s="17"/>
      <c r="J64" s="226"/>
      <c r="K64" s="17" t="s">
        <v>136</v>
      </c>
      <c r="L64" s="18" t="s">
        <v>186</v>
      </c>
      <c r="M64" s="17" t="s">
        <v>188</v>
      </c>
      <c r="N64" s="19"/>
      <c r="O64" s="17"/>
      <c r="P64" s="227"/>
      <c r="Q64" s="17" t="s">
        <v>145</v>
      </c>
      <c r="R64" s="18"/>
      <c r="S64" s="17"/>
      <c r="T64" s="18"/>
      <c r="U64" s="17"/>
      <c r="V64" s="18"/>
      <c r="W64" s="17"/>
      <c r="X64" s="18"/>
      <c r="Y64" s="17"/>
      <c r="Z64" s="18"/>
      <c r="AA64" s="17"/>
      <c r="AB64" s="18"/>
      <c r="AC64" s="17"/>
      <c r="AD64" s="18"/>
      <c r="AE64" s="17"/>
      <c r="AF64" s="18"/>
      <c r="AG64" s="17"/>
      <c r="AH64" s="18"/>
      <c r="AI64" s="17"/>
      <c r="AJ64" s="18"/>
      <c r="AK64" s="17"/>
      <c r="AL64" s="18"/>
      <c r="AM64" s="17"/>
      <c r="AN64" s="18"/>
      <c r="AO64" s="17"/>
    </row>
    <row r="65" spans="1:41" s="12" customFormat="1" x14ac:dyDescent="0.25">
      <c r="A65" s="221"/>
      <c r="B65" s="18"/>
      <c r="C65" s="17"/>
      <c r="D65" s="18"/>
      <c r="E65" s="17"/>
      <c r="F65" s="18"/>
      <c r="G65" s="17"/>
      <c r="H65" s="18"/>
      <c r="I65" s="17"/>
      <c r="J65" s="227"/>
      <c r="K65" s="17" t="s">
        <v>141</v>
      </c>
      <c r="L65" s="18" t="s">
        <v>215</v>
      </c>
      <c r="M65" s="17"/>
      <c r="N65" s="19"/>
      <c r="O65" s="17"/>
      <c r="P65" s="18"/>
      <c r="Q65" s="17"/>
      <c r="R65" s="18"/>
      <c r="S65" s="17"/>
      <c r="T65" s="18"/>
      <c r="U65" s="17"/>
      <c r="V65" s="18"/>
      <c r="W65" s="17"/>
      <c r="X65" s="18"/>
      <c r="Y65" s="17"/>
      <c r="Z65" s="18"/>
      <c r="AA65" s="17"/>
      <c r="AB65" s="18"/>
      <c r="AC65" s="17"/>
      <c r="AD65" s="18"/>
      <c r="AE65" s="17"/>
      <c r="AF65" s="18"/>
      <c r="AG65" s="17"/>
      <c r="AH65" s="18"/>
      <c r="AI65" s="17"/>
      <c r="AJ65" s="18"/>
      <c r="AK65" s="17"/>
      <c r="AL65" s="18"/>
      <c r="AM65" s="17"/>
      <c r="AN65" s="18"/>
      <c r="AO65" s="17"/>
    </row>
    <row r="66" spans="1:41" s="12" customFormat="1" x14ac:dyDescent="0.25">
      <c r="A66" s="221"/>
      <c r="B66" s="18"/>
      <c r="C66" s="17"/>
      <c r="D66" s="18"/>
      <c r="E66" s="17"/>
      <c r="F66" s="18"/>
      <c r="G66" s="17"/>
      <c r="H66" s="18"/>
      <c r="I66" s="17"/>
      <c r="J66" s="18" t="s">
        <v>149</v>
      </c>
      <c r="K66" s="17"/>
      <c r="L66" s="18"/>
      <c r="M66" s="17"/>
      <c r="N66" s="18"/>
      <c r="O66" s="17"/>
      <c r="P66" s="18"/>
      <c r="Q66" s="17"/>
      <c r="R66" s="18"/>
      <c r="S66" s="17"/>
      <c r="T66" s="18"/>
      <c r="U66" s="17"/>
      <c r="V66" s="18"/>
      <c r="W66" s="17"/>
      <c r="X66" s="18"/>
      <c r="Y66" s="17"/>
      <c r="Z66" s="18"/>
      <c r="AA66" s="17"/>
      <c r="AB66" s="18"/>
      <c r="AC66" s="17"/>
      <c r="AD66" s="18"/>
      <c r="AE66" s="17"/>
      <c r="AF66" s="18"/>
      <c r="AG66" s="17"/>
      <c r="AH66" s="18"/>
      <c r="AI66" s="17"/>
      <c r="AJ66" s="18"/>
      <c r="AK66" s="17"/>
      <c r="AL66" s="18"/>
      <c r="AM66" s="17"/>
      <c r="AN66" s="18"/>
      <c r="AO66" s="17"/>
    </row>
    <row r="67" spans="1:41" s="12" customFormat="1" x14ac:dyDescent="0.25">
      <c r="A67" s="221"/>
      <c r="B67" s="18"/>
      <c r="C67" s="17"/>
      <c r="D67" s="18"/>
      <c r="E67" s="17"/>
      <c r="F67" s="18"/>
      <c r="G67" s="17"/>
      <c r="H67" s="18"/>
      <c r="I67" s="17"/>
      <c r="J67" s="18" t="s">
        <v>150</v>
      </c>
      <c r="K67" s="17"/>
      <c r="L67" s="18"/>
      <c r="M67" s="17"/>
      <c r="N67" s="18"/>
      <c r="O67" s="17"/>
      <c r="P67" s="18"/>
      <c r="Q67" s="17"/>
      <c r="R67" s="18"/>
      <c r="S67" s="17"/>
      <c r="T67" s="18"/>
      <c r="U67" s="17"/>
      <c r="V67" s="18"/>
      <c r="W67" s="17"/>
      <c r="X67" s="18"/>
      <c r="Y67" s="17"/>
      <c r="Z67" s="18"/>
      <c r="AA67" s="17"/>
      <c r="AB67" s="18"/>
      <c r="AC67" s="17"/>
      <c r="AD67" s="18"/>
      <c r="AE67" s="17"/>
      <c r="AF67" s="18"/>
      <c r="AG67" s="17"/>
      <c r="AH67" s="18"/>
      <c r="AI67" s="17"/>
      <c r="AJ67" s="18"/>
      <c r="AK67" s="17"/>
      <c r="AL67" s="18"/>
      <c r="AM67" s="17"/>
      <c r="AN67" s="18"/>
      <c r="AO67" s="17"/>
    </row>
    <row r="68" spans="1:41" s="11" customFormat="1" ht="51" thickBot="1" x14ac:dyDescent="0.3">
      <c r="A68" s="221"/>
      <c r="B68" s="22"/>
      <c r="C68" s="21"/>
      <c r="D68" s="22"/>
      <c r="E68" s="21"/>
      <c r="F68" s="22"/>
      <c r="G68" s="21"/>
      <c r="H68" s="22"/>
      <c r="I68" s="21"/>
      <c r="J68" s="222" t="s">
        <v>70</v>
      </c>
      <c r="K68" s="222"/>
      <c r="L68" s="222"/>
      <c r="M68" s="222"/>
      <c r="N68" s="222"/>
      <c r="O68" s="222"/>
      <c r="P68" s="222"/>
      <c r="Q68" s="222"/>
      <c r="R68" s="22"/>
      <c r="S68" s="21"/>
      <c r="T68" s="22"/>
      <c r="U68" s="21"/>
      <c r="V68" s="22"/>
      <c r="W68" s="21"/>
      <c r="X68" s="22"/>
      <c r="Y68" s="21"/>
      <c r="Z68" s="22"/>
      <c r="AA68" s="21"/>
      <c r="AB68" s="22"/>
      <c r="AC68" s="21"/>
      <c r="AD68" s="22"/>
      <c r="AE68" s="21"/>
      <c r="AF68" s="22"/>
      <c r="AG68" s="21"/>
      <c r="AH68" s="22"/>
      <c r="AI68" s="21"/>
      <c r="AJ68" s="22"/>
      <c r="AK68" s="21"/>
      <c r="AL68" s="22"/>
      <c r="AM68" s="21"/>
      <c r="AN68" s="22"/>
      <c r="AO68" s="21"/>
    </row>
    <row r="69" spans="1:41" s="11" customFormat="1" ht="17.25" thickTop="1" x14ac:dyDescent="0.25">
      <c r="A69" s="221"/>
      <c r="B69" s="22"/>
      <c r="C69" s="21"/>
      <c r="D69" s="22"/>
      <c r="E69" s="21"/>
      <c r="F69" s="22"/>
      <c r="G69" s="21"/>
      <c r="H69" s="22"/>
      <c r="I69" s="21"/>
      <c r="J69" s="231" t="s">
        <v>1445</v>
      </c>
      <c r="K69" s="231" t="s">
        <v>1446</v>
      </c>
      <c r="L69" s="231" t="s">
        <v>1448</v>
      </c>
      <c r="M69" s="231" t="s">
        <v>1449</v>
      </c>
      <c r="N69" s="231" t="s">
        <v>1450</v>
      </c>
      <c r="O69" s="231" t="s">
        <v>1451</v>
      </c>
      <c r="P69" s="231" t="s">
        <v>715</v>
      </c>
      <c r="Q69" s="231" t="s">
        <v>1447</v>
      </c>
      <c r="R69" s="22"/>
      <c r="S69" s="21"/>
      <c r="T69" s="22"/>
      <c r="U69" s="21"/>
      <c r="V69" s="22"/>
      <c r="W69" s="21"/>
      <c r="X69" s="22"/>
      <c r="Y69" s="21"/>
      <c r="Z69" s="22"/>
      <c r="AA69" s="21"/>
      <c r="AB69" s="22"/>
      <c r="AC69" s="21"/>
      <c r="AD69" s="22"/>
      <c r="AE69" s="21"/>
      <c r="AF69" s="22"/>
      <c r="AG69" s="21"/>
      <c r="AH69" s="22"/>
      <c r="AI69" s="21"/>
      <c r="AJ69" s="22"/>
      <c r="AK69" s="21"/>
      <c r="AL69" s="22"/>
      <c r="AM69" s="21"/>
      <c r="AN69" s="22"/>
      <c r="AO69" s="21"/>
    </row>
    <row r="70" spans="1:41" s="12" customFormat="1" x14ac:dyDescent="0.25">
      <c r="A70" s="221"/>
      <c r="B70" s="18"/>
      <c r="C70" s="17"/>
      <c r="D70" s="18"/>
      <c r="E70" s="17"/>
      <c r="F70" s="18"/>
      <c r="G70" s="17"/>
      <c r="H70" s="18"/>
      <c r="I70" s="17"/>
      <c r="J70" s="18" t="s">
        <v>379</v>
      </c>
      <c r="K70" s="17" t="s">
        <v>380</v>
      </c>
      <c r="L70" s="18" t="s">
        <v>182</v>
      </c>
      <c r="M70" s="17"/>
      <c r="N70" s="18" t="s">
        <v>558</v>
      </c>
      <c r="O70" s="17" t="s">
        <v>430</v>
      </c>
      <c r="P70" s="225" t="s">
        <v>378</v>
      </c>
      <c r="Q70" s="17" t="s">
        <v>118</v>
      </c>
      <c r="R70" s="18"/>
      <c r="S70" s="17"/>
      <c r="T70" s="18"/>
      <c r="U70" s="17"/>
      <c r="V70" s="18"/>
      <c r="W70" s="17"/>
      <c r="X70" s="18"/>
      <c r="Y70" s="17"/>
      <c r="Z70" s="18"/>
      <c r="AA70" s="17"/>
      <c r="AB70" s="18"/>
      <c r="AC70" s="17"/>
      <c r="AD70" s="18"/>
      <c r="AE70" s="17"/>
      <c r="AF70" s="18"/>
      <c r="AG70" s="17"/>
      <c r="AH70" s="18"/>
      <c r="AI70" s="17"/>
      <c r="AJ70" s="18"/>
      <c r="AK70" s="17"/>
      <c r="AL70" s="18"/>
      <c r="AM70" s="17"/>
      <c r="AN70" s="18"/>
      <c r="AO70" s="17"/>
    </row>
    <row r="71" spans="1:41" s="12" customFormat="1" x14ac:dyDescent="0.25">
      <c r="A71" s="221"/>
      <c r="B71" s="18"/>
      <c r="C71" s="17"/>
      <c r="D71" s="18"/>
      <c r="E71" s="17"/>
      <c r="F71" s="18"/>
      <c r="G71" s="17"/>
      <c r="H71" s="18"/>
      <c r="I71" s="17"/>
      <c r="J71" s="225" t="s">
        <v>115</v>
      </c>
      <c r="K71" s="17" t="s">
        <v>132</v>
      </c>
      <c r="L71" s="18" t="s">
        <v>216</v>
      </c>
      <c r="M71" s="17"/>
      <c r="N71" s="19"/>
      <c r="O71" s="17"/>
      <c r="P71" s="227"/>
      <c r="Q71" s="17" t="s">
        <v>136</v>
      </c>
      <c r="R71" s="18"/>
      <c r="S71" s="17"/>
      <c r="T71" s="18"/>
      <c r="U71" s="17"/>
      <c r="V71" s="18"/>
      <c r="W71" s="17"/>
      <c r="X71" s="18"/>
      <c r="Y71" s="17"/>
      <c r="Z71" s="18"/>
      <c r="AA71" s="17"/>
      <c r="AB71" s="18"/>
      <c r="AC71" s="17"/>
      <c r="AD71" s="18"/>
      <c r="AE71" s="17"/>
      <c r="AF71" s="18"/>
      <c r="AG71" s="17"/>
      <c r="AH71" s="18"/>
      <c r="AI71" s="17"/>
      <c r="AJ71" s="18"/>
      <c r="AK71" s="17"/>
      <c r="AL71" s="18"/>
      <c r="AM71" s="17"/>
      <c r="AN71" s="18"/>
      <c r="AO71" s="17"/>
    </row>
    <row r="72" spans="1:41" s="12" customFormat="1" x14ac:dyDescent="0.25">
      <c r="A72" s="221"/>
      <c r="B72" s="18"/>
      <c r="C72" s="17"/>
      <c r="D72" s="18"/>
      <c r="E72" s="17"/>
      <c r="F72" s="18"/>
      <c r="G72" s="17"/>
      <c r="H72" s="18"/>
      <c r="I72" s="17"/>
      <c r="J72" s="227"/>
      <c r="K72" s="17" t="s">
        <v>136</v>
      </c>
      <c r="L72" s="18"/>
      <c r="M72" s="17"/>
      <c r="N72" s="19"/>
      <c r="O72" s="17"/>
      <c r="P72" s="18"/>
      <c r="Q72" s="17"/>
      <c r="R72" s="18"/>
      <c r="S72" s="17"/>
      <c r="T72" s="18"/>
      <c r="U72" s="17"/>
      <c r="V72" s="18"/>
      <c r="W72" s="17"/>
      <c r="X72" s="18"/>
      <c r="Y72" s="17"/>
      <c r="Z72" s="18"/>
      <c r="AA72" s="17"/>
      <c r="AB72" s="18"/>
      <c r="AC72" s="17"/>
      <c r="AD72" s="18"/>
      <c r="AE72" s="17"/>
      <c r="AF72" s="18"/>
      <c r="AG72" s="17"/>
      <c r="AH72" s="18"/>
      <c r="AI72" s="17"/>
      <c r="AJ72" s="18"/>
      <c r="AK72" s="17"/>
      <c r="AL72" s="18"/>
      <c r="AM72" s="17"/>
      <c r="AN72" s="18"/>
      <c r="AO72" s="17"/>
    </row>
    <row r="73" spans="1:41" s="12" customFormat="1" x14ac:dyDescent="0.25">
      <c r="A73" s="221"/>
      <c r="B73" s="18"/>
      <c r="C73" s="17"/>
      <c r="D73" s="18"/>
      <c r="E73" s="17"/>
      <c r="F73" s="18"/>
      <c r="G73" s="17"/>
      <c r="H73" s="18"/>
      <c r="I73" s="17"/>
      <c r="J73" s="18" t="s">
        <v>149</v>
      </c>
      <c r="K73" s="17"/>
      <c r="L73" s="18"/>
      <c r="M73" s="17"/>
      <c r="N73" s="18"/>
      <c r="O73" s="17"/>
      <c r="P73" s="18"/>
      <c r="Q73" s="17"/>
      <c r="R73" s="18"/>
      <c r="S73" s="17"/>
      <c r="T73" s="18"/>
      <c r="U73" s="17"/>
      <c r="V73" s="18"/>
      <c r="W73" s="17"/>
      <c r="X73" s="18"/>
      <c r="Y73" s="17"/>
      <c r="Z73" s="18"/>
      <c r="AA73" s="17"/>
      <c r="AB73" s="18"/>
      <c r="AC73" s="17"/>
      <c r="AD73" s="18"/>
      <c r="AE73" s="17"/>
      <c r="AF73" s="18"/>
      <c r="AG73" s="17"/>
      <c r="AH73" s="18"/>
      <c r="AI73" s="17"/>
      <c r="AJ73" s="18"/>
      <c r="AK73" s="17"/>
      <c r="AL73" s="18"/>
      <c r="AM73" s="17"/>
      <c r="AN73" s="18"/>
      <c r="AO73" s="17"/>
    </row>
    <row r="74" spans="1:41" s="12" customFormat="1" x14ac:dyDescent="0.25">
      <c r="A74" s="221"/>
      <c r="B74" s="18"/>
      <c r="C74" s="17"/>
      <c r="D74" s="18"/>
      <c r="E74" s="17"/>
      <c r="F74" s="18"/>
      <c r="G74" s="17"/>
      <c r="H74" s="18"/>
      <c r="I74" s="17"/>
      <c r="J74" s="18" t="s">
        <v>150</v>
      </c>
      <c r="K74" s="17"/>
      <c r="L74" s="18"/>
      <c r="M74" s="17"/>
      <c r="N74" s="18"/>
      <c r="O74" s="17"/>
      <c r="P74" s="18"/>
      <c r="Q74" s="17"/>
      <c r="R74" s="18"/>
      <c r="S74" s="17"/>
      <c r="T74" s="18"/>
      <c r="U74" s="17"/>
      <c r="V74" s="18"/>
      <c r="W74" s="17"/>
      <c r="X74" s="18"/>
      <c r="Y74" s="17"/>
      <c r="Z74" s="18"/>
      <c r="AA74" s="17"/>
      <c r="AB74" s="18"/>
      <c r="AC74" s="17"/>
      <c r="AD74" s="18"/>
      <c r="AE74" s="17"/>
      <c r="AF74" s="18"/>
      <c r="AG74" s="17"/>
      <c r="AH74" s="18"/>
      <c r="AI74" s="17"/>
      <c r="AJ74" s="18"/>
      <c r="AK74" s="17"/>
      <c r="AL74" s="18"/>
      <c r="AM74" s="17"/>
      <c r="AN74" s="18"/>
      <c r="AO74" s="17"/>
    </row>
    <row r="75" spans="1:41" s="11" customFormat="1" ht="50.25" customHeight="1" thickBot="1" x14ac:dyDescent="0.3">
      <c r="A75" s="221" t="s">
        <v>284</v>
      </c>
      <c r="B75" s="22"/>
      <c r="C75" s="21"/>
      <c r="D75" s="22"/>
      <c r="E75" s="21"/>
      <c r="F75" s="22"/>
      <c r="G75" s="21"/>
      <c r="H75" s="22"/>
      <c r="I75" s="21"/>
      <c r="J75" s="222" t="s">
        <v>71</v>
      </c>
      <c r="K75" s="222"/>
      <c r="L75" s="222"/>
      <c r="M75" s="222"/>
      <c r="N75" s="222"/>
      <c r="O75" s="222"/>
      <c r="P75" s="222"/>
      <c r="Q75" s="222"/>
      <c r="R75" s="22"/>
      <c r="S75" s="21"/>
      <c r="T75" s="22"/>
      <c r="U75" s="21"/>
      <c r="V75" s="22"/>
      <c r="W75" s="21"/>
      <c r="X75" s="22"/>
      <c r="Y75" s="21"/>
      <c r="Z75" s="222" t="s">
        <v>102</v>
      </c>
      <c r="AA75" s="222"/>
      <c r="AB75" s="222"/>
      <c r="AC75" s="222"/>
      <c r="AD75" s="222"/>
      <c r="AE75" s="222"/>
      <c r="AF75" s="222"/>
      <c r="AG75" s="222"/>
      <c r="AH75" s="22"/>
      <c r="AI75" s="21"/>
      <c r="AJ75" s="22"/>
      <c r="AK75" s="21"/>
      <c r="AL75" s="22"/>
      <c r="AM75" s="21"/>
      <c r="AN75" s="22"/>
      <c r="AO75" s="21"/>
    </row>
    <row r="76" spans="1:41" s="11" customFormat="1" ht="17.25" thickTop="1" x14ac:dyDescent="0.25">
      <c r="A76" s="221"/>
      <c r="B76" s="22"/>
      <c r="C76" s="21"/>
      <c r="D76" s="22"/>
      <c r="E76" s="21"/>
      <c r="F76" s="22"/>
      <c r="G76" s="21"/>
      <c r="H76" s="22"/>
      <c r="I76" s="21"/>
      <c r="J76" s="231" t="s">
        <v>1445</v>
      </c>
      <c r="K76" s="231" t="s">
        <v>1446</v>
      </c>
      <c r="L76" s="231" t="s">
        <v>1448</v>
      </c>
      <c r="M76" s="231" t="s">
        <v>1449</v>
      </c>
      <c r="N76" s="231" t="s">
        <v>1450</v>
      </c>
      <c r="O76" s="231" t="s">
        <v>1451</v>
      </c>
      <c r="P76" s="231" t="s">
        <v>715</v>
      </c>
      <c r="Q76" s="231" t="s">
        <v>1447</v>
      </c>
      <c r="R76" s="22"/>
      <c r="S76" s="21"/>
      <c r="T76" s="22"/>
      <c r="U76" s="21"/>
      <c r="V76" s="22"/>
      <c r="W76" s="21"/>
      <c r="X76" s="22"/>
      <c r="Y76" s="21"/>
      <c r="Z76" s="231" t="s">
        <v>1445</v>
      </c>
      <c r="AA76" s="231" t="s">
        <v>1446</v>
      </c>
      <c r="AB76" s="231" t="s">
        <v>1448</v>
      </c>
      <c r="AC76" s="231" t="s">
        <v>1449</v>
      </c>
      <c r="AD76" s="231" t="s">
        <v>1450</v>
      </c>
      <c r="AE76" s="231" t="s">
        <v>1451</v>
      </c>
      <c r="AF76" s="231" t="s">
        <v>715</v>
      </c>
      <c r="AG76" s="231" t="s">
        <v>1447</v>
      </c>
      <c r="AH76" s="22"/>
      <c r="AI76" s="21"/>
      <c r="AJ76" s="22"/>
      <c r="AK76" s="21"/>
      <c r="AL76" s="22"/>
      <c r="AM76" s="21"/>
      <c r="AN76" s="22"/>
      <c r="AO76" s="21"/>
    </row>
    <row r="77" spans="1:41" s="12" customFormat="1" x14ac:dyDescent="0.25">
      <c r="A77" s="221"/>
      <c r="B77" s="18"/>
      <c r="C77" s="17"/>
      <c r="D77" s="18"/>
      <c r="E77" s="17"/>
      <c r="F77" s="18"/>
      <c r="G77" s="17"/>
      <c r="H77" s="18"/>
      <c r="I77" s="17"/>
      <c r="J77" s="18" t="s">
        <v>151</v>
      </c>
      <c r="K77" s="17"/>
      <c r="L77" s="18" t="s">
        <v>182</v>
      </c>
      <c r="M77" s="17"/>
      <c r="N77" s="18" t="s">
        <v>558</v>
      </c>
      <c r="O77" s="17" t="s">
        <v>382</v>
      </c>
      <c r="P77" s="18"/>
      <c r="Q77" s="17"/>
      <c r="R77" s="18"/>
      <c r="S77" s="17"/>
      <c r="T77" s="18"/>
      <c r="U77" s="17"/>
      <c r="V77" s="18"/>
      <c r="W77" s="17"/>
      <c r="X77" s="18"/>
      <c r="Y77" s="17"/>
      <c r="Z77" s="225" t="s">
        <v>379</v>
      </c>
      <c r="AA77" s="17" t="s">
        <v>382</v>
      </c>
      <c r="AB77" s="225" t="s">
        <v>703</v>
      </c>
      <c r="AC77" s="17" t="s">
        <v>199</v>
      </c>
      <c r="AD77" s="18" t="s">
        <v>156</v>
      </c>
      <c r="AE77" s="20"/>
      <c r="AF77" s="225" t="s">
        <v>379</v>
      </c>
      <c r="AG77" s="20" t="s">
        <v>382</v>
      </c>
      <c r="AH77" s="18"/>
      <c r="AI77" s="17"/>
      <c r="AJ77" s="18"/>
      <c r="AK77" s="17"/>
      <c r="AL77" s="18"/>
      <c r="AM77" s="17"/>
      <c r="AN77" s="18"/>
      <c r="AO77" s="17"/>
    </row>
    <row r="78" spans="1:41" s="12" customFormat="1" x14ac:dyDescent="0.25">
      <c r="A78" s="221"/>
      <c r="B78" s="18"/>
      <c r="C78" s="17"/>
      <c r="D78" s="18"/>
      <c r="E78" s="17"/>
      <c r="F78" s="18"/>
      <c r="G78" s="17"/>
      <c r="H78" s="18"/>
      <c r="I78" s="17"/>
      <c r="J78" s="225" t="s">
        <v>379</v>
      </c>
      <c r="K78" s="17" t="s">
        <v>380</v>
      </c>
      <c r="L78" s="18" t="s">
        <v>703</v>
      </c>
      <c r="M78" s="17"/>
      <c r="N78" s="18"/>
      <c r="O78" s="17"/>
      <c r="P78" s="18"/>
      <c r="Q78" s="17"/>
      <c r="R78" s="18"/>
      <c r="S78" s="17"/>
      <c r="T78" s="18"/>
      <c r="U78" s="17"/>
      <c r="V78" s="18"/>
      <c r="W78" s="17"/>
      <c r="X78" s="18"/>
      <c r="Y78" s="17"/>
      <c r="Z78" s="226"/>
      <c r="AA78" s="17" t="s">
        <v>110</v>
      </c>
      <c r="AB78" s="226"/>
      <c r="AC78" s="17" t="s">
        <v>229</v>
      </c>
      <c r="AD78" s="18" t="s">
        <v>115</v>
      </c>
      <c r="AE78" s="20" t="s">
        <v>463</v>
      </c>
      <c r="AF78" s="226"/>
      <c r="AG78" s="20" t="s">
        <v>110</v>
      </c>
      <c r="AH78" s="18"/>
      <c r="AI78" s="17"/>
      <c r="AJ78" s="18"/>
      <c r="AK78" s="17"/>
      <c r="AL78" s="18"/>
      <c r="AM78" s="17"/>
      <c r="AN78" s="18"/>
      <c r="AO78" s="17"/>
    </row>
    <row r="79" spans="1:41" s="12" customFormat="1" x14ac:dyDescent="0.25">
      <c r="A79" s="221"/>
      <c r="B79" s="18"/>
      <c r="C79" s="17"/>
      <c r="D79" s="18"/>
      <c r="E79" s="17"/>
      <c r="F79" s="18"/>
      <c r="G79" s="17"/>
      <c r="H79" s="18"/>
      <c r="I79" s="17"/>
      <c r="J79" s="227"/>
      <c r="K79" s="17" t="s">
        <v>114</v>
      </c>
      <c r="L79" s="18" t="s">
        <v>190</v>
      </c>
      <c r="M79" s="17"/>
      <c r="N79" s="18"/>
      <c r="O79" s="17"/>
      <c r="P79" s="18"/>
      <c r="Q79" s="17"/>
      <c r="R79" s="18"/>
      <c r="S79" s="17"/>
      <c r="T79" s="18"/>
      <c r="U79" s="17"/>
      <c r="V79" s="18"/>
      <c r="W79" s="17"/>
      <c r="X79" s="18"/>
      <c r="Y79" s="17"/>
      <c r="Z79" s="226"/>
      <c r="AA79" s="17" t="s">
        <v>109</v>
      </c>
      <c r="AB79" s="226"/>
      <c r="AC79" s="17" t="s">
        <v>230</v>
      </c>
      <c r="AD79" s="18" t="s">
        <v>155</v>
      </c>
      <c r="AE79" s="20"/>
      <c r="AF79" s="226"/>
      <c r="AG79" s="20" t="s">
        <v>111</v>
      </c>
      <c r="AH79" s="18"/>
      <c r="AI79" s="17"/>
      <c r="AJ79" s="18"/>
      <c r="AK79" s="17"/>
      <c r="AL79" s="18"/>
      <c r="AM79" s="17"/>
      <c r="AN79" s="18"/>
      <c r="AO79" s="17"/>
    </row>
    <row r="80" spans="1:41" s="12" customFormat="1" x14ac:dyDescent="0.25">
      <c r="A80" s="221"/>
      <c r="B80" s="18"/>
      <c r="C80" s="17"/>
      <c r="D80" s="18"/>
      <c r="E80" s="17"/>
      <c r="F80" s="18"/>
      <c r="G80" s="17"/>
      <c r="H80" s="18"/>
      <c r="I80" s="17"/>
      <c r="J80" s="18" t="s">
        <v>149</v>
      </c>
      <c r="K80" s="17"/>
      <c r="L80" s="18"/>
      <c r="M80" s="17"/>
      <c r="N80" s="18"/>
      <c r="O80" s="17"/>
      <c r="P80" s="18"/>
      <c r="Q80" s="17"/>
      <c r="R80" s="18"/>
      <c r="S80" s="17"/>
      <c r="T80" s="18"/>
      <c r="U80" s="17"/>
      <c r="V80" s="18"/>
      <c r="W80" s="17"/>
      <c r="X80" s="18"/>
      <c r="Y80" s="17"/>
      <c r="Z80" s="227"/>
      <c r="AA80" s="17" t="s">
        <v>112</v>
      </c>
      <c r="AB80" s="226"/>
      <c r="AC80" s="17" t="s">
        <v>201</v>
      </c>
      <c r="AD80" s="19"/>
      <c r="AE80" s="20"/>
      <c r="AF80" s="227"/>
      <c r="AG80" s="20" t="s">
        <v>112</v>
      </c>
      <c r="AH80" s="18"/>
      <c r="AI80" s="17"/>
      <c r="AJ80" s="18"/>
      <c r="AK80" s="17"/>
      <c r="AL80" s="18"/>
      <c r="AM80" s="17"/>
      <c r="AN80" s="18"/>
      <c r="AO80" s="17"/>
    </row>
    <row r="81" spans="1:41" s="12" customFormat="1" x14ac:dyDescent="0.25">
      <c r="A81" s="221"/>
      <c r="B81" s="18"/>
      <c r="C81" s="17"/>
      <c r="D81" s="18"/>
      <c r="E81" s="17"/>
      <c r="F81" s="18"/>
      <c r="G81" s="17"/>
      <c r="H81" s="18"/>
      <c r="I81" s="17"/>
      <c r="J81" s="18" t="s">
        <v>150</v>
      </c>
      <c r="K81" s="17"/>
      <c r="L81" s="18"/>
      <c r="M81" s="17"/>
      <c r="N81" s="18"/>
      <c r="O81" s="17"/>
      <c r="P81" s="18"/>
      <c r="Q81" s="17"/>
      <c r="R81" s="18"/>
      <c r="S81" s="17"/>
      <c r="T81" s="18"/>
      <c r="U81" s="17"/>
      <c r="V81" s="18"/>
      <c r="W81" s="17"/>
      <c r="X81" s="18"/>
      <c r="Y81" s="17"/>
      <c r="Z81" s="225" t="s">
        <v>115</v>
      </c>
      <c r="AA81" s="17" t="s">
        <v>125</v>
      </c>
      <c r="AB81" s="226"/>
      <c r="AC81" s="17" t="s">
        <v>202</v>
      </c>
      <c r="AD81" s="19"/>
      <c r="AE81" s="20"/>
      <c r="AF81" s="225" t="s">
        <v>378</v>
      </c>
      <c r="AG81" s="20" t="s">
        <v>118</v>
      </c>
      <c r="AH81" s="18"/>
      <c r="AI81" s="17"/>
      <c r="AJ81" s="18"/>
      <c r="AK81" s="17"/>
      <c r="AL81" s="18"/>
      <c r="AM81" s="17"/>
      <c r="AN81" s="18"/>
      <c r="AO81" s="17"/>
    </row>
    <row r="82" spans="1:41" s="11" customFormat="1" ht="51" thickBot="1" x14ac:dyDescent="0.3">
      <c r="A82" s="221"/>
      <c r="B82" s="22"/>
      <c r="C82" s="21"/>
      <c r="D82" s="22"/>
      <c r="E82" s="21"/>
      <c r="F82" s="22"/>
      <c r="G82" s="21"/>
      <c r="H82" s="22"/>
      <c r="I82" s="21"/>
      <c r="J82" s="222" t="s">
        <v>72</v>
      </c>
      <c r="K82" s="222"/>
      <c r="L82" s="222"/>
      <c r="M82" s="222"/>
      <c r="N82" s="222"/>
      <c r="O82" s="222"/>
      <c r="P82" s="222"/>
      <c r="Q82" s="222"/>
      <c r="R82" s="22"/>
      <c r="S82" s="21"/>
      <c r="T82" s="22"/>
      <c r="U82" s="21"/>
      <c r="V82" s="22"/>
      <c r="W82" s="21"/>
      <c r="X82" s="22"/>
      <c r="Y82" s="21"/>
      <c r="Z82" s="226"/>
      <c r="AA82" s="17" t="s">
        <v>128</v>
      </c>
      <c r="AB82" s="227"/>
      <c r="AC82" s="17" t="s">
        <v>225</v>
      </c>
      <c r="AD82" s="19"/>
      <c r="AE82" s="20"/>
      <c r="AF82" s="226"/>
      <c r="AG82" s="20" t="s">
        <v>119</v>
      </c>
      <c r="AH82" s="22"/>
      <c r="AI82" s="21"/>
      <c r="AJ82" s="22"/>
      <c r="AK82" s="21"/>
      <c r="AL82" s="22"/>
      <c r="AM82" s="21"/>
      <c r="AN82" s="22"/>
      <c r="AO82" s="21"/>
    </row>
    <row r="83" spans="1:41" s="11" customFormat="1" ht="17.25" thickTop="1" x14ac:dyDescent="0.25">
      <c r="A83" s="221"/>
      <c r="B83" s="22"/>
      <c r="C83" s="21"/>
      <c r="D83" s="22"/>
      <c r="E83" s="21"/>
      <c r="F83" s="22"/>
      <c r="G83" s="21"/>
      <c r="H83" s="22"/>
      <c r="I83" s="21"/>
      <c r="J83" s="231" t="s">
        <v>1445</v>
      </c>
      <c r="K83" s="231" t="s">
        <v>1446</v>
      </c>
      <c r="L83" s="231" t="s">
        <v>1448</v>
      </c>
      <c r="M83" s="231" t="s">
        <v>1449</v>
      </c>
      <c r="N83" s="231" t="s">
        <v>1450</v>
      </c>
      <c r="O83" s="231" t="s">
        <v>1451</v>
      </c>
      <c r="P83" s="231" t="s">
        <v>715</v>
      </c>
      <c r="Q83" s="231" t="s">
        <v>1447</v>
      </c>
      <c r="R83" s="22"/>
      <c r="S83" s="21"/>
      <c r="T83" s="22"/>
      <c r="U83" s="21"/>
      <c r="V83" s="22"/>
      <c r="W83" s="21"/>
      <c r="X83" s="22"/>
      <c r="Y83" s="21"/>
      <c r="Z83" s="226"/>
      <c r="AA83" s="17" t="s">
        <v>130</v>
      </c>
      <c r="AB83" s="18" t="s">
        <v>228</v>
      </c>
      <c r="AC83" s="17"/>
      <c r="AD83" s="19"/>
      <c r="AE83" s="20"/>
      <c r="AF83" s="226"/>
      <c r="AG83" s="20" t="s">
        <v>125</v>
      </c>
      <c r="AH83" s="22"/>
      <c r="AI83" s="21"/>
      <c r="AJ83" s="22"/>
      <c r="AK83" s="21"/>
      <c r="AL83" s="22"/>
      <c r="AM83" s="21"/>
      <c r="AN83" s="22"/>
      <c r="AO83" s="21"/>
    </row>
    <row r="84" spans="1:41" s="12" customFormat="1" x14ac:dyDescent="0.25">
      <c r="A84" s="221"/>
      <c r="B84" s="18"/>
      <c r="C84" s="17"/>
      <c r="D84" s="18"/>
      <c r="E84" s="17"/>
      <c r="F84" s="18"/>
      <c r="G84" s="17"/>
      <c r="H84" s="18"/>
      <c r="I84" s="17"/>
      <c r="J84" s="225" t="s">
        <v>379</v>
      </c>
      <c r="K84" s="17" t="s">
        <v>382</v>
      </c>
      <c r="L84" s="18" t="s">
        <v>182</v>
      </c>
      <c r="M84" s="17"/>
      <c r="N84" s="225" t="s">
        <v>115</v>
      </c>
      <c r="O84" s="17" t="s">
        <v>437</v>
      </c>
      <c r="P84" s="225" t="s">
        <v>379</v>
      </c>
      <c r="Q84" s="17" t="s">
        <v>110</v>
      </c>
      <c r="R84" s="18"/>
      <c r="S84" s="17"/>
      <c r="T84" s="18"/>
      <c r="U84" s="17"/>
      <c r="V84" s="18"/>
      <c r="W84" s="17"/>
      <c r="X84" s="18"/>
      <c r="Y84" s="17"/>
      <c r="Z84" s="226"/>
      <c r="AA84" s="17" t="s">
        <v>139</v>
      </c>
      <c r="AB84" s="18" t="s">
        <v>191</v>
      </c>
      <c r="AC84" s="17"/>
      <c r="AD84" s="19"/>
      <c r="AE84" s="20"/>
      <c r="AF84" s="226"/>
      <c r="AG84" s="20" t="s">
        <v>130</v>
      </c>
      <c r="AH84" s="18"/>
      <c r="AI84" s="17"/>
      <c r="AJ84" s="18"/>
      <c r="AK84" s="17"/>
      <c r="AL84" s="18"/>
      <c r="AM84" s="17"/>
      <c r="AN84" s="18"/>
      <c r="AO84" s="17"/>
    </row>
    <row r="85" spans="1:41" s="12" customFormat="1" x14ac:dyDescent="0.25">
      <c r="A85" s="221"/>
      <c r="B85" s="18"/>
      <c r="C85" s="17"/>
      <c r="D85" s="18"/>
      <c r="E85" s="17"/>
      <c r="F85" s="18"/>
      <c r="G85" s="17"/>
      <c r="H85" s="18"/>
      <c r="I85" s="17"/>
      <c r="J85" s="227"/>
      <c r="K85" s="17" t="s">
        <v>109</v>
      </c>
      <c r="L85" s="18" t="s">
        <v>216</v>
      </c>
      <c r="M85" s="17"/>
      <c r="N85" s="226"/>
      <c r="O85" s="17" t="s">
        <v>436</v>
      </c>
      <c r="P85" s="227"/>
      <c r="Q85" s="17" t="s">
        <v>111</v>
      </c>
      <c r="R85" s="18"/>
      <c r="S85" s="17"/>
      <c r="T85" s="18"/>
      <c r="U85" s="17"/>
      <c r="V85" s="18"/>
      <c r="W85" s="17"/>
      <c r="X85" s="18"/>
      <c r="Y85" s="17"/>
      <c r="Z85" s="227"/>
      <c r="AA85" s="17" t="s">
        <v>143</v>
      </c>
      <c r="AB85" s="18" t="s">
        <v>224</v>
      </c>
      <c r="AC85" s="17"/>
      <c r="AD85" s="19"/>
      <c r="AE85" s="20"/>
      <c r="AF85" s="226"/>
      <c r="AG85" s="20" t="s">
        <v>139</v>
      </c>
      <c r="AH85" s="18"/>
      <c r="AI85" s="17"/>
      <c r="AJ85" s="18"/>
      <c r="AK85" s="17"/>
      <c r="AL85" s="18"/>
      <c r="AM85" s="17"/>
      <c r="AN85" s="18"/>
      <c r="AO85" s="17"/>
    </row>
    <row r="86" spans="1:41" s="12" customFormat="1" x14ac:dyDescent="0.25">
      <c r="A86" s="221"/>
      <c r="B86" s="18"/>
      <c r="C86" s="17"/>
      <c r="D86" s="18"/>
      <c r="E86" s="17"/>
      <c r="F86" s="18"/>
      <c r="G86" s="17"/>
      <c r="H86" s="18"/>
      <c r="I86" s="17"/>
      <c r="J86" s="18" t="s">
        <v>149</v>
      </c>
      <c r="K86" s="17"/>
      <c r="L86" s="18" t="s">
        <v>218</v>
      </c>
      <c r="M86" s="17"/>
      <c r="N86" s="227"/>
      <c r="O86" s="17" t="s">
        <v>445</v>
      </c>
      <c r="P86" s="18"/>
      <c r="Q86" s="17"/>
      <c r="R86" s="18"/>
      <c r="S86" s="17"/>
      <c r="T86" s="18"/>
      <c r="U86" s="17"/>
      <c r="V86" s="18"/>
      <c r="W86" s="17"/>
      <c r="X86" s="18"/>
      <c r="Y86" s="17"/>
      <c r="Z86" s="18" t="s">
        <v>154</v>
      </c>
      <c r="AA86" s="17"/>
      <c r="AB86" s="18" t="s">
        <v>548</v>
      </c>
      <c r="AC86" s="17"/>
      <c r="AD86" s="19"/>
      <c r="AE86" s="20"/>
      <c r="AF86" s="226"/>
      <c r="AG86" s="20" t="s">
        <v>141</v>
      </c>
      <c r="AH86" s="18"/>
      <c r="AI86" s="17"/>
      <c r="AJ86" s="18"/>
      <c r="AK86" s="17"/>
      <c r="AL86" s="18"/>
      <c r="AM86" s="17"/>
      <c r="AN86" s="18"/>
      <c r="AO86" s="17"/>
    </row>
    <row r="87" spans="1:41" s="12" customFormat="1" x14ac:dyDescent="0.25">
      <c r="A87" s="221"/>
      <c r="B87" s="18"/>
      <c r="C87" s="17"/>
      <c r="D87" s="18"/>
      <c r="E87" s="17"/>
      <c r="F87" s="18"/>
      <c r="G87" s="17"/>
      <c r="H87" s="18"/>
      <c r="I87" s="17"/>
      <c r="J87" s="18" t="s">
        <v>150</v>
      </c>
      <c r="K87" s="17"/>
      <c r="L87" s="18" t="s">
        <v>190</v>
      </c>
      <c r="M87" s="17"/>
      <c r="N87" s="18" t="s">
        <v>155</v>
      </c>
      <c r="O87" s="17"/>
      <c r="P87" s="18"/>
      <c r="Q87" s="17"/>
      <c r="R87" s="18"/>
      <c r="S87" s="17"/>
      <c r="T87" s="18"/>
      <c r="U87" s="17"/>
      <c r="V87" s="18"/>
      <c r="W87" s="17"/>
      <c r="X87" s="18"/>
      <c r="Y87" s="17"/>
      <c r="Z87" s="18" t="s">
        <v>150</v>
      </c>
      <c r="AA87" s="17"/>
      <c r="AB87" s="18" t="s">
        <v>227</v>
      </c>
      <c r="AC87" s="17"/>
      <c r="AD87" s="19"/>
      <c r="AE87" s="20"/>
      <c r="AF87" s="227"/>
      <c r="AG87" s="20" t="s">
        <v>143</v>
      </c>
      <c r="AH87" s="18"/>
      <c r="AI87" s="17"/>
      <c r="AJ87" s="18"/>
      <c r="AK87" s="17"/>
      <c r="AL87" s="18"/>
      <c r="AM87" s="17"/>
      <c r="AN87" s="18"/>
      <c r="AO87" s="17"/>
    </row>
    <row r="88" spans="1:41" s="11" customFormat="1" ht="51" thickBot="1" x14ac:dyDescent="0.3">
      <c r="A88" s="221"/>
      <c r="B88" s="22"/>
      <c r="C88" s="21"/>
      <c r="D88" s="22"/>
      <c r="E88" s="21"/>
      <c r="F88" s="22"/>
      <c r="G88" s="21"/>
      <c r="H88" s="22"/>
      <c r="I88" s="21"/>
      <c r="J88" s="222" t="s">
        <v>73</v>
      </c>
      <c r="K88" s="222"/>
      <c r="L88" s="222"/>
      <c r="M88" s="222"/>
      <c r="N88" s="222"/>
      <c r="O88" s="222"/>
      <c r="P88" s="222"/>
      <c r="Q88" s="222"/>
      <c r="R88" s="22"/>
      <c r="S88" s="21"/>
      <c r="T88" s="22"/>
      <c r="U88" s="21"/>
      <c r="V88" s="22"/>
      <c r="W88" s="21"/>
      <c r="X88" s="22"/>
      <c r="Y88" s="21"/>
      <c r="Z88" s="18"/>
      <c r="AA88" s="17"/>
      <c r="AB88" s="18"/>
      <c r="AC88" s="17"/>
      <c r="AD88" s="19"/>
      <c r="AE88" s="20"/>
      <c r="AF88" s="22"/>
      <c r="AG88" s="21"/>
      <c r="AH88" s="22"/>
      <c r="AI88" s="21"/>
      <c r="AJ88" s="22"/>
      <c r="AK88" s="21"/>
      <c r="AL88" s="22"/>
      <c r="AM88" s="21"/>
      <c r="AN88" s="22"/>
      <c r="AO88" s="21"/>
    </row>
    <row r="89" spans="1:41" s="11" customFormat="1" ht="17.25" thickTop="1" x14ac:dyDescent="0.25">
      <c r="A89" s="221"/>
      <c r="B89" s="22"/>
      <c r="C89" s="21"/>
      <c r="D89" s="22"/>
      <c r="E89" s="21"/>
      <c r="F89" s="22"/>
      <c r="G89" s="21"/>
      <c r="H89" s="22"/>
      <c r="I89" s="21"/>
      <c r="J89" s="231" t="s">
        <v>1445</v>
      </c>
      <c r="K89" s="231" t="s">
        <v>1446</v>
      </c>
      <c r="L89" s="231" t="s">
        <v>1448</v>
      </c>
      <c r="M89" s="231" t="s">
        <v>1449</v>
      </c>
      <c r="N89" s="231" t="s">
        <v>1450</v>
      </c>
      <c r="O89" s="231" t="s">
        <v>1451</v>
      </c>
      <c r="P89" s="231" t="s">
        <v>715</v>
      </c>
      <c r="Q89" s="231" t="s">
        <v>1447</v>
      </c>
      <c r="R89" s="22"/>
      <c r="S89" s="21"/>
      <c r="T89" s="22"/>
      <c r="U89" s="21"/>
      <c r="V89" s="22"/>
      <c r="W89" s="21"/>
      <c r="X89" s="22"/>
      <c r="Y89" s="21"/>
      <c r="Z89" s="22"/>
      <c r="AA89" s="21"/>
      <c r="AB89" s="22"/>
      <c r="AC89" s="21"/>
      <c r="AD89" s="22"/>
      <c r="AE89" s="21"/>
      <c r="AF89" s="22"/>
      <c r="AG89" s="21"/>
      <c r="AH89" s="22"/>
      <c r="AI89" s="21"/>
      <c r="AJ89" s="22"/>
      <c r="AK89" s="21"/>
      <c r="AL89" s="22"/>
      <c r="AM89" s="21"/>
      <c r="AN89" s="22"/>
      <c r="AO89" s="21"/>
    </row>
    <row r="90" spans="1:41" s="12" customFormat="1" x14ac:dyDescent="0.25">
      <c r="A90" s="221"/>
      <c r="B90" s="18"/>
      <c r="C90" s="17"/>
      <c r="D90" s="18"/>
      <c r="E90" s="17"/>
      <c r="F90" s="18"/>
      <c r="G90" s="17"/>
      <c r="H90" s="18"/>
      <c r="I90" s="17"/>
      <c r="J90" s="225" t="s">
        <v>558</v>
      </c>
      <c r="K90" s="17" t="s">
        <v>559</v>
      </c>
      <c r="L90" s="18" t="s">
        <v>261</v>
      </c>
      <c r="M90" s="17"/>
      <c r="N90" s="18" t="s">
        <v>115</v>
      </c>
      <c r="O90" s="17" t="s">
        <v>450</v>
      </c>
      <c r="P90" s="225" t="s">
        <v>378</v>
      </c>
      <c r="Q90" s="17" t="s">
        <v>116</v>
      </c>
      <c r="R90" s="18"/>
      <c r="S90" s="17"/>
      <c r="T90" s="18"/>
      <c r="U90" s="17"/>
      <c r="V90" s="18"/>
      <c r="W90" s="17"/>
      <c r="X90" s="18"/>
      <c r="Y90" s="17"/>
      <c r="Z90" s="18"/>
      <c r="AA90" s="17"/>
      <c r="AB90" s="18"/>
      <c r="AC90" s="17"/>
      <c r="AD90" s="18"/>
      <c r="AE90" s="17"/>
      <c r="AF90" s="18"/>
      <c r="AG90" s="17"/>
      <c r="AH90" s="18"/>
      <c r="AI90" s="17"/>
      <c r="AJ90" s="18"/>
      <c r="AK90" s="17"/>
      <c r="AL90" s="18"/>
      <c r="AM90" s="17"/>
      <c r="AN90" s="18"/>
      <c r="AO90" s="17"/>
    </row>
    <row r="91" spans="1:41" s="12" customFormat="1" x14ac:dyDescent="0.25">
      <c r="A91" s="221"/>
      <c r="B91" s="18"/>
      <c r="C91" s="17"/>
      <c r="D91" s="18"/>
      <c r="E91" s="17"/>
      <c r="F91" s="18"/>
      <c r="G91" s="17"/>
      <c r="H91" s="18"/>
      <c r="I91" s="17"/>
      <c r="J91" s="227"/>
      <c r="K91" s="17" t="s">
        <v>109</v>
      </c>
      <c r="L91" s="18" t="s">
        <v>561</v>
      </c>
      <c r="M91" s="17"/>
      <c r="N91" s="19"/>
      <c r="O91" s="17"/>
      <c r="P91" s="226"/>
      <c r="Q91" s="17" t="s">
        <v>117</v>
      </c>
      <c r="R91" s="18"/>
      <c r="S91" s="17"/>
      <c r="T91" s="18"/>
      <c r="U91" s="17"/>
      <c r="V91" s="18"/>
      <c r="W91" s="17"/>
      <c r="X91" s="18"/>
      <c r="Y91" s="17"/>
      <c r="Z91" s="18"/>
      <c r="AA91" s="17"/>
      <c r="AB91" s="18"/>
      <c r="AC91" s="17"/>
      <c r="AD91" s="18"/>
      <c r="AE91" s="17"/>
      <c r="AF91" s="18"/>
      <c r="AG91" s="17"/>
      <c r="AH91" s="18"/>
      <c r="AI91" s="17"/>
      <c r="AJ91" s="18"/>
      <c r="AK91" s="17"/>
      <c r="AL91" s="18"/>
      <c r="AM91" s="17"/>
      <c r="AN91" s="18"/>
      <c r="AO91" s="17"/>
    </row>
    <row r="92" spans="1:41" s="12" customFormat="1" x14ac:dyDescent="0.25">
      <c r="A92" s="221"/>
      <c r="B92" s="18"/>
      <c r="C92" s="17"/>
      <c r="D92" s="18"/>
      <c r="E92" s="17"/>
      <c r="F92" s="18"/>
      <c r="G92" s="17"/>
      <c r="H92" s="18"/>
      <c r="I92" s="17"/>
      <c r="J92" s="225" t="s">
        <v>115</v>
      </c>
      <c r="K92" s="17" t="s">
        <v>116</v>
      </c>
      <c r="L92" s="18" t="s">
        <v>548</v>
      </c>
      <c r="M92" s="17"/>
      <c r="N92" s="19"/>
      <c r="O92" s="17"/>
      <c r="P92" s="226"/>
      <c r="Q92" s="17" t="s">
        <v>118</v>
      </c>
      <c r="R92" s="18"/>
      <c r="S92" s="17"/>
      <c r="T92" s="18"/>
      <c r="U92" s="17"/>
      <c r="V92" s="18"/>
      <c r="W92" s="17"/>
      <c r="X92" s="18"/>
      <c r="Y92" s="17"/>
      <c r="Z92" s="18"/>
      <c r="AA92" s="17"/>
      <c r="AB92" s="18"/>
      <c r="AC92" s="17"/>
      <c r="AD92" s="18"/>
      <c r="AE92" s="17"/>
      <c r="AF92" s="18"/>
      <c r="AG92" s="17"/>
      <c r="AH92" s="18"/>
      <c r="AI92" s="17"/>
      <c r="AJ92" s="18"/>
      <c r="AK92" s="17"/>
      <c r="AL92" s="18"/>
      <c r="AM92" s="17"/>
      <c r="AN92" s="18"/>
      <c r="AO92" s="17"/>
    </row>
    <row r="93" spans="1:41" s="12" customFormat="1" x14ac:dyDescent="0.25">
      <c r="A93" s="221"/>
      <c r="B93" s="18"/>
      <c r="C93" s="17"/>
      <c r="D93" s="18"/>
      <c r="E93" s="17"/>
      <c r="F93" s="18"/>
      <c r="G93" s="17"/>
      <c r="H93" s="18"/>
      <c r="I93" s="17"/>
      <c r="J93" s="226"/>
      <c r="K93" s="17" t="s">
        <v>117</v>
      </c>
      <c r="L93" s="18" t="s">
        <v>191</v>
      </c>
      <c r="M93" s="17"/>
      <c r="N93" s="19"/>
      <c r="O93" s="17"/>
      <c r="P93" s="227"/>
      <c r="Q93" s="17" t="s">
        <v>126</v>
      </c>
      <c r="R93" s="18"/>
      <c r="S93" s="17"/>
      <c r="T93" s="18"/>
      <c r="U93" s="17"/>
      <c r="V93" s="18"/>
      <c r="W93" s="17"/>
      <c r="X93" s="18"/>
      <c r="Y93" s="17"/>
      <c r="Z93" s="18"/>
      <c r="AA93" s="17"/>
      <c r="AB93" s="18"/>
      <c r="AC93" s="17"/>
      <c r="AD93" s="18"/>
      <c r="AE93" s="17"/>
      <c r="AF93" s="18"/>
      <c r="AG93" s="17"/>
      <c r="AH93" s="18"/>
      <c r="AI93" s="17"/>
      <c r="AJ93" s="18"/>
      <c r="AK93" s="17"/>
      <c r="AL93" s="18"/>
      <c r="AM93" s="17"/>
      <c r="AN93" s="18"/>
      <c r="AO93" s="17"/>
    </row>
    <row r="94" spans="1:41" s="12" customFormat="1" x14ac:dyDescent="0.25">
      <c r="A94" s="221"/>
      <c r="B94" s="18"/>
      <c r="C94" s="17"/>
      <c r="D94" s="18"/>
      <c r="E94" s="17"/>
      <c r="F94" s="18"/>
      <c r="G94" s="17"/>
      <c r="H94" s="18"/>
      <c r="I94" s="17"/>
      <c r="J94" s="226"/>
      <c r="K94" s="17" t="s">
        <v>118</v>
      </c>
      <c r="L94" s="18"/>
      <c r="M94" s="17"/>
      <c r="N94" s="19"/>
      <c r="O94" s="17"/>
      <c r="P94" s="18"/>
      <c r="Q94" s="17"/>
      <c r="R94" s="18"/>
      <c r="S94" s="17"/>
      <c r="T94" s="18"/>
      <c r="U94" s="17"/>
      <c r="V94" s="18"/>
      <c r="W94" s="17"/>
      <c r="X94" s="18"/>
      <c r="Y94" s="17"/>
      <c r="Z94" s="18"/>
      <c r="AA94" s="17"/>
      <c r="AB94" s="18"/>
      <c r="AC94" s="17"/>
      <c r="AD94" s="18"/>
      <c r="AE94" s="17"/>
      <c r="AF94" s="18"/>
      <c r="AG94" s="17"/>
      <c r="AH94" s="18"/>
      <c r="AI94" s="17"/>
      <c r="AJ94" s="18"/>
      <c r="AK94" s="17"/>
      <c r="AL94" s="18"/>
      <c r="AM94" s="17"/>
      <c r="AN94" s="18"/>
      <c r="AO94" s="17"/>
    </row>
    <row r="95" spans="1:41" s="12" customFormat="1" x14ac:dyDescent="0.25">
      <c r="A95" s="221"/>
      <c r="B95" s="18"/>
      <c r="C95" s="17"/>
      <c r="D95" s="18"/>
      <c r="E95" s="17"/>
      <c r="F95" s="18"/>
      <c r="G95" s="17"/>
      <c r="H95" s="18"/>
      <c r="I95" s="17"/>
      <c r="J95" s="227"/>
      <c r="K95" s="17" t="s">
        <v>126</v>
      </c>
      <c r="L95" s="18"/>
      <c r="M95" s="17"/>
      <c r="N95" s="18"/>
      <c r="O95" s="17"/>
      <c r="P95" s="18"/>
      <c r="Q95" s="17"/>
      <c r="R95" s="18"/>
      <c r="S95" s="17"/>
      <c r="T95" s="18"/>
      <c r="U95" s="17"/>
      <c r="V95" s="18"/>
      <c r="W95" s="17"/>
      <c r="X95" s="18"/>
      <c r="Y95" s="17"/>
      <c r="Z95" s="18"/>
      <c r="AA95" s="17"/>
      <c r="AB95" s="18"/>
      <c r="AC95" s="17"/>
      <c r="AD95" s="18"/>
      <c r="AE95" s="17"/>
      <c r="AF95" s="18"/>
      <c r="AG95" s="17"/>
      <c r="AH95" s="18"/>
      <c r="AI95" s="17"/>
      <c r="AJ95" s="18"/>
      <c r="AK95" s="17"/>
      <c r="AL95" s="18"/>
      <c r="AM95" s="17"/>
      <c r="AN95" s="18"/>
      <c r="AO95" s="17"/>
    </row>
    <row r="96" spans="1:41" s="12" customFormat="1" x14ac:dyDescent="0.25">
      <c r="A96" s="221"/>
      <c r="B96" s="18"/>
      <c r="C96" s="17"/>
      <c r="D96" s="18"/>
      <c r="E96" s="17"/>
      <c r="F96" s="18"/>
      <c r="G96" s="17"/>
      <c r="H96" s="18"/>
      <c r="I96" s="17"/>
      <c r="J96" s="18" t="s">
        <v>404</v>
      </c>
      <c r="K96" s="17"/>
      <c r="L96" s="18"/>
      <c r="M96" s="17"/>
      <c r="N96" s="18"/>
      <c r="O96" s="17"/>
      <c r="P96" s="18"/>
      <c r="Q96" s="17"/>
      <c r="R96" s="18"/>
      <c r="S96" s="17"/>
      <c r="T96" s="18"/>
      <c r="U96" s="17"/>
      <c r="V96" s="18"/>
      <c r="W96" s="17"/>
      <c r="X96" s="18"/>
      <c r="Y96" s="17"/>
      <c r="Z96" s="18"/>
      <c r="AA96" s="17"/>
      <c r="AB96" s="18"/>
      <c r="AC96" s="17"/>
      <c r="AD96" s="18"/>
      <c r="AE96" s="17"/>
      <c r="AF96" s="18"/>
      <c r="AG96" s="17"/>
      <c r="AH96" s="18"/>
      <c r="AI96" s="17"/>
      <c r="AJ96" s="18"/>
      <c r="AK96" s="17"/>
      <c r="AL96" s="18"/>
      <c r="AM96" s="17"/>
      <c r="AN96" s="18"/>
      <c r="AO96" s="17"/>
    </row>
    <row r="97" spans="1:41" s="12" customFormat="1" x14ac:dyDescent="0.25">
      <c r="A97" s="221"/>
      <c r="B97" s="18"/>
      <c r="C97" s="17"/>
      <c r="D97" s="18"/>
      <c r="E97" s="17"/>
      <c r="F97" s="18"/>
      <c r="G97" s="17"/>
      <c r="H97" s="18"/>
      <c r="I97" s="17"/>
      <c r="J97" s="18" t="s">
        <v>405</v>
      </c>
      <c r="K97" s="17"/>
      <c r="L97" s="18"/>
      <c r="M97" s="17"/>
      <c r="N97" s="18"/>
      <c r="O97" s="17"/>
      <c r="P97" s="18"/>
      <c r="Q97" s="17"/>
      <c r="R97" s="18"/>
      <c r="S97" s="17"/>
      <c r="T97" s="18"/>
      <c r="U97" s="17"/>
      <c r="V97" s="18"/>
      <c r="W97" s="17"/>
      <c r="X97" s="18"/>
      <c r="Y97" s="17"/>
      <c r="Z97" s="18"/>
      <c r="AA97" s="17"/>
      <c r="AB97" s="18"/>
      <c r="AC97" s="17"/>
      <c r="AD97" s="18"/>
      <c r="AE97" s="17"/>
      <c r="AF97" s="18"/>
      <c r="AG97" s="17"/>
      <c r="AH97" s="18"/>
      <c r="AI97" s="17"/>
      <c r="AJ97" s="18"/>
      <c r="AK97" s="17"/>
      <c r="AL97" s="18"/>
      <c r="AM97" s="17"/>
      <c r="AN97" s="18"/>
      <c r="AO97" s="17"/>
    </row>
    <row r="98" spans="1:41" s="11" customFormat="1" ht="51" thickBot="1" x14ac:dyDescent="0.3">
      <c r="A98" s="221"/>
      <c r="B98" s="22"/>
      <c r="C98" s="21"/>
      <c r="D98" s="22"/>
      <c r="E98" s="21"/>
      <c r="F98" s="22"/>
      <c r="G98" s="21"/>
      <c r="H98" s="22"/>
      <c r="I98" s="21"/>
      <c r="J98" s="222" t="s">
        <v>74</v>
      </c>
      <c r="K98" s="222"/>
      <c r="L98" s="222"/>
      <c r="M98" s="222"/>
      <c r="N98" s="222"/>
      <c r="O98" s="222"/>
      <c r="P98" s="222"/>
      <c r="Q98" s="222"/>
      <c r="R98" s="22"/>
      <c r="S98" s="21"/>
      <c r="T98" s="22"/>
      <c r="U98" s="21"/>
      <c r="V98" s="22"/>
      <c r="W98" s="21"/>
      <c r="X98" s="22"/>
      <c r="Y98" s="21"/>
      <c r="Z98" s="22"/>
      <c r="AA98" s="21"/>
      <c r="AB98" s="22"/>
      <c r="AC98" s="21"/>
      <c r="AD98" s="22"/>
      <c r="AE98" s="21"/>
      <c r="AF98" s="22"/>
      <c r="AG98" s="21"/>
      <c r="AH98" s="22"/>
      <c r="AI98" s="21"/>
      <c r="AJ98" s="22"/>
      <c r="AK98" s="21"/>
      <c r="AL98" s="22"/>
      <c r="AM98" s="21"/>
      <c r="AN98" s="22"/>
      <c r="AO98" s="21"/>
    </row>
    <row r="99" spans="1:41" s="11" customFormat="1" ht="17.25" thickTop="1" x14ac:dyDescent="0.25">
      <c r="A99" s="221"/>
      <c r="B99" s="22"/>
      <c r="C99" s="21"/>
      <c r="D99" s="22"/>
      <c r="E99" s="21"/>
      <c r="F99" s="22"/>
      <c r="G99" s="21"/>
      <c r="H99" s="22"/>
      <c r="I99" s="21"/>
      <c r="J99" s="231" t="s">
        <v>1445</v>
      </c>
      <c r="K99" s="231" t="s">
        <v>1446</v>
      </c>
      <c r="L99" s="231" t="s">
        <v>1448</v>
      </c>
      <c r="M99" s="231" t="s">
        <v>1449</v>
      </c>
      <c r="N99" s="231" t="s">
        <v>1450</v>
      </c>
      <c r="O99" s="231" t="s">
        <v>1451</v>
      </c>
      <c r="P99" s="231" t="s">
        <v>715</v>
      </c>
      <c r="Q99" s="231" t="s">
        <v>1447</v>
      </c>
      <c r="R99" s="22"/>
      <c r="S99" s="21"/>
      <c r="T99" s="22"/>
      <c r="U99" s="21"/>
      <c r="V99" s="22"/>
      <c r="W99" s="21"/>
      <c r="X99" s="22"/>
      <c r="Y99" s="21"/>
      <c r="Z99" s="22"/>
      <c r="AA99" s="21"/>
      <c r="AB99" s="22"/>
      <c r="AC99" s="21"/>
      <c r="AD99" s="22"/>
      <c r="AE99" s="21"/>
      <c r="AF99" s="22"/>
      <c r="AG99" s="21"/>
      <c r="AH99" s="22"/>
      <c r="AI99" s="21"/>
      <c r="AJ99" s="22"/>
      <c r="AK99" s="21"/>
      <c r="AL99" s="22"/>
      <c r="AM99" s="21"/>
      <c r="AN99" s="22"/>
      <c r="AO99" s="21"/>
    </row>
    <row r="100" spans="1:41" s="12" customFormat="1" x14ac:dyDescent="0.25">
      <c r="A100" s="221"/>
      <c r="B100" s="18"/>
      <c r="C100" s="17"/>
      <c r="D100" s="18"/>
      <c r="E100" s="17"/>
      <c r="F100" s="18"/>
      <c r="G100" s="17"/>
      <c r="H100" s="18"/>
      <c r="I100" s="17"/>
      <c r="J100" s="225" t="s">
        <v>379</v>
      </c>
      <c r="K100" s="17" t="s">
        <v>382</v>
      </c>
      <c r="L100" s="18" t="s">
        <v>182</v>
      </c>
      <c r="M100" s="17"/>
      <c r="N100" s="225" t="s">
        <v>115</v>
      </c>
      <c r="O100" s="17" t="s">
        <v>123</v>
      </c>
      <c r="P100" s="225" t="s">
        <v>378</v>
      </c>
      <c r="Q100" s="17" t="s">
        <v>116</v>
      </c>
      <c r="R100" s="18"/>
      <c r="S100" s="17"/>
      <c r="T100" s="18"/>
      <c r="U100" s="17"/>
      <c r="V100" s="18"/>
      <c r="W100" s="17"/>
      <c r="X100" s="18"/>
      <c r="Y100" s="17"/>
      <c r="Z100" s="18"/>
      <c r="AA100" s="17"/>
      <c r="AB100" s="18"/>
      <c r="AC100" s="17"/>
      <c r="AD100" s="18"/>
      <c r="AE100" s="17"/>
      <c r="AF100" s="18"/>
      <c r="AG100" s="17"/>
      <c r="AH100" s="18"/>
      <c r="AI100" s="17"/>
      <c r="AJ100" s="18"/>
      <c r="AK100" s="17"/>
      <c r="AL100" s="18"/>
      <c r="AM100" s="17"/>
      <c r="AN100" s="18"/>
      <c r="AO100" s="17"/>
    </row>
    <row r="101" spans="1:41" s="12" customFormat="1" x14ac:dyDescent="0.25">
      <c r="A101" s="221"/>
      <c r="B101" s="18"/>
      <c r="C101" s="17"/>
      <c r="D101" s="18"/>
      <c r="E101" s="17"/>
      <c r="F101" s="18"/>
      <c r="G101" s="17"/>
      <c r="H101" s="18"/>
      <c r="I101" s="17"/>
      <c r="J101" s="227"/>
      <c r="K101" s="17" t="s">
        <v>109</v>
      </c>
      <c r="L101" s="18" t="s">
        <v>219</v>
      </c>
      <c r="M101" s="17"/>
      <c r="N101" s="227"/>
      <c r="O101" s="17" t="s">
        <v>119</v>
      </c>
      <c r="P101" s="226"/>
      <c r="Q101" s="17" t="s">
        <v>118</v>
      </c>
      <c r="R101" s="18"/>
      <c r="S101" s="17"/>
      <c r="T101" s="18"/>
      <c r="U101" s="17"/>
      <c r="V101" s="18"/>
      <c r="W101" s="17"/>
      <c r="X101" s="18"/>
      <c r="Y101" s="17"/>
      <c r="Z101" s="18"/>
      <c r="AA101" s="17"/>
      <c r="AB101" s="18"/>
      <c r="AC101" s="17"/>
      <c r="AD101" s="18"/>
      <c r="AE101" s="17"/>
      <c r="AF101" s="18"/>
      <c r="AG101" s="17"/>
      <c r="AH101" s="18"/>
      <c r="AI101" s="17"/>
      <c r="AJ101" s="18"/>
      <c r="AK101" s="17"/>
      <c r="AL101" s="18"/>
      <c r="AM101" s="17"/>
      <c r="AN101" s="18"/>
      <c r="AO101" s="17"/>
    </row>
    <row r="102" spans="1:41" s="12" customFormat="1" x14ac:dyDescent="0.25">
      <c r="A102" s="221"/>
      <c r="B102" s="18"/>
      <c r="C102" s="17"/>
      <c r="D102" s="18"/>
      <c r="E102" s="17"/>
      <c r="F102" s="18"/>
      <c r="G102" s="17"/>
      <c r="H102" s="18"/>
      <c r="I102" s="17"/>
      <c r="J102" s="225" t="s">
        <v>115</v>
      </c>
      <c r="K102" s="17" t="s">
        <v>117</v>
      </c>
      <c r="L102" s="18" t="s">
        <v>220</v>
      </c>
      <c r="M102" s="17"/>
      <c r="N102" s="19"/>
      <c r="O102" s="17"/>
      <c r="P102" s="227"/>
      <c r="Q102" s="17" t="s">
        <v>125</v>
      </c>
      <c r="R102" s="18"/>
      <c r="S102" s="17"/>
      <c r="T102" s="18"/>
      <c r="U102" s="17"/>
      <c r="V102" s="18"/>
      <c r="W102" s="17"/>
      <c r="X102" s="18"/>
      <c r="Y102" s="17"/>
      <c r="Z102" s="18"/>
      <c r="AA102" s="17"/>
      <c r="AB102" s="18"/>
      <c r="AC102" s="17"/>
      <c r="AD102" s="18"/>
      <c r="AE102" s="17"/>
      <c r="AF102" s="18"/>
      <c r="AG102" s="17"/>
      <c r="AH102" s="18"/>
      <c r="AI102" s="17"/>
      <c r="AJ102" s="18"/>
      <c r="AK102" s="17"/>
      <c r="AL102" s="18"/>
      <c r="AM102" s="17"/>
      <c r="AN102" s="18"/>
      <c r="AO102" s="17"/>
    </row>
    <row r="103" spans="1:41" s="12" customFormat="1" x14ac:dyDescent="0.25">
      <c r="A103" s="221"/>
      <c r="B103" s="18"/>
      <c r="C103" s="17"/>
      <c r="D103" s="18"/>
      <c r="E103" s="17"/>
      <c r="F103" s="18"/>
      <c r="G103" s="17"/>
      <c r="H103" s="18"/>
      <c r="I103" s="17"/>
      <c r="J103" s="226"/>
      <c r="K103" s="17" t="s">
        <v>116</v>
      </c>
      <c r="L103" s="18" t="s">
        <v>221</v>
      </c>
      <c r="M103" s="17"/>
      <c r="N103" s="19"/>
      <c r="O103" s="17"/>
      <c r="P103" s="18"/>
      <c r="Q103" s="17"/>
      <c r="R103" s="18"/>
      <c r="S103" s="17"/>
      <c r="T103" s="18"/>
      <c r="U103" s="17"/>
      <c r="V103" s="18"/>
      <c r="W103" s="17"/>
      <c r="X103" s="18"/>
      <c r="Y103" s="17"/>
      <c r="Z103" s="18"/>
      <c r="AA103" s="17"/>
      <c r="AB103" s="18"/>
      <c r="AC103" s="17"/>
      <c r="AD103" s="18"/>
      <c r="AE103" s="17"/>
      <c r="AF103" s="18"/>
      <c r="AG103" s="17"/>
      <c r="AH103" s="18"/>
      <c r="AI103" s="17"/>
      <c r="AJ103" s="18"/>
      <c r="AK103" s="17"/>
      <c r="AL103" s="18"/>
      <c r="AM103" s="17"/>
      <c r="AN103" s="18"/>
      <c r="AO103" s="17"/>
    </row>
    <row r="104" spans="1:41" s="12" customFormat="1" x14ac:dyDescent="0.25">
      <c r="A104" s="221"/>
      <c r="B104" s="18"/>
      <c r="C104" s="17"/>
      <c r="D104" s="18"/>
      <c r="E104" s="17"/>
      <c r="F104" s="18"/>
      <c r="G104" s="17"/>
      <c r="H104" s="18"/>
      <c r="I104" s="17"/>
      <c r="J104" s="226"/>
      <c r="K104" s="17" t="s">
        <v>118</v>
      </c>
      <c r="L104" s="18" t="s">
        <v>562</v>
      </c>
      <c r="M104" s="17"/>
      <c r="N104" s="19"/>
      <c r="O104" s="17"/>
      <c r="P104" s="18"/>
      <c r="Q104" s="17"/>
      <c r="R104" s="18"/>
      <c r="S104" s="17"/>
      <c r="T104" s="18"/>
      <c r="U104" s="17"/>
      <c r="V104" s="18"/>
      <c r="W104" s="17"/>
      <c r="X104" s="18"/>
      <c r="Y104" s="17"/>
      <c r="Z104" s="18"/>
      <c r="AA104" s="17"/>
      <c r="AB104" s="18"/>
      <c r="AC104" s="17"/>
      <c r="AD104" s="18"/>
      <c r="AE104" s="17"/>
      <c r="AF104" s="18"/>
      <c r="AG104" s="17"/>
      <c r="AH104" s="18"/>
      <c r="AI104" s="17"/>
      <c r="AJ104" s="18"/>
      <c r="AK104" s="17"/>
      <c r="AL104" s="18"/>
      <c r="AM104" s="17"/>
      <c r="AN104" s="18"/>
      <c r="AO104" s="17"/>
    </row>
    <row r="105" spans="1:41" s="12" customFormat="1" x14ac:dyDescent="0.25">
      <c r="A105" s="221"/>
      <c r="B105" s="18"/>
      <c r="C105" s="17"/>
      <c r="D105" s="18"/>
      <c r="E105" s="17"/>
      <c r="F105" s="18"/>
      <c r="G105" s="17"/>
      <c r="H105" s="18"/>
      <c r="I105" s="17"/>
      <c r="J105" s="226"/>
      <c r="K105" s="17" t="s">
        <v>125</v>
      </c>
      <c r="L105" s="225" t="s">
        <v>703</v>
      </c>
      <c r="M105" s="17" t="s">
        <v>197</v>
      </c>
      <c r="N105" s="18"/>
      <c r="O105" s="17"/>
      <c r="P105" s="18"/>
      <c r="Q105" s="17"/>
      <c r="R105" s="18"/>
      <c r="S105" s="17"/>
      <c r="T105" s="18"/>
      <c r="U105" s="17"/>
      <c r="V105" s="18"/>
      <c r="W105" s="17"/>
      <c r="X105" s="18"/>
      <c r="Y105" s="17"/>
      <c r="Z105" s="18"/>
      <c r="AA105" s="17"/>
      <c r="AB105" s="18"/>
      <c r="AC105" s="17"/>
      <c r="AD105" s="18"/>
      <c r="AE105" s="17"/>
      <c r="AF105" s="18"/>
      <c r="AG105" s="17"/>
      <c r="AH105" s="18"/>
      <c r="AI105" s="17"/>
      <c r="AJ105" s="18"/>
      <c r="AK105" s="17"/>
      <c r="AL105" s="18"/>
      <c r="AM105" s="17"/>
      <c r="AN105" s="18"/>
      <c r="AO105" s="17"/>
    </row>
    <row r="106" spans="1:41" s="12" customFormat="1" x14ac:dyDescent="0.25">
      <c r="A106" s="221"/>
      <c r="B106" s="18"/>
      <c r="C106" s="17"/>
      <c r="D106" s="18"/>
      <c r="E106" s="17"/>
      <c r="F106" s="18"/>
      <c r="G106" s="17"/>
      <c r="H106" s="18"/>
      <c r="I106" s="17"/>
      <c r="J106" s="226"/>
      <c r="K106" s="17" t="s">
        <v>126</v>
      </c>
      <c r="L106" s="227"/>
      <c r="M106" s="17" t="s">
        <v>222</v>
      </c>
      <c r="N106" s="18"/>
      <c r="O106" s="17"/>
      <c r="P106" s="18"/>
      <c r="Q106" s="17"/>
      <c r="R106" s="18"/>
      <c r="S106" s="17"/>
      <c r="T106" s="18"/>
      <c r="U106" s="17"/>
      <c r="V106" s="18"/>
      <c r="W106" s="17"/>
      <c r="X106" s="18"/>
      <c r="Y106" s="17"/>
      <c r="Z106" s="18"/>
      <c r="AA106" s="17"/>
      <c r="AB106" s="18"/>
      <c r="AC106" s="17"/>
      <c r="AD106" s="18"/>
      <c r="AE106" s="17"/>
      <c r="AF106" s="18"/>
      <c r="AG106" s="17"/>
      <c r="AH106" s="18"/>
      <c r="AI106" s="17"/>
      <c r="AJ106" s="18"/>
      <c r="AK106" s="17"/>
      <c r="AL106" s="18"/>
      <c r="AM106" s="17"/>
      <c r="AN106" s="18"/>
      <c r="AO106" s="17"/>
    </row>
    <row r="107" spans="1:41" s="12" customFormat="1" x14ac:dyDescent="0.25">
      <c r="A107" s="221"/>
      <c r="B107" s="18"/>
      <c r="C107" s="17"/>
      <c r="D107" s="18"/>
      <c r="E107" s="17"/>
      <c r="F107" s="18"/>
      <c r="G107" s="17"/>
      <c r="H107" s="18"/>
      <c r="I107" s="17"/>
      <c r="J107" s="226"/>
      <c r="K107" s="17" t="s">
        <v>133</v>
      </c>
      <c r="L107" s="18" t="s">
        <v>706</v>
      </c>
      <c r="M107" s="17"/>
      <c r="N107" s="18"/>
      <c r="O107" s="17"/>
      <c r="P107" s="18"/>
      <c r="Q107" s="17"/>
      <c r="R107" s="18"/>
      <c r="S107" s="17"/>
      <c r="T107" s="18"/>
      <c r="U107" s="17"/>
      <c r="V107" s="18"/>
      <c r="W107" s="17"/>
      <c r="X107" s="18"/>
      <c r="Y107" s="17"/>
      <c r="Z107" s="18"/>
      <c r="AA107" s="17"/>
      <c r="AB107" s="18"/>
      <c r="AC107" s="17"/>
      <c r="AD107" s="18"/>
      <c r="AE107" s="17"/>
      <c r="AF107" s="18"/>
      <c r="AG107" s="17"/>
      <c r="AH107" s="18"/>
      <c r="AI107" s="17"/>
      <c r="AJ107" s="18"/>
      <c r="AK107" s="17"/>
      <c r="AL107" s="18"/>
      <c r="AM107" s="17"/>
      <c r="AN107" s="18"/>
      <c r="AO107" s="17"/>
    </row>
    <row r="108" spans="1:41" s="12" customFormat="1" x14ac:dyDescent="0.25">
      <c r="A108" s="221"/>
      <c r="B108" s="18"/>
      <c r="C108" s="17"/>
      <c r="D108" s="18"/>
      <c r="E108" s="17"/>
      <c r="F108" s="18"/>
      <c r="G108" s="17"/>
      <c r="H108" s="18"/>
      <c r="I108" s="17"/>
      <c r="J108" s="226"/>
      <c r="K108" s="17" t="s">
        <v>138</v>
      </c>
      <c r="L108" s="18" t="s">
        <v>190</v>
      </c>
      <c r="M108" s="17"/>
      <c r="N108" s="18"/>
      <c r="O108" s="17"/>
      <c r="P108" s="18"/>
      <c r="Q108" s="17"/>
      <c r="R108" s="18"/>
      <c r="S108" s="17"/>
      <c r="T108" s="18"/>
      <c r="U108" s="17"/>
      <c r="V108" s="18"/>
      <c r="W108" s="17"/>
      <c r="X108" s="18"/>
      <c r="Y108" s="17"/>
      <c r="Z108" s="18"/>
      <c r="AA108" s="17"/>
      <c r="AB108" s="18"/>
      <c r="AC108" s="17"/>
      <c r="AD108" s="18"/>
      <c r="AE108" s="17"/>
      <c r="AF108" s="18"/>
      <c r="AG108" s="17"/>
      <c r="AH108" s="18"/>
      <c r="AI108" s="17"/>
      <c r="AJ108" s="18"/>
      <c r="AK108" s="17"/>
      <c r="AL108" s="18"/>
      <c r="AM108" s="17"/>
      <c r="AN108" s="18"/>
      <c r="AO108" s="17"/>
    </row>
    <row r="109" spans="1:41" s="12" customFormat="1" x14ac:dyDescent="0.25">
      <c r="A109" s="221"/>
      <c r="B109" s="18"/>
      <c r="C109" s="17"/>
      <c r="D109" s="18"/>
      <c r="E109" s="17"/>
      <c r="F109" s="18"/>
      <c r="G109" s="17"/>
      <c r="H109" s="18"/>
      <c r="I109" s="17"/>
      <c r="J109" s="226"/>
      <c r="K109" s="17" t="s">
        <v>139</v>
      </c>
      <c r="L109" s="18"/>
      <c r="M109" s="17"/>
      <c r="N109" s="18"/>
      <c r="O109" s="17"/>
      <c r="P109" s="18"/>
      <c r="Q109" s="17"/>
      <c r="R109" s="18"/>
      <c r="S109" s="17"/>
      <c r="T109" s="18"/>
      <c r="U109" s="17"/>
      <c r="V109" s="18"/>
      <c r="W109" s="17"/>
      <c r="X109" s="18"/>
      <c r="Y109" s="17"/>
      <c r="Z109" s="18"/>
      <c r="AA109" s="17"/>
      <c r="AB109" s="18"/>
      <c r="AC109" s="17"/>
      <c r="AD109" s="18"/>
      <c r="AE109" s="17"/>
      <c r="AF109" s="18"/>
      <c r="AG109" s="17"/>
      <c r="AH109" s="18"/>
      <c r="AI109" s="17"/>
      <c r="AJ109" s="18"/>
      <c r="AK109" s="17"/>
      <c r="AL109" s="18"/>
      <c r="AM109" s="17"/>
      <c r="AN109" s="18"/>
      <c r="AO109" s="17"/>
    </row>
    <row r="110" spans="1:41" s="12" customFormat="1" x14ac:dyDescent="0.25">
      <c r="A110" s="221"/>
      <c r="B110" s="18"/>
      <c r="C110" s="17"/>
      <c r="D110" s="18"/>
      <c r="E110" s="17"/>
      <c r="F110" s="18"/>
      <c r="G110" s="17"/>
      <c r="H110" s="18"/>
      <c r="I110" s="17"/>
      <c r="J110" s="226"/>
      <c r="K110" s="17" t="s">
        <v>140</v>
      </c>
      <c r="L110" s="18"/>
      <c r="M110" s="17"/>
      <c r="N110" s="18"/>
      <c r="O110" s="17"/>
      <c r="P110" s="18"/>
      <c r="Q110" s="17"/>
      <c r="R110" s="18"/>
      <c r="S110" s="17"/>
      <c r="T110" s="18"/>
      <c r="U110" s="17"/>
      <c r="V110" s="18"/>
      <c r="W110" s="17"/>
      <c r="X110" s="18"/>
      <c r="Y110" s="17"/>
      <c r="Z110" s="18"/>
      <c r="AA110" s="17"/>
      <c r="AB110" s="18"/>
      <c r="AC110" s="17"/>
      <c r="AD110" s="18"/>
      <c r="AE110" s="17"/>
      <c r="AF110" s="18"/>
      <c r="AG110" s="17"/>
      <c r="AH110" s="18"/>
      <c r="AI110" s="17"/>
      <c r="AJ110" s="18"/>
      <c r="AK110" s="17"/>
      <c r="AL110" s="18"/>
      <c r="AM110" s="17"/>
      <c r="AN110" s="18"/>
      <c r="AO110" s="17"/>
    </row>
    <row r="111" spans="1:41" s="12" customFormat="1" x14ac:dyDescent="0.25">
      <c r="A111" s="221"/>
      <c r="B111" s="18"/>
      <c r="C111" s="17"/>
      <c r="D111" s="18"/>
      <c r="E111" s="17"/>
      <c r="F111" s="18"/>
      <c r="G111" s="17"/>
      <c r="H111" s="18"/>
      <c r="I111" s="17"/>
      <c r="J111" s="227"/>
      <c r="K111" s="17" t="s">
        <v>141</v>
      </c>
      <c r="L111" s="18"/>
      <c r="M111" s="17"/>
      <c r="N111" s="18"/>
      <c r="O111" s="17"/>
      <c r="P111" s="18"/>
      <c r="Q111" s="17"/>
      <c r="R111" s="18"/>
      <c r="S111" s="17"/>
      <c r="T111" s="18"/>
      <c r="U111" s="17"/>
      <c r="V111" s="18"/>
      <c r="W111" s="17"/>
      <c r="X111" s="18"/>
      <c r="Y111" s="17"/>
      <c r="Z111" s="18"/>
      <c r="AA111" s="17"/>
      <c r="AB111" s="18"/>
      <c r="AC111" s="17"/>
      <c r="AD111" s="18"/>
      <c r="AE111" s="17"/>
      <c r="AF111" s="18"/>
      <c r="AG111" s="17"/>
      <c r="AH111" s="18"/>
      <c r="AI111" s="17"/>
      <c r="AJ111" s="18"/>
      <c r="AK111" s="17"/>
      <c r="AL111" s="18"/>
      <c r="AM111" s="17"/>
      <c r="AN111" s="18"/>
      <c r="AO111" s="17"/>
    </row>
    <row r="112" spans="1:41" s="12" customFormat="1" x14ac:dyDescent="0.25">
      <c r="A112" s="221"/>
      <c r="B112" s="18"/>
      <c r="C112" s="17"/>
      <c r="D112" s="18"/>
      <c r="E112" s="17"/>
      <c r="F112" s="18"/>
      <c r="G112" s="17"/>
      <c r="H112" s="18"/>
      <c r="I112" s="17"/>
      <c r="J112" s="18" t="s">
        <v>149</v>
      </c>
      <c r="K112" s="17"/>
      <c r="L112" s="18"/>
      <c r="M112" s="17"/>
      <c r="N112" s="18"/>
      <c r="O112" s="17"/>
      <c r="P112" s="18"/>
      <c r="Q112" s="17"/>
      <c r="R112" s="18"/>
      <c r="S112" s="17"/>
      <c r="T112" s="18"/>
      <c r="U112" s="17"/>
      <c r="V112" s="18"/>
      <c r="W112" s="17"/>
      <c r="X112" s="18"/>
      <c r="Y112" s="17"/>
      <c r="Z112" s="18"/>
      <c r="AA112" s="17"/>
      <c r="AB112" s="18"/>
      <c r="AC112" s="17"/>
      <c r="AD112" s="18"/>
      <c r="AE112" s="17"/>
      <c r="AF112" s="18"/>
      <c r="AG112" s="17"/>
      <c r="AH112" s="18"/>
      <c r="AI112" s="17"/>
      <c r="AJ112" s="18"/>
      <c r="AK112" s="17"/>
      <c r="AL112" s="18"/>
      <c r="AM112" s="17"/>
      <c r="AN112" s="18"/>
      <c r="AO112" s="17"/>
    </row>
    <row r="113" spans="1:41" s="12" customFormat="1" x14ac:dyDescent="0.25">
      <c r="A113" s="221"/>
      <c r="B113" s="18"/>
      <c r="C113" s="17"/>
      <c r="D113" s="18"/>
      <c r="E113" s="17"/>
      <c r="F113" s="18"/>
      <c r="G113" s="17"/>
      <c r="H113" s="18"/>
      <c r="I113" s="17"/>
      <c r="J113" s="18" t="s">
        <v>150</v>
      </c>
      <c r="K113" s="17"/>
      <c r="L113" s="18"/>
      <c r="M113" s="17"/>
      <c r="N113" s="18"/>
      <c r="O113" s="17"/>
      <c r="P113" s="18"/>
      <c r="Q113" s="17"/>
      <c r="R113" s="18"/>
      <c r="S113" s="17"/>
      <c r="T113" s="18"/>
      <c r="U113" s="17"/>
      <c r="V113" s="18"/>
      <c r="W113" s="17"/>
      <c r="X113" s="18"/>
      <c r="Y113" s="17"/>
      <c r="Z113" s="18"/>
      <c r="AA113" s="17"/>
      <c r="AB113" s="18"/>
      <c r="AC113" s="17"/>
      <c r="AD113" s="18"/>
      <c r="AE113" s="17"/>
      <c r="AF113" s="18"/>
      <c r="AG113" s="17"/>
      <c r="AH113" s="18"/>
      <c r="AI113" s="17"/>
      <c r="AJ113" s="18"/>
      <c r="AK113" s="17"/>
      <c r="AL113" s="18"/>
      <c r="AM113" s="17"/>
      <c r="AN113" s="18"/>
      <c r="AO113" s="17"/>
    </row>
    <row r="114" spans="1:41" s="11" customFormat="1" ht="51" thickBot="1" x14ac:dyDescent="0.3">
      <c r="A114" s="221"/>
      <c r="B114" s="22"/>
      <c r="C114" s="21"/>
      <c r="D114" s="22"/>
      <c r="E114" s="21"/>
      <c r="F114" s="22"/>
      <c r="G114" s="21"/>
      <c r="H114" s="22"/>
      <c r="I114" s="21"/>
      <c r="J114" s="222" t="s">
        <v>75</v>
      </c>
      <c r="K114" s="222"/>
      <c r="L114" s="222"/>
      <c r="M114" s="222"/>
      <c r="N114" s="222"/>
      <c r="O114" s="222"/>
      <c r="P114" s="222"/>
      <c r="Q114" s="222"/>
      <c r="R114" s="22"/>
      <c r="S114" s="21"/>
      <c r="T114" s="22"/>
      <c r="U114" s="21"/>
      <c r="V114" s="22"/>
      <c r="W114" s="21"/>
      <c r="X114" s="22"/>
      <c r="Y114" s="21"/>
      <c r="Z114" s="22"/>
      <c r="AA114" s="21"/>
      <c r="AB114" s="22"/>
      <c r="AC114" s="21"/>
      <c r="AD114" s="22"/>
      <c r="AE114" s="21"/>
      <c r="AF114" s="22"/>
      <c r="AG114" s="21"/>
      <c r="AH114" s="22"/>
      <c r="AI114" s="21"/>
      <c r="AJ114" s="22"/>
      <c r="AK114" s="21"/>
      <c r="AL114" s="22"/>
      <c r="AM114" s="21"/>
      <c r="AN114" s="22"/>
      <c r="AO114" s="21"/>
    </row>
    <row r="115" spans="1:41" s="11" customFormat="1" ht="17.25" thickTop="1" x14ac:dyDescent="0.25">
      <c r="A115" s="221"/>
      <c r="B115" s="22"/>
      <c r="C115" s="21"/>
      <c r="D115" s="22"/>
      <c r="E115" s="21"/>
      <c r="F115" s="22"/>
      <c r="G115" s="21"/>
      <c r="H115" s="22"/>
      <c r="I115" s="21"/>
      <c r="J115" s="231" t="s">
        <v>1445</v>
      </c>
      <c r="K115" s="231" t="s">
        <v>1446</v>
      </c>
      <c r="L115" s="231" t="s">
        <v>1448</v>
      </c>
      <c r="M115" s="231" t="s">
        <v>1449</v>
      </c>
      <c r="N115" s="231" t="s">
        <v>1450</v>
      </c>
      <c r="O115" s="231" t="s">
        <v>1451</v>
      </c>
      <c r="P115" s="231" t="s">
        <v>715</v>
      </c>
      <c r="Q115" s="231" t="s">
        <v>1447</v>
      </c>
      <c r="R115" s="22"/>
      <c r="S115" s="21"/>
      <c r="T115" s="22"/>
      <c r="U115" s="21"/>
      <c r="V115" s="22"/>
      <c r="W115" s="21"/>
      <c r="X115" s="22"/>
      <c r="Y115" s="21"/>
      <c r="Z115" s="22"/>
      <c r="AA115" s="21"/>
      <c r="AB115" s="22"/>
      <c r="AC115" s="21"/>
      <c r="AD115" s="22"/>
      <c r="AE115" s="21"/>
      <c r="AF115" s="22"/>
      <c r="AG115" s="21"/>
      <c r="AH115" s="22"/>
      <c r="AI115" s="21"/>
      <c r="AJ115" s="22"/>
      <c r="AK115" s="21"/>
      <c r="AL115" s="22"/>
      <c r="AM115" s="21"/>
      <c r="AN115" s="22"/>
      <c r="AO115" s="21"/>
    </row>
    <row r="116" spans="1:41" s="12" customFormat="1" x14ac:dyDescent="0.25">
      <c r="A116" s="221"/>
      <c r="B116" s="18"/>
      <c r="C116" s="17"/>
      <c r="D116" s="18"/>
      <c r="E116" s="17"/>
      <c r="F116" s="18"/>
      <c r="G116" s="17"/>
      <c r="H116" s="18"/>
      <c r="I116" s="17"/>
      <c r="J116" s="238" t="s">
        <v>379</v>
      </c>
      <c r="K116" s="30" t="s">
        <v>382</v>
      </c>
      <c r="L116" s="33" t="s">
        <v>223</v>
      </c>
      <c r="M116" s="30"/>
      <c r="N116" s="34" t="s">
        <v>379</v>
      </c>
      <c r="O116" s="30" t="s">
        <v>431</v>
      </c>
      <c r="P116" s="238" t="s">
        <v>379</v>
      </c>
      <c r="Q116" s="30" t="s">
        <v>382</v>
      </c>
      <c r="R116" s="18"/>
      <c r="S116" s="17"/>
      <c r="T116" s="18"/>
      <c r="U116" s="17"/>
      <c r="V116" s="18"/>
      <c r="W116" s="17"/>
      <c r="X116" s="18"/>
      <c r="Y116" s="17"/>
      <c r="Z116" s="18"/>
      <c r="AA116" s="17"/>
      <c r="AB116" s="18"/>
      <c r="AC116" s="17"/>
      <c r="AD116" s="18"/>
      <c r="AE116" s="17"/>
      <c r="AF116" s="18"/>
      <c r="AG116" s="17"/>
      <c r="AH116" s="18"/>
      <c r="AI116" s="17"/>
      <c r="AJ116" s="18"/>
      <c r="AK116" s="17"/>
      <c r="AL116" s="18"/>
      <c r="AM116" s="17"/>
      <c r="AN116" s="18"/>
      <c r="AO116" s="17"/>
    </row>
    <row r="117" spans="1:41" s="12" customFormat="1" x14ac:dyDescent="0.25">
      <c r="A117" s="221"/>
      <c r="B117" s="18"/>
      <c r="C117" s="17"/>
      <c r="D117" s="18"/>
      <c r="E117" s="17"/>
      <c r="F117" s="18"/>
      <c r="G117" s="17"/>
      <c r="H117" s="18"/>
      <c r="I117" s="17"/>
      <c r="J117" s="230"/>
      <c r="K117" s="30" t="s">
        <v>109</v>
      </c>
      <c r="L117" s="33" t="s">
        <v>228</v>
      </c>
      <c r="M117" s="30"/>
      <c r="N117" s="239" t="s">
        <v>378</v>
      </c>
      <c r="O117" s="30" t="s">
        <v>449</v>
      </c>
      <c r="P117" s="230"/>
      <c r="Q117" s="30" t="s">
        <v>111</v>
      </c>
      <c r="R117" s="18"/>
      <c r="S117" s="17"/>
      <c r="T117" s="18"/>
      <c r="U117" s="17"/>
      <c r="V117" s="18"/>
      <c r="W117" s="17"/>
      <c r="X117" s="18"/>
      <c r="Y117" s="17"/>
      <c r="Z117" s="18"/>
      <c r="AA117" s="17"/>
      <c r="AB117" s="18"/>
      <c r="AC117" s="17"/>
      <c r="AD117" s="18"/>
      <c r="AE117" s="17"/>
      <c r="AF117" s="18"/>
      <c r="AG117" s="17"/>
      <c r="AH117" s="18"/>
      <c r="AI117" s="17"/>
      <c r="AJ117" s="18"/>
      <c r="AK117" s="17"/>
      <c r="AL117" s="18"/>
      <c r="AM117" s="17"/>
      <c r="AN117" s="18"/>
      <c r="AO117" s="17"/>
    </row>
    <row r="118" spans="1:41" s="12" customFormat="1" x14ac:dyDescent="0.25">
      <c r="A118" s="221"/>
      <c r="B118" s="18"/>
      <c r="C118" s="17"/>
      <c r="D118" s="18"/>
      <c r="E118" s="17"/>
      <c r="F118" s="18"/>
      <c r="G118" s="17"/>
      <c r="H118" s="18"/>
      <c r="I118" s="17"/>
      <c r="J118" s="238" t="s">
        <v>115</v>
      </c>
      <c r="K118" s="30" t="s">
        <v>116</v>
      </c>
      <c r="L118" s="33" t="s">
        <v>224</v>
      </c>
      <c r="M118" s="30"/>
      <c r="N118" s="239"/>
      <c r="O118" s="30" t="s">
        <v>462</v>
      </c>
      <c r="P118" s="238" t="s">
        <v>378</v>
      </c>
      <c r="Q118" s="30" t="s">
        <v>116</v>
      </c>
      <c r="R118" s="18"/>
      <c r="S118" s="17"/>
      <c r="T118" s="18"/>
      <c r="U118" s="17"/>
      <c r="V118" s="18"/>
      <c r="W118" s="17"/>
      <c r="X118" s="18"/>
      <c r="Y118" s="17"/>
      <c r="Z118" s="18"/>
      <c r="AA118" s="17"/>
      <c r="AB118" s="18"/>
      <c r="AC118" s="17"/>
      <c r="AD118" s="18"/>
      <c r="AE118" s="17"/>
      <c r="AF118" s="18"/>
      <c r="AG118" s="17"/>
      <c r="AH118" s="18"/>
      <c r="AI118" s="17"/>
      <c r="AJ118" s="18"/>
      <c r="AK118" s="17"/>
      <c r="AL118" s="18"/>
      <c r="AM118" s="17"/>
      <c r="AN118" s="18"/>
      <c r="AO118" s="17"/>
    </row>
    <row r="119" spans="1:41" s="12" customFormat="1" x14ac:dyDescent="0.25">
      <c r="A119" s="221"/>
      <c r="B119" s="18"/>
      <c r="C119" s="17"/>
      <c r="D119" s="18"/>
      <c r="E119" s="17"/>
      <c r="F119" s="18"/>
      <c r="G119" s="17"/>
      <c r="H119" s="18"/>
      <c r="I119" s="17"/>
      <c r="J119" s="229"/>
      <c r="K119" s="30" t="s">
        <v>117</v>
      </c>
      <c r="L119" s="238" t="s">
        <v>703</v>
      </c>
      <c r="M119" s="30" t="s">
        <v>225</v>
      </c>
      <c r="N119" s="239"/>
      <c r="O119" s="30" t="s">
        <v>128</v>
      </c>
      <c r="P119" s="229"/>
      <c r="Q119" s="30" t="s">
        <v>118</v>
      </c>
      <c r="R119" s="18"/>
      <c r="S119" s="17"/>
      <c r="T119" s="18"/>
      <c r="U119" s="17"/>
      <c r="V119" s="18"/>
      <c r="W119" s="17"/>
      <c r="X119" s="18"/>
      <c r="Y119" s="17"/>
      <c r="Z119" s="18"/>
      <c r="AA119" s="17"/>
      <c r="AB119" s="18"/>
      <c r="AC119" s="17"/>
      <c r="AD119" s="18"/>
      <c r="AE119" s="17"/>
      <c r="AF119" s="18"/>
      <c r="AG119" s="17"/>
      <c r="AH119" s="18"/>
      <c r="AI119" s="17"/>
      <c r="AJ119" s="18"/>
      <c r="AK119" s="17"/>
      <c r="AL119" s="18"/>
      <c r="AM119" s="17"/>
      <c r="AN119" s="18"/>
      <c r="AO119" s="17"/>
    </row>
    <row r="120" spans="1:41" s="12" customFormat="1" x14ac:dyDescent="0.25">
      <c r="A120" s="221"/>
      <c r="B120" s="18"/>
      <c r="C120" s="17"/>
      <c r="D120" s="18"/>
      <c r="E120" s="17"/>
      <c r="F120" s="18"/>
      <c r="G120" s="17"/>
      <c r="H120" s="18"/>
      <c r="I120" s="17"/>
      <c r="J120" s="229"/>
      <c r="K120" s="30" t="s">
        <v>118</v>
      </c>
      <c r="L120" s="230"/>
      <c r="M120" s="30" t="s">
        <v>226</v>
      </c>
      <c r="N120" s="33" t="s">
        <v>155</v>
      </c>
      <c r="O120" s="30"/>
      <c r="P120" s="229"/>
      <c r="Q120" s="30" t="s">
        <v>123</v>
      </c>
      <c r="R120" s="18"/>
      <c r="S120" s="17"/>
      <c r="T120" s="18"/>
      <c r="U120" s="17"/>
      <c r="V120" s="18"/>
      <c r="W120" s="17"/>
      <c r="X120" s="18"/>
      <c r="Y120" s="17"/>
      <c r="Z120" s="18"/>
      <c r="AA120" s="17"/>
      <c r="AB120" s="18"/>
      <c r="AC120" s="17"/>
      <c r="AD120" s="18"/>
      <c r="AE120" s="17"/>
      <c r="AF120" s="18"/>
      <c r="AG120" s="17"/>
      <c r="AH120" s="18"/>
      <c r="AI120" s="17"/>
      <c r="AJ120" s="18"/>
      <c r="AK120" s="17"/>
      <c r="AL120" s="18"/>
      <c r="AM120" s="17"/>
      <c r="AN120" s="18"/>
      <c r="AO120" s="17"/>
    </row>
    <row r="121" spans="1:41" s="12" customFormat="1" x14ac:dyDescent="0.25">
      <c r="A121" s="221"/>
      <c r="B121" s="18"/>
      <c r="C121" s="17"/>
      <c r="D121" s="18"/>
      <c r="E121" s="17"/>
      <c r="F121" s="18"/>
      <c r="G121" s="17"/>
      <c r="H121" s="18"/>
      <c r="I121" s="17"/>
      <c r="J121" s="229"/>
      <c r="K121" s="30" t="s">
        <v>119</v>
      </c>
      <c r="L121" s="33" t="s">
        <v>548</v>
      </c>
      <c r="M121" s="30"/>
      <c r="N121" s="62"/>
      <c r="O121" s="30"/>
      <c r="P121" s="229"/>
      <c r="Q121" s="30" t="s">
        <v>125</v>
      </c>
      <c r="R121" s="18"/>
      <c r="S121" s="17"/>
      <c r="T121" s="18"/>
      <c r="U121" s="17"/>
      <c r="V121" s="18"/>
      <c r="W121" s="17"/>
      <c r="X121" s="18"/>
      <c r="Y121" s="17"/>
      <c r="Z121" s="18"/>
      <c r="AA121" s="17"/>
      <c r="AB121" s="18"/>
      <c r="AC121" s="17"/>
      <c r="AD121" s="18"/>
      <c r="AE121" s="17"/>
      <c r="AF121" s="18"/>
      <c r="AG121" s="17"/>
      <c r="AH121" s="18"/>
      <c r="AI121" s="17"/>
      <c r="AJ121" s="18"/>
      <c r="AK121" s="17"/>
      <c r="AL121" s="18"/>
      <c r="AM121" s="17"/>
      <c r="AN121" s="18"/>
      <c r="AO121" s="17"/>
    </row>
    <row r="122" spans="1:41" s="12" customFormat="1" x14ac:dyDescent="0.25">
      <c r="A122" s="221"/>
      <c r="B122" s="18"/>
      <c r="C122" s="17"/>
      <c r="D122" s="18"/>
      <c r="E122" s="17"/>
      <c r="F122" s="18"/>
      <c r="G122" s="17"/>
      <c r="H122" s="18"/>
      <c r="I122" s="17"/>
      <c r="J122" s="229"/>
      <c r="K122" s="30" t="s">
        <v>123</v>
      </c>
      <c r="L122" s="33" t="s">
        <v>227</v>
      </c>
      <c r="M122" s="30"/>
      <c r="N122" s="31"/>
      <c r="O122" s="30"/>
      <c r="P122" s="229"/>
      <c r="Q122" s="30" t="s">
        <v>140</v>
      </c>
      <c r="R122" s="18"/>
      <c r="S122" s="17"/>
      <c r="T122" s="18"/>
      <c r="U122" s="17"/>
      <c r="V122" s="18"/>
      <c r="W122" s="17"/>
      <c r="X122" s="18"/>
      <c r="Y122" s="17"/>
      <c r="Z122" s="18"/>
      <c r="AA122" s="17"/>
      <c r="AB122" s="18"/>
      <c r="AC122" s="17"/>
      <c r="AD122" s="18"/>
      <c r="AE122" s="17"/>
      <c r="AF122" s="18"/>
      <c r="AG122" s="17"/>
      <c r="AH122" s="18"/>
      <c r="AI122" s="17"/>
      <c r="AJ122" s="18"/>
      <c r="AK122" s="17"/>
      <c r="AL122" s="18"/>
      <c r="AM122" s="17"/>
      <c r="AN122" s="18"/>
      <c r="AO122" s="17"/>
    </row>
    <row r="123" spans="1:41" s="12" customFormat="1" x14ac:dyDescent="0.25">
      <c r="A123" s="221"/>
      <c r="B123" s="18"/>
      <c r="C123" s="17"/>
      <c r="D123" s="18"/>
      <c r="E123" s="17"/>
      <c r="F123" s="18"/>
      <c r="G123" s="17"/>
      <c r="H123" s="18"/>
      <c r="I123" s="17"/>
      <c r="J123" s="229"/>
      <c r="K123" s="30" t="s">
        <v>125</v>
      </c>
      <c r="L123" s="33" t="s">
        <v>191</v>
      </c>
      <c r="M123" s="30"/>
      <c r="N123" s="62"/>
      <c r="O123" s="30"/>
      <c r="P123" s="230"/>
      <c r="Q123" s="30" t="s">
        <v>141</v>
      </c>
      <c r="R123" s="18"/>
      <c r="S123" s="17"/>
      <c r="T123" s="18"/>
      <c r="U123" s="17"/>
      <c r="V123" s="18"/>
      <c r="W123" s="17"/>
      <c r="X123" s="18"/>
      <c r="Y123" s="17"/>
      <c r="Z123" s="18"/>
      <c r="AA123" s="17"/>
      <c r="AB123" s="18"/>
      <c r="AC123" s="17"/>
      <c r="AD123" s="18"/>
      <c r="AE123" s="17"/>
      <c r="AF123" s="18"/>
      <c r="AG123" s="17"/>
      <c r="AH123" s="18"/>
      <c r="AI123" s="17"/>
      <c r="AJ123" s="18"/>
      <c r="AK123" s="17"/>
      <c r="AL123" s="18"/>
      <c r="AM123" s="17"/>
      <c r="AN123" s="18"/>
      <c r="AO123" s="17"/>
    </row>
    <row r="124" spans="1:41" s="12" customFormat="1" x14ac:dyDescent="0.25">
      <c r="A124" s="221"/>
      <c r="B124" s="18"/>
      <c r="C124" s="17"/>
      <c r="D124" s="18"/>
      <c r="E124" s="17"/>
      <c r="F124" s="18"/>
      <c r="G124" s="17"/>
      <c r="H124" s="18"/>
      <c r="I124" s="17"/>
      <c r="J124" s="229"/>
      <c r="K124" s="30" t="s">
        <v>126</v>
      </c>
      <c r="L124" s="33" t="s">
        <v>542</v>
      </c>
      <c r="M124" s="30"/>
      <c r="N124" s="31"/>
      <c r="O124" s="30"/>
      <c r="P124" s="18"/>
      <c r="Q124" s="17"/>
      <c r="R124" s="18"/>
      <c r="S124" s="17"/>
      <c r="T124" s="18"/>
      <c r="U124" s="17"/>
      <c r="V124" s="18"/>
      <c r="W124" s="17"/>
      <c r="X124" s="18"/>
      <c r="Y124" s="17"/>
      <c r="Z124" s="18"/>
      <c r="AA124" s="17"/>
      <c r="AB124" s="18"/>
      <c r="AC124" s="17"/>
      <c r="AD124" s="18"/>
      <c r="AE124" s="17"/>
      <c r="AF124" s="18"/>
      <c r="AG124" s="17"/>
      <c r="AH124" s="18"/>
      <c r="AI124" s="17"/>
      <c r="AJ124" s="18"/>
      <c r="AK124" s="17"/>
      <c r="AL124" s="18"/>
      <c r="AM124" s="17"/>
      <c r="AN124" s="18"/>
      <c r="AO124" s="17"/>
    </row>
    <row r="125" spans="1:41" s="12" customFormat="1" x14ac:dyDescent="0.25">
      <c r="A125" s="221"/>
      <c r="B125" s="18"/>
      <c r="C125" s="17"/>
      <c r="D125" s="18"/>
      <c r="E125" s="17"/>
      <c r="F125" s="18"/>
      <c r="G125" s="17"/>
      <c r="H125" s="18"/>
      <c r="I125" s="17"/>
      <c r="J125" s="229"/>
      <c r="K125" s="30" t="s">
        <v>131</v>
      </c>
      <c r="L125" s="33"/>
      <c r="M125" s="30"/>
      <c r="N125" s="31"/>
      <c r="O125" s="30"/>
      <c r="P125" s="18"/>
      <c r="Q125" s="17"/>
      <c r="R125" s="18"/>
      <c r="S125" s="17"/>
      <c r="T125" s="18"/>
      <c r="U125" s="17"/>
      <c r="V125" s="18"/>
      <c r="W125" s="17"/>
      <c r="X125" s="18"/>
      <c r="Y125" s="17"/>
      <c r="Z125" s="18"/>
      <c r="AA125" s="17"/>
      <c r="AB125" s="18"/>
      <c r="AC125" s="17"/>
      <c r="AD125" s="18"/>
      <c r="AE125" s="17"/>
      <c r="AF125" s="18"/>
      <c r="AG125" s="17"/>
      <c r="AH125" s="18"/>
      <c r="AI125" s="17"/>
      <c r="AJ125" s="18"/>
      <c r="AK125" s="17"/>
      <c r="AL125" s="18"/>
      <c r="AM125" s="17"/>
      <c r="AN125" s="18"/>
      <c r="AO125" s="17"/>
    </row>
    <row r="126" spans="1:41" s="12" customFormat="1" x14ac:dyDescent="0.25">
      <c r="A126" s="221"/>
      <c r="B126" s="18"/>
      <c r="C126" s="17"/>
      <c r="D126" s="18"/>
      <c r="E126" s="17"/>
      <c r="F126" s="18"/>
      <c r="G126" s="17"/>
      <c r="H126" s="18"/>
      <c r="I126" s="17"/>
      <c r="J126" s="229"/>
      <c r="K126" s="30" t="s">
        <v>133</v>
      </c>
      <c r="L126" s="33"/>
      <c r="M126" s="30"/>
      <c r="N126" s="31"/>
      <c r="O126" s="30"/>
      <c r="P126" s="18"/>
      <c r="Q126" s="17"/>
      <c r="R126" s="18"/>
      <c r="S126" s="17"/>
      <c r="T126" s="18"/>
      <c r="U126" s="17"/>
      <c r="V126" s="18"/>
      <c r="W126" s="17"/>
      <c r="X126" s="18"/>
      <c r="Y126" s="17"/>
      <c r="Z126" s="18"/>
      <c r="AA126" s="17"/>
      <c r="AB126" s="18"/>
      <c r="AC126" s="17"/>
      <c r="AD126" s="18"/>
      <c r="AE126" s="17"/>
      <c r="AF126" s="18"/>
      <c r="AG126" s="17"/>
      <c r="AH126" s="18"/>
      <c r="AI126" s="17"/>
      <c r="AJ126" s="18"/>
      <c r="AK126" s="17"/>
      <c r="AL126" s="18"/>
      <c r="AM126" s="17"/>
      <c r="AN126" s="18"/>
      <c r="AO126" s="17"/>
    </row>
    <row r="127" spans="1:41" s="12" customFormat="1" x14ac:dyDescent="0.25">
      <c r="A127" s="221"/>
      <c r="B127" s="18"/>
      <c r="C127" s="17"/>
      <c r="D127" s="18"/>
      <c r="E127" s="17"/>
      <c r="F127" s="18"/>
      <c r="G127" s="17"/>
      <c r="H127" s="18"/>
      <c r="I127" s="17"/>
      <c r="J127" s="229"/>
      <c r="K127" s="30" t="s">
        <v>139</v>
      </c>
      <c r="L127" s="33"/>
      <c r="M127" s="30"/>
      <c r="N127" s="31"/>
      <c r="O127" s="30"/>
      <c r="P127" s="18"/>
      <c r="Q127" s="17"/>
      <c r="R127" s="18"/>
      <c r="S127" s="17"/>
      <c r="T127" s="18"/>
      <c r="U127" s="17"/>
      <c r="V127" s="18"/>
      <c r="W127" s="17"/>
      <c r="X127" s="18"/>
      <c r="Y127" s="17"/>
      <c r="Z127" s="18"/>
      <c r="AA127" s="17"/>
      <c r="AB127" s="18"/>
      <c r="AC127" s="17"/>
      <c r="AD127" s="18"/>
      <c r="AE127" s="17"/>
      <c r="AF127" s="18"/>
      <c r="AG127" s="17"/>
      <c r="AH127" s="18"/>
      <c r="AI127" s="17"/>
      <c r="AJ127" s="18"/>
      <c r="AK127" s="17"/>
      <c r="AL127" s="18"/>
      <c r="AM127" s="17"/>
      <c r="AN127" s="18"/>
      <c r="AO127" s="17"/>
    </row>
    <row r="128" spans="1:41" s="12" customFormat="1" x14ac:dyDescent="0.25">
      <c r="A128" s="221"/>
      <c r="B128" s="18"/>
      <c r="C128" s="17"/>
      <c r="D128" s="18"/>
      <c r="E128" s="17"/>
      <c r="F128" s="18"/>
      <c r="G128" s="17"/>
      <c r="H128" s="18"/>
      <c r="I128" s="17"/>
      <c r="J128" s="229"/>
      <c r="K128" s="30" t="s">
        <v>140</v>
      </c>
      <c r="L128" s="33"/>
      <c r="M128" s="30"/>
      <c r="N128" s="31"/>
      <c r="O128" s="30"/>
      <c r="P128" s="18"/>
      <c r="Q128" s="17"/>
      <c r="R128" s="18"/>
      <c r="S128" s="17"/>
      <c r="T128" s="18"/>
      <c r="U128" s="17"/>
      <c r="V128" s="18"/>
      <c r="W128" s="17"/>
      <c r="X128" s="18"/>
      <c r="Y128" s="17"/>
      <c r="Z128" s="18"/>
      <c r="AA128" s="17"/>
      <c r="AB128" s="18"/>
      <c r="AC128" s="17"/>
      <c r="AD128" s="18"/>
      <c r="AE128" s="17"/>
      <c r="AF128" s="18"/>
      <c r="AG128" s="17"/>
      <c r="AH128" s="18"/>
      <c r="AI128" s="17"/>
      <c r="AJ128" s="18"/>
      <c r="AK128" s="17"/>
      <c r="AL128" s="18"/>
      <c r="AM128" s="17"/>
      <c r="AN128" s="18"/>
      <c r="AO128" s="17"/>
    </row>
    <row r="129" spans="1:41" s="12" customFormat="1" x14ac:dyDescent="0.25">
      <c r="A129" s="221"/>
      <c r="B129" s="18"/>
      <c r="C129" s="17"/>
      <c r="D129" s="18"/>
      <c r="E129" s="17"/>
      <c r="F129" s="18"/>
      <c r="G129" s="17"/>
      <c r="H129" s="18"/>
      <c r="I129" s="17"/>
      <c r="J129" s="230"/>
      <c r="K129" s="30" t="s">
        <v>141</v>
      </c>
      <c r="L129" s="33"/>
      <c r="M129" s="30"/>
      <c r="N129" s="33"/>
      <c r="O129" s="30"/>
      <c r="P129" s="18"/>
      <c r="Q129" s="17"/>
      <c r="R129" s="18"/>
      <c r="S129" s="17"/>
      <c r="T129" s="18"/>
      <c r="U129" s="17"/>
      <c r="V129" s="18"/>
      <c r="W129" s="17"/>
      <c r="X129" s="18"/>
      <c r="Y129" s="17"/>
      <c r="Z129" s="18"/>
      <c r="AA129" s="17"/>
      <c r="AB129" s="18"/>
      <c r="AC129" s="17"/>
      <c r="AD129" s="18"/>
      <c r="AE129" s="17"/>
      <c r="AF129" s="18"/>
      <c r="AG129" s="17"/>
      <c r="AH129" s="18"/>
      <c r="AI129" s="17"/>
      <c r="AJ129" s="18"/>
      <c r="AK129" s="17"/>
      <c r="AL129" s="18"/>
      <c r="AM129" s="17"/>
      <c r="AN129" s="18"/>
      <c r="AO129" s="17"/>
    </row>
    <row r="130" spans="1:41" s="12" customFormat="1" x14ac:dyDescent="0.25">
      <c r="A130" s="221"/>
      <c r="B130" s="18"/>
      <c r="C130" s="17"/>
      <c r="D130" s="18"/>
      <c r="E130" s="17"/>
      <c r="F130" s="18"/>
      <c r="G130" s="17"/>
      <c r="H130" s="18"/>
      <c r="I130" s="17"/>
      <c r="J130" s="33" t="s">
        <v>148</v>
      </c>
      <c r="K130" s="30"/>
      <c r="L130" s="33"/>
      <c r="M130" s="30"/>
      <c r="N130" s="33"/>
      <c r="O130" s="30"/>
      <c r="P130" s="18"/>
      <c r="Q130" s="17"/>
      <c r="R130" s="18"/>
      <c r="S130" s="17"/>
      <c r="T130" s="18"/>
      <c r="U130" s="17"/>
      <c r="V130" s="18"/>
      <c r="W130" s="17"/>
      <c r="X130" s="18"/>
      <c r="Y130" s="17"/>
      <c r="Z130" s="18"/>
      <c r="AA130" s="17"/>
      <c r="AB130" s="18"/>
      <c r="AC130" s="17"/>
      <c r="AD130" s="18"/>
      <c r="AE130" s="17"/>
      <c r="AF130" s="18"/>
      <c r="AG130" s="17"/>
      <c r="AH130" s="18"/>
      <c r="AI130" s="17"/>
      <c r="AJ130" s="18"/>
      <c r="AK130" s="17"/>
      <c r="AL130" s="18"/>
      <c r="AM130" s="17"/>
      <c r="AN130" s="18"/>
      <c r="AO130" s="17"/>
    </row>
    <row r="131" spans="1:41" s="12" customFormat="1" x14ac:dyDescent="0.25">
      <c r="A131" s="221"/>
      <c r="B131" s="18"/>
      <c r="C131" s="17"/>
      <c r="D131" s="18"/>
      <c r="E131" s="17"/>
      <c r="F131" s="18"/>
      <c r="G131" s="17"/>
      <c r="H131" s="18"/>
      <c r="I131" s="17"/>
      <c r="J131" s="33" t="s">
        <v>149</v>
      </c>
      <c r="K131" s="30"/>
      <c r="L131" s="33"/>
      <c r="M131" s="30"/>
      <c r="N131" s="33"/>
      <c r="O131" s="30"/>
      <c r="P131" s="18"/>
      <c r="Q131" s="17"/>
      <c r="R131" s="18"/>
      <c r="S131" s="17"/>
      <c r="T131" s="18"/>
      <c r="U131" s="17"/>
      <c r="V131" s="18"/>
      <c r="W131" s="17"/>
      <c r="X131" s="18"/>
      <c r="Y131" s="17"/>
      <c r="Z131" s="18"/>
      <c r="AA131" s="17"/>
      <c r="AB131" s="18"/>
      <c r="AC131" s="17"/>
      <c r="AD131" s="18"/>
      <c r="AE131" s="17"/>
      <c r="AF131" s="18"/>
      <c r="AG131" s="17"/>
      <c r="AH131" s="18"/>
      <c r="AI131" s="17"/>
      <c r="AJ131" s="18"/>
      <c r="AK131" s="17"/>
      <c r="AL131" s="18"/>
      <c r="AM131" s="17"/>
      <c r="AN131" s="18"/>
      <c r="AO131" s="17"/>
    </row>
    <row r="132" spans="1:41" x14ac:dyDescent="0.25">
      <c r="A132" s="221"/>
      <c r="B132" s="18"/>
      <c r="C132" s="17"/>
      <c r="D132" s="18"/>
      <c r="E132" s="17"/>
      <c r="F132" s="18"/>
      <c r="G132" s="17"/>
      <c r="H132" s="18"/>
      <c r="I132" s="17"/>
      <c r="J132" s="33" t="s">
        <v>150</v>
      </c>
      <c r="K132" s="30"/>
      <c r="L132" s="33"/>
      <c r="M132" s="30"/>
      <c r="N132" s="33"/>
      <c r="O132" s="30"/>
      <c r="P132" s="18"/>
      <c r="Q132" s="17"/>
      <c r="R132" s="18"/>
      <c r="S132" s="17"/>
      <c r="T132" s="18"/>
      <c r="U132" s="17"/>
      <c r="V132" s="18"/>
      <c r="W132" s="17"/>
      <c r="X132" s="18"/>
      <c r="Y132" s="17"/>
      <c r="Z132" s="18"/>
      <c r="AA132" s="17"/>
      <c r="AB132" s="18"/>
      <c r="AC132" s="17"/>
      <c r="AD132" s="18"/>
      <c r="AE132" s="17"/>
      <c r="AF132" s="18"/>
      <c r="AG132" s="17"/>
      <c r="AH132" s="18"/>
      <c r="AI132" s="17"/>
      <c r="AJ132" s="18"/>
      <c r="AK132" s="17"/>
      <c r="AL132" s="18"/>
      <c r="AM132" s="17"/>
      <c r="AN132" s="18"/>
      <c r="AO132" s="17"/>
    </row>
    <row r="133" spans="1:41" s="11" customFormat="1" ht="51" thickBot="1" x14ac:dyDescent="0.3">
      <c r="A133" s="221" t="s">
        <v>285</v>
      </c>
      <c r="B133" s="22"/>
      <c r="C133" s="21"/>
      <c r="D133" s="22"/>
      <c r="E133" s="21"/>
      <c r="F133" s="22"/>
      <c r="G133" s="21"/>
      <c r="H133" s="22"/>
      <c r="I133" s="21"/>
      <c r="J133" s="222" t="s">
        <v>76</v>
      </c>
      <c r="K133" s="222"/>
      <c r="L133" s="222"/>
      <c r="M133" s="222"/>
      <c r="N133" s="222"/>
      <c r="O133" s="222"/>
      <c r="P133" s="222"/>
      <c r="Q133" s="222"/>
      <c r="R133" s="61"/>
      <c r="S133" s="21"/>
      <c r="T133" s="22"/>
      <c r="U133" s="21"/>
      <c r="V133" s="22"/>
      <c r="W133" s="21"/>
      <c r="X133" s="22"/>
      <c r="Y133" s="21"/>
      <c r="Z133" s="222" t="s">
        <v>103</v>
      </c>
      <c r="AA133" s="222"/>
      <c r="AB133" s="222"/>
      <c r="AC133" s="222"/>
      <c r="AD133" s="222"/>
      <c r="AE133" s="222"/>
      <c r="AF133" s="222"/>
      <c r="AG133" s="222"/>
      <c r="AH133" s="22"/>
      <c r="AI133" s="21"/>
      <c r="AJ133" s="22"/>
      <c r="AK133" s="21"/>
      <c r="AL133" s="22"/>
      <c r="AM133" s="21"/>
      <c r="AN133" s="22"/>
      <c r="AO133" s="21"/>
    </row>
    <row r="134" spans="1:41" s="11" customFormat="1" ht="17.25" thickTop="1" x14ac:dyDescent="0.25">
      <c r="A134" s="221"/>
      <c r="B134" s="22"/>
      <c r="C134" s="21"/>
      <c r="D134" s="22"/>
      <c r="E134" s="21"/>
      <c r="F134" s="22"/>
      <c r="G134" s="21"/>
      <c r="H134" s="22"/>
      <c r="I134" s="21"/>
      <c r="J134" s="231" t="s">
        <v>1445</v>
      </c>
      <c r="K134" s="231" t="s">
        <v>1446</v>
      </c>
      <c r="L134" s="231" t="s">
        <v>1448</v>
      </c>
      <c r="M134" s="231" t="s">
        <v>1449</v>
      </c>
      <c r="N134" s="231" t="s">
        <v>1450</v>
      </c>
      <c r="O134" s="231" t="s">
        <v>1451</v>
      </c>
      <c r="P134" s="231" t="s">
        <v>715</v>
      </c>
      <c r="Q134" s="231" t="s">
        <v>1447</v>
      </c>
      <c r="R134" s="22"/>
      <c r="S134" s="21"/>
      <c r="T134" s="22"/>
      <c r="U134" s="21"/>
      <c r="V134" s="22"/>
      <c r="W134" s="21"/>
      <c r="X134" s="22"/>
      <c r="Y134" s="21"/>
      <c r="Z134" s="231" t="s">
        <v>1445</v>
      </c>
      <c r="AA134" s="231" t="s">
        <v>1446</v>
      </c>
      <c r="AB134" s="231" t="s">
        <v>1448</v>
      </c>
      <c r="AC134" s="231" t="s">
        <v>1449</v>
      </c>
      <c r="AD134" s="231" t="s">
        <v>1450</v>
      </c>
      <c r="AE134" s="231" t="s">
        <v>1451</v>
      </c>
      <c r="AF134" s="231" t="s">
        <v>715</v>
      </c>
      <c r="AG134" s="231" t="s">
        <v>1447</v>
      </c>
      <c r="AH134" s="22"/>
      <c r="AI134" s="21"/>
      <c r="AJ134" s="22"/>
      <c r="AK134" s="21"/>
      <c r="AL134" s="22"/>
      <c r="AM134" s="21"/>
      <c r="AN134" s="22"/>
      <c r="AO134" s="21"/>
    </row>
    <row r="135" spans="1:41" s="12" customFormat="1" x14ac:dyDescent="0.25">
      <c r="A135" s="221"/>
      <c r="B135" s="18"/>
      <c r="C135" s="17"/>
      <c r="D135" s="18"/>
      <c r="E135" s="17"/>
      <c r="F135" s="18"/>
      <c r="G135" s="17"/>
      <c r="H135" s="18"/>
      <c r="I135" s="17"/>
      <c r="J135" s="18" t="s">
        <v>151</v>
      </c>
      <c r="K135" s="17"/>
      <c r="L135" s="18" t="s">
        <v>182</v>
      </c>
      <c r="M135" s="17"/>
      <c r="N135" s="18" t="s">
        <v>379</v>
      </c>
      <c r="O135" s="17" t="s">
        <v>383</v>
      </c>
      <c r="P135" s="18"/>
      <c r="Q135" s="17"/>
      <c r="R135" s="18"/>
      <c r="S135" s="17"/>
      <c r="T135" s="18"/>
      <c r="U135" s="17"/>
      <c r="V135" s="18"/>
      <c r="W135" s="17"/>
      <c r="X135" s="18"/>
      <c r="Y135" s="17"/>
      <c r="Z135" s="225" t="s">
        <v>379</v>
      </c>
      <c r="AA135" s="17" t="s">
        <v>383</v>
      </c>
      <c r="AB135" s="18" t="s">
        <v>182</v>
      </c>
      <c r="AC135" s="17"/>
      <c r="AD135" s="18" t="s">
        <v>156</v>
      </c>
      <c r="AE135" s="17"/>
      <c r="AF135" s="225" t="s">
        <v>379</v>
      </c>
      <c r="AG135" s="20" t="s">
        <v>383</v>
      </c>
      <c r="AH135" s="18"/>
      <c r="AI135" s="17"/>
      <c r="AJ135" s="18"/>
      <c r="AK135" s="17"/>
      <c r="AL135" s="18"/>
      <c r="AM135" s="17"/>
      <c r="AN135" s="18"/>
      <c r="AO135" s="17"/>
    </row>
    <row r="136" spans="1:41" s="12" customFormat="1" x14ac:dyDescent="0.25">
      <c r="A136" s="221"/>
      <c r="B136" s="18"/>
      <c r="C136" s="17"/>
      <c r="D136" s="18"/>
      <c r="E136" s="17"/>
      <c r="F136" s="18"/>
      <c r="G136" s="17"/>
      <c r="H136" s="18"/>
      <c r="I136" s="17"/>
      <c r="J136" s="225" t="s">
        <v>379</v>
      </c>
      <c r="K136" s="17" t="s">
        <v>1789</v>
      </c>
      <c r="L136" s="18" t="s">
        <v>703</v>
      </c>
      <c r="M136" s="17"/>
      <c r="N136" s="18"/>
      <c r="O136" s="17"/>
      <c r="P136" s="18"/>
      <c r="Q136" s="17"/>
      <c r="R136" s="18"/>
      <c r="S136" s="17"/>
      <c r="T136" s="18"/>
      <c r="U136" s="17"/>
      <c r="V136" s="18"/>
      <c r="W136" s="17"/>
      <c r="X136" s="18"/>
      <c r="Y136" s="17"/>
      <c r="Z136" s="226"/>
      <c r="AA136" s="17" t="s">
        <v>111</v>
      </c>
      <c r="AB136" s="225" t="s">
        <v>703</v>
      </c>
      <c r="AC136" s="17" t="s">
        <v>199</v>
      </c>
      <c r="AD136" s="18" t="s">
        <v>115</v>
      </c>
      <c r="AE136" s="17" t="s">
        <v>441</v>
      </c>
      <c r="AF136" s="226"/>
      <c r="AG136" s="20" t="s">
        <v>111</v>
      </c>
      <c r="AH136" s="18"/>
      <c r="AI136" s="17"/>
      <c r="AJ136" s="18"/>
      <c r="AK136" s="17"/>
      <c r="AL136" s="18"/>
      <c r="AM136" s="17"/>
      <c r="AN136" s="18"/>
      <c r="AO136" s="17"/>
    </row>
    <row r="137" spans="1:41" s="12" customFormat="1" x14ac:dyDescent="0.25">
      <c r="A137" s="221"/>
      <c r="B137" s="18"/>
      <c r="C137" s="17"/>
      <c r="D137" s="18"/>
      <c r="E137" s="17"/>
      <c r="F137" s="18"/>
      <c r="G137" s="17"/>
      <c r="H137" s="18"/>
      <c r="I137" s="17"/>
      <c r="J137" s="227"/>
      <c r="K137" s="17" t="s">
        <v>387</v>
      </c>
      <c r="L137" s="18" t="s">
        <v>190</v>
      </c>
      <c r="M137" s="17"/>
      <c r="N137" s="18"/>
      <c r="O137" s="17"/>
      <c r="P137" s="18"/>
      <c r="Q137" s="17"/>
      <c r="R137" s="18"/>
      <c r="S137" s="17"/>
      <c r="T137" s="18"/>
      <c r="U137" s="17"/>
      <c r="V137" s="18"/>
      <c r="W137" s="17"/>
      <c r="X137" s="18"/>
      <c r="Y137" s="17"/>
      <c r="Z137" s="227"/>
      <c r="AA137" s="17" t="s">
        <v>112</v>
      </c>
      <c r="AB137" s="226"/>
      <c r="AC137" s="17" t="s">
        <v>202</v>
      </c>
      <c r="AD137" s="18" t="s">
        <v>155</v>
      </c>
      <c r="AE137" s="17"/>
      <c r="AF137" s="227"/>
      <c r="AG137" s="17" t="s">
        <v>112</v>
      </c>
      <c r="AH137" s="18"/>
      <c r="AI137" s="17"/>
      <c r="AJ137" s="18"/>
      <c r="AK137" s="17"/>
      <c r="AL137" s="18"/>
      <c r="AM137" s="17"/>
      <c r="AN137" s="18"/>
      <c r="AO137" s="17"/>
    </row>
    <row r="138" spans="1:41" s="12" customFormat="1" x14ac:dyDescent="0.25">
      <c r="A138" s="221"/>
      <c r="B138" s="18"/>
      <c r="C138" s="17"/>
      <c r="D138" s="18"/>
      <c r="E138" s="17"/>
      <c r="F138" s="18"/>
      <c r="G138" s="17"/>
      <c r="H138" s="18"/>
      <c r="I138" s="17"/>
      <c r="J138" s="18" t="s">
        <v>149</v>
      </c>
      <c r="K138" s="17"/>
      <c r="L138" s="18"/>
      <c r="M138" s="17"/>
      <c r="N138" s="18"/>
      <c r="O138" s="17"/>
      <c r="P138" s="18"/>
      <c r="Q138" s="17"/>
      <c r="R138" s="18"/>
      <c r="S138" s="17"/>
      <c r="T138" s="18"/>
      <c r="U138" s="17"/>
      <c r="V138" s="18"/>
      <c r="W138" s="17"/>
      <c r="X138" s="18"/>
      <c r="Y138" s="17"/>
      <c r="Z138" s="18" t="s">
        <v>115</v>
      </c>
      <c r="AA138" s="17" t="s">
        <v>125</v>
      </c>
      <c r="AB138" s="226"/>
      <c r="AC138" s="17" t="s">
        <v>201</v>
      </c>
      <c r="AD138" s="19"/>
      <c r="AE138" s="20"/>
      <c r="AF138" s="225" t="s">
        <v>378</v>
      </c>
      <c r="AG138" s="17" t="s">
        <v>118</v>
      </c>
      <c r="AH138" s="18"/>
      <c r="AI138" s="17"/>
      <c r="AJ138" s="18"/>
      <c r="AK138" s="17"/>
      <c r="AL138" s="18"/>
      <c r="AM138" s="17"/>
      <c r="AN138" s="18"/>
      <c r="AO138" s="17"/>
    </row>
    <row r="139" spans="1:41" s="12" customFormat="1" x14ac:dyDescent="0.25">
      <c r="A139" s="221"/>
      <c r="B139" s="18"/>
      <c r="C139" s="17"/>
      <c r="D139" s="18"/>
      <c r="E139" s="17"/>
      <c r="F139" s="18"/>
      <c r="G139" s="17"/>
      <c r="H139" s="18"/>
      <c r="I139" s="17"/>
      <c r="J139" s="18" t="s">
        <v>150</v>
      </c>
      <c r="K139" s="17"/>
      <c r="L139" s="18"/>
      <c r="M139" s="17"/>
      <c r="N139" s="18"/>
      <c r="O139" s="17"/>
      <c r="P139" s="18"/>
      <c r="Q139" s="17"/>
      <c r="R139" s="18"/>
      <c r="S139" s="17"/>
      <c r="T139" s="18"/>
      <c r="U139" s="17"/>
      <c r="V139" s="18"/>
      <c r="W139" s="17"/>
      <c r="X139" s="18"/>
      <c r="Y139" s="17"/>
      <c r="Z139" s="18" t="s">
        <v>162</v>
      </c>
      <c r="AA139" s="17"/>
      <c r="AB139" s="227"/>
      <c r="AC139" s="17" t="s">
        <v>222</v>
      </c>
      <c r="AD139" s="19"/>
      <c r="AE139" s="20"/>
      <c r="AF139" s="226"/>
      <c r="AG139" s="20" t="s">
        <v>119</v>
      </c>
      <c r="AH139" s="18"/>
      <c r="AI139" s="17"/>
      <c r="AJ139" s="18"/>
      <c r="AK139" s="17"/>
      <c r="AL139" s="18"/>
      <c r="AM139" s="17"/>
      <c r="AN139" s="18"/>
      <c r="AO139" s="17"/>
    </row>
    <row r="140" spans="1:41" s="11" customFormat="1" ht="51" thickBot="1" x14ac:dyDescent="0.3">
      <c r="A140" s="221"/>
      <c r="B140" s="22"/>
      <c r="C140" s="21"/>
      <c r="D140" s="22"/>
      <c r="E140" s="21"/>
      <c r="F140" s="22"/>
      <c r="G140" s="21"/>
      <c r="H140" s="22"/>
      <c r="I140" s="21"/>
      <c r="J140" s="222" t="s">
        <v>77</v>
      </c>
      <c r="K140" s="222"/>
      <c r="L140" s="222"/>
      <c r="M140" s="222"/>
      <c r="N140" s="222"/>
      <c r="O140" s="222"/>
      <c r="P140" s="222"/>
      <c r="Q140" s="222"/>
      <c r="R140" s="22"/>
      <c r="S140" s="21"/>
      <c r="T140" s="22"/>
      <c r="U140" s="21"/>
      <c r="V140" s="22"/>
      <c r="W140" s="21"/>
      <c r="X140" s="22"/>
      <c r="Y140" s="21"/>
      <c r="Z140" s="18" t="s">
        <v>154</v>
      </c>
      <c r="AA140" s="17"/>
      <c r="AB140" s="18" t="s">
        <v>235</v>
      </c>
      <c r="AC140" s="17"/>
      <c r="AD140" s="19"/>
      <c r="AE140" s="17"/>
      <c r="AF140" s="226"/>
      <c r="AG140" s="20" t="s">
        <v>121</v>
      </c>
      <c r="AH140" s="22"/>
      <c r="AI140" s="21"/>
      <c r="AJ140" s="22"/>
      <c r="AK140" s="21"/>
      <c r="AL140" s="22"/>
      <c r="AM140" s="21"/>
      <c r="AN140" s="22"/>
      <c r="AO140" s="21"/>
    </row>
    <row r="141" spans="1:41" s="11" customFormat="1" ht="17.25" thickTop="1" x14ac:dyDescent="0.25">
      <c r="A141" s="221"/>
      <c r="B141" s="22"/>
      <c r="C141" s="21"/>
      <c r="D141" s="22"/>
      <c r="E141" s="21"/>
      <c r="F141" s="22"/>
      <c r="G141" s="21"/>
      <c r="H141" s="22"/>
      <c r="I141" s="21"/>
      <c r="J141" s="231" t="s">
        <v>1445</v>
      </c>
      <c r="K141" s="231" t="s">
        <v>1446</v>
      </c>
      <c r="L141" s="231" t="s">
        <v>1448</v>
      </c>
      <c r="M141" s="231" t="s">
        <v>1449</v>
      </c>
      <c r="N141" s="231" t="s">
        <v>1450</v>
      </c>
      <c r="O141" s="231" t="s">
        <v>1451</v>
      </c>
      <c r="P141" s="231" t="s">
        <v>715</v>
      </c>
      <c r="Q141" s="231" t="s">
        <v>1447</v>
      </c>
      <c r="R141" s="22"/>
      <c r="S141" s="21"/>
      <c r="T141" s="22"/>
      <c r="U141" s="21"/>
      <c r="V141" s="22"/>
      <c r="W141" s="21"/>
      <c r="X141" s="22"/>
      <c r="Y141" s="21"/>
      <c r="Z141" s="18" t="s">
        <v>150</v>
      </c>
      <c r="AA141" s="17"/>
      <c r="AB141" s="18" t="s">
        <v>191</v>
      </c>
      <c r="AC141" s="17"/>
      <c r="AD141" s="19"/>
      <c r="AE141" s="17"/>
      <c r="AF141" s="226"/>
      <c r="AG141" s="20" t="s">
        <v>125</v>
      </c>
      <c r="AH141" s="22"/>
      <c r="AI141" s="21"/>
      <c r="AJ141" s="22"/>
      <c r="AK141" s="21"/>
      <c r="AL141" s="22"/>
      <c r="AM141" s="21"/>
      <c r="AN141" s="22"/>
      <c r="AO141" s="21"/>
    </row>
    <row r="142" spans="1:41" x14ac:dyDescent="0.25">
      <c r="A142" s="221"/>
      <c r="B142" s="19"/>
      <c r="C142" s="20"/>
      <c r="D142" s="19"/>
      <c r="E142" s="20"/>
      <c r="F142" s="19"/>
      <c r="G142" s="20"/>
      <c r="H142" s="19"/>
      <c r="I142" s="20"/>
      <c r="J142" s="225" t="s">
        <v>379</v>
      </c>
      <c r="K142" s="17" t="s">
        <v>383</v>
      </c>
      <c r="L142" s="18" t="s">
        <v>182</v>
      </c>
      <c r="M142" s="17"/>
      <c r="N142" s="225" t="s">
        <v>115</v>
      </c>
      <c r="O142" s="20" t="s">
        <v>121</v>
      </c>
      <c r="P142" s="225" t="s">
        <v>378</v>
      </c>
      <c r="Q142" s="20" t="s">
        <v>118</v>
      </c>
      <c r="R142" s="19"/>
      <c r="S142" s="20"/>
      <c r="T142" s="19"/>
      <c r="U142" s="20"/>
      <c r="V142" s="19"/>
      <c r="W142" s="20"/>
      <c r="X142" s="19"/>
      <c r="Y142" s="20"/>
      <c r="Z142" s="18"/>
      <c r="AA142" s="17"/>
      <c r="AB142" s="18"/>
      <c r="AC142" s="17"/>
      <c r="AD142" s="19"/>
      <c r="AE142" s="20"/>
      <c r="AF142" s="227"/>
      <c r="AG142" s="20" t="s">
        <v>141</v>
      </c>
      <c r="AH142" s="19"/>
      <c r="AI142" s="20"/>
      <c r="AJ142" s="19"/>
      <c r="AK142" s="20"/>
      <c r="AL142" s="19"/>
      <c r="AM142" s="20"/>
      <c r="AN142" s="19"/>
      <c r="AO142" s="20"/>
    </row>
    <row r="143" spans="1:41" x14ac:dyDescent="0.25">
      <c r="A143" s="221"/>
      <c r="B143" s="19"/>
      <c r="C143" s="20"/>
      <c r="D143" s="19"/>
      <c r="E143" s="20"/>
      <c r="F143" s="19"/>
      <c r="G143" s="20"/>
      <c r="H143" s="19"/>
      <c r="I143" s="20"/>
      <c r="J143" s="226"/>
      <c r="K143" s="17" t="s">
        <v>384</v>
      </c>
      <c r="L143" s="18" t="s">
        <v>219</v>
      </c>
      <c r="M143" s="17"/>
      <c r="N143" s="227"/>
      <c r="O143" s="20" t="s">
        <v>119</v>
      </c>
      <c r="P143" s="226"/>
      <c r="Q143" s="20" t="s">
        <v>125</v>
      </c>
      <c r="R143" s="19"/>
      <c r="S143" s="20"/>
      <c r="T143" s="19"/>
      <c r="U143" s="20"/>
      <c r="V143" s="19"/>
      <c r="W143" s="20"/>
      <c r="X143" s="19"/>
      <c r="Y143" s="20"/>
      <c r="Z143" s="18"/>
      <c r="AA143" s="17"/>
      <c r="AB143" s="18"/>
      <c r="AC143" s="17"/>
      <c r="AD143" s="19"/>
      <c r="AE143" s="20"/>
      <c r="AF143" s="19"/>
      <c r="AG143" s="20"/>
      <c r="AH143" s="19"/>
      <c r="AI143" s="20"/>
      <c r="AJ143" s="19"/>
      <c r="AK143" s="20"/>
      <c r="AL143" s="19"/>
      <c r="AM143" s="20"/>
      <c r="AN143" s="19"/>
      <c r="AO143" s="20"/>
    </row>
    <row r="144" spans="1:41" x14ac:dyDescent="0.25">
      <c r="A144" s="221"/>
      <c r="B144" s="19"/>
      <c r="C144" s="20"/>
      <c r="D144" s="19"/>
      <c r="E144" s="20"/>
      <c r="F144" s="19"/>
      <c r="G144" s="20"/>
      <c r="H144" s="19"/>
      <c r="I144" s="20"/>
      <c r="J144" s="227"/>
      <c r="K144" s="17" t="s">
        <v>109</v>
      </c>
      <c r="L144" s="18" t="s">
        <v>220</v>
      </c>
      <c r="M144" s="17"/>
      <c r="N144" s="19"/>
      <c r="O144" s="20"/>
      <c r="P144" s="227"/>
      <c r="Q144" s="20" t="s">
        <v>141</v>
      </c>
      <c r="R144" s="19"/>
      <c r="S144" s="20"/>
      <c r="T144" s="19"/>
      <c r="U144" s="20"/>
      <c r="V144" s="19"/>
      <c r="W144" s="20"/>
      <c r="X144" s="19"/>
      <c r="Y144" s="20"/>
      <c r="Z144" s="18"/>
      <c r="AA144" s="17"/>
      <c r="AB144" s="18"/>
      <c r="AC144" s="17"/>
      <c r="AD144" s="19"/>
      <c r="AE144" s="20"/>
      <c r="AF144" s="19"/>
      <c r="AG144" s="20"/>
      <c r="AH144" s="19"/>
      <c r="AI144" s="20"/>
      <c r="AJ144" s="19"/>
      <c r="AK144" s="20"/>
      <c r="AL144" s="19"/>
      <c r="AM144" s="20"/>
      <c r="AN144" s="19"/>
      <c r="AO144" s="20"/>
    </row>
    <row r="145" spans="1:41" x14ac:dyDescent="0.25">
      <c r="A145" s="221"/>
      <c r="B145" s="19"/>
      <c r="C145" s="20"/>
      <c r="D145" s="19"/>
      <c r="E145" s="20"/>
      <c r="F145" s="19"/>
      <c r="G145" s="20"/>
      <c r="H145" s="19"/>
      <c r="I145" s="20"/>
      <c r="J145" s="225" t="s">
        <v>115</v>
      </c>
      <c r="K145" s="17" t="s">
        <v>125</v>
      </c>
      <c r="L145" s="18" t="s">
        <v>562</v>
      </c>
      <c r="M145" s="17"/>
      <c r="N145" s="19"/>
      <c r="O145" s="20"/>
      <c r="P145" s="19"/>
      <c r="Q145" s="20"/>
      <c r="R145" s="19"/>
      <c r="S145" s="20"/>
      <c r="T145" s="19"/>
      <c r="U145" s="20"/>
      <c r="V145" s="19"/>
      <c r="W145" s="20"/>
      <c r="X145" s="19"/>
      <c r="Y145" s="20"/>
      <c r="Z145" s="18"/>
      <c r="AA145" s="17"/>
      <c r="AB145" s="18"/>
      <c r="AC145" s="17"/>
      <c r="AD145" s="19"/>
      <c r="AE145" s="20"/>
      <c r="AF145" s="19"/>
      <c r="AG145" s="20"/>
      <c r="AH145" s="19"/>
      <c r="AI145" s="20"/>
      <c r="AJ145" s="19"/>
      <c r="AK145" s="20"/>
      <c r="AL145" s="19"/>
      <c r="AM145" s="20"/>
      <c r="AN145" s="19"/>
      <c r="AO145" s="20"/>
    </row>
    <row r="146" spans="1:41" x14ac:dyDescent="0.25">
      <c r="A146" s="221"/>
      <c r="B146" s="19"/>
      <c r="C146" s="20"/>
      <c r="D146" s="19"/>
      <c r="E146" s="20"/>
      <c r="F146" s="19"/>
      <c r="G146" s="20"/>
      <c r="H146" s="19"/>
      <c r="I146" s="20"/>
      <c r="J146" s="226"/>
      <c r="K146" s="17" t="s">
        <v>130</v>
      </c>
      <c r="L146" s="18" t="s">
        <v>221</v>
      </c>
      <c r="M146" s="17"/>
      <c r="N146" s="19"/>
      <c r="O146" s="20"/>
      <c r="P146" s="19"/>
      <c r="Q146" s="20"/>
      <c r="R146" s="19"/>
      <c r="S146" s="20"/>
      <c r="T146" s="19"/>
      <c r="U146" s="20"/>
      <c r="V146" s="19"/>
      <c r="W146" s="20"/>
      <c r="X146" s="19"/>
      <c r="Y146" s="20"/>
      <c r="Z146" s="19"/>
      <c r="AA146" s="20"/>
      <c r="AB146" s="19"/>
      <c r="AC146" s="20"/>
      <c r="AD146" s="19"/>
      <c r="AE146" s="20"/>
      <c r="AF146" s="19"/>
      <c r="AG146" s="20"/>
      <c r="AH146" s="19"/>
      <c r="AI146" s="20"/>
      <c r="AJ146" s="19"/>
      <c r="AK146" s="20"/>
      <c r="AL146" s="19"/>
      <c r="AM146" s="20"/>
      <c r="AN146" s="19"/>
      <c r="AO146" s="20"/>
    </row>
    <row r="147" spans="1:41" x14ac:dyDescent="0.25">
      <c r="A147" s="221"/>
      <c r="B147" s="19"/>
      <c r="C147" s="20"/>
      <c r="D147" s="19"/>
      <c r="E147" s="20"/>
      <c r="F147" s="19"/>
      <c r="G147" s="20"/>
      <c r="H147" s="19"/>
      <c r="I147" s="20"/>
      <c r="J147" s="226"/>
      <c r="K147" s="17" t="s">
        <v>140</v>
      </c>
      <c r="L147" s="225" t="s">
        <v>703</v>
      </c>
      <c r="M147" s="17" t="s">
        <v>197</v>
      </c>
      <c r="N147" s="18"/>
      <c r="O147" s="20"/>
      <c r="P147" s="19"/>
      <c r="Q147" s="20"/>
      <c r="R147" s="19"/>
      <c r="S147" s="20"/>
      <c r="T147" s="19"/>
      <c r="U147" s="20"/>
      <c r="V147" s="19"/>
      <c r="W147" s="20"/>
      <c r="X147" s="19"/>
      <c r="Y147" s="20"/>
      <c r="Z147" s="19"/>
      <c r="AA147" s="20"/>
      <c r="AB147" s="19"/>
      <c r="AC147" s="20"/>
      <c r="AD147" s="19"/>
      <c r="AE147" s="20"/>
      <c r="AF147" s="19"/>
      <c r="AG147" s="20"/>
      <c r="AH147" s="19"/>
      <c r="AI147" s="20"/>
      <c r="AJ147" s="19"/>
      <c r="AK147" s="20"/>
      <c r="AL147" s="19"/>
      <c r="AM147" s="20"/>
      <c r="AN147" s="19"/>
      <c r="AO147" s="20"/>
    </row>
    <row r="148" spans="1:41" x14ac:dyDescent="0.25">
      <c r="A148" s="221"/>
      <c r="B148" s="19"/>
      <c r="C148" s="20"/>
      <c r="D148" s="19"/>
      <c r="E148" s="20"/>
      <c r="F148" s="19"/>
      <c r="G148" s="20"/>
      <c r="H148" s="19"/>
      <c r="I148" s="20"/>
      <c r="J148" s="227"/>
      <c r="K148" s="17" t="s">
        <v>141</v>
      </c>
      <c r="L148" s="226"/>
      <c r="M148" s="17" t="s">
        <v>222</v>
      </c>
      <c r="N148" s="18"/>
      <c r="O148" s="20"/>
      <c r="P148" s="19"/>
      <c r="Q148" s="20"/>
      <c r="R148" s="19"/>
      <c r="S148" s="20"/>
      <c r="T148" s="19"/>
      <c r="U148" s="20"/>
      <c r="V148" s="19"/>
      <c r="W148" s="20"/>
      <c r="X148" s="19"/>
      <c r="Y148" s="20"/>
      <c r="Z148" s="19"/>
      <c r="AA148" s="20"/>
      <c r="AB148" s="19"/>
      <c r="AC148" s="20"/>
      <c r="AD148" s="19"/>
      <c r="AE148" s="20"/>
      <c r="AF148" s="19"/>
      <c r="AG148" s="20"/>
      <c r="AH148" s="19"/>
      <c r="AI148" s="20"/>
      <c r="AJ148" s="19"/>
      <c r="AK148" s="20"/>
      <c r="AL148" s="19"/>
      <c r="AM148" s="20"/>
      <c r="AN148" s="19"/>
      <c r="AO148" s="20"/>
    </row>
    <row r="149" spans="1:41" x14ac:dyDescent="0.25">
      <c r="A149" s="221"/>
      <c r="B149" s="19"/>
      <c r="C149" s="20"/>
      <c r="D149" s="19"/>
      <c r="E149" s="20"/>
      <c r="F149" s="19"/>
      <c r="G149" s="20"/>
      <c r="H149" s="19"/>
      <c r="I149" s="20"/>
      <c r="J149" s="18" t="s">
        <v>149</v>
      </c>
      <c r="K149" s="17"/>
      <c r="L149" s="227"/>
      <c r="M149" s="17" t="s">
        <v>231</v>
      </c>
      <c r="N149" s="18"/>
      <c r="O149" s="20"/>
      <c r="P149" s="19"/>
      <c r="Q149" s="20"/>
      <c r="R149" s="19"/>
      <c r="S149" s="20"/>
      <c r="T149" s="19"/>
      <c r="U149" s="20"/>
      <c r="V149" s="19"/>
      <c r="W149" s="20"/>
      <c r="X149" s="19"/>
      <c r="Y149" s="20"/>
      <c r="Z149" s="19"/>
      <c r="AA149" s="20"/>
      <c r="AB149" s="19"/>
      <c r="AC149" s="20"/>
      <c r="AD149" s="19"/>
      <c r="AE149" s="20"/>
      <c r="AF149" s="19"/>
      <c r="AG149" s="20"/>
      <c r="AH149" s="19"/>
      <c r="AI149" s="20"/>
      <c r="AJ149" s="19"/>
      <c r="AK149" s="20"/>
      <c r="AL149" s="19"/>
      <c r="AM149" s="20"/>
      <c r="AN149" s="19"/>
      <c r="AO149" s="20"/>
    </row>
    <row r="150" spans="1:41" x14ac:dyDescent="0.25">
      <c r="A150" s="221"/>
      <c r="B150" s="19"/>
      <c r="C150" s="20"/>
      <c r="D150" s="19"/>
      <c r="E150" s="20"/>
      <c r="F150" s="19"/>
      <c r="G150" s="20"/>
      <c r="H150" s="19"/>
      <c r="I150" s="20"/>
      <c r="J150" s="19" t="s">
        <v>150</v>
      </c>
      <c r="K150" s="20"/>
      <c r="L150" s="19" t="s">
        <v>191</v>
      </c>
      <c r="M150" s="20"/>
      <c r="N150" s="19"/>
      <c r="O150" s="20"/>
      <c r="P150" s="19"/>
      <c r="Q150" s="20"/>
      <c r="R150" s="19"/>
      <c r="S150" s="20"/>
      <c r="T150" s="19"/>
      <c r="U150" s="20"/>
      <c r="V150" s="19"/>
      <c r="W150" s="20"/>
      <c r="X150" s="19"/>
      <c r="Y150" s="20"/>
      <c r="Z150" s="19"/>
      <c r="AA150" s="20"/>
      <c r="AB150" s="19"/>
      <c r="AC150" s="20"/>
      <c r="AD150" s="19"/>
      <c r="AE150" s="20"/>
      <c r="AF150" s="19"/>
      <c r="AG150" s="20"/>
      <c r="AH150" s="19"/>
      <c r="AI150" s="20"/>
      <c r="AJ150" s="19"/>
      <c r="AK150" s="20"/>
      <c r="AL150" s="19"/>
      <c r="AM150" s="20"/>
      <c r="AN150" s="19"/>
      <c r="AO150" s="20"/>
    </row>
    <row r="151" spans="1:41" x14ac:dyDescent="0.25">
      <c r="A151" s="221"/>
      <c r="B151" s="19"/>
      <c r="C151" s="20"/>
      <c r="D151" s="19"/>
      <c r="E151" s="20"/>
      <c r="F151" s="19"/>
      <c r="G151" s="20"/>
      <c r="H151" s="19"/>
      <c r="I151" s="20"/>
      <c r="J151" s="19"/>
      <c r="K151" s="20"/>
      <c r="L151" s="19" t="s">
        <v>706</v>
      </c>
      <c r="M151" s="20" t="s">
        <v>205</v>
      </c>
      <c r="N151" s="19"/>
      <c r="O151" s="20"/>
      <c r="P151" s="19"/>
      <c r="Q151" s="20"/>
      <c r="R151" s="19"/>
      <c r="S151" s="20"/>
      <c r="T151" s="19"/>
      <c r="U151" s="20"/>
      <c r="V151" s="19"/>
      <c r="W151" s="20"/>
      <c r="X151" s="19"/>
      <c r="Y151" s="20"/>
      <c r="Z151" s="19"/>
      <c r="AA151" s="20"/>
      <c r="AB151" s="19"/>
      <c r="AC151" s="20"/>
      <c r="AD151" s="19"/>
      <c r="AE151" s="20"/>
      <c r="AF151" s="19"/>
      <c r="AG151" s="20"/>
      <c r="AH151" s="19"/>
      <c r="AI151" s="20"/>
      <c r="AJ151" s="19"/>
      <c r="AK151" s="20"/>
      <c r="AL151" s="19"/>
      <c r="AM151" s="20"/>
      <c r="AN151" s="19"/>
      <c r="AO151" s="20"/>
    </row>
    <row r="152" spans="1:41" s="11" customFormat="1" ht="51" thickBot="1" x14ac:dyDescent="0.3">
      <c r="A152" s="221"/>
      <c r="B152" s="22"/>
      <c r="C152" s="21"/>
      <c r="D152" s="22"/>
      <c r="E152" s="21"/>
      <c r="F152" s="22"/>
      <c r="G152" s="21"/>
      <c r="H152" s="22"/>
      <c r="I152" s="21"/>
      <c r="J152" s="222" t="s">
        <v>78</v>
      </c>
      <c r="K152" s="222"/>
      <c r="L152" s="222"/>
      <c r="M152" s="222"/>
      <c r="N152" s="222"/>
      <c r="O152" s="222"/>
      <c r="P152" s="222"/>
      <c r="Q152" s="222"/>
      <c r="R152" s="22"/>
      <c r="S152" s="21"/>
      <c r="T152" s="22"/>
      <c r="U152" s="21"/>
      <c r="V152" s="22"/>
      <c r="W152" s="21"/>
      <c r="X152" s="22"/>
      <c r="Y152" s="21"/>
      <c r="Z152" s="22"/>
      <c r="AA152" s="21"/>
      <c r="AB152" s="22"/>
      <c r="AC152" s="21"/>
      <c r="AD152" s="22"/>
      <c r="AE152" s="21"/>
      <c r="AF152" s="22"/>
      <c r="AG152" s="21"/>
      <c r="AH152" s="22"/>
      <c r="AI152" s="21"/>
      <c r="AJ152" s="22"/>
      <c r="AK152" s="21"/>
      <c r="AL152" s="22"/>
      <c r="AM152" s="21"/>
      <c r="AN152" s="22"/>
      <c r="AO152" s="21"/>
    </row>
    <row r="153" spans="1:41" s="11" customFormat="1" ht="17.25" thickTop="1" x14ac:dyDescent="0.25">
      <c r="A153" s="221"/>
      <c r="B153" s="22"/>
      <c r="C153" s="21"/>
      <c r="D153" s="22"/>
      <c r="E153" s="21"/>
      <c r="F153" s="22"/>
      <c r="G153" s="21"/>
      <c r="H153" s="22"/>
      <c r="I153" s="21"/>
      <c r="J153" s="231" t="s">
        <v>1445</v>
      </c>
      <c r="K153" s="231" t="s">
        <v>1446</v>
      </c>
      <c r="L153" s="231" t="s">
        <v>1448</v>
      </c>
      <c r="M153" s="231" t="s">
        <v>1449</v>
      </c>
      <c r="N153" s="231" t="s">
        <v>1450</v>
      </c>
      <c r="O153" s="231" t="s">
        <v>1451</v>
      </c>
      <c r="P153" s="231" t="s">
        <v>715</v>
      </c>
      <c r="Q153" s="231" t="s">
        <v>1447</v>
      </c>
      <c r="R153" s="22"/>
      <c r="S153" s="21"/>
      <c r="T153" s="22"/>
      <c r="U153" s="21"/>
      <c r="V153" s="22"/>
      <c r="W153" s="21"/>
      <c r="X153" s="22"/>
      <c r="Y153" s="21"/>
      <c r="Z153" s="22"/>
      <c r="AA153" s="21"/>
      <c r="AB153" s="22"/>
      <c r="AC153" s="21"/>
      <c r="AD153" s="22"/>
      <c r="AE153" s="21"/>
      <c r="AF153" s="22"/>
      <c r="AG153" s="21"/>
      <c r="AH153" s="22"/>
      <c r="AI153" s="21"/>
      <c r="AJ153" s="22"/>
      <c r="AK153" s="21"/>
      <c r="AL153" s="22"/>
      <c r="AM153" s="21"/>
      <c r="AN153" s="22"/>
      <c r="AO153" s="21"/>
    </row>
    <row r="154" spans="1:41" s="12" customFormat="1" x14ac:dyDescent="0.25">
      <c r="A154" s="221"/>
      <c r="B154" s="18"/>
      <c r="C154" s="17"/>
      <c r="D154" s="18"/>
      <c r="E154" s="17"/>
      <c r="F154" s="18"/>
      <c r="G154" s="17"/>
      <c r="H154" s="18"/>
      <c r="I154" s="17"/>
      <c r="J154" s="228" t="s">
        <v>379</v>
      </c>
      <c r="K154" s="30" t="s">
        <v>383</v>
      </c>
      <c r="L154" s="33" t="s">
        <v>182</v>
      </c>
      <c r="M154" s="30"/>
      <c r="N154" s="34" t="s">
        <v>379</v>
      </c>
      <c r="O154" s="30" t="s">
        <v>1382</v>
      </c>
      <c r="P154" s="228" t="s">
        <v>378</v>
      </c>
      <c r="Q154" s="30" t="s">
        <v>121</v>
      </c>
      <c r="R154" s="18"/>
      <c r="S154" s="17"/>
      <c r="T154" s="18"/>
      <c r="U154" s="17"/>
      <c r="V154" s="18"/>
      <c r="W154" s="17"/>
      <c r="X154" s="18"/>
      <c r="Y154" s="17"/>
      <c r="Z154" s="18"/>
      <c r="AA154" s="17"/>
      <c r="AB154" s="18"/>
      <c r="AC154" s="17"/>
      <c r="AD154" s="18"/>
      <c r="AE154" s="17"/>
      <c r="AF154" s="18"/>
      <c r="AG154" s="17"/>
      <c r="AH154" s="18"/>
      <c r="AI154" s="17"/>
      <c r="AJ154" s="18"/>
      <c r="AK154" s="17"/>
      <c r="AL154" s="18"/>
      <c r="AM154" s="17"/>
      <c r="AN154" s="18"/>
      <c r="AO154" s="17"/>
    </row>
    <row r="155" spans="1:41" s="12" customFormat="1" x14ac:dyDescent="0.25">
      <c r="A155" s="221"/>
      <c r="B155" s="18"/>
      <c r="C155" s="17"/>
      <c r="D155" s="18"/>
      <c r="E155" s="17"/>
      <c r="F155" s="18"/>
      <c r="G155" s="17"/>
      <c r="H155" s="18"/>
      <c r="I155" s="17"/>
      <c r="J155" s="229"/>
      <c r="K155" s="30" t="s">
        <v>385</v>
      </c>
      <c r="L155" s="33" t="s">
        <v>375</v>
      </c>
      <c r="M155" s="30"/>
      <c r="N155" s="31" t="s">
        <v>418</v>
      </c>
      <c r="O155" s="30"/>
      <c r="P155" s="229"/>
      <c r="Q155" s="30" t="s">
        <v>130</v>
      </c>
      <c r="R155" s="18"/>
      <c r="S155" s="17"/>
      <c r="T155" s="18"/>
      <c r="U155" s="17"/>
      <c r="V155" s="18"/>
      <c r="W155" s="17"/>
      <c r="X155" s="18"/>
      <c r="Y155" s="17"/>
      <c r="Z155" s="18"/>
      <c r="AA155" s="17"/>
      <c r="AB155" s="18"/>
      <c r="AC155" s="17"/>
      <c r="AD155" s="18"/>
      <c r="AE155" s="17"/>
      <c r="AF155" s="18"/>
      <c r="AG155" s="17"/>
      <c r="AH155" s="18"/>
      <c r="AI155" s="17"/>
      <c r="AJ155" s="18"/>
      <c r="AK155" s="17"/>
      <c r="AL155" s="18"/>
      <c r="AM155" s="17"/>
      <c r="AN155" s="18"/>
      <c r="AO155" s="17"/>
    </row>
    <row r="156" spans="1:41" s="12" customFormat="1" x14ac:dyDescent="0.25">
      <c r="A156" s="221"/>
      <c r="B156" s="18"/>
      <c r="C156" s="17"/>
      <c r="D156" s="18"/>
      <c r="E156" s="17"/>
      <c r="F156" s="18"/>
      <c r="G156" s="17"/>
      <c r="H156" s="18"/>
      <c r="I156" s="17"/>
      <c r="J156" s="230"/>
      <c r="K156" s="30" t="s">
        <v>109</v>
      </c>
      <c r="L156" s="33" t="s">
        <v>703</v>
      </c>
      <c r="M156" s="30" t="s">
        <v>222</v>
      </c>
      <c r="N156" s="31"/>
      <c r="O156" s="30"/>
      <c r="P156" s="230"/>
      <c r="Q156" s="30" t="s">
        <v>141</v>
      </c>
      <c r="R156" s="18"/>
      <c r="S156" s="17"/>
      <c r="T156" s="18"/>
      <c r="U156" s="17"/>
      <c r="V156" s="18"/>
      <c r="W156" s="17"/>
      <c r="X156" s="18"/>
      <c r="Y156" s="17"/>
      <c r="Z156" s="18"/>
      <c r="AA156" s="17"/>
      <c r="AB156" s="18"/>
      <c r="AC156" s="17"/>
      <c r="AD156" s="18"/>
      <c r="AE156" s="17"/>
      <c r="AF156" s="18"/>
      <c r="AG156" s="17"/>
      <c r="AH156" s="18"/>
      <c r="AI156" s="17"/>
      <c r="AJ156" s="18"/>
      <c r="AK156" s="17"/>
      <c r="AL156" s="18"/>
      <c r="AM156" s="17"/>
      <c r="AN156" s="18"/>
      <c r="AO156" s="17"/>
    </row>
    <row r="157" spans="1:41" s="12" customFormat="1" x14ac:dyDescent="0.25">
      <c r="A157" s="221"/>
      <c r="B157" s="18"/>
      <c r="C157" s="17"/>
      <c r="D157" s="18"/>
      <c r="E157" s="17"/>
      <c r="F157" s="18"/>
      <c r="G157" s="17"/>
      <c r="H157" s="18"/>
      <c r="I157" s="17"/>
      <c r="J157" s="228" t="s">
        <v>115</v>
      </c>
      <c r="K157" s="30" t="s">
        <v>119</v>
      </c>
      <c r="L157" s="33" t="s">
        <v>232</v>
      </c>
      <c r="M157" s="30"/>
      <c r="N157" s="31"/>
      <c r="O157" s="30"/>
      <c r="P157" s="18"/>
      <c r="Q157" s="17"/>
      <c r="R157" s="18"/>
      <c r="S157" s="17"/>
      <c r="T157" s="18"/>
      <c r="U157" s="17"/>
      <c r="V157" s="18"/>
      <c r="W157" s="17"/>
      <c r="X157" s="18"/>
      <c r="Y157" s="17"/>
      <c r="Z157" s="18"/>
      <c r="AA157" s="17"/>
      <c r="AB157" s="18"/>
      <c r="AC157" s="17"/>
      <c r="AD157" s="18"/>
      <c r="AE157" s="17"/>
      <c r="AF157" s="18"/>
      <c r="AG157" s="17"/>
      <c r="AH157" s="18"/>
      <c r="AI157" s="17"/>
      <c r="AJ157" s="18"/>
      <c r="AK157" s="17"/>
      <c r="AL157" s="18"/>
      <c r="AM157" s="17"/>
      <c r="AN157" s="18"/>
      <c r="AO157" s="17"/>
    </row>
    <row r="158" spans="1:41" s="12" customFormat="1" x14ac:dyDescent="0.25">
      <c r="A158" s="221"/>
      <c r="B158" s="18"/>
      <c r="C158" s="17"/>
      <c r="D158" s="18"/>
      <c r="E158" s="17"/>
      <c r="F158" s="18"/>
      <c r="G158" s="17"/>
      <c r="H158" s="18"/>
      <c r="I158" s="17"/>
      <c r="J158" s="229"/>
      <c r="K158" s="30" t="s">
        <v>121</v>
      </c>
      <c r="L158" s="33" t="s">
        <v>233</v>
      </c>
      <c r="M158" s="30"/>
      <c r="N158" s="31"/>
      <c r="O158" s="30"/>
      <c r="P158" s="18"/>
      <c r="Q158" s="17"/>
      <c r="R158" s="18"/>
      <c r="S158" s="17"/>
      <c r="T158" s="18"/>
      <c r="U158" s="17"/>
      <c r="V158" s="18"/>
      <c r="W158" s="17"/>
      <c r="X158" s="18"/>
      <c r="Y158" s="17"/>
      <c r="Z158" s="18"/>
      <c r="AA158" s="17"/>
      <c r="AB158" s="18"/>
      <c r="AC158" s="17"/>
      <c r="AD158" s="18"/>
      <c r="AE158" s="17"/>
      <c r="AF158" s="18"/>
      <c r="AG158" s="17"/>
      <c r="AH158" s="18"/>
      <c r="AI158" s="17"/>
      <c r="AJ158" s="18"/>
      <c r="AK158" s="17"/>
      <c r="AL158" s="18"/>
      <c r="AM158" s="17"/>
      <c r="AN158" s="18"/>
      <c r="AO158" s="17"/>
    </row>
    <row r="159" spans="1:41" s="12" customFormat="1" x14ac:dyDescent="0.25">
      <c r="A159" s="221"/>
      <c r="B159" s="18"/>
      <c r="C159" s="17"/>
      <c r="D159" s="18"/>
      <c r="E159" s="17"/>
      <c r="F159" s="18"/>
      <c r="G159" s="17"/>
      <c r="H159" s="18"/>
      <c r="I159" s="17"/>
      <c r="J159" s="229"/>
      <c r="K159" s="30" t="s">
        <v>130</v>
      </c>
      <c r="L159" s="33" t="s">
        <v>234</v>
      </c>
      <c r="M159" s="30"/>
      <c r="N159" s="33"/>
      <c r="O159" s="30"/>
      <c r="P159" s="18"/>
      <c r="Q159" s="17"/>
      <c r="R159" s="18"/>
      <c r="S159" s="17"/>
      <c r="T159" s="18"/>
      <c r="U159" s="17"/>
      <c r="V159" s="18"/>
      <c r="W159" s="17"/>
      <c r="X159" s="18"/>
      <c r="Y159" s="17"/>
      <c r="Z159" s="18"/>
      <c r="AA159" s="17"/>
      <c r="AB159" s="18"/>
      <c r="AC159" s="17"/>
      <c r="AD159" s="18"/>
      <c r="AE159" s="17"/>
      <c r="AF159" s="18"/>
      <c r="AG159" s="17"/>
      <c r="AH159" s="18"/>
      <c r="AI159" s="17"/>
      <c r="AJ159" s="18"/>
      <c r="AK159" s="17"/>
      <c r="AL159" s="18"/>
      <c r="AM159" s="17"/>
      <c r="AN159" s="18"/>
      <c r="AO159" s="17"/>
    </row>
    <row r="160" spans="1:41" s="12" customFormat="1" x14ac:dyDescent="0.25">
      <c r="A160" s="221"/>
      <c r="B160" s="18"/>
      <c r="C160" s="17"/>
      <c r="D160" s="18"/>
      <c r="E160" s="17"/>
      <c r="F160" s="18"/>
      <c r="G160" s="17"/>
      <c r="H160" s="18"/>
      <c r="I160" s="17"/>
      <c r="J160" s="230"/>
      <c r="K160" s="30" t="s">
        <v>141</v>
      </c>
      <c r="L160" s="33"/>
      <c r="M160" s="30"/>
      <c r="N160" s="33"/>
      <c r="O160" s="30"/>
      <c r="P160" s="18"/>
      <c r="Q160" s="17"/>
      <c r="R160" s="18"/>
      <c r="S160" s="17"/>
      <c r="T160" s="18"/>
      <c r="U160" s="17"/>
      <c r="V160" s="18"/>
      <c r="W160" s="17"/>
      <c r="X160" s="18"/>
      <c r="Y160" s="17"/>
      <c r="Z160" s="18"/>
      <c r="AA160" s="17"/>
      <c r="AB160" s="18"/>
      <c r="AC160" s="17"/>
      <c r="AD160" s="18"/>
      <c r="AE160" s="17"/>
      <c r="AF160" s="18"/>
      <c r="AG160" s="17"/>
      <c r="AH160" s="18"/>
      <c r="AI160" s="17"/>
      <c r="AJ160" s="18"/>
      <c r="AK160" s="17"/>
      <c r="AL160" s="18"/>
      <c r="AM160" s="17"/>
      <c r="AN160" s="18"/>
      <c r="AO160" s="17"/>
    </row>
    <row r="161" spans="1:41" s="12" customFormat="1" x14ac:dyDescent="0.25">
      <c r="A161" s="221"/>
      <c r="B161" s="18"/>
      <c r="C161" s="17"/>
      <c r="D161" s="18"/>
      <c r="E161" s="17"/>
      <c r="F161" s="18"/>
      <c r="G161" s="17"/>
      <c r="H161" s="18"/>
      <c r="I161" s="17"/>
      <c r="J161" s="228" t="s">
        <v>147</v>
      </c>
      <c r="K161" s="30" t="s">
        <v>180</v>
      </c>
      <c r="L161" s="33"/>
      <c r="M161" s="30"/>
      <c r="N161" s="33"/>
      <c r="O161" s="30"/>
      <c r="P161" s="18"/>
      <c r="Q161" s="17"/>
      <c r="R161" s="18"/>
      <c r="S161" s="17"/>
      <c r="T161" s="18"/>
      <c r="U161" s="17"/>
      <c r="V161" s="18"/>
      <c r="W161" s="17"/>
      <c r="X161" s="18"/>
      <c r="Y161" s="17"/>
      <c r="Z161" s="18"/>
      <c r="AA161" s="17"/>
      <c r="AB161" s="18"/>
      <c r="AC161" s="17"/>
      <c r="AD161" s="18"/>
      <c r="AE161" s="17"/>
      <c r="AF161" s="18"/>
      <c r="AG161" s="17"/>
      <c r="AH161" s="18"/>
      <c r="AI161" s="17"/>
      <c r="AJ161" s="18"/>
      <c r="AK161" s="17"/>
      <c r="AL161" s="18"/>
      <c r="AM161" s="17"/>
      <c r="AN161" s="18"/>
      <c r="AO161" s="17"/>
    </row>
    <row r="162" spans="1:41" s="12" customFormat="1" x14ac:dyDescent="0.25">
      <c r="A162" s="221"/>
      <c r="B162" s="18"/>
      <c r="C162" s="17"/>
      <c r="D162" s="18"/>
      <c r="E162" s="17"/>
      <c r="F162" s="18"/>
      <c r="G162" s="17"/>
      <c r="H162" s="18"/>
      <c r="I162" s="17"/>
      <c r="J162" s="230"/>
      <c r="K162" s="30" t="s">
        <v>393</v>
      </c>
      <c r="L162" s="33"/>
      <c r="M162" s="30"/>
      <c r="N162" s="33"/>
      <c r="O162" s="30"/>
      <c r="P162" s="18"/>
      <c r="Q162" s="17"/>
      <c r="R162" s="18"/>
      <c r="S162" s="17"/>
      <c r="T162" s="18"/>
      <c r="U162" s="17"/>
      <c r="V162" s="18"/>
      <c r="W162" s="17"/>
      <c r="X162" s="18"/>
      <c r="Y162" s="17"/>
      <c r="Z162" s="18"/>
      <c r="AA162" s="17"/>
      <c r="AB162" s="18"/>
      <c r="AC162" s="17"/>
      <c r="AD162" s="18"/>
      <c r="AE162" s="17"/>
      <c r="AF162" s="18"/>
      <c r="AG162" s="17"/>
      <c r="AH162" s="18"/>
      <c r="AI162" s="17"/>
      <c r="AJ162" s="18"/>
      <c r="AK162" s="17"/>
      <c r="AL162" s="18"/>
      <c r="AM162" s="17"/>
      <c r="AN162" s="18"/>
      <c r="AO162" s="17"/>
    </row>
    <row r="163" spans="1:41" s="12" customFormat="1" x14ac:dyDescent="0.25">
      <c r="A163" s="221"/>
      <c r="B163" s="18"/>
      <c r="C163" s="17"/>
      <c r="D163" s="18"/>
      <c r="E163" s="17"/>
      <c r="F163" s="18"/>
      <c r="G163" s="17"/>
      <c r="H163" s="18"/>
      <c r="I163" s="17"/>
      <c r="J163" s="33" t="s">
        <v>148</v>
      </c>
      <c r="K163" s="30"/>
      <c r="L163" s="33"/>
      <c r="M163" s="30"/>
      <c r="N163" s="33"/>
      <c r="O163" s="30"/>
      <c r="P163" s="18"/>
      <c r="Q163" s="17"/>
      <c r="R163" s="18"/>
      <c r="S163" s="17"/>
      <c r="T163" s="18"/>
      <c r="U163" s="17"/>
      <c r="V163" s="18"/>
      <c r="W163" s="17"/>
      <c r="X163" s="18"/>
      <c r="Y163" s="17"/>
      <c r="Z163" s="18"/>
      <c r="AA163" s="17"/>
      <c r="AB163" s="18"/>
      <c r="AC163" s="17"/>
      <c r="AD163" s="18"/>
      <c r="AE163" s="17"/>
      <c r="AF163" s="18"/>
      <c r="AG163" s="17"/>
      <c r="AH163" s="18"/>
      <c r="AI163" s="17"/>
      <c r="AJ163" s="18"/>
      <c r="AK163" s="17"/>
      <c r="AL163" s="18"/>
      <c r="AM163" s="17"/>
      <c r="AN163" s="18"/>
      <c r="AO163" s="17"/>
    </row>
    <row r="164" spans="1:41" s="12" customFormat="1" x14ac:dyDescent="0.25">
      <c r="A164" s="221"/>
      <c r="B164" s="18"/>
      <c r="C164" s="17"/>
      <c r="D164" s="18"/>
      <c r="E164" s="17"/>
      <c r="F164" s="18"/>
      <c r="G164" s="17"/>
      <c r="H164" s="18"/>
      <c r="I164" s="17"/>
      <c r="J164" s="33" t="s">
        <v>149</v>
      </c>
      <c r="K164" s="30"/>
      <c r="L164" s="33"/>
      <c r="M164" s="30"/>
      <c r="N164" s="33"/>
      <c r="O164" s="30"/>
      <c r="P164" s="18"/>
      <c r="Q164" s="17"/>
      <c r="R164" s="18"/>
      <c r="S164" s="17"/>
      <c r="T164" s="18"/>
      <c r="U164" s="17"/>
      <c r="V164" s="18"/>
      <c r="W164" s="17"/>
      <c r="X164" s="18"/>
      <c r="Y164" s="17"/>
      <c r="Z164" s="18"/>
      <c r="AA164" s="17"/>
      <c r="AB164" s="18"/>
      <c r="AC164" s="17"/>
      <c r="AD164" s="18"/>
      <c r="AE164" s="17"/>
      <c r="AF164" s="18"/>
      <c r="AG164" s="17"/>
      <c r="AH164" s="18"/>
      <c r="AI164" s="17"/>
      <c r="AJ164" s="18"/>
      <c r="AK164" s="17"/>
      <c r="AL164" s="18"/>
      <c r="AM164" s="17"/>
      <c r="AN164" s="18"/>
      <c r="AO164" s="17"/>
    </row>
    <row r="165" spans="1:41" s="12" customFormat="1" x14ac:dyDescent="0.25">
      <c r="A165" s="221"/>
      <c r="B165" s="18"/>
      <c r="C165" s="17"/>
      <c r="D165" s="18"/>
      <c r="E165" s="17"/>
      <c r="F165" s="18"/>
      <c r="G165" s="17"/>
      <c r="H165" s="18"/>
      <c r="I165" s="17"/>
      <c r="J165" s="33" t="s">
        <v>150</v>
      </c>
      <c r="K165" s="30"/>
      <c r="L165" s="33"/>
      <c r="M165" s="30"/>
      <c r="N165" s="33"/>
      <c r="O165" s="30"/>
      <c r="P165" s="18"/>
      <c r="Q165" s="17"/>
      <c r="R165" s="18"/>
      <c r="S165" s="17"/>
      <c r="T165" s="18"/>
      <c r="U165" s="17"/>
      <c r="V165" s="18"/>
      <c r="W165" s="17"/>
      <c r="X165" s="18"/>
      <c r="Y165" s="17"/>
      <c r="Z165" s="18"/>
      <c r="AA165" s="17"/>
      <c r="AB165" s="18"/>
      <c r="AC165" s="17"/>
      <c r="AD165" s="18"/>
      <c r="AE165" s="17"/>
      <c r="AF165" s="18"/>
      <c r="AG165" s="17"/>
      <c r="AH165" s="18"/>
      <c r="AI165" s="17"/>
      <c r="AJ165" s="18"/>
      <c r="AK165" s="17"/>
      <c r="AL165" s="18"/>
      <c r="AM165" s="17"/>
      <c r="AN165" s="18"/>
      <c r="AO165" s="17"/>
    </row>
    <row r="166" spans="1:41" s="11" customFormat="1" ht="51" thickBot="1" x14ac:dyDescent="0.3">
      <c r="A166" s="221" t="s">
        <v>286</v>
      </c>
      <c r="B166" s="22"/>
      <c r="C166" s="21"/>
      <c r="D166" s="22"/>
      <c r="E166" s="21"/>
      <c r="F166" s="22"/>
      <c r="G166" s="21"/>
      <c r="H166" s="22"/>
      <c r="I166" s="21"/>
      <c r="J166" s="222" t="s">
        <v>79</v>
      </c>
      <c r="K166" s="222"/>
      <c r="L166" s="222"/>
      <c r="M166" s="222"/>
      <c r="N166" s="222"/>
      <c r="O166" s="222"/>
      <c r="P166" s="222"/>
      <c r="Q166" s="222"/>
      <c r="R166" s="222" t="s">
        <v>91</v>
      </c>
      <c r="S166" s="222"/>
      <c r="T166" s="222"/>
      <c r="U166" s="222"/>
      <c r="V166" s="222"/>
      <c r="W166" s="222"/>
      <c r="X166" s="222"/>
      <c r="Y166" s="222"/>
      <c r="Z166" s="222" t="s">
        <v>178</v>
      </c>
      <c r="AA166" s="222"/>
      <c r="AB166" s="222"/>
      <c r="AC166" s="222"/>
      <c r="AD166" s="222"/>
      <c r="AE166" s="222"/>
      <c r="AF166" s="222"/>
      <c r="AG166" s="222"/>
      <c r="AH166" s="22"/>
      <c r="AI166" s="21"/>
      <c r="AJ166" s="22"/>
      <c r="AK166" s="21"/>
      <c r="AL166" s="22"/>
      <c r="AM166" s="21"/>
      <c r="AN166" s="22"/>
      <c r="AO166" s="21"/>
    </row>
    <row r="167" spans="1:41" s="11" customFormat="1" ht="17.25" thickTop="1" x14ac:dyDescent="0.25">
      <c r="A167" s="221"/>
      <c r="B167" s="22"/>
      <c r="C167" s="21"/>
      <c r="D167" s="22"/>
      <c r="E167" s="21"/>
      <c r="F167" s="22"/>
      <c r="G167" s="21"/>
      <c r="H167" s="22"/>
      <c r="I167" s="21"/>
      <c r="J167" s="231" t="s">
        <v>1445</v>
      </c>
      <c r="K167" s="231" t="s">
        <v>1446</v>
      </c>
      <c r="L167" s="231" t="s">
        <v>1448</v>
      </c>
      <c r="M167" s="231" t="s">
        <v>1449</v>
      </c>
      <c r="N167" s="231" t="s">
        <v>1450</v>
      </c>
      <c r="O167" s="231" t="s">
        <v>1451</v>
      </c>
      <c r="P167" s="231" t="s">
        <v>715</v>
      </c>
      <c r="Q167" s="231" t="s">
        <v>1447</v>
      </c>
      <c r="R167" s="231" t="s">
        <v>1445</v>
      </c>
      <c r="S167" s="231" t="s">
        <v>1446</v>
      </c>
      <c r="T167" s="231" t="s">
        <v>1448</v>
      </c>
      <c r="U167" s="231" t="s">
        <v>1449</v>
      </c>
      <c r="V167" s="231" t="s">
        <v>1450</v>
      </c>
      <c r="W167" s="231" t="s">
        <v>1451</v>
      </c>
      <c r="X167" s="231" t="s">
        <v>715</v>
      </c>
      <c r="Y167" s="231" t="s">
        <v>1447</v>
      </c>
      <c r="Z167" s="231" t="s">
        <v>1445</v>
      </c>
      <c r="AA167" s="231" t="s">
        <v>1446</v>
      </c>
      <c r="AB167" s="231" t="s">
        <v>1448</v>
      </c>
      <c r="AC167" s="231" t="s">
        <v>1449</v>
      </c>
      <c r="AD167" s="231" t="s">
        <v>1450</v>
      </c>
      <c r="AE167" s="231" t="s">
        <v>1451</v>
      </c>
      <c r="AF167" s="231" t="s">
        <v>715</v>
      </c>
      <c r="AG167" s="231" t="s">
        <v>1447</v>
      </c>
      <c r="AH167" s="22"/>
      <c r="AI167" s="21"/>
      <c r="AJ167" s="22"/>
      <c r="AK167" s="21"/>
      <c r="AL167" s="22"/>
      <c r="AM167" s="21"/>
      <c r="AN167" s="22"/>
      <c r="AO167" s="21"/>
    </row>
    <row r="168" spans="1:41" s="12" customFormat="1" x14ac:dyDescent="0.25">
      <c r="A168" s="221"/>
      <c r="B168" s="18"/>
      <c r="C168" s="17"/>
      <c r="D168" s="18"/>
      <c r="E168" s="17"/>
      <c r="F168" s="18"/>
      <c r="G168" s="17"/>
      <c r="H168" s="18"/>
      <c r="I168" s="17"/>
      <c r="J168" s="18" t="s">
        <v>151</v>
      </c>
      <c r="K168" s="17"/>
      <c r="L168" s="18" t="s">
        <v>182</v>
      </c>
      <c r="M168" s="17"/>
      <c r="N168" s="18" t="s">
        <v>558</v>
      </c>
      <c r="O168" s="17" t="s">
        <v>384</v>
      </c>
      <c r="P168" s="225" t="s">
        <v>379</v>
      </c>
      <c r="Q168" s="17" t="s">
        <v>566</v>
      </c>
      <c r="R168" s="18" t="s">
        <v>379</v>
      </c>
      <c r="S168" s="17" t="s">
        <v>384</v>
      </c>
      <c r="T168" s="18" t="s">
        <v>702</v>
      </c>
      <c r="U168" s="17" t="s">
        <v>555</v>
      </c>
      <c r="V168" s="225" t="s">
        <v>115</v>
      </c>
      <c r="W168" s="17" t="s">
        <v>135</v>
      </c>
      <c r="X168" s="225" t="s">
        <v>379</v>
      </c>
      <c r="Y168" s="17" t="s">
        <v>568</v>
      </c>
      <c r="Z168" s="18" t="s">
        <v>379</v>
      </c>
      <c r="AA168" s="17" t="s">
        <v>384</v>
      </c>
      <c r="AB168" s="225" t="s">
        <v>702</v>
      </c>
      <c r="AC168" s="17" t="s">
        <v>555</v>
      </c>
      <c r="AD168" s="18" t="s">
        <v>115</v>
      </c>
      <c r="AE168" s="17" t="s">
        <v>134</v>
      </c>
      <c r="AF168" s="18" t="s">
        <v>379</v>
      </c>
      <c r="AG168" s="17" t="s">
        <v>384</v>
      </c>
      <c r="AH168" s="18"/>
      <c r="AI168" s="17"/>
      <c r="AJ168" s="18"/>
      <c r="AK168" s="17"/>
      <c r="AL168" s="18"/>
      <c r="AM168" s="17"/>
      <c r="AN168" s="18"/>
      <c r="AO168" s="17"/>
    </row>
    <row r="169" spans="1:41" s="12" customFormat="1" x14ac:dyDescent="0.25">
      <c r="A169" s="221"/>
      <c r="B169" s="18"/>
      <c r="C169" s="17"/>
      <c r="D169" s="18"/>
      <c r="E169" s="17"/>
      <c r="F169" s="18"/>
      <c r="G169" s="17"/>
      <c r="H169" s="18"/>
      <c r="I169" s="17"/>
      <c r="J169" s="225" t="s">
        <v>379</v>
      </c>
      <c r="K169" s="17" t="s">
        <v>381</v>
      </c>
      <c r="L169" s="225" t="s">
        <v>702</v>
      </c>
      <c r="M169" s="17" t="s">
        <v>209</v>
      </c>
      <c r="N169" s="18" t="s">
        <v>378</v>
      </c>
      <c r="O169" s="17" t="s">
        <v>396</v>
      </c>
      <c r="P169" s="227"/>
      <c r="Q169" s="17" t="s">
        <v>109</v>
      </c>
      <c r="R169" s="225" t="s">
        <v>115</v>
      </c>
      <c r="S169" s="17" t="s">
        <v>125</v>
      </c>
      <c r="T169" s="225" t="s">
        <v>703</v>
      </c>
      <c r="U169" s="17" t="s">
        <v>197</v>
      </c>
      <c r="V169" s="227"/>
      <c r="W169" s="17" t="s">
        <v>146</v>
      </c>
      <c r="X169" s="226"/>
      <c r="Y169" s="17" t="s">
        <v>109</v>
      </c>
      <c r="Z169" s="225" t="s">
        <v>115</v>
      </c>
      <c r="AA169" s="17" t="s">
        <v>125</v>
      </c>
      <c r="AB169" s="226"/>
      <c r="AC169" s="17" t="s">
        <v>554</v>
      </c>
      <c r="AD169" s="18" t="s">
        <v>164</v>
      </c>
      <c r="AE169" s="17"/>
      <c r="AF169" s="225" t="s">
        <v>378</v>
      </c>
      <c r="AG169" s="17" t="s">
        <v>124</v>
      </c>
      <c r="AH169" s="18"/>
      <c r="AI169" s="17"/>
      <c r="AJ169" s="18"/>
      <c r="AK169" s="17"/>
      <c r="AL169" s="18"/>
      <c r="AM169" s="17"/>
      <c r="AN169" s="18"/>
      <c r="AO169" s="17"/>
    </row>
    <row r="170" spans="1:41" s="12" customFormat="1" x14ac:dyDescent="0.25">
      <c r="A170" s="221"/>
      <c r="B170" s="18"/>
      <c r="C170" s="17"/>
      <c r="D170" s="18"/>
      <c r="E170" s="17"/>
      <c r="F170" s="18"/>
      <c r="G170" s="17"/>
      <c r="H170" s="18"/>
      <c r="I170" s="17"/>
      <c r="J170" s="226"/>
      <c r="K170" s="17" t="s">
        <v>387</v>
      </c>
      <c r="L170" s="226"/>
      <c r="M170" s="17" t="s">
        <v>183</v>
      </c>
      <c r="N170" s="19"/>
      <c r="O170" s="17"/>
      <c r="P170" s="225" t="s">
        <v>378</v>
      </c>
      <c r="Q170" s="17" t="s">
        <v>125</v>
      </c>
      <c r="R170" s="226"/>
      <c r="S170" s="17" t="s">
        <v>134</v>
      </c>
      <c r="T170" s="226"/>
      <c r="U170" s="17" t="s">
        <v>249</v>
      </c>
      <c r="V170" s="18" t="s">
        <v>155</v>
      </c>
      <c r="W170" s="17"/>
      <c r="X170" s="226"/>
      <c r="Y170" s="17" t="s">
        <v>110</v>
      </c>
      <c r="Z170" s="226"/>
      <c r="AA170" s="17" t="s">
        <v>163</v>
      </c>
      <c r="AB170" s="226"/>
      <c r="AC170" s="17" t="s">
        <v>557</v>
      </c>
      <c r="AD170" s="18" t="s">
        <v>156</v>
      </c>
      <c r="AE170" s="17"/>
      <c r="AF170" s="226"/>
      <c r="AG170" s="17" t="s">
        <v>125</v>
      </c>
      <c r="AH170" s="18"/>
      <c r="AI170" s="17"/>
      <c r="AJ170" s="18"/>
      <c r="AK170" s="17"/>
      <c r="AL170" s="18"/>
      <c r="AM170" s="17"/>
      <c r="AN170" s="18"/>
      <c r="AO170" s="17"/>
    </row>
    <row r="171" spans="1:41" s="12" customFormat="1" x14ac:dyDescent="0.25">
      <c r="A171" s="221"/>
      <c r="B171" s="18"/>
      <c r="C171" s="17"/>
      <c r="D171" s="18"/>
      <c r="E171" s="17"/>
      <c r="F171" s="18"/>
      <c r="G171" s="17"/>
      <c r="H171" s="18"/>
      <c r="I171" s="17"/>
      <c r="J171" s="226"/>
      <c r="K171" s="17" t="s">
        <v>389</v>
      </c>
      <c r="L171" s="227"/>
      <c r="M171" s="17" t="s">
        <v>185</v>
      </c>
      <c r="N171" s="19"/>
      <c r="O171" s="17"/>
      <c r="P171" s="226"/>
      <c r="Q171" s="17" t="s">
        <v>137</v>
      </c>
      <c r="R171" s="226"/>
      <c r="S171" s="17" t="s">
        <v>163</v>
      </c>
      <c r="T171" s="226"/>
      <c r="U171" s="17" t="s">
        <v>252</v>
      </c>
      <c r="V171" s="19"/>
      <c r="W171" s="17"/>
      <c r="X171" s="227"/>
      <c r="Y171" s="17" t="s">
        <v>111</v>
      </c>
      <c r="Z171" s="227"/>
      <c r="AA171" s="17" t="s">
        <v>146</v>
      </c>
      <c r="AB171" s="227"/>
      <c r="AC171" s="17" t="s">
        <v>564</v>
      </c>
      <c r="AD171" s="18" t="s">
        <v>155</v>
      </c>
      <c r="AE171" s="17"/>
      <c r="AF171" s="226"/>
      <c r="AG171" s="17" t="s">
        <v>141</v>
      </c>
      <c r="AH171" s="18"/>
      <c r="AI171" s="17"/>
      <c r="AJ171" s="18"/>
      <c r="AK171" s="17"/>
      <c r="AL171" s="18"/>
      <c r="AM171" s="17"/>
      <c r="AN171" s="18"/>
      <c r="AO171" s="17"/>
    </row>
    <row r="172" spans="1:41" s="12" customFormat="1" x14ac:dyDescent="0.25">
      <c r="A172" s="221"/>
      <c r="B172" s="18"/>
      <c r="C172" s="17"/>
      <c r="D172" s="18"/>
      <c r="E172" s="17"/>
      <c r="F172" s="18"/>
      <c r="G172" s="17"/>
      <c r="H172" s="18"/>
      <c r="I172" s="17"/>
      <c r="J172" s="227"/>
      <c r="K172" s="17" t="s">
        <v>109</v>
      </c>
      <c r="L172" s="225" t="s">
        <v>703</v>
      </c>
      <c r="M172" s="17" t="s">
        <v>198</v>
      </c>
      <c r="N172" s="19"/>
      <c r="O172" s="17"/>
      <c r="P172" s="226"/>
      <c r="Q172" s="17" t="s">
        <v>141</v>
      </c>
      <c r="R172" s="227"/>
      <c r="S172" s="17" t="s">
        <v>142</v>
      </c>
      <c r="T172" s="227"/>
      <c r="U172" s="17" t="s">
        <v>200</v>
      </c>
      <c r="V172" s="19"/>
      <c r="W172" s="17"/>
      <c r="X172" s="225" t="s">
        <v>378</v>
      </c>
      <c r="Y172" s="17" t="s">
        <v>124</v>
      </c>
      <c r="Z172" s="18" t="s">
        <v>152</v>
      </c>
      <c r="AA172" s="17"/>
      <c r="AB172" s="225" t="s">
        <v>703</v>
      </c>
      <c r="AC172" s="17" t="s">
        <v>230</v>
      </c>
      <c r="AD172" s="18"/>
      <c r="AE172" s="17"/>
      <c r="AF172" s="227"/>
      <c r="AG172" s="17" t="s">
        <v>146</v>
      </c>
      <c r="AH172" s="18"/>
      <c r="AI172" s="17"/>
      <c r="AJ172" s="18"/>
      <c r="AK172" s="17"/>
      <c r="AL172" s="18"/>
      <c r="AM172" s="17"/>
      <c r="AN172" s="18"/>
      <c r="AO172" s="17"/>
    </row>
    <row r="173" spans="1:41" s="12" customFormat="1" x14ac:dyDescent="0.25">
      <c r="A173" s="221"/>
      <c r="B173" s="18"/>
      <c r="C173" s="17"/>
      <c r="D173" s="18"/>
      <c r="E173" s="17"/>
      <c r="F173" s="18"/>
      <c r="G173" s="17"/>
      <c r="H173" s="18"/>
      <c r="I173" s="17"/>
      <c r="J173" s="225" t="s">
        <v>115</v>
      </c>
      <c r="K173" s="17" t="s">
        <v>118</v>
      </c>
      <c r="L173" s="227"/>
      <c r="M173" s="17" t="s">
        <v>231</v>
      </c>
      <c r="N173" s="19"/>
      <c r="O173" s="17"/>
      <c r="P173" s="227"/>
      <c r="Q173" s="17" t="s">
        <v>145</v>
      </c>
      <c r="R173" s="18" t="s">
        <v>150</v>
      </c>
      <c r="S173" s="17"/>
      <c r="T173" s="18" t="s">
        <v>706</v>
      </c>
      <c r="U173" s="17" t="s">
        <v>210</v>
      </c>
      <c r="V173" s="19"/>
      <c r="W173" s="17"/>
      <c r="X173" s="226"/>
      <c r="Y173" s="17" t="s">
        <v>125</v>
      </c>
      <c r="Z173" s="18" t="s">
        <v>153</v>
      </c>
      <c r="AA173" s="17"/>
      <c r="AB173" s="227"/>
      <c r="AC173" s="17" t="s">
        <v>200</v>
      </c>
      <c r="AD173" s="19"/>
      <c r="AE173" s="17"/>
      <c r="AF173" s="18"/>
      <c r="AG173" s="17"/>
      <c r="AH173" s="18"/>
      <c r="AI173" s="17"/>
      <c r="AJ173" s="18"/>
      <c r="AK173" s="17"/>
      <c r="AL173" s="18"/>
      <c r="AM173" s="17"/>
      <c r="AN173" s="18"/>
      <c r="AO173" s="17"/>
    </row>
    <row r="174" spans="1:41" s="12" customFormat="1" x14ac:dyDescent="0.25">
      <c r="A174" s="221"/>
      <c r="B174" s="18"/>
      <c r="C174" s="17"/>
      <c r="D174" s="18"/>
      <c r="E174" s="17"/>
      <c r="F174" s="18"/>
      <c r="G174" s="17"/>
      <c r="H174" s="18"/>
      <c r="I174" s="17"/>
      <c r="J174" s="226"/>
      <c r="K174" s="17" t="s">
        <v>136</v>
      </c>
      <c r="L174" s="18" t="s">
        <v>706</v>
      </c>
      <c r="M174" s="17" t="s">
        <v>210</v>
      </c>
      <c r="N174" s="19"/>
      <c r="O174" s="17"/>
      <c r="P174" s="18"/>
      <c r="Q174" s="17"/>
      <c r="R174" s="18"/>
      <c r="S174" s="17"/>
      <c r="T174" s="225" t="s">
        <v>704</v>
      </c>
      <c r="U174" s="17" t="s">
        <v>302</v>
      </c>
      <c r="V174" s="19"/>
      <c r="W174" s="17"/>
      <c r="X174" s="227"/>
      <c r="Y174" s="17" t="s">
        <v>141</v>
      </c>
      <c r="Z174" s="18" t="s">
        <v>154</v>
      </c>
      <c r="AA174" s="17"/>
      <c r="AB174" s="18" t="s">
        <v>217</v>
      </c>
      <c r="AC174" s="17"/>
      <c r="AD174" s="19"/>
      <c r="AE174" s="17"/>
      <c r="AF174" s="18"/>
      <c r="AG174" s="17"/>
      <c r="AH174" s="18"/>
      <c r="AI174" s="17"/>
      <c r="AJ174" s="18"/>
      <c r="AK174" s="17"/>
      <c r="AL174" s="18"/>
      <c r="AM174" s="17"/>
      <c r="AN174" s="18"/>
      <c r="AO174" s="17"/>
    </row>
    <row r="175" spans="1:41" s="12" customFormat="1" x14ac:dyDescent="0.25">
      <c r="A175" s="221"/>
      <c r="B175" s="18"/>
      <c r="C175" s="17"/>
      <c r="D175" s="18"/>
      <c r="E175" s="17"/>
      <c r="F175" s="18"/>
      <c r="G175" s="17"/>
      <c r="H175" s="18"/>
      <c r="I175" s="17"/>
      <c r="J175" s="226"/>
      <c r="K175" s="17" t="s">
        <v>137</v>
      </c>
      <c r="L175" s="225" t="s">
        <v>704</v>
      </c>
      <c r="M175" s="17" t="s">
        <v>565</v>
      </c>
      <c r="N175" s="19"/>
      <c r="O175" s="17"/>
      <c r="P175" s="18"/>
      <c r="Q175" s="17"/>
      <c r="R175" s="18"/>
      <c r="S175" s="17"/>
      <c r="T175" s="226"/>
      <c r="U175" s="17" t="s">
        <v>304</v>
      </c>
      <c r="V175" s="19"/>
      <c r="W175" s="17"/>
      <c r="X175" s="18"/>
      <c r="Y175" s="17"/>
      <c r="Z175" s="18" t="s">
        <v>149</v>
      </c>
      <c r="AA175" s="17"/>
      <c r="AB175" s="18" t="s">
        <v>268</v>
      </c>
      <c r="AC175" s="17"/>
      <c r="AD175" s="19"/>
      <c r="AE175" s="17"/>
      <c r="AF175" s="18"/>
      <c r="AG175" s="17"/>
      <c r="AH175" s="18"/>
      <c r="AI175" s="17"/>
      <c r="AJ175" s="18"/>
      <c r="AK175" s="17"/>
      <c r="AL175" s="18"/>
      <c r="AM175" s="17"/>
      <c r="AN175" s="18"/>
      <c r="AO175" s="17"/>
    </row>
    <row r="176" spans="1:41" s="12" customFormat="1" x14ac:dyDescent="0.25">
      <c r="A176" s="221"/>
      <c r="B176" s="18"/>
      <c r="C176" s="17"/>
      <c r="D176" s="18"/>
      <c r="E176" s="17"/>
      <c r="F176" s="18"/>
      <c r="G176" s="17"/>
      <c r="H176" s="18"/>
      <c r="I176" s="17"/>
      <c r="J176" s="226"/>
      <c r="K176" s="17" t="s">
        <v>141</v>
      </c>
      <c r="L176" s="226"/>
      <c r="M176" s="17" t="s">
        <v>236</v>
      </c>
      <c r="N176" s="18"/>
      <c r="O176" s="17"/>
      <c r="P176" s="18"/>
      <c r="Q176" s="17"/>
      <c r="R176" s="18"/>
      <c r="S176" s="17"/>
      <c r="T176" s="226"/>
      <c r="U176" s="17" t="s">
        <v>565</v>
      </c>
      <c r="V176" s="19"/>
      <c r="W176" s="17"/>
      <c r="X176" s="18"/>
      <c r="Y176" s="17"/>
      <c r="Z176" s="18" t="s">
        <v>150</v>
      </c>
      <c r="AA176" s="17"/>
      <c r="AB176" s="225" t="s">
        <v>704</v>
      </c>
      <c r="AC176" s="17" t="s">
        <v>304</v>
      </c>
      <c r="AD176" s="19"/>
      <c r="AE176" s="17"/>
      <c r="AF176" s="18"/>
      <c r="AG176" s="17"/>
      <c r="AH176" s="18"/>
      <c r="AI176" s="17"/>
      <c r="AJ176" s="18"/>
      <c r="AK176" s="17"/>
      <c r="AL176" s="18"/>
      <c r="AM176" s="17"/>
      <c r="AN176" s="18"/>
      <c r="AO176" s="17"/>
    </row>
    <row r="177" spans="1:41" s="12" customFormat="1" x14ac:dyDescent="0.25">
      <c r="A177" s="221"/>
      <c r="B177" s="18"/>
      <c r="C177" s="17"/>
      <c r="D177" s="18"/>
      <c r="E177" s="17"/>
      <c r="F177" s="18"/>
      <c r="G177" s="17"/>
      <c r="H177" s="18"/>
      <c r="I177" s="17"/>
      <c r="J177" s="227"/>
      <c r="K177" s="17" t="s">
        <v>145</v>
      </c>
      <c r="L177" s="226"/>
      <c r="M177" s="17" t="s">
        <v>313</v>
      </c>
      <c r="N177" s="18"/>
      <c r="O177" s="17"/>
      <c r="P177" s="18"/>
      <c r="Q177" s="17"/>
      <c r="R177" s="18"/>
      <c r="S177" s="17"/>
      <c r="T177" s="226"/>
      <c r="U177" s="17" t="s">
        <v>310</v>
      </c>
      <c r="V177" s="19"/>
      <c r="W177" s="17"/>
      <c r="X177" s="18"/>
      <c r="Y177" s="17"/>
      <c r="Z177" s="18"/>
      <c r="AA177" s="17"/>
      <c r="AB177" s="226"/>
      <c r="AC177" s="17" t="s">
        <v>306</v>
      </c>
      <c r="AD177" s="18"/>
      <c r="AE177" s="17"/>
      <c r="AF177" s="18"/>
      <c r="AG177" s="17"/>
      <c r="AH177" s="18"/>
      <c r="AI177" s="17"/>
      <c r="AJ177" s="18"/>
      <c r="AK177" s="17"/>
      <c r="AL177" s="18"/>
      <c r="AM177" s="17"/>
      <c r="AN177" s="18"/>
      <c r="AO177" s="17"/>
    </row>
    <row r="178" spans="1:41" s="12" customFormat="1" x14ac:dyDescent="0.25">
      <c r="A178" s="221"/>
      <c r="B178" s="18"/>
      <c r="C178" s="17"/>
      <c r="D178" s="18"/>
      <c r="E178" s="17"/>
      <c r="F178" s="18"/>
      <c r="G178" s="17"/>
      <c r="H178" s="18"/>
      <c r="I178" s="17"/>
      <c r="J178" s="18" t="s">
        <v>149</v>
      </c>
      <c r="K178" s="17"/>
      <c r="L178" s="227"/>
      <c r="M178" s="17" t="s">
        <v>211</v>
      </c>
      <c r="N178" s="18"/>
      <c r="O178" s="17"/>
      <c r="P178" s="18"/>
      <c r="Q178" s="17"/>
      <c r="R178" s="18"/>
      <c r="S178" s="17"/>
      <c r="T178" s="226"/>
      <c r="U178" s="17" t="s">
        <v>313</v>
      </c>
      <c r="V178" s="18"/>
      <c r="W178" s="17"/>
      <c r="X178" s="18"/>
      <c r="Y178" s="17"/>
      <c r="Z178" s="18"/>
      <c r="AA178" s="17"/>
      <c r="AB178" s="226"/>
      <c r="AC178" s="17" t="s">
        <v>310</v>
      </c>
      <c r="AD178" s="18"/>
      <c r="AE178" s="17"/>
      <c r="AF178" s="18"/>
      <c r="AG178" s="17"/>
      <c r="AH178" s="18"/>
      <c r="AI178" s="17"/>
      <c r="AJ178" s="18"/>
      <c r="AK178" s="17"/>
      <c r="AL178" s="18"/>
      <c r="AM178" s="17"/>
      <c r="AN178" s="18"/>
      <c r="AO178" s="17"/>
    </row>
    <row r="179" spans="1:41" s="12" customFormat="1" x14ac:dyDescent="0.25">
      <c r="A179" s="221"/>
      <c r="B179" s="18"/>
      <c r="C179" s="17"/>
      <c r="D179" s="18"/>
      <c r="E179" s="17"/>
      <c r="F179" s="18"/>
      <c r="G179" s="17"/>
      <c r="H179" s="18"/>
      <c r="I179" s="17"/>
      <c r="J179" s="18" t="s">
        <v>150</v>
      </c>
      <c r="K179" s="17"/>
      <c r="L179" s="18" t="s">
        <v>237</v>
      </c>
      <c r="M179" s="17"/>
      <c r="N179" s="18"/>
      <c r="O179" s="17"/>
      <c r="P179" s="18"/>
      <c r="Q179" s="17"/>
      <c r="R179" s="18"/>
      <c r="S179" s="17"/>
      <c r="T179" s="227"/>
      <c r="U179" s="17" t="s">
        <v>318</v>
      </c>
      <c r="V179" s="18"/>
      <c r="W179" s="17"/>
      <c r="X179" s="18"/>
      <c r="Y179" s="17"/>
      <c r="Z179" s="18"/>
      <c r="AA179" s="17"/>
      <c r="AB179" s="227"/>
      <c r="AC179" s="17" t="s">
        <v>318</v>
      </c>
      <c r="AD179" s="18"/>
      <c r="AE179" s="17"/>
      <c r="AF179" s="18"/>
      <c r="AG179" s="17"/>
      <c r="AH179" s="18"/>
      <c r="AI179" s="17"/>
      <c r="AJ179" s="18"/>
      <c r="AK179" s="17"/>
      <c r="AL179" s="18"/>
      <c r="AM179" s="17"/>
      <c r="AN179" s="18"/>
      <c r="AO179" s="17"/>
    </row>
    <row r="180" spans="1:41" s="12" customFormat="1" x14ac:dyDescent="0.25">
      <c r="A180" s="221"/>
      <c r="B180" s="18"/>
      <c r="C180" s="17"/>
      <c r="D180" s="18"/>
      <c r="E180" s="17"/>
      <c r="F180" s="18"/>
      <c r="G180" s="17"/>
      <c r="H180" s="18"/>
      <c r="I180" s="17"/>
      <c r="J180" s="18"/>
      <c r="K180" s="17"/>
      <c r="L180" s="18" t="s">
        <v>190</v>
      </c>
      <c r="M180" s="17"/>
      <c r="N180" s="18"/>
      <c r="O180" s="17"/>
      <c r="P180" s="18"/>
      <c r="Q180" s="17"/>
      <c r="R180" s="18"/>
      <c r="S180" s="17"/>
      <c r="T180" s="18" t="s">
        <v>361</v>
      </c>
      <c r="U180" s="17"/>
      <c r="V180" s="18"/>
      <c r="W180" s="17"/>
      <c r="X180" s="18"/>
      <c r="Y180" s="17"/>
      <c r="Z180" s="18"/>
      <c r="AA180" s="17"/>
      <c r="AB180" s="18" t="s">
        <v>190</v>
      </c>
      <c r="AC180" s="17"/>
      <c r="AD180" s="18"/>
      <c r="AE180" s="17"/>
      <c r="AF180" s="18"/>
      <c r="AG180" s="17"/>
      <c r="AH180" s="18"/>
      <c r="AI180" s="17"/>
      <c r="AJ180" s="18"/>
      <c r="AK180" s="17"/>
      <c r="AL180" s="18"/>
      <c r="AM180" s="17"/>
      <c r="AN180" s="18"/>
      <c r="AO180" s="17"/>
    </row>
    <row r="181" spans="1:41" s="12" customFormat="1" x14ac:dyDescent="0.25">
      <c r="A181" s="221"/>
      <c r="B181" s="18"/>
      <c r="C181" s="17"/>
      <c r="D181" s="18"/>
      <c r="E181" s="17"/>
      <c r="F181" s="18"/>
      <c r="G181" s="17"/>
      <c r="H181" s="18"/>
      <c r="I181" s="17"/>
      <c r="J181" s="18"/>
      <c r="K181" s="17"/>
      <c r="L181" s="18"/>
      <c r="M181" s="17"/>
      <c r="N181" s="18"/>
      <c r="O181" s="17"/>
      <c r="P181" s="18"/>
      <c r="Q181" s="17"/>
      <c r="R181" s="18"/>
      <c r="S181" s="17"/>
      <c r="T181" s="18" t="s">
        <v>567</v>
      </c>
      <c r="U181" s="17"/>
      <c r="V181" s="18"/>
      <c r="W181" s="17"/>
      <c r="X181" s="18"/>
      <c r="Y181" s="17"/>
      <c r="Z181" s="18"/>
      <c r="AA181" s="17"/>
      <c r="AB181" s="18"/>
      <c r="AC181" s="17"/>
      <c r="AD181" s="18"/>
      <c r="AE181" s="17"/>
      <c r="AF181" s="18"/>
      <c r="AG181" s="17"/>
      <c r="AH181" s="18"/>
      <c r="AI181" s="17"/>
      <c r="AJ181" s="18"/>
      <c r="AK181" s="17"/>
      <c r="AL181" s="18"/>
      <c r="AM181" s="17"/>
      <c r="AN181" s="18"/>
      <c r="AO181" s="17"/>
    </row>
    <row r="182" spans="1:41" s="12" customFormat="1" x14ac:dyDescent="0.25">
      <c r="A182" s="221"/>
      <c r="B182" s="18"/>
      <c r="C182" s="17"/>
      <c r="D182" s="18"/>
      <c r="E182" s="17"/>
      <c r="F182" s="18"/>
      <c r="G182" s="17"/>
      <c r="H182" s="18"/>
      <c r="I182" s="17"/>
      <c r="J182" s="18"/>
      <c r="K182" s="17"/>
      <c r="L182" s="18"/>
      <c r="M182" s="17"/>
      <c r="N182" s="18"/>
      <c r="O182" s="17"/>
      <c r="P182" s="18"/>
      <c r="Q182" s="17"/>
      <c r="R182" s="18"/>
      <c r="S182" s="17"/>
      <c r="T182" s="18" t="s">
        <v>550</v>
      </c>
      <c r="U182" s="17"/>
      <c r="V182" s="18"/>
      <c r="W182" s="17"/>
      <c r="X182" s="18"/>
      <c r="Y182" s="17"/>
      <c r="Z182" s="18"/>
      <c r="AA182" s="17"/>
      <c r="AB182" s="18"/>
      <c r="AC182" s="17"/>
      <c r="AD182" s="18"/>
      <c r="AE182" s="17"/>
      <c r="AF182" s="18"/>
      <c r="AG182" s="17"/>
      <c r="AH182" s="18"/>
      <c r="AI182" s="17"/>
      <c r="AJ182" s="18"/>
      <c r="AK182" s="17"/>
      <c r="AL182" s="18"/>
      <c r="AM182" s="17"/>
      <c r="AN182" s="18"/>
      <c r="AO182" s="17"/>
    </row>
    <row r="183" spans="1:41" s="12" customFormat="1" x14ac:dyDescent="0.25">
      <c r="A183" s="221"/>
      <c r="B183" s="18"/>
      <c r="C183" s="17"/>
      <c r="D183" s="18"/>
      <c r="E183" s="17"/>
      <c r="F183" s="18"/>
      <c r="G183" s="17"/>
      <c r="H183" s="18"/>
      <c r="I183" s="17"/>
      <c r="J183" s="18"/>
      <c r="K183" s="17"/>
      <c r="L183" s="18"/>
      <c r="M183" s="17"/>
      <c r="N183" s="18"/>
      <c r="O183" s="17"/>
      <c r="P183" s="18"/>
      <c r="Q183" s="17"/>
      <c r="R183" s="18"/>
      <c r="S183" s="17"/>
      <c r="T183" s="18" t="s">
        <v>264</v>
      </c>
      <c r="U183" s="17"/>
      <c r="V183" s="18"/>
      <c r="W183" s="17"/>
      <c r="X183" s="18"/>
      <c r="Y183" s="17"/>
      <c r="Z183" s="18"/>
      <c r="AA183" s="17"/>
      <c r="AB183" s="18"/>
      <c r="AC183" s="17"/>
      <c r="AD183" s="18"/>
      <c r="AE183" s="17"/>
      <c r="AF183" s="18"/>
      <c r="AG183" s="17"/>
      <c r="AH183" s="18"/>
      <c r="AI183" s="17"/>
      <c r="AJ183" s="18"/>
      <c r="AK183" s="17"/>
      <c r="AL183" s="18"/>
      <c r="AM183" s="17"/>
      <c r="AN183" s="18"/>
      <c r="AO183" s="17"/>
    </row>
    <row r="184" spans="1:41" s="11" customFormat="1" ht="51" thickBot="1" x14ac:dyDescent="0.3">
      <c r="A184" s="221" t="s">
        <v>287</v>
      </c>
      <c r="B184" s="22"/>
      <c r="C184" s="21"/>
      <c r="D184" s="22"/>
      <c r="E184" s="21"/>
      <c r="F184" s="22"/>
      <c r="G184" s="21"/>
      <c r="H184" s="22"/>
      <c r="I184" s="21"/>
      <c r="J184" s="222" t="s">
        <v>80</v>
      </c>
      <c r="K184" s="222"/>
      <c r="L184" s="222"/>
      <c r="M184" s="222"/>
      <c r="N184" s="222"/>
      <c r="O184" s="222"/>
      <c r="P184" s="222"/>
      <c r="Q184" s="222"/>
      <c r="R184" s="222" t="s">
        <v>92</v>
      </c>
      <c r="S184" s="222"/>
      <c r="T184" s="222"/>
      <c r="U184" s="222"/>
      <c r="V184" s="222"/>
      <c r="W184" s="222"/>
      <c r="X184" s="222"/>
      <c r="Y184" s="222"/>
      <c r="Z184" s="222" t="s">
        <v>104</v>
      </c>
      <c r="AA184" s="222"/>
      <c r="AB184" s="222"/>
      <c r="AC184" s="222"/>
      <c r="AD184" s="222"/>
      <c r="AE184" s="222"/>
      <c r="AF184" s="222"/>
      <c r="AG184" s="222"/>
      <c r="AH184" s="22"/>
      <c r="AI184" s="21"/>
      <c r="AJ184" s="22"/>
      <c r="AK184" s="21"/>
      <c r="AL184" s="22"/>
      <c r="AM184" s="21"/>
      <c r="AN184" s="22"/>
      <c r="AO184" s="21"/>
    </row>
    <row r="185" spans="1:41" s="11" customFormat="1" ht="17.25" thickTop="1" x14ac:dyDescent="0.25">
      <c r="A185" s="221"/>
      <c r="B185" s="22"/>
      <c r="C185" s="21"/>
      <c r="D185" s="22"/>
      <c r="E185" s="21"/>
      <c r="F185" s="22"/>
      <c r="G185" s="21"/>
      <c r="H185" s="22"/>
      <c r="I185" s="21"/>
      <c r="J185" s="231" t="s">
        <v>1445</v>
      </c>
      <c r="K185" s="231" t="s">
        <v>1446</v>
      </c>
      <c r="L185" s="231" t="s">
        <v>1448</v>
      </c>
      <c r="M185" s="231" t="s">
        <v>1449</v>
      </c>
      <c r="N185" s="231" t="s">
        <v>1450</v>
      </c>
      <c r="O185" s="231" t="s">
        <v>1451</v>
      </c>
      <c r="P185" s="231" t="s">
        <v>715</v>
      </c>
      <c r="Q185" s="231" t="s">
        <v>1447</v>
      </c>
      <c r="R185" s="231" t="s">
        <v>1445</v>
      </c>
      <c r="S185" s="231" t="s">
        <v>1446</v>
      </c>
      <c r="T185" s="231" t="s">
        <v>1448</v>
      </c>
      <c r="U185" s="231" t="s">
        <v>1449</v>
      </c>
      <c r="V185" s="231" t="s">
        <v>1450</v>
      </c>
      <c r="W185" s="231" t="s">
        <v>1451</v>
      </c>
      <c r="X185" s="231" t="s">
        <v>715</v>
      </c>
      <c r="Y185" s="231" t="s">
        <v>1447</v>
      </c>
      <c r="Z185" s="231" t="s">
        <v>1445</v>
      </c>
      <c r="AA185" s="231" t="s">
        <v>1446</v>
      </c>
      <c r="AB185" s="231" t="s">
        <v>1448</v>
      </c>
      <c r="AC185" s="231" t="s">
        <v>1449</v>
      </c>
      <c r="AD185" s="231" t="s">
        <v>1450</v>
      </c>
      <c r="AE185" s="231" t="s">
        <v>1451</v>
      </c>
      <c r="AF185" s="231" t="s">
        <v>715</v>
      </c>
      <c r="AG185" s="231" t="s">
        <v>1447</v>
      </c>
      <c r="AH185" s="22"/>
      <c r="AI185" s="21"/>
      <c r="AJ185" s="22"/>
      <c r="AK185" s="21"/>
      <c r="AL185" s="22"/>
      <c r="AM185" s="21"/>
      <c r="AN185" s="22"/>
      <c r="AO185" s="21"/>
    </row>
    <row r="186" spans="1:41" s="12" customFormat="1" x14ac:dyDescent="0.25">
      <c r="A186" s="221"/>
      <c r="B186" s="18"/>
      <c r="C186" s="17"/>
      <c r="D186" s="18"/>
      <c r="E186" s="17"/>
      <c r="F186" s="18"/>
      <c r="G186" s="17"/>
      <c r="H186" s="18"/>
      <c r="I186" s="17"/>
      <c r="J186" s="18" t="s">
        <v>151</v>
      </c>
      <c r="K186" s="17"/>
      <c r="L186" s="18" t="s">
        <v>182</v>
      </c>
      <c r="M186" s="17"/>
      <c r="N186" s="18" t="s">
        <v>558</v>
      </c>
      <c r="O186" s="17" t="s">
        <v>570</v>
      </c>
      <c r="P186" s="225" t="s">
        <v>378</v>
      </c>
      <c r="Q186" s="17" t="s">
        <v>118</v>
      </c>
      <c r="R186" s="225" t="s">
        <v>558</v>
      </c>
      <c r="S186" s="17" t="s">
        <v>570</v>
      </c>
      <c r="T186" s="18" t="s">
        <v>706</v>
      </c>
      <c r="U186" s="17" t="s">
        <v>210</v>
      </c>
      <c r="V186" s="225" t="s">
        <v>115</v>
      </c>
      <c r="W186" s="17" t="s">
        <v>127</v>
      </c>
      <c r="X186" s="225" t="s">
        <v>379</v>
      </c>
      <c r="Y186" s="17" t="s">
        <v>570</v>
      </c>
      <c r="Z186" s="18" t="s">
        <v>558</v>
      </c>
      <c r="AA186" s="17" t="s">
        <v>570</v>
      </c>
      <c r="AB186" s="225" t="s">
        <v>703</v>
      </c>
      <c r="AC186" s="17" t="s">
        <v>197</v>
      </c>
      <c r="AD186" s="18" t="s">
        <v>156</v>
      </c>
      <c r="AE186" s="17"/>
      <c r="AF186" s="225" t="s">
        <v>379</v>
      </c>
      <c r="AG186" s="17" t="s">
        <v>570</v>
      </c>
      <c r="AH186" s="18"/>
      <c r="AI186" s="17"/>
      <c r="AJ186" s="18"/>
      <c r="AK186" s="17"/>
      <c r="AL186" s="18"/>
      <c r="AM186" s="17"/>
      <c r="AN186" s="18"/>
      <c r="AO186" s="17"/>
    </row>
    <row r="187" spans="1:41" s="12" customFormat="1" x14ac:dyDescent="0.25">
      <c r="A187" s="221"/>
      <c r="B187" s="18"/>
      <c r="C187" s="17"/>
      <c r="D187" s="18"/>
      <c r="E187" s="17"/>
      <c r="F187" s="18"/>
      <c r="G187" s="17"/>
      <c r="H187" s="18"/>
      <c r="I187" s="17"/>
      <c r="J187" s="225" t="s">
        <v>558</v>
      </c>
      <c r="K187" s="17" t="s">
        <v>568</v>
      </c>
      <c r="L187" s="225" t="s">
        <v>704</v>
      </c>
      <c r="M187" s="17" t="s">
        <v>308</v>
      </c>
      <c r="N187" s="18" t="s">
        <v>115</v>
      </c>
      <c r="O187" s="17" t="s">
        <v>540</v>
      </c>
      <c r="P187" s="227"/>
      <c r="Q187" s="17" t="s">
        <v>141</v>
      </c>
      <c r="R187" s="226"/>
      <c r="S187" s="17" t="s">
        <v>571</v>
      </c>
      <c r="T187" s="18" t="s">
        <v>186</v>
      </c>
      <c r="U187" s="17" t="s">
        <v>348</v>
      </c>
      <c r="V187" s="226"/>
      <c r="W187" s="17" t="s">
        <v>133</v>
      </c>
      <c r="X187" s="227"/>
      <c r="Y187" s="17" t="s">
        <v>111</v>
      </c>
      <c r="Z187" s="225" t="s">
        <v>115</v>
      </c>
      <c r="AA187" s="17" t="s">
        <v>124</v>
      </c>
      <c r="AB187" s="226"/>
      <c r="AC187" s="17" t="s">
        <v>198</v>
      </c>
      <c r="AD187" s="18" t="s">
        <v>155</v>
      </c>
      <c r="AE187" s="17"/>
      <c r="AF187" s="226"/>
      <c r="AG187" s="17" t="s">
        <v>110</v>
      </c>
      <c r="AH187" s="18"/>
      <c r="AI187" s="17"/>
      <c r="AJ187" s="18"/>
      <c r="AK187" s="17"/>
      <c r="AL187" s="18"/>
      <c r="AM187" s="17"/>
      <c r="AN187" s="18"/>
      <c r="AO187" s="17"/>
    </row>
    <row r="188" spans="1:41" s="12" customFormat="1" x14ac:dyDescent="0.25">
      <c r="A188" s="221"/>
      <c r="B188" s="18"/>
      <c r="C188" s="17"/>
      <c r="D188" s="18"/>
      <c r="E188" s="17"/>
      <c r="F188" s="18"/>
      <c r="G188" s="17"/>
      <c r="H188" s="18"/>
      <c r="I188" s="17"/>
      <c r="J188" s="227"/>
      <c r="K188" s="17" t="s">
        <v>109</v>
      </c>
      <c r="L188" s="226"/>
      <c r="M188" s="17" t="s">
        <v>569</v>
      </c>
      <c r="N188" s="19"/>
      <c r="O188" s="17"/>
      <c r="P188" s="18"/>
      <c r="Q188" s="17"/>
      <c r="R188" s="227"/>
      <c r="S188" s="17" t="s">
        <v>111</v>
      </c>
      <c r="T188" s="18" t="s">
        <v>549</v>
      </c>
      <c r="U188" s="17"/>
      <c r="V188" s="227"/>
      <c r="W188" s="17" t="s">
        <v>139</v>
      </c>
      <c r="X188" s="225" t="s">
        <v>378</v>
      </c>
      <c r="Y188" s="17" t="s">
        <v>125</v>
      </c>
      <c r="Z188" s="226"/>
      <c r="AA188" s="17" t="s">
        <v>125</v>
      </c>
      <c r="AB188" s="226"/>
      <c r="AC188" s="17" t="s">
        <v>230</v>
      </c>
      <c r="AD188" s="19"/>
      <c r="AE188" s="17"/>
      <c r="AF188" s="227"/>
      <c r="AG188" s="17" t="s">
        <v>111</v>
      </c>
      <c r="AH188" s="18"/>
      <c r="AI188" s="17"/>
      <c r="AJ188" s="18"/>
      <c r="AK188" s="17"/>
      <c r="AL188" s="18"/>
      <c r="AM188" s="17"/>
      <c r="AN188" s="18"/>
      <c r="AO188" s="17"/>
    </row>
    <row r="189" spans="1:41" s="12" customFormat="1" x14ac:dyDescent="0.25">
      <c r="A189" s="221"/>
      <c r="B189" s="18"/>
      <c r="C189" s="17"/>
      <c r="D189" s="18"/>
      <c r="E189" s="17"/>
      <c r="F189" s="18"/>
      <c r="G189" s="17"/>
      <c r="H189" s="18"/>
      <c r="I189" s="17"/>
      <c r="J189" s="225" t="s">
        <v>115</v>
      </c>
      <c r="K189" s="17" t="s">
        <v>130</v>
      </c>
      <c r="L189" s="227"/>
      <c r="M189" s="17" t="s">
        <v>324</v>
      </c>
      <c r="N189" s="19"/>
      <c r="O189" s="17"/>
      <c r="P189" s="18"/>
      <c r="Q189" s="17"/>
      <c r="R189" s="225" t="s">
        <v>115</v>
      </c>
      <c r="S189" s="17" t="s">
        <v>130</v>
      </c>
      <c r="T189" s="18" t="s">
        <v>553</v>
      </c>
      <c r="U189" s="17"/>
      <c r="V189" s="18" t="s">
        <v>155</v>
      </c>
      <c r="W189" s="18"/>
      <c r="X189" s="226"/>
      <c r="Y189" s="17" t="s">
        <v>130</v>
      </c>
      <c r="Z189" s="226"/>
      <c r="AA189" s="17" t="s">
        <v>127</v>
      </c>
      <c r="AB189" s="227"/>
      <c r="AC189" s="17" t="s">
        <v>201</v>
      </c>
      <c r="AD189" s="19"/>
      <c r="AE189" s="17"/>
      <c r="AF189" s="225" t="s">
        <v>378</v>
      </c>
      <c r="AG189" s="17" t="s">
        <v>118</v>
      </c>
      <c r="AH189" s="18"/>
      <c r="AI189" s="17"/>
      <c r="AJ189" s="18"/>
      <c r="AK189" s="17"/>
      <c r="AL189" s="18"/>
      <c r="AM189" s="17"/>
      <c r="AN189" s="18"/>
      <c r="AO189" s="17"/>
    </row>
    <row r="190" spans="1:41" s="12" customFormat="1" x14ac:dyDescent="0.25">
      <c r="A190" s="221"/>
      <c r="B190" s="18"/>
      <c r="C190" s="17"/>
      <c r="D190" s="18"/>
      <c r="E190" s="17"/>
      <c r="F190" s="18"/>
      <c r="G190" s="17"/>
      <c r="H190" s="18"/>
      <c r="I190" s="17"/>
      <c r="J190" s="226"/>
      <c r="K190" s="17" t="s">
        <v>136</v>
      </c>
      <c r="L190" s="18" t="s">
        <v>260</v>
      </c>
      <c r="M190" s="17"/>
      <c r="N190" s="18"/>
      <c r="O190" s="17"/>
      <c r="P190" s="18"/>
      <c r="Q190" s="17"/>
      <c r="R190" s="226"/>
      <c r="S190" s="17" t="s">
        <v>139</v>
      </c>
      <c r="T190" s="18"/>
      <c r="U190" s="17"/>
      <c r="V190" s="19"/>
      <c r="W190" s="18"/>
      <c r="X190" s="226"/>
      <c r="Y190" s="17" t="s">
        <v>138</v>
      </c>
      <c r="Z190" s="226"/>
      <c r="AA190" s="17" t="s">
        <v>130</v>
      </c>
      <c r="AB190" s="18" t="s">
        <v>550</v>
      </c>
      <c r="AC190" s="17"/>
      <c r="AD190" s="19"/>
      <c r="AE190" s="17"/>
      <c r="AF190" s="226"/>
      <c r="AG190" s="17" t="s">
        <v>124</v>
      </c>
      <c r="AH190" s="18"/>
      <c r="AI190" s="17"/>
      <c r="AJ190" s="18"/>
      <c r="AK190" s="17"/>
      <c r="AL190" s="18"/>
      <c r="AM190" s="17"/>
      <c r="AN190" s="18"/>
      <c r="AO190" s="17"/>
    </row>
    <row r="191" spans="1:41" s="12" customFormat="1" x14ac:dyDescent="0.25">
      <c r="A191" s="221"/>
      <c r="B191" s="18"/>
      <c r="C191" s="17"/>
      <c r="D191" s="18"/>
      <c r="E191" s="17"/>
      <c r="F191" s="18"/>
      <c r="G191" s="17"/>
      <c r="H191" s="18"/>
      <c r="I191" s="17"/>
      <c r="J191" s="226"/>
      <c r="K191" s="17" t="s">
        <v>141</v>
      </c>
      <c r="L191" s="18" t="s">
        <v>190</v>
      </c>
      <c r="M191" s="17"/>
      <c r="N191" s="18"/>
      <c r="O191" s="17"/>
      <c r="P191" s="18"/>
      <c r="Q191" s="17"/>
      <c r="R191" s="226"/>
      <c r="S191" s="17" t="s">
        <v>140</v>
      </c>
      <c r="T191" s="18"/>
      <c r="U191" s="17"/>
      <c r="V191" s="19"/>
      <c r="W191" s="17"/>
      <c r="X191" s="226"/>
      <c r="Y191" s="17" t="s">
        <v>140</v>
      </c>
      <c r="Z191" s="226"/>
      <c r="AA191" s="17" t="s">
        <v>138</v>
      </c>
      <c r="AB191" s="225" t="s">
        <v>186</v>
      </c>
      <c r="AC191" s="17" t="s">
        <v>348</v>
      </c>
      <c r="AD191" s="19"/>
      <c r="AE191" s="17"/>
      <c r="AF191" s="226"/>
      <c r="AG191" s="17" t="s">
        <v>125</v>
      </c>
      <c r="AH191" s="18"/>
      <c r="AI191" s="17"/>
      <c r="AJ191" s="18"/>
      <c r="AK191" s="17"/>
      <c r="AL191" s="18"/>
      <c r="AM191" s="17"/>
      <c r="AN191" s="18"/>
      <c r="AO191" s="17"/>
    </row>
    <row r="192" spans="1:41" s="12" customFormat="1" x14ac:dyDescent="0.25">
      <c r="A192" s="221"/>
      <c r="B192" s="18"/>
      <c r="C192" s="17"/>
      <c r="D192" s="18"/>
      <c r="E192" s="17"/>
      <c r="F192" s="18"/>
      <c r="G192" s="17"/>
      <c r="H192" s="18"/>
      <c r="I192" s="17"/>
      <c r="J192" s="227"/>
      <c r="K192" s="17" t="s">
        <v>145</v>
      </c>
      <c r="L192" s="18"/>
      <c r="M192" s="17"/>
      <c r="N192" s="18"/>
      <c r="O192" s="17"/>
      <c r="P192" s="18"/>
      <c r="Q192" s="17"/>
      <c r="R192" s="227"/>
      <c r="S192" s="17" t="s">
        <v>145</v>
      </c>
      <c r="T192" s="18"/>
      <c r="U192" s="17"/>
      <c r="V192" s="19"/>
      <c r="W192" s="17"/>
      <c r="X192" s="226"/>
      <c r="Y192" s="17" t="s">
        <v>141</v>
      </c>
      <c r="Z192" s="226"/>
      <c r="AA192" s="17" t="s">
        <v>140</v>
      </c>
      <c r="AB192" s="227"/>
      <c r="AC192" s="17" t="s">
        <v>342</v>
      </c>
      <c r="AD192" s="19"/>
      <c r="AE192" s="17"/>
      <c r="AF192" s="226"/>
      <c r="AG192" s="17" t="s">
        <v>127</v>
      </c>
      <c r="AH192" s="18"/>
      <c r="AI192" s="17"/>
      <c r="AJ192" s="18"/>
      <c r="AK192" s="17"/>
      <c r="AL192" s="18"/>
      <c r="AM192" s="17"/>
      <c r="AN192" s="18"/>
      <c r="AO192" s="17"/>
    </row>
    <row r="193" spans="1:41" s="12" customFormat="1" x14ac:dyDescent="0.25">
      <c r="A193" s="221"/>
      <c r="B193" s="18"/>
      <c r="C193" s="17"/>
      <c r="D193" s="18"/>
      <c r="E193" s="17"/>
      <c r="F193" s="18"/>
      <c r="G193" s="17"/>
      <c r="H193" s="18"/>
      <c r="I193" s="17"/>
      <c r="J193" s="18" t="s">
        <v>149</v>
      </c>
      <c r="K193" s="17"/>
      <c r="L193" s="18"/>
      <c r="M193" s="17"/>
      <c r="N193" s="18"/>
      <c r="O193" s="17"/>
      <c r="P193" s="18"/>
      <c r="Q193" s="17"/>
      <c r="R193" s="18" t="s">
        <v>149</v>
      </c>
      <c r="S193" s="17"/>
      <c r="T193" s="18"/>
      <c r="U193" s="17"/>
      <c r="V193" s="19"/>
      <c r="W193" s="17"/>
      <c r="X193" s="227"/>
      <c r="Y193" s="17" t="s">
        <v>145</v>
      </c>
      <c r="Z193" s="227"/>
      <c r="AA193" s="17" t="s">
        <v>141</v>
      </c>
      <c r="AB193" s="18" t="s">
        <v>191</v>
      </c>
      <c r="AC193" s="17"/>
      <c r="AD193" s="19"/>
      <c r="AE193" s="17"/>
      <c r="AF193" s="226"/>
      <c r="AG193" s="17" t="s">
        <v>138</v>
      </c>
      <c r="AH193" s="18"/>
      <c r="AI193" s="17"/>
      <c r="AJ193" s="18"/>
      <c r="AK193" s="17"/>
      <c r="AL193" s="18"/>
      <c r="AM193" s="17"/>
      <c r="AN193" s="18"/>
      <c r="AO193" s="17"/>
    </row>
    <row r="194" spans="1:41" s="12" customFormat="1" x14ac:dyDescent="0.25">
      <c r="A194" s="221"/>
      <c r="B194" s="18"/>
      <c r="C194" s="17"/>
      <c r="D194" s="18"/>
      <c r="E194" s="17"/>
      <c r="F194" s="18"/>
      <c r="G194" s="17"/>
      <c r="H194" s="18"/>
      <c r="I194" s="17"/>
      <c r="J194" s="18" t="s">
        <v>150</v>
      </c>
      <c r="K194" s="17"/>
      <c r="L194" s="18"/>
      <c r="M194" s="17"/>
      <c r="N194" s="18"/>
      <c r="O194" s="17"/>
      <c r="P194" s="18"/>
      <c r="Q194" s="17"/>
      <c r="R194" s="18" t="s">
        <v>150</v>
      </c>
      <c r="S194" s="17"/>
      <c r="T194" s="18"/>
      <c r="U194" s="17"/>
      <c r="V194" s="19"/>
      <c r="W194" s="17"/>
      <c r="X194" s="18" t="s">
        <v>1162</v>
      </c>
      <c r="Y194" s="17"/>
      <c r="Z194" s="18" t="s">
        <v>154</v>
      </c>
      <c r="AA194" s="17"/>
      <c r="AB194" s="18"/>
      <c r="AC194" s="17"/>
      <c r="AD194" s="19"/>
      <c r="AE194" s="17"/>
      <c r="AF194" s="227"/>
      <c r="AG194" s="17" t="s">
        <v>141</v>
      </c>
      <c r="AH194" s="18"/>
      <c r="AI194" s="17"/>
      <c r="AJ194" s="18"/>
      <c r="AK194" s="17"/>
      <c r="AL194" s="18"/>
      <c r="AM194" s="17"/>
      <c r="AN194" s="18"/>
      <c r="AO194" s="17"/>
    </row>
    <row r="195" spans="1:41" s="12" customFormat="1" x14ac:dyDescent="0.25">
      <c r="A195" s="221"/>
      <c r="B195" s="18"/>
      <c r="C195" s="17"/>
      <c r="D195" s="18"/>
      <c r="E195" s="17"/>
      <c r="F195" s="18"/>
      <c r="G195" s="17"/>
      <c r="H195" s="18"/>
      <c r="I195" s="17"/>
      <c r="J195" s="18"/>
      <c r="K195" s="17"/>
      <c r="L195" s="18"/>
      <c r="M195" s="17"/>
      <c r="N195" s="18"/>
      <c r="O195" s="17"/>
      <c r="P195" s="18"/>
      <c r="Q195" s="17"/>
      <c r="R195" s="18"/>
      <c r="S195" s="17"/>
      <c r="T195" s="18"/>
      <c r="U195" s="17"/>
      <c r="V195" s="19"/>
      <c r="W195" s="17"/>
      <c r="X195" s="18" t="s">
        <v>1163</v>
      </c>
      <c r="Y195" s="17"/>
      <c r="Z195" s="18" t="s">
        <v>148</v>
      </c>
      <c r="AA195" s="17"/>
      <c r="AB195" s="18"/>
      <c r="AC195" s="17"/>
      <c r="AD195" s="19"/>
      <c r="AE195" s="17"/>
      <c r="AF195" s="18"/>
      <c r="AG195" s="17"/>
      <c r="AH195" s="18"/>
      <c r="AI195" s="17"/>
      <c r="AJ195" s="18"/>
      <c r="AK195" s="17"/>
      <c r="AL195" s="18"/>
      <c r="AM195" s="17"/>
      <c r="AN195" s="18"/>
      <c r="AO195" s="17"/>
    </row>
    <row r="196" spans="1:41" s="12" customFormat="1" x14ac:dyDescent="0.25">
      <c r="A196" s="221"/>
      <c r="B196" s="18"/>
      <c r="C196" s="17"/>
      <c r="D196" s="18"/>
      <c r="E196" s="17"/>
      <c r="F196" s="18"/>
      <c r="G196" s="17"/>
      <c r="H196" s="18"/>
      <c r="I196" s="17"/>
      <c r="J196" s="18"/>
      <c r="K196" s="17"/>
      <c r="L196" s="18"/>
      <c r="M196" s="17"/>
      <c r="N196" s="18"/>
      <c r="O196" s="17"/>
      <c r="P196" s="18"/>
      <c r="Q196" s="17"/>
      <c r="R196" s="18"/>
      <c r="S196" s="17"/>
      <c r="T196" s="18"/>
      <c r="U196" s="17"/>
      <c r="V196" s="19"/>
      <c r="W196" s="17"/>
      <c r="X196" s="18"/>
      <c r="Y196" s="17"/>
      <c r="Z196" s="18" t="s">
        <v>150</v>
      </c>
      <c r="AA196" s="17"/>
      <c r="AB196" s="18"/>
      <c r="AC196" s="17"/>
      <c r="AD196" s="19"/>
      <c r="AE196" s="17"/>
      <c r="AF196" s="18"/>
      <c r="AG196" s="17"/>
      <c r="AH196" s="18"/>
      <c r="AI196" s="17"/>
      <c r="AJ196" s="18"/>
      <c r="AK196" s="17"/>
      <c r="AL196" s="18"/>
      <c r="AM196" s="17"/>
      <c r="AN196" s="18"/>
      <c r="AO196" s="17"/>
    </row>
    <row r="197" spans="1:41" s="11" customFormat="1" ht="51" thickBot="1" x14ac:dyDescent="0.3">
      <c r="A197" s="221"/>
      <c r="B197" s="22"/>
      <c r="C197" s="21"/>
      <c r="D197" s="22"/>
      <c r="E197" s="21"/>
      <c r="F197" s="22"/>
      <c r="G197" s="21"/>
      <c r="H197" s="22"/>
      <c r="I197" s="21"/>
      <c r="J197" s="222" t="s">
        <v>81</v>
      </c>
      <c r="K197" s="222"/>
      <c r="L197" s="222"/>
      <c r="M197" s="222"/>
      <c r="N197" s="222"/>
      <c r="O197" s="222"/>
      <c r="P197" s="222"/>
      <c r="Q197" s="222"/>
      <c r="R197" s="222" t="s">
        <v>93</v>
      </c>
      <c r="S197" s="222"/>
      <c r="T197" s="222"/>
      <c r="U197" s="222"/>
      <c r="V197" s="222"/>
      <c r="W197" s="222"/>
      <c r="X197" s="222"/>
      <c r="Y197" s="222"/>
      <c r="Z197" s="61"/>
      <c r="AA197" s="21"/>
      <c r="AB197" s="22"/>
      <c r="AC197" s="21"/>
      <c r="AD197" s="22"/>
      <c r="AE197" s="21"/>
      <c r="AF197" s="22"/>
      <c r="AG197" s="21"/>
      <c r="AH197" s="22"/>
      <c r="AI197" s="21"/>
      <c r="AJ197" s="22"/>
      <c r="AK197" s="21"/>
      <c r="AL197" s="22"/>
      <c r="AM197" s="21"/>
      <c r="AN197" s="22"/>
      <c r="AO197" s="21"/>
    </row>
    <row r="198" spans="1:41" s="11" customFormat="1" ht="17.25" thickTop="1" x14ac:dyDescent="0.25">
      <c r="A198" s="221"/>
      <c r="B198" s="22"/>
      <c r="C198" s="21"/>
      <c r="D198" s="22"/>
      <c r="E198" s="21"/>
      <c r="F198" s="22"/>
      <c r="G198" s="21"/>
      <c r="H198" s="22"/>
      <c r="I198" s="21"/>
      <c r="J198" s="231" t="s">
        <v>1445</v>
      </c>
      <c r="K198" s="231" t="s">
        <v>1446</v>
      </c>
      <c r="L198" s="231" t="s">
        <v>1448</v>
      </c>
      <c r="M198" s="231" t="s">
        <v>1449</v>
      </c>
      <c r="N198" s="231" t="s">
        <v>1450</v>
      </c>
      <c r="O198" s="231" t="s">
        <v>1451</v>
      </c>
      <c r="P198" s="231" t="s">
        <v>715</v>
      </c>
      <c r="Q198" s="231" t="s">
        <v>1447</v>
      </c>
      <c r="R198" s="231" t="s">
        <v>1445</v>
      </c>
      <c r="S198" s="231" t="s">
        <v>1446</v>
      </c>
      <c r="T198" s="231" t="s">
        <v>1448</v>
      </c>
      <c r="U198" s="231" t="s">
        <v>1449</v>
      </c>
      <c r="V198" s="231" t="s">
        <v>1450</v>
      </c>
      <c r="W198" s="231" t="s">
        <v>1451</v>
      </c>
      <c r="X198" s="231" t="s">
        <v>715</v>
      </c>
      <c r="Y198" s="231" t="s">
        <v>1447</v>
      </c>
      <c r="Z198" s="22"/>
      <c r="AA198" s="21"/>
      <c r="AB198" s="22"/>
      <c r="AC198" s="21"/>
      <c r="AD198" s="22"/>
      <c r="AE198" s="21"/>
      <c r="AF198" s="22"/>
      <c r="AG198" s="21"/>
      <c r="AH198" s="22"/>
      <c r="AI198" s="21"/>
      <c r="AJ198" s="22"/>
      <c r="AK198" s="21"/>
      <c r="AL198" s="22"/>
      <c r="AM198" s="21"/>
      <c r="AN198" s="22"/>
      <c r="AO198" s="21"/>
    </row>
    <row r="199" spans="1:41" s="12" customFormat="1" x14ac:dyDescent="0.25">
      <c r="A199" s="221"/>
      <c r="B199" s="18"/>
      <c r="C199" s="17"/>
      <c r="D199" s="18"/>
      <c r="E199" s="17"/>
      <c r="F199" s="18"/>
      <c r="G199" s="17"/>
      <c r="H199" s="18"/>
      <c r="I199" s="17"/>
      <c r="J199" s="225" t="s">
        <v>558</v>
      </c>
      <c r="K199" s="17" t="s">
        <v>570</v>
      </c>
      <c r="L199" s="18" t="s">
        <v>182</v>
      </c>
      <c r="M199" s="17"/>
      <c r="N199" s="225" t="s">
        <v>115</v>
      </c>
      <c r="O199" s="17" t="s">
        <v>140</v>
      </c>
      <c r="P199" s="225" t="s">
        <v>378</v>
      </c>
      <c r="Q199" s="17" t="s">
        <v>116</v>
      </c>
      <c r="R199" s="18" t="s">
        <v>558</v>
      </c>
      <c r="S199" s="17" t="s">
        <v>570</v>
      </c>
      <c r="T199" s="18" t="s">
        <v>572</v>
      </c>
      <c r="U199" s="17"/>
      <c r="V199" s="18" t="s">
        <v>165</v>
      </c>
      <c r="W199" s="17"/>
      <c r="X199" s="18" t="s">
        <v>379</v>
      </c>
      <c r="Y199" s="17" t="s">
        <v>570</v>
      </c>
      <c r="Z199" s="18"/>
      <c r="AA199" s="17"/>
      <c r="AB199" s="18"/>
      <c r="AC199" s="17"/>
      <c r="AD199" s="18"/>
      <c r="AE199" s="17"/>
      <c r="AF199" s="18"/>
      <c r="AG199" s="17"/>
      <c r="AH199" s="18"/>
      <c r="AI199" s="17"/>
      <c r="AJ199" s="18"/>
      <c r="AK199" s="17"/>
      <c r="AL199" s="18"/>
      <c r="AM199" s="17"/>
      <c r="AN199" s="18"/>
      <c r="AO199" s="17"/>
    </row>
    <row r="200" spans="1:41" s="12" customFormat="1" x14ac:dyDescent="0.25">
      <c r="A200" s="221"/>
      <c r="B200" s="18"/>
      <c r="C200" s="17"/>
      <c r="D200" s="18"/>
      <c r="E200" s="17"/>
      <c r="F200" s="18"/>
      <c r="G200" s="17"/>
      <c r="H200" s="18"/>
      <c r="I200" s="17"/>
      <c r="J200" s="227"/>
      <c r="K200" s="17" t="s">
        <v>109</v>
      </c>
      <c r="L200" s="18" t="s">
        <v>562</v>
      </c>
      <c r="M200" s="17"/>
      <c r="N200" s="226"/>
      <c r="O200" s="17" t="s">
        <v>119</v>
      </c>
      <c r="P200" s="226"/>
      <c r="Q200" s="17" t="s">
        <v>118</v>
      </c>
      <c r="R200" s="225" t="s">
        <v>115</v>
      </c>
      <c r="S200" s="17" t="s">
        <v>125</v>
      </c>
      <c r="T200" s="18" t="s">
        <v>553</v>
      </c>
      <c r="U200" s="17"/>
      <c r="V200" s="18" t="s">
        <v>155</v>
      </c>
      <c r="W200" s="17"/>
      <c r="X200" s="225" t="s">
        <v>378</v>
      </c>
      <c r="Y200" s="17" t="s">
        <v>125</v>
      </c>
      <c r="Z200" s="18"/>
      <c r="AA200" s="17"/>
      <c r="AB200" s="18"/>
      <c r="AC200" s="17"/>
      <c r="AD200" s="18"/>
      <c r="AE200" s="17"/>
      <c r="AF200" s="18"/>
      <c r="AG200" s="17"/>
      <c r="AH200" s="18"/>
      <c r="AI200" s="17"/>
      <c r="AJ200" s="18"/>
      <c r="AK200" s="17"/>
      <c r="AL200" s="18"/>
      <c r="AM200" s="17"/>
      <c r="AN200" s="18"/>
      <c r="AO200" s="17"/>
    </row>
    <row r="201" spans="1:41" s="12" customFormat="1" x14ac:dyDescent="0.25">
      <c r="A201" s="221"/>
      <c r="B201" s="18"/>
      <c r="C201" s="17"/>
      <c r="D201" s="18"/>
      <c r="E201" s="17"/>
      <c r="F201" s="18"/>
      <c r="G201" s="17"/>
      <c r="H201" s="18"/>
      <c r="I201" s="17"/>
      <c r="J201" s="225" t="s">
        <v>115</v>
      </c>
      <c r="K201" s="17" t="s">
        <v>116</v>
      </c>
      <c r="L201" s="18" t="s">
        <v>219</v>
      </c>
      <c r="M201" s="17"/>
      <c r="N201" s="227"/>
      <c r="O201" s="17" t="s">
        <v>138</v>
      </c>
      <c r="P201" s="227"/>
      <c r="Q201" s="17" t="s">
        <v>125</v>
      </c>
      <c r="R201" s="226"/>
      <c r="S201" s="17" t="s">
        <v>130</v>
      </c>
      <c r="T201" s="18" t="s">
        <v>545</v>
      </c>
      <c r="U201" s="17"/>
      <c r="V201" s="18"/>
      <c r="W201" s="17"/>
      <c r="X201" s="226"/>
      <c r="Y201" s="17" t="s">
        <v>130</v>
      </c>
      <c r="Z201" s="18"/>
      <c r="AA201" s="17"/>
      <c r="AB201" s="18"/>
      <c r="AC201" s="17"/>
      <c r="AD201" s="18"/>
      <c r="AE201" s="17"/>
      <c r="AF201" s="18"/>
      <c r="AG201" s="17"/>
      <c r="AH201" s="18"/>
      <c r="AI201" s="17"/>
      <c r="AJ201" s="18"/>
      <c r="AK201" s="17"/>
      <c r="AL201" s="18"/>
      <c r="AM201" s="17"/>
      <c r="AN201" s="18"/>
      <c r="AO201" s="17"/>
    </row>
    <row r="202" spans="1:41" s="12" customFormat="1" x14ac:dyDescent="0.25">
      <c r="A202" s="221"/>
      <c r="B202" s="18"/>
      <c r="C202" s="17"/>
      <c r="D202" s="18"/>
      <c r="E202" s="17"/>
      <c r="F202" s="18"/>
      <c r="G202" s="17"/>
      <c r="H202" s="18"/>
      <c r="I202" s="17"/>
      <c r="J202" s="226"/>
      <c r="K202" s="17" t="s">
        <v>117</v>
      </c>
      <c r="L202" s="18" t="s">
        <v>220</v>
      </c>
      <c r="M202" s="17"/>
      <c r="N202" s="19"/>
      <c r="O202" s="17"/>
      <c r="P202" s="18"/>
      <c r="Q202" s="17"/>
      <c r="R202" s="226"/>
      <c r="S202" s="17" t="s">
        <v>133</v>
      </c>
      <c r="T202" s="225" t="s">
        <v>186</v>
      </c>
      <c r="U202" s="17" t="s">
        <v>187</v>
      </c>
      <c r="V202" s="18"/>
      <c r="W202" s="17"/>
      <c r="X202" s="226"/>
      <c r="Y202" s="17" t="s">
        <v>133</v>
      </c>
      <c r="Z202" s="18"/>
      <c r="AA202" s="17"/>
      <c r="AB202" s="18"/>
      <c r="AC202" s="17"/>
      <c r="AD202" s="18"/>
      <c r="AE202" s="17"/>
      <c r="AF202" s="18"/>
      <c r="AG202" s="17"/>
      <c r="AH202" s="18"/>
      <c r="AI202" s="17"/>
      <c r="AJ202" s="18"/>
      <c r="AK202" s="17"/>
      <c r="AL202" s="18"/>
      <c r="AM202" s="17"/>
      <c r="AN202" s="18"/>
      <c r="AO202" s="17"/>
    </row>
    <row r="203" spans="1:41" s="12" customFormat="1" x14ac:dyDescent="0.25">
      <c r="A203" s="221"/>
      <c r="B203" s="18"/>
      <c r="C203" s="17"/>
      <c r="D203" s="18"/>
      <c r="E203" s="17"/>
      <c r="F203" s="18"/>
      <c r="G203" s="17"/>
      <c r="H203" s="18"/>
      <c r="I203" s="17"/>
      <c r="J203" s="226"/>
      <c r="K203" s="17" t="s">
        <v>118</v>
      </c>
      <c r="L203" s="18" t="s">
        <v>703</v>
      </c>
      <c r="M203" s="17" t="s">
        <v>197</v>
      </c>
      <c r="N203" s="19"/>
      <c r="O203" s="17"/>
      <c r="P203" s="18"/>
      <c r="Q203" s="17"/>
      <c r="R203" s="226"/>
      <c r="S203" s="17" t="s">
        <v>139</v>
      </c>
      <c r="T203" s="226"/>
      <c r="U203" s="17" t="s">
        <v>342</v>
      </c>
      <c r="V203" s="19"/>
      <c r="W203" s="17"/>
      <c r="X203" s="226"/>
      <c r="Y203" s="17" t="s">
        <v>139</v>
      </c>
      <c r="Z203" s="18"/>
      <c r="AA203" s="17"/>
      <c r="AB203" s="18"/>
      <c r="AC203" s="17"/>
      <c r="AD203" s="18"/>
      <c r="AE203" s="17"/>
      <c r="AF203" s="18"/>
      <c r="AG203" s="17"/>
      <c r="AH203" s="18"/>
      <c r="AI203" s="17"/>
      <c r="AJ203" s="18"/>
      <c r="AK203" s="17"/>
      <c r="AL203" s="18"/>
      <c r="AM203" s="17"/>
      <c r="AN203" s="18"/>
      <c r="AO203" s="17"/>
    </row>
    <row r="204" spans="1:41" s="12" customFormat="1" x14ac:dyDescent="0.25">
      <c r="A204" s="221"/>
      <c r="B204" s="18"/>
      <c r="C204" s="17"/>
      <c r="D204" s="18"/>
      <c r="E204" s="17"/>
      <c r="F204" s="18"/>
      <c r="G204" s="17"/>
      <c r="H204" s="18"/>
      <c r="I204" s="17"/>
      <c r="J204" s="226"/>
      <c r="K204" s="17" t="s">
        <v>121</v>
      </c>
      <c r="L204" s="18" t="s">
        <v>191</v>
      </c>
      <c r="M204" s="17"/>
      <c r="N204" s="19"/>
      <c r="O204" s="17"/>
      <c r="P204" s="18"/>
      <c r="Q204" s="17"/>
      <c r="R204" s="227"/>
      <c r="S204" s="17" t="s">
        <v>540</v>
      </c>
      <c r="T204" s="226"/>
      <c r="U204" s="17" t="s">
        <v>346</v>
      </c>
      <c r="V204" s="19"/>
      <c r="W204" s="17"/>
      <c r="X204" s="227"/>
      <c r="Y204" s="17" t="s">
        <v>540</v>
      </c>
      <c r="Z204" s="18"/>
      <c r="AA204" s="17"/>
      <c r="AB204" s="18"/>
      <c r="AC204" s="17"/>
      <c r="AD204" s="18"/>
      <c r="AE204" s="17"/>
      <c r="AF204" s="18"/>
      <c r="AG204" s="17"/>
      <c r="AH204" s="18"/>
      <c r="AI204" s="17"/>
      <c r="AJ204" s="18"/>
      <c r="AK204" s="17"/>
      <c r="AL204" s="18"/>
      <c r="AM204" s="17"/>
      <c r="AN204" s="18"/>
      <c r="AO204" s="17"/>
    </row>
    <row r="205" spans="1:41" s="12" customFormat="1" x14ac:dyDescent="0.25">
      <c r="A205" s="221"/>
      <c r="B205" s="18"/>
      <c r="C205" s="17"/>
      <c r="D205" s="18"/>
      <c r="E205" s="17"/>
      <c r="F205" s="18"/>
      <c r="G205" s="17"/>
      <c r="H205" s="18"/>
      <c r="I205" s="17"/>
      <c r="J205" s="226"/>
      <c r="K205" s="17" t="s">
        <v>139</v>
      </c>
      <c r="L205" s="18" t="s">
        <v>190</v>
      </c>
      <c r="M205" s="17"/>
      <c r="N205" s="18"/>
      <c r="O205" s="17"/>
      <c r="P205" s="18"/>
      <c r="Q205" s="17"/>
      <c r="R205" s="18" t="s">
        <v>149</v>
      </c>
      <c r="S205" s="17"/>
      <c r="T205" s="226"/>
      <c r="U205" s="17" t="s">
        <v>348</v>
      </c>
      <c r="V205" s="19"/>
      <c r="W205" s="17"/>
      <c r="X205" s="18" t="s">
        <v>149</v>
      </c>
      <c r="Y205" s="17"/>
      <c r="Z205" s="18"/>
      <c r="AA205" s="17"/>
      <c r="AB205" s="18"/>
      <c r="AC205" s="17"/>
      <c r="AD205" s="18"/>
      <c r="AE205" s="17"/>
      <c r="AF205" s="18"/>
      <c r="AG205" s="17"/>
      <c r="AH205" s="18"/>
      <c r="AI205" s="17"/>
      <c r="AJ205" s="18"/>
      <c r="AK205" s="17"/>
      <c r="AL205" s="18"/>
      <c r="AM205" s="17"/>
      <c r="AN205" s="18"/>
      <c r="AO205" s="17"/>
    </row>
    <row r="206" spans="1:41" s="12" customFormat="1" x14ac:dyDescent="0.25">
      <c r="A206" s="221"/>
      <c r="B206" s="18"/>
      <c r="C206" s="17"/>
      <c r="D206" s="18"/>
      <c r="E206" s="17"/>
      <c r="F206" s="18"/>
      <c r="G206" s="17"/>
      <c r="H206" s="18"/>
      <c r="I206" s="17"/>
      <c r="J206" s="227"/>
      <c r="K206" s="17" t="s">
        <v>141</v>
      </c>
      <c r="L206" s="18"/>
      <c r="M206" s="17"/>
      <c r="N206" s="18"/>
      <c r="O206" s="17"/>
      <c r="P206" s="18"/>
      <c r="Q206" s="17"/>
      <c r="R206" s="18" t="s">
        <v>150</v>
      </c>
      <c r="S206" s="17"/>
      <c r="T206" s="227"/>
      <c r="U206" s="17" t="s">
        <v>356</v>
      </c>
      <c r="V206" s="19"/>
      <c r="W206" s="17"/>
      <c r="X206" s="18" t="s">
        <v>150</v>
      </c>
      <c r="Y206" s="17"/>
      <c r="Z206" s="18"/>
      <c r="AA206" s="17"/>
      <c r="AB206" s="18"/>
      <c r="AC206" s="17"/>
      <c r="AD206" s="18"/>
      <c r="AE206" s="17"/>
      <c r="AF206" s="18"/>
      <c r="AG206" s="17"/>
      <c r="AH206" s="18"/>
      <c r="AI206" s="17"/>
      <c r="AJ206" s="18"/>
      <c r="AK206" s="17"/>
      <c r="AL206" s="18"/>
      <c r="AM206" s="17"/>
      <c r="AN206" s="18"/>
      <c r="AO206" s="17"/>
    </row>
    <row r="207" spans="1:41" s="12" customFormat="1" x14ac:dyDescent="0.25">
      <c r="A207" s="221"/>
      <c r="B207" s="18"/>
      <c r="C207" s="17"/>
      <c r="D207" s="18"/>
      <c r="E207" s="17"/>
      <c r="F207" s="18"/>
      <c r="G207" s="17"/>
      <c r="H207" s="18"/>
      <c r="I207" s="17"/>
      <c r="J207" s="18" t="s">
        <v>149</v>
      </c>
      <c r="K207" s="17"/>
      <c r="L207" s="18"/>
      <c r="M207" s="17"/>
      <c r="N207" s="18"/>
      <c r="O207" s="17"/>
      <c r="P207" s="18"/>
      <c r="Q207" s="17"/>
      <c r="R207" s="18"/>
      <c r="S207" s="17"/>
      <c r="T207" s="18" t="s">
        <v>551</v>
      </c>
      <c r="U207" s="17"/>
      <c r="V207" s="18"/>
      <c r="W207" s="17"/>
      <c r="X207" s="18"/>
      <c r="Y207" s="17"/>
      <c r="Z207" s="18"/>
      <c r="AA207" s="17"/>
      <c r="AB207" s="18"/>
      <c r="AC207" s="17"/>
      <c r="AD207" s="18"/>
      <c r="AE207" s="17"/>
      <c r="AF207" s="18"/>
      <c r="AG207" s="17"/>
      <c r="AH207" s="18"/>
      <c r="AI207" s="17"/>
      <c r="AJ207" s="18"/>
      <c r="AK207" s="17"/>
      <c r="AL207" s="18"/>
      <c r="AM207" s="17"/>
      <c r="AN207" s="18"/>
      <c r="AO207" s="17"/>
    </row>
    <row r="208" spans="1:41" s="12" customFormat="1" x14ac:dyDescent="0.25">
      <c r="A208" s="221"/>
      <c r="B208" s="18"/>
      <c r="C208" s="17"/>
      <c r="D208" s="18"/>
      <c r="E208" s="17"/>
      <c r="F208" s="18"/>
      <c r="G208" s="17"/>
      <c r="H208" s="18"/>
      <c r="I208" s="17"/>
      <c r="J208" s="18" t="s">
        <v>150</v>
      </c>
      <c r="K208" s="17"/>
      <c r="L208" s="18"/>
      <c r="M208" s="17"/>
      <c r="N208" s="18"/>
      <c r="O208" s="17"/>
      <c r="P208" s="18"/>
      <c r="Q208" s="17"/>
      <c r="R208" s="18"/>
      <c r="S208" s="17"/>
      <c r="T208" s="18" t="s">
        <v>552</v>
      </c>
      <c r="U208" s="17"/>
      <c r="V208" s="18"/>
      <c r="W208" s="17"/>
      <c r="X208" s="18"/>
      <c r="Y208" s="17"/>
      <c r="Z208" s="18"/>
      <c r="AA208" s="17"/>
      <c r="AB208" s="18"/>
      <c r="AC208" s="17"/>
      <c r="AD208" s="18"/>
      <c r="AE208" s="17"/>
      <c r="AF208" s="18"/>
      <c r="AG208" s="17"/>
      <c r="AH208" s="18"/>
      <c r="AI208" s="17"/>
      <c r="AJ208" s="18"/>
      <c r="AK208" s="17"/>
      <c r="AL208" s="18"/>
      <c r="AM208" s="17"/>
      <c r="AN208" s="18"/>
      <c r="AO208" s="17"/>
    </row>
    <row r="209" spans="1:41" s="12" customFormat="1" x14ac:dyDescent="0.25">
      <c r="A209" s="221"/>
      <c r="B209" s="18"/>
      <c r="C209" s="17"/>
      <c r="D209" s="18"/>
      <c r="E209" s="17"/>
      <c r="F209" s="18"/>
      <c r="G209" s="17"/>
      <c r="H209" s="18"/>
      <c r="I209" s="17"/>
      <c r="J209" s="18"/>
      <c r="K209" s="17"/>
      <c r="L209" s="18"/>
      <c r="M209" s="17"/>
      <c r="N209" s="18"/>
      <c r="O209" s="17"/>
      <c r="P209" s="18"/>
      <c r="Q209" s="17"/>
      <c r="R209" s="18"/>
      <c r="S209" s="17"/>
      <c r="T209" s="18" t="s">
        <v>267</v>
      </c>
      <c r="U209" s="17"/>
      <c r="V209" s="18"/>
      <c r="W209" s="17"/>
      <c r="X209" s="18"/>
      <c r="Y209" s="17"/>
      <c r="Z209" s="18"/>
      <c r="AA209" s="17"/>
      <c r="AB209" s="18"/>
      <c r="AC209" s="17"/>
      <c r="AD209" s="18"/>
      <c r="AE209" s="17"/>
      <c r="AF209" s="18"/>
      <c r="AG209" s="17"/>
      <c r="AH209" s="18"/>
      <c r="AI209" s="17"/>
      <c r="AJ209" s="18"/>
      <c r="AK209" s="17"/>
      <c r="AL209" s="18"/>
      <c r="AM209" s="17"/>
      <c r="AN209" s="18"/>
      <c r="AO209" s="17"/>
    </row>
    <row r="210" spans="1:41" s="12" customFormat="1" x14ac:dyDescent="0.25">
      <c r="A210" s="221"/>
      <c r="B210" s="18"/>
      <c r="C210" s="17"/>
      <c r="D210" s="18"/>
      <c r="E210" s="17"/>
      <c r="F210" s="18"/>
      <c r="G210" s="17"/>
      <c r="H210" s="18"/>
      <c r="I210" s="17"/>
      <c r="J210" s="18"/>
      <c r="K210" s="17"/>
      <c r="L210" s="18"/>
      <c r="M210" s="17"/>
      <c r="N210" s="18"/>
      <c r="O210" s="17"/>
      <c r="P210" s="18"/>
      <c r="Q210" s="17"/>
      <c r="R210" s="18"/>
      <c r="S210" s="17"/>
      <c r="T210" s="18" t="s">
        <v>190</v>
      </c>
      <c r="U210" s="17"/>
      <c r="V210" s="18"/>
      <c r="W210" s="17"/>
      <c r="X210" s="18"/>
      <c r="Y210" s="17"/>
      <c r="Z210" s="18"/>
      <c r="AA210" s="17"/>
      <c r="AB210" s="18"/>
      <c r="AC210" s="17"/>
      <c r="AD210" s="18"/>
      <c r="AE210" s="17"/>
      <c r="AF210" s="18"/>
      <c r="AG210" s="17"/>
      <c r="AH210" s="18"/>
      <c r="AI210" s="17"/>
      <c r="AJ210" s="18"/>
      <c r="AK210" s="17"/>
      <c r="AL210" s="18"/>
      <c r="AM210" s="17"/>
      <c r="AN210" s="18"/>
      <c r="AO210" s="17"/>
    </row>
    <row r="211" spans="1:41" ht="51" thickBot="1" x14ac:dyDescent="0.3">
      <c r="A211" s="221"/>
      <c r="B211" s="18"/>
      <c r="C211" s="17"/>
      <c r="D211" s="18"/>
      <c r="E211" s="17"/>
      <c r="F211" s="18"/>
      <c r="G211" s="17"/>
      <c r="H211" s="18"/>
      <c r="I211" s="17"/>
      <c r="J211" s="18"/>
      <c r="K211" s="17"/>
      <c r="L211" s="18"/>
      <c r="M211" s="17"/>
      <c r="N211" s="18"/>
      <c r="O211" s="17"/>
      <c r="P211" s="18"/>
      <c r="Q211" s="17"/>
      <c r="R211" s="222" t="s">
        <v>94</v>
      </c>
      <c r="S211" s="222"/>
      <c r="T211" s="222"/>
      <c r="U211" s="222"/>
      <c r="V211" s="222"/>
      <c r="W211" s="222"/>
      <c r="X211" s="222"/>
      <c r="Y211" s="222"/>
      <c r="Z211" s="18"/>
      <c r="AA211" s="17"/>
      <c r="AB211" s="18"/>
      <c r="AC211" s="17"/>
      <c r="AD211" s="18"/>
      <c r="AE211" s="17"/>
      <c r="AF211" s="18"/>
      <c r="AG211" s="17"/>
      <c r="AH211" s="18"/>
      <c r="AI211" s="17"/>
      <c r="AJ211" s="18"/>
      <c r="AK211" s="17"/>
      <c r="AL211" s="18"/>
      <c r="AM211" s="17"/>
      <c r="AN211" s="18"/>
      <c r="AO211" s="17"/>
    </row>
    <row r="212" spans="1:41" ht="17.25" thickTop="1" x14ac:dyDescent="0.25">
      <c r="A212" s="221"/>
      <c r="B212" s="18"/>
      <c r="C212" s="17"/>
      <c r="D212" s="18"/>
      <c r="E212" s="17"/>
      <c r="F212" s="18"/>
      <c r="G212" s="17"/>
      <c r="H212" s="18"/>
      <c r="I212" s="17"/>
      <c r="J212" s="18"/>
      <c r="K212" s="17"/>
      <c r="L212" s="18"/>
      <c r="M212" s="17"/>
      <c r="N212" s="18"/>
      <c r="O212" s="17"/>
      <c r="P212" s="18"/>
      <c r="Q212" s="17"/>
      <c r="R212" s="231" t="s">
        <v>1445</v>
      </c>
      <c r="S212" s="231" t="s">
        <v>1446</v>
      </c>
      <c r="T212" s="231" t="s">
        <v>1448</v>
      </c>
      <c r="U212" s="231" t="s">
        <v>1449</v>
      </c>
      <c r="V212" s="231" t="s">
        <v>1450</v>
      </c>
      <c r="W212" s="231" t="s">
        <v>1451</v>
      </c>
      <c r="X212" s="231" t="s">
        <v>715</v>
      </c>
      <c r="Y212" s="231" t="s">
        <v>1447</v>
      </c>
      <c r="Z212" s="18"/>
      <c r="AA212" s="17"/>
      <c r="AB212" s="18"/>
      <c r="AC212" s="17"/>
      <c r="AD212" s="18"/>
      <c r="AE212" s="17"/>
      <c r="AF212" s="18"/>
      <c r="AG212" s="17"/>
      <c r="AH212" s="18"/>
      <c r="AI212" s="17"/>
      <c r="AJ212" s="18"/>
      <c r="AK212" s="17"/>
      <c r="AL212" s="18"/>
      <c r="AM212" s="17"/>
      <c r="AN212" s="18"/>
      <c r="AO212" s="17"/>
    </row>
    <row r="213" spans="1:41" x14ac:dyDescent="0.25">
      <c r="A213" s="221"/>
      <c r="B213" s="19"/>
      <c r="C213" s="20"/>
      <c r="D213" s="19"/>
      <c r="E213" s="20"/>
      <c r="F213" s="19"/>
      <c r="G213" s="20"/>
      <c r="H213" s="19"/>
      <c r="I213" s="20"/>
      <c r="J213" s="19"/>
      <c r="K213" s="20"/>
      <c r="L213" s="19"/>
      <c r="M213" s="20"/>
      <c r="N213" s="19"/>
      <c r="O213" s="20"/>
      <c r="P213" s="19"/>
      <c r="Q213" s="20"/>
      <c r="R213" s="18" t="s">
        <v>558</v>
      </c>
      <c r="S213" s="17" t="s">
        <v>570</v>
      </c>
      <c r="T213" s="225" t="s">
        <v>186</v>
      </c>
      <c r="U213" s="17" t="s">
        <v>187</v>
      </c>
      <c r="V213" s="18" t="s">
        <v>155</v>
      </c>
      <c r="W213" s="20"/>
      <c r="X213" s="225" t="s">
        <v>379</v>
      </c>
      <c r="Y213" s="20" t="s">
        <v>570</v>
      </c>
      <c r="Z213" s="19"/>
      <c r="AA213" s="20"/>
      <c r="AB213" s="19"/>
      <c r="AC213" s="20"/>
      <c r="AD213" s="19"/>
      <c r="AE213" s="20"/>
      <c r="AF213" s="19"/>
      <c r="AG213" s="20"/>
      <c r="AH213" s="19"/>
      <c r="AI213" s="20"/>
      <c r="AJ213" s="19"/>
      <c r="AK213" s="20"/>
      <c r="AL213" s="19"/>
      <c r="AM213" s="20"/>
      <c r="AN213" s="19"/>
      <c r="AO213" s="20"/>
    </row>
    <row r="214" spans="1:41" x14ac:dyDescent="0.25">
      <c r="A214" s="221"/>
      <c r="B214" s="19"/>
      <c r="C214" s="20"/>
      <c r="D214" s="19"/>
      <c r="E214" s="20"/>
      <c r="F214" s="19"/>
      <c r="G214" s="20"/>
      <c r="H214" s="19"/>
      <c r="I214" s="20"/>
      <c r="J214" s="19"/>
      <c r="K214" s="20"/>
      <c r="L214" s="19"/>
      <c r="M214" s="20"/>
      <c r="N214" s="19"/>
      <c r="O214" s="20"/>
      <c r="P214" s="19"/>
      <c r="Q214" s="20"/>
      <c r="R214" s="225" t="s">
        <v>115</v>
      </c>
      <c r="S214" s="17" t="s">
        <v>124</v>
      </c>
      <c r="T214" s="226"/>
      <c r="U214" s="17" t="s">
        <v>203</v>
      </c>
      <c r="V214" s="19"/>
      <c r="W214" s="20"/>
      <c r="X214" s="226"/>
      <c r="Y214" s="20" t="s">
        <v>110</v>
      </c>
      <c r="Z214" s="19"/>
      <c r="AA214" s="20"/>
      <c r="AB214" s="19"/>
      <c r="AC214" s="20"/>
      <c r="AD214" s="19"/>
      <c r="AE214" s="20"/>
      <c r="AF214" s="19"/>
      <c r="AG214" s="20"/>
      <c r="AH214" s="19"/>
      <c r="AI214" s="20"/>
      <c r="AJ214" s="19"/>
      <c r="AK214" s="20"/>
      <c r="AL214" s="19"/>
      <c r="AM214" s="20"/>
      <c r="AN214" s="19"/>
      <c r="AO214" s="20"/>
    </row>
    <row r="215" spans="1:41" x14ac:dyDescent="0.25">
      <c r="A215" s="221"/>
      <c r="B215" s="19"/>
      <c r="C215" s="20"/>
      <c r="D215" s="19"/>
      <c r="E215" s="20"/>
      <c r="F215" s="19"/>
      <c r="G215" s="20"/>
      <c r="H215" s="19"/>
      <c r="I215" s="20"/>
      <c r="J215" s="19"/>
      <c r="K215" s="20"/>
      <c r="L215" s="19"/>
      <c r="M215" s="20"/>
      <c r="N215" s="19"/>
      <c r="O215" s="20"/>
      <c r="P215" s="19"/>
      <c r="Q215" s="20"/>
      <c r="R215" s="226"/>
      <c r="S215" s="17" t="s">
        <v>125</v>
      </c>
      <c r="T215" s="226"/>
      <c r="U215" s="17" t="s">
        <v>339</v>
      </c>
      <c r="V215" s="19"/>
      <c r="W215" s="20"/>
      <c r="X215" s="227"/>
      <c r="Y215" s="20" t="s">
        <v>111</v>
      </c>
      <c r="Z215" s="19"/>
      <c r="AA215" s="20"/>
      <c r="AB215" s="19"/>
      <c r="AC215" s="20"/>
      <c r="AD215" s="19"/>
      <c r="AE215" s="20"/>
      <c r="AF215" s="19"/>
      <c r="AG215" s="20"/>
      <c r="AH215" s="19"/>
      <c r="AI215" s="20"/>
      <c r="AJ215" s="19"/>
      <c r="AK215" s="20"/>
      <c r="AL215" s="19"/>
      <c r="AM215" s="20"/>
      <c r="AN215" s="19"/>
      <c r="AO215" s="20"/>
    </row>
    <row r="216" spans="1:41" x14ac:dyDescent="0.25">
      <c r="A216" s="221"/>
      <c r="B216" s="19"/>
      <c r="C216" s="20"/>
      <c r="D216" s="19"/>
      <c r="E216" s="20"/>
      <c r="F216" s="19"/>
      <c r="G216" s="20"/>
      <c r="H216" s="19"/>
      <c r="I216" s="20"/>
      <c r="J216" s="19"/>
      <c r="K216" s="20"/>
      <c r="L216" s="19"/>
      <c r="M216" s="20"/>
      <c r="N216" s="19"/>
      <c r="O216" s="20"/>
      <c r="P216" s="19"/>
      <c r="Q216" s="20"/>
      <c r="R216" s="226"/>
      <c r="S216" s="17" t="s">
        <v>133</v>
      </c>
      <c r="T216" s="226"/>
      <c r="U216" s="17" t="s">
        <v>342</v>
      </c>
      <c r="V216" s="19"/>
      <c r="W216" s="20"/>
      <c r="X216" s="225" t="s">
        <v>378</v>
      </c>
      <c r="Y216" s="20" t="s">
        <v>124</v>
      </c>
      <c r="Z216" s="19"/>
      <c r="AA216" s="20"/>
      <c r="AB216" s="19"/>
      <c r="AC216" s="20"/>
      <c r="AD216" s="19"/>
      <c r="AE216" s="20"/>
      <c r="AF216" s="19"/>
      <c r="AG216" s="20"/>
      <c r="AH216" s="19"/>
      <c r="AI216" s="20"/>
      <c r="AJ216" s="19"/>
      <c r="AK216" s="20"/>
      <c r="AL216" s="19"/>
      <c r="AM216" s="20"/>
      <c r="AN216" s="19"/>
      <c r="AO216" s="20"/>
    </row>
    <row r="217" spans="1:41" x14ac:dyDescent="0.25">
      <c r="A217" s="221"/>
      <c r="B217" s="19"/>
      <c r="C217" s="20"/>
      <c r="D217" s="19"/>
      <c r="E217" s="20"/>
      <c r="F217" s="19"/>
      <c r="G217" s="20"/>
      <c r="H217" s="19"/>
      <c r="I217" s="20"/>
      <c r="J217" s="19"/>
      <c r="K217" s="20"/>
      <c r="L217" s="19"/>
      <c r="M217" s="20"/>
      <c r="N217" s="19"/>
      <c r="O217" s="20"/>
      <c r="P217" s="19"/>
      <c r="Q217" s="20"/>
      <c r="R217" s="227"/>
      <c r="S217" s="17" t="s">
        <v>540</v>
      </c>
      <c r="T217" s="227"/>
      <c r="U217" s="17" t="s">
        <v>195</v>
      </c>
      <c r="V217" s="19"/>
      <c r="W217" s="20"/>
      <c r="X217" s="226"/>
      <c r="Y217" s="20" t="s">
        <v>125</v>
      </c>
      <c r="Z217" s="19"/>
      <c r="AA217" s="20"/>
      <c r="AB217" s="19"/>
      <c r="AC217" s="20"/>
      <c r="AD217" s="19"/>
      <c r="AE217" s="20"/>
      <c r="AF217" s="19"/>
      <c r="AG217" s="20"/>
      <c r="AH217" s="19"/>
      <c r="AI217" s="20"/>
      <c r="AJ217" s="19"/>
      <c r="AK217" s="20"/>
      <c r="AL217" s="19"/>
      <c r="AM217" s="20"/>
      <c r="AN217" s="19"/>
      <c r="AO217" s="20"/>
    </row>
    <row r="218" spans="1:41" x14ac:dyDescent="0.25">
      <c r="A218" s="221"/>
      <c r="B218" s="19"/>
      <c r="C218" s="20"/>
      <c r="D218" s="19"/>
      <c r="E218" s="20"/>
      <c r="F218" s="19"/>
      <c r="G218" s="20"/>
      <c r="H218" s="19"/>
      <c r="I218" s="20"/>
      <c r="J218" s="19"/>
      <c r="K218" s="20"/>
      <c r="L218" s="19"/>
      <c r="M218" s="20"/>
      <c r="N218" s="19"/>
      <c r="O218" s="20"/>
      <c r="P218" s="19"/>
      <c r="Q218" s="20"/>
      <c r="R218" s="18" t="s">
        <v>157</v>
      </c>
      <c r="S218" s="17"/>
      <c r="T218" s="18" t="s">
        <v>191</v>
      </c>
      <c r="U218" s="17"/>
      <c r="V218" s="19"/>
      <c r="W218" s="20"/>
      <c r="X218" s="227"/>
      <c r="Y218" s="20" t="s">
        <v>133</v>
      </c>
      <c r="Z218" s="19"/>
      <c r="AA218" s="20"/>
      <c r="AB218" s="19"/>
      <c r="AC218" s="20"/>
      <c r="AD218" s="19"/>
      <c r="AE218" s="20"/>
      <c r="AF218" s="19"/>
      <c r="AG218" s="20"/>
      <c r="AH218" s="19"/>
      <c r="AI218" s="20"/>
      <c r="AJ218" s="19"/>
      <c r="AK218" s="20"/>
      <c r="AL218" s="19"/>
      <c r="AM218" s="20"/>
      <c r="AN218" s="19"/>
      <c r="AO218" s="20"/>
    </row>
    <row r="219" spans="1:41" x14ac:dyDescent="0.25">
      <c r="A219" s="221"/>
      <c r="B219" s="19"/>
      <c r="C219" s="20"/>
      <c r="D219" s="19"/>
      <c r="E219" s="20"/>
      <c r="F219" s="19"/>
      <c r="G219" s="20"/>
      <c r="H219" s="19"/>
      <c r="I219" s="20"/>
      <c r="J219" s="19"/>
      <c r="K219" s="20"/>
      <c r="L219" s="19"/>
      <c r="M219" s="20"/>
      <c r="N219" s="19"/>
      <c r="O219" s="20"/>
      <c r="P219" s="19"/>
      <c r="Q219" s="20"/>
      <c r="R219" s="18" t="s">
        <v>165</v>
      </c>
      <c r="S219" s="17"/>
      <c r="T219" s="18"/>
      <c r="U219" s="17"/>
      <c r="V219" s="19"/>
      <c r="W219" s="20"/>
      <c r="X219" s="19" t="s">
        <v>1162</v>
      </c>
      <c r="Y219" s="20"/>
      <c r="Z219" s="19"/>
      <c r="AA219" s="20"/>
      <c r="AB219" s="19"/>
      <c r="AC219" s="20"/>
      <c r="AD219" s="19"/>
      <c r="AE219" s="20"/>
      <c r="AF219" s="19"/>
      <c r="AG219" s="20"/>
      <c r="AH219" s="19"/>
      <c r="AI219" s="20"/>
      <c r="AJ219" s="19"/>
      <c r="AK219" s="20"/>
      <c r="AL219" s="19"/>
      <c r="AM219" s="20"/>
      <c r="AN219" s="19"/>
      <c r="AO219" s="20"/>
    </row>
    <row r="220" spans="1:41" x14ac:dyDescent="0.25">
      <c r="A220" s="221"/>
      <c r="B220" s="19"/>
      <c r="C220" s="20"/>
      <c r="D220" s="19"/>
      <c r="E220" s="20"/>
      <c r="F220" s="19"/>
      <c r="G220" s="20"/>
      <c r="H220" s="19"/>
      <c r="I220" s="20"/>
      <c r="J220" s="19"/>
      <c r="K220" s="20"/>
      <c r="L220" s="19"/>
      <c r="M220" s="20"/>
      <c r="N220" s="19"/>
      <c r="O220" s="20"/>
      <c r="P220" s="19"/>
      <c r="Q220" s="20"/>
      <c r="R220" s="19" t="s">
        <v>149</v>
      </c>
      <c r="S220" s="20"/>
      <c r="T220" s="19"/>
      <c r="U220" s="20"/>
      <c r="V220" s="19"/>
      <c r="W220" s="20"/>
      <c r="X220" s="19"/>
      <c r="Y220" s="20"/>
      <c r="Z220" s="19"/>
      <c r="AA220" s="20"/>
      <c r="AB220" s="19"/>
      <c r="AC220" s="20"/>
      <c r="AD220" s="19"/>
      <c r="AE220" s="20"/>
      <c r="AF220" s="19"/>
      <c r="AG220" s="20"/>
      <c r="AH220" s="19"/>
      <c r="AI220" s="20"/>
      <c r="AJ220" s="19"/>
      <c r="AK220" s="20"/>
      <c r="AL220" s="19"/>
      <c r="AM220" s="20"/>
      <c r="AN220" s="19"/>
      <c r="AO220" s="20"/>
    </row>
    <row r="221" spans="1:41" x14ac:dyDescent="0.25">
      <c r="A221" s="221"/>
      <c r="B221" s="19"/>
      <c r="C221" s="20"/>
      <c r="D221" s="19"/>
      <c r="E221" s="20"/>
      <c r="F221" s="19"/>
      <c r="G221" s="20"/>
      <c r="H221" s="19"/>
      <c r="I221" s="20"/>
      <c r="J221" s="19"/>
      <c r="K221" s="20"/>
      <c r="L221" s="19"/>
      <c r="M221" s="20"/>
      <c r="N221" s="19"/>
      <c r="O221" s="20"/>
      <c r="P221" s="19"/>
      <c r="Q221" s="20"/>
      <c r="R221" s="19" t="s">
        <v>150</v>
      </c>
      <c r="S221" s="20"/>
      <c r="T221" s="19"/>
      <c r="U221" s="20"/>
      <c r="V221" s="19"/>
      <c r="W221" s="20"/>
      <c r="X221" s="19"/>
      <c r="Y221" s="20"/>
      <c r="Z221" s="19"/>
      <c r="AA221" s="20"/>
      <c r="AB221" s="19"/>
      <c r="AC221" s="20"/>
      <c r="AD221" s="19"/>
      <c r="AE221" s="20"/>
      <c r="AF221" s="19"/>
      <c r="AG221" s="20"/>
      <c r="AH221" s="19"/>
      <c r="AI221" s="20"/>
      <c r="AJ221" s="19"/>
      <c r="AK221" s="20"/>
      <c r="AL221" s="19"/>
      <c r="AM221" s="20"/>
      <c r="AN221" s="19"/>
      <c r="AO221" s="20"/>
    </row>
    <row r="222" spans="1:41" s="11" customFormat="1" ht="51" thickBot="1" x14ac:dyDescent="0.3">
      <c r="A222" s="221" t="s">
        <v>288</v>
      </c>
      <c r="B222" s="22"/>
      <c r="C222" s="21"/>
      <c r="D222" s="22"/>
      <c r="E222" s="21"/>
      <c r="F222" s="22"/>
      <c r="G222" s="21"/>
      <c r="H222" s="22"/>
      <c r="I222" s="21"/>
      <c r="J222" s="222" t="s">
        <v>924</v>
      </c>
      <c r="K222" s="222"/>
      <c r="L222" s="222"/>
      <c r="M222" s="222"/>
      <c r="N222" s="222"/>
      <c r="O222" s="222"/>
      <c r="P222" s="222"/>
      <c r="Q222" s="222"/>
      <c r="R222" s="222" t="s">
        <v>925</v>
      </c>
      <c r="S222" s="222"/>
      <c r="T222" s="222"/>
      <c r="U222" s="222"/>
      <c r="V222" s="222"/>
      <c r="W222" s="222"/>
      <c r="X222" s="222"/>
      <c r="Y222" s="222"/>
      <c r="Z222" s="222" t="s">
        <v>105</v>
      </c>
      <c r="AA222" s="222"/>
      <c r="AB222" s="222"/>
      <c r="AC222" s="222"/>
      <c r="AD222" s="222"/>
      <c r="AE222" s="222"/>
      <c r="AF222" s="222"/>
      <c r="AG222" s="222"/>
      <c r="AH222" s="22"/>
      <c r="AI222" s="21"/>
      <c r="AJ222" s="22"/>
      <c r="AK222" s="21"/>
      <c r="AL222" s="22"/>
      <c r="AM222" s="21"/>
      <c r="AN222" s="22"/>
      <c r="AO222" s="21"/>
    </row>
    <row r="223" spans="1:41" s="11" customFormat="1" ht="17.25" thickTop="1" x14ac:dyDescent="0.25">
      <c r="A223" s="221"/>
      <c r="B223" s="22"/>
      <c r="C223" s="21"/>
      <c r="D223" s="22"/>
      <c r="E223" s="21"/>
      <c r="F223" s="22"/>
      <c r="G223" s="21"/>
      <c r="H223" s="22"/>
      <c r="I223" s="21"/>
      <c r="J223" s="231" t="s">
        <v>1445</v>
      </c>
      <c r="K223" s="231" t="s">
        <v>1446</v>
      </c>
      <c r="L223" s="231" t="s">
        <v>1448</v>
      </c>
      <c r="M223" s="231" t="s">
        <v>1449</v>
      </c>
      <c r="N223" s="231" t="s">
        <v>1450</v>
      </c>
      <c r="O223" s="231" t="s">
        <v>1451</v>
      </c>
      <c r="P223" s="231" t="s">
        <v>715</v>
      </c>
      <c r="Q223" s="231" t="s">
        <v>1447</v>
      </c>
      <c r="R223" s="231" t="s">
        <v>1445</v>
      </c>
      <c r="S223" s="231" t="s">
        <v>1446</v>
      </c>
      <c r="T223" s="231" t="s">
        <v>1448</v>
      </c>
      <c r="U223" s="231" t="s">
        <v>1449</v>
      </c>
      <c r="V223" s="231" t="s">
        <v>1450</v>
      </c>
      <c r="W223" s="231" t="s">
        <v>1451</v>
      </c>
      <c r="X223" s="231" t="s">
        <v>715</v>
      </c>
      <c r="Y223" s="231" t="s">
        <v>1447</v>
      </c>
      <c r="Z223" s="231" t="s">
        <v>1445</v>
      </c>
      <c r="AA223" s="231" t="s">
        <v>1446</v>
      </c>
      <c r="AB223" s="231" t="s">
        <v>1448</v>
      </c>
      <c r="AC223" s="231" t="s">
        <v>1449</v>
      </c>
      <c r="AD223" s="231" t="s">
        <v>1450</v>
      </c>
      <c r="AE223" s="231" t="s">
        <v>1451</v>
      </c>
      <c r="AF223" s="231" t="s">
        <v>715</v>
      </c>
      <c r="AG223" s="231" t="s">
        <v>1447</v>
      </c>
      <c r="AH223" s="22"/>
      <c r="AI223" s="21"/>
      <c r="AJ223" s="22"/>
      <c r="AK223" s="21"/>
      <c r="AL223" s="22"/>
      <c r="AM223" s="21"/>
      <c r="AN223" s="22"/>
      <c r="AO223" s="21"/>
    </row>
    <row r="224" spans="1:41" x14ac:dyDescent="0.25">
      <c r="A224" s="221"/>
      <c r="B224" s="19"/>
      <c r="C224" s="20"/>
      <c r="D224" s="19"/>
      <c r="E224" s="20"/>
      <c r="F224" s="19"/>
      <c r="G224" s="20"/>
      <c r="H224" s="19"/>
      <c r="I224" s="20"/>
      <c r="J224" s="19" t="s">
        <v>151</v>
      </c>
      <c r="K224" s="20"/>
      <c r="L224" s="19" t="s">
        <v>182</v>
      </c>
      <c r="M224" s="20"/>
      <c r="N224" s="18" t="s">
        <v>558</v>
      </c>
      <c r="O224" s="17" t="s">
        <v>573</v>
      </c>
      <c r="P224" s="18" t="s">
        <v>379</v>
      </c>
      <c r="Q224" s="17" t="s">
        <v>208</v>
      </c>
      <c r="R224" s="225" t="s">
        <v>558</v>
      </c>
      <c r="S224" s="17" t="s">
        <v>570</v>
      </c>
      <c r="T224" s="18" t="s">
        <v>545</v>
      </c>
      <c r="U224" s="17"/>
      <c r="V224" s="18" t="s">
        <v>115</v>
      </c>
      <c r="W224" s="20" t="s">
        <v>129</v>
      </c>
      <c r="X224" s="225" t="s">
        <v>379</v>
      </c>
      <c r="Y224" s="20" t="s">
        <v>573</v>
      </c>
      <c r="Z224" s="225" t="s">
        <v>558</v>
      </c>
      <c r="AA224" s="17" t="s">
        <v>570</v>
      </c>
      <c r="AB224" s="18" t="s">
        <v>182</v>
      </c>
      <c r="AC224" s="17"/>
      <c r="AD224" s="18" t="s">
        <v>156</v>
      </c>
      <c r="AE224" s="20"/>
      <c r="AF224" s="225" t="s">
        <v>379</v>
      </c>
      <c r="AG224" s="20" t="s">
        <v>573</v>
      </c>
      <c r="AH224" s="19"/>
      <c r="AI224" s="20"/>
      <c r="AJ224" s="19"/>
      <c r="AK224" s="20"/>
      <c r="AL224" s="19"/>
      <c r="AM224" s="20"/>
      <c r="AN224" s="19"/>
      <c r="AO224" s="20"/>
    </row>
    <row r="225" spans="1:41" x14ac:dyDescent="0.25">
      <c r="A225" s="221"/>
      <c r="B225" s="19"/>
      <c r="C225" s="20"/>
      <c r="D225" s="19"/>
      <c r="E225" s="20"/>
      <c r="F225" s="19"/>
      <c r="G225" s="20"/>
      <c r="H225" s="19"/>
      <c r="I225" s="20"/>
      <c r="J225" s="225" t="s">
        <v>558</v>
      </c>
      <c r="K225" s="17" t="s">
        <v>570</v>
      </c>
      <c r="L225" s="18" t="s">
        <v>370</v>
      </c>
      <c r="M225" s="17"/>
      <c r="N225" s="18"/>
      <c r="O225" s="17"/>
      <c r="P225" s="225" t="s">
        <v>378</v>
      </c>
      <c r="Q225" s="17" t="s">
        <v>130</v>
      </c>
      <c r="R225" s="226"/>
      <c r="S225" s="17" t="s">
        <v>573</v>
      </c>
      <c r="T225" s="18" t="s">
        <v>544</v>
      </c>
      <c r="U225" s="17"/>
      <c r="V225" s="18"/>
      <c r="W225" s="20"/>
      <c r="X225" s="227"/>
      <c r="Y225" s="20" t="s">
        <v>208</v>
      </c>
      <c r="Z225" s="226"/>
      <c r="AA225" s="17" t="s">
        <v>573</v>
      </c>
      <c r="AB225" s="18" t="s">
        <v>191</v>
      </c>
      <c r="AC225" s="17"/>
      <c r="AD225" s="18" t="s">
        <v>155</v>
      </c>
      <c r="AE225" s="20"/>
      <c r="AF225" s="227"/>
      <c r="AG225" s="20" t="s">
        <v>208</v>
      </c>
      <c r="AH225" s="19"/>
      <c r="AI225" s="20"/>
      <c r="AJ225" s="19"/>
      <c r="AK225" s="20"/>
      <c r="AL225" s="19"/>
      <c r="AM225" s="20"/>
      <c r="AN225" s="19"/>
      <c r="AO225" s="20"/>
    </row>
    <row r="226" spans="1:41" x14ac:dyDescent="0.25">
      <c r="A226" s="221"/>
      <c r="B226" s="19"/>
      <c r="C226" s="20"/>
      <c r="D226" s="19"/>
      <c r="E226" s="20"/>
      <c r="F226" s="19"/>
      <c r="G226" s="20"/>
      <c r="H226" s="19"/>
      <c r="I226" s="20"/>
      <c r="J226" s="227"/>
      <c r="K226" s="17" t="s">
        <v>208</v>
      </c>
      <c r="L226" s="18" t="s">
        <v>545</v>
      </c>
      <c r="M226" s="17"/>
      <c r="N226" s="19"/>
      <c r="O226" s="17"/>
      <c r="P226" s="227"/>
      <c r="Q226" s="17" t="s">
        <v>145</v>
      </c>
      <c r="R226" s="227"/>
      <c r="S226" s="17" t="s">
        <v>208</v>
      </c>
      <c r="T226" s="225" t="s">
        <v>707</v>
      </c>
      <c r="U226" s="17" t="s">
        <v>584</v>
      </c>
      <c r="V226" s="19"/>
      <c r="W226" s="20"/>
      <c r="X226" s="225" t="s">
        <v>378</v>
      </c>
      <c r="Y226" s="20" t="s">
        <v>124</v>
      </c>
      <c r="Z226" s="227"/>
      <c r="AA226" s="17" t="s">
        <v>208</v>
      </c>
      <c r="AB226" s="18" t="s">
        <v>1906</v>
      </c>
      <c r="AC226" s="17" t="s">
        <v>320</v>
      </c>
      <c r="AD226" s="19"/>
      <c r="AE226" s="20"/>
      <c r="AF226" s="225" t="s">
        <v>378</v>
      </c>
      <c r="AG226" s="20" t="s">
        <v>124</v>
      </c>
      <c r="AH226" s="19"/>
      <c r="AI226" s="20"/>
      <c r="AJ226" s="19"/>
      <c r="AK226" s="20"/>
      <c r="AL226" s="19"/>
      <c r="AM226" s="20"/>
      <c r="AN226" s="19"/>
      <c r="AO226" s="20"/>
    </row>
    <row r="227" spans="1:41" x14ac:dyDescent="0.25">
      <c r="A227" s="221"/>
      <c r="B227" s="19"/>
      <c r="C227" s="20"/>
      <c r="D227" s="19"/>
      <c r="E227" s="20"/>
      <c r="F227" s="19"/>
      <c r="G227" s="20"/>
      <c r="H227" s="19"/>
      <c r="I227" s="20"/>
      <c r="J227" s="225" t="s">
        <v>115</v>
      </c>
      <c r="K227" s="17" t="s">
        <v>136</v>
      </c>
      <c r="L227" s="18" t="s">
        <v>368</v>
      </c>
      <c r="M227" s="17"/>
      <c r="N227" s="19"/>
      <c r="O227" s="17"/>
      <c r="P227" s="19"/>
      <c r="Q227" s="20"/>
      <c r="R227" s="225" t="s">
        <v>115</v>
      </c>
      <c r="S227" s="17" t="s">
        <v>120</v>
      </c>
      <c r="T227" s="226"/>
      <c r="U227" s="17" t="s">
        <v>329</v>
      </c>
      <c r="V227" s="19"/>
      <c r="W227" s="20"/>
      <c r="X227" s="226"/>
      <c r="Y227" s="20" t="s">
        <v>125</v>
      </c>
      <c r="Z227" s="225" t="s">
        <v>115</v>
      </c>
      <c r="AA227" s="17" t="s">
        <v>124</v>
      </c>
      <c r="AB227" s="18" t="s">
        <v>186</v>
      </c>
      <c r="AC227" s="17" t="s">
        <v>353</v>
      </c>
      <c r="AD227" s="19"/>
      <c r="AE227" s="20"/>
      <c r="AF227" s="226"/>
      <c r="AG227" s="20" t="s">
        <v>125</v>
      </c>
      <c r="AH227" s="19"/>
      <c r="AI227" s="20"/>
      <c r="AJ227" s="19"/>
      <c r="AK227" s="20"/>
      <c r="AL227" s="19"/>
      <c r="AM227" s="20"/>
      <c r="AN227" s="19"/>
      <c r="AO227" s="20"/>
    </row>
    <row r="228" spans="1:41" x14ac:dyDescent="0.25">
      <c r="A228" s="221"/>
      <c r="B228" s="19"/>
      <c r="C228" s="20"/>
      <c r="D228" s="19"/>
      <c r="E228" s="20"/>
      <c r="F228" s="19"/>
      <c r="G228" s="20"/>
      <c r="H228" s="19"/>
      <c r="I228" s="20"/>
      <c r="J228" s="227"/>
      <c r="K228" s="17" t="s">
        <v>145</v>
      </c>
      <c r="L228" s="18" t="s">
        <v>544</v>
      </c>
      <c r="M228" s="17"/>
      <c r="N228" s="18"/>
      <c r="O228" s="17"/>
      <c r="P228" s="19"/>
      <c r="Q228" s="20"/>
      <c r="R228" s="226"/>
      <c r="S228" s="17" t="s">
        <v>124</v>
      </c>
      <c r="T228" s="226"/>
      <c r="U228" s="17" t="s">
        <v>585</v>
      </c>
      <c r="V228" s="19"/>
      <c r="W228" s="20"/>
      <c r="X228" s="226"/>
      <c r="Y228" s="20" t="s">
        <v>130</v>
      </c>
      <c r="Z228" s="226"/>
      <c r="AA228" s="17" t="s">
        <v>125</v>
      </c>
      <c r="AB228" s="18" t="s">
        <v>190</v>
      </c>
      <c r="AC228" s="17"/>
      <c r="AD228" s="19"/>
      <c r="AE228" s="20"/>
      <c r="AF228" s="227"/>
      <c r="AG228" s="20" t="s">
        <v>145</v>
      </c>
      <c r="AH228" s="19"/>
      <c r="AI228" s="20"/>
      <c r="AJ228" s="19"/>
      <c r="AK228" s="20"/>
      <c r="AL228" s="19"/>
      <c r="AM228" s="20"/>
      <c r="AN228" s="19"/>
      <c r="AO228" s="20"/>
    </row>
    <row r="229" spans="1:41" x14ac:dyDescent="0.25">
      <c r="A229" s="221"/>
      <c r="B229" s="19"/>
      <c r="C229" s="20"/>
      <c r="D229" s="19"/>
      <c r="E229" s="20"/>
      <c r="F229" s="19"/>
      <c r="G229" s="20"/>
      <c r="H229" s="19"/>
      <c r="I229" s="20"/>
      <c r="J229" s="18" t="s">
        <v>149</v>
      </c>
      <c r="K229" s="17"/>
      <c r="L229" s="225" t="s">
        <v>186</v>
      </c>
      <c r="M229" s="17" t="s">
        <v>334</v>
      </c>
      <c r="N229" s="18"/>
      <c r="O229" s="17"/>
      <c r="P229" s="19"/>
      <c r="Q229" s="20"/>
      <c r="R229" s="226"/>
      <c r="S229" s="17" t="s">
        <v>125</v>
      </c>
      <c r="T229" s="227"/>
      <c r="U229" s="17" t="s">
        <v>331</v>
      </c>
      <c r="V229" s="19"/>
      <c r="W229" s="20"/>
      <c r="X229" s="226"/>
      <c r="Y229" s="20" t="s">
        <v>141</v>
      </c>
      <c r="Z229" s="227"/>
      <c r="AA229" s="17" t="s">
        <v>129</v>
      </c>
      <c r="AB229" s="18"/>
      <c r="AC229" s="17"/>
      <c r="AD229" s="19"/>
      <c r="AE229" s="20"/>
      <c r="AF229" s="19"/>
      <c r="AG229" s="20"/>
      <c r="AH229" s="19"/>
      <c r="AI229" s="20"/>
      <c r="AJ229" s="19"/>
      <c r="AK229" s="20"/>
      <c r="AL229" s="19"/>
      <c r="AM229" s="20"/>
      <c r="AN229" s="19"/>
      <c r="AO229" s="20"/>
    </row>
    <row r="230" spans="1:41" x14ac:dyDescent="0.25">
      <c r="A230" s="221"/>
      <c r="B230" s="19"/>
      <c r="C230" s="20"/>
      <c r="D230" s="19"/>
      <c r="E230" s="20"/>
      <c r="F230" s="19"/>
      <c r="G230" s="20"/>
      <c r="H230" s="19"/>
      <c r="I230" s="20"/>
      <c r="J230" s="18" t="s">
        <v>150</v>
      </c>
      <c r="K230" s="17"/>
      <c r="L230" s="226"/>
      <c r="M230" s="17" t="s">
        <v>196</v>
      </c>
      <c r="N230" s="18"/>
      <c r="O230" s="17"/>
      <c r="P230" s="19"/>
      <c r="Q230" s="20"/>
      <c r="R230" s="226"/>
      <c r="S230" s="17" t="s">
        <v>135</v>
      </c>
      <c r="T230" s="18" t="s">
        <v>191</v>
      </c>
      <c r="U230" s="17"/>
      <c r="V230" s="19"/>
      <c r="W230" s="20"/>
      <c r="X230" s="227"/>
      <c r="Y230" s="20" t="s">
        <v>145</v>
      </c>
      <c r="Z230" s="18" t="s">
        <v>154</v>
      </c>
      <c r="AA230" s="17"/>
      <c r="AB230" s="18"/>
      <c r="AC230" s="17"/>
      <c r="AD230" s="19"/>
      <c r="AE230" s="20"/>
      <c r="AF230" s="19"/>
      <c r="AG230" s="20"/>
      <c r="AH230" s="19"/>
      <c r="AI230" s="20"/>
      <c r="AJ230" s="19"/>
      <c r="AK230" s="20"/>
      <c r="AL230" s="19"/>
      <c r="AM230" s="20"/>
      <c r="AN230" s="19"/>
      <c r="AO230" s="20"/>
    </row>
    <row r="231" spans="1:41" x14ac:dyDescent="0.25">
      <c r="A231" s="221"/>
      <c r="B231" s="19"/>
      <c r="C231" s="20"/>
      <c r="D231" s="19"/>
      <c r="E231" s="20"/>
      <c r="F231" s="19"/>
      <c r="G231" s="20"/>
      <c r="H231" s="19"/>
      <c r="I231" s="20"/>
      <c r="J231" s="18"/>
      <c r="K231" s="17"/>
      <c r="L231" s="227"/>
      <c r="M231" s="17" t="s">
        <v>337</v>
      </c>
      <c r="N231" s="18"/>
      <c r="O231" s="17"/>
      <c r="P231" s="19"/>
      <c r="Q231" s="20"/>
      <c r="R231" s="226"/>
      <c r="S231" s="17" t="s">
        <v>142</v>
      </c>
      <c r="T231" s="18" t="s">
        <v>262</v>
      </c>
      <c r="U231" s="17"/>
      <c r="V231" s="19"/>
      <c r="W231" s="20"/>
      <c r="X231" s="18" t="s">
        <v>1163</v>
      </c>
      <c r="Y231" s="20"/>
      <c r="Z231" s="19" t="s">
        <v>149</v>
      </c>
      <c r="AA231" s="20"/>
      <c r="AB231" s="19"/>
      <c r="AC231" s="20"/>
      <c r="AD231" s="19"/>
      <c r="AE231" s="20"/>
      <c r="AF231" s="19"/>
      <c r="AG231" s="20"/>
      <c r="AH231" s="19"/>
      <c r="AI231" s="20"/>
      <c r="AJ231" s="19"/>
      <c r="AK231" s="20"/>
      <c r="AL231" s="19"/>
      <c r="AM231" s="20"/>
      <c r="AN231" s="19"/>
      <c r="AO231" s="20"/>
    </row>
    <row r="232" spans="1:41" x14ac:dyDescent="0.25">
      <c r="A232" s="221"/>
      <c r="B232" s="19"/>
      <c r="C232" s="20"/>
      <c r="D232" s="19"/>
      <c r="E232" s="20"/>
      <c r="F232" s="19"/>
      <c r="G232" s="20"/>
      <c r="H232" s="19"/>
      <c r="I232" s="20"/>
      <c r="J232" s="18"/>
      <c r="K232" s="17"/>
      <c r="L232" s="18" t="s">
        <v>704</v>
      </c>
      <c r="M232" s="17" t="s">
        <v>320</v>
      </c>
      <c r="N232" s="18"/>
      <c r="O232" s="17"/>
      <c r="P232" s="19"/>
      <c r="Q232" s="20"/>
      <c r="R232" s="227"/>
      <c r="S232" s="17" t="s">
        <v>145</v>
      </c>
      <c r="T232" s="225" t="s">
        <v>186</v>
      </c>
      <c r="U232" s="17" t="s">
        <v>194</v>
      </c>
      <c r="V232" s="18"/>
      <c r="W232" s="20"/>
      <c r="X232" s="19"/>
      <c r="Y232" s="20"/>
      <c r="Z232" s="19" t="s">
        <v>150</v>
      </c>
      <c r="AA232" s="20"/>
      <c r="AB232" s="19"/>
      <c r="AC232" s="20"/>
      <c r="AD232" s="19"/>
      <c r="AE232" s="20"/>
      <c r="AF232" s="19"/>
      <c r="AG232" s="20"/>
      <c r="AH232" s="19"/>
      <c r="AI232" s="20"/>
      <c r="AJ232" s="19"/>
      <c r="AK232" s="20"/>
      <c r="AL232" s="19"/>
      <c r="AM232" s="20"/>
      <c r="AN232" s="19"/>
      <c r="AO232" s="20"/>
    </row>
    <row r="233" spans="1:41" x14ac:dyDescent="0.25">
      <c r="A233" s="221"/>
      <c r="B233" s="19"/>
      <c r="C233" s="20"/>
      <c r="D233" s="19"/>
      <c r="E233" s="20"/>
      <c r="F233" s="19"/>
      <c r="G233" s="20"/>
      <c r="H233" s="19"/>
      <c r="I233" s="20"/>
      <c r="J233" s="18"/>
      <c r="K233" s="17"/>
      <c r="L233" s="18" t="s">
        <v>190</v>
      </c>
      <c r="M233" s="17"/>
      <c r="N233" s="18"/>
      <c r="O233" s="17"/>
      <c r="P233" s="19"/>
      <c r="Q233" s="20"/>
      <c r="R233" s="18" t="s">
        <v>157</v>
      </c>
      <c r="S233" s="17"/>
      <c r="T233" s="226"/>
      <c r="U233" s="17" t="s">
        <v>187</v>
      </c>
      <c r="V233" s="18"/>
      <c r="W233" s="20"/>
      <c r="X233" s="19"/>
      <c r="Y233" s="20"/>
      <c r="Z233" s="19"/>
      <c r="AA233" s="20"/>
      <c r="AB233" s="19"/>
      <c r="AC233" s="20"/>
      <c r="AD233" s="19"/>
      <c r="AE233" s="20"/>
      <c r="AF233" s="19"/>
      <c r="AG233" s="20"/>
      <c r="AH233" s="19"/>
      <c r="AI233" s="20"/>
      <c r="AJ233" s="19"/>
      <c r="AK233" s="20"/>
      <c r="AL233" s="19"/>
      <c r="AM233" s="20"/>
      <c r="AN233" s="19"/>
      <c r="AO233" s="20"/>
    </row>
    <row r="234" spans="1:41" x14ac:dyDescent="0.25">
      <c r="A234" s="221"/>
      <c r="B234" s="19"/>
      <c r="C234" s="20"/>
      <c r="D234" s="19"/>
      <c r="E234" s="20"/>
      <c r="F234" s="19"/>
      <c r="G234" s="20"/>
      <c r="H234" s="19"/>
      <c r="I234" s="20"/>
      <c r="J234" s="19"/>
      <c r="K234" s="20"/>
      <c r="L234" s="19"/>
      <c r="M234" s="20"/>
      <c r="N234" s="18"/>
      <c r="O234" s="17"/>
      <c r="P234" s="19"/>
      <c r="Q234" s="20"/>
      <c r="R234" s="18" t="s">
        <v>149</v>
      </c>
      <c r="S234" s="17"/>
      <c r="T234" s="226"/>
      <c r="U234" s="17" t="s">
        <v>337</v>
      </c>
      <c r="V234" s="18"/>
      <c r="W234" s="20"/>
      <c r="X234" s="19"/>
      <c r="Y234" s="20"/>
      <c r="Z234" s="19"/>
      <c r="AA234" s="20"/>
      <c r="AB234" s="19"/>
      <c r="AC234" s="20"/>
      <c r="AD234" s="19"/>
      <c r="AE234" s="20"/>
      <c r="AF234" s="19"/>
      <c r="AG234" s="20"/>
      <c r="AH234" s="19"/>
      <c r="AI234" s="20"/>
      <c r="AJ234" s="19"/>
      <c r="AK234" s="20"/>
      <c r="AL234" s="19"/>
      <c r="AM234" s="20"/>
      <c r="AN234" s="19"/>
      <c r="AO234" s="20"/>
    </row>
    <row r="235" spans="1:41" ht="15" customHeight="1" x14ac:dyDescent="0.25">
      <c r="A235" s="221"/>
      <c r="B235" s="19"/>
      <c r="C235" s="20"/>
      <c r="D235" s="19"/>
      <c r="E235" s="20"/>
      <c r="F235" s="19"/>
      <c r="G235" s="20"/>
      <c r="H235" s="19"/>
      <c r="I235" s="20"/>
      <c r="J235" s="19"/>
      <c r="K235" s="20"/>
      <c r="L235" s="19"/>
      <c r="M235" s="20"/>
      <c r="N235" s="18"/>
      <c r="O235" s="17"/>
      <c r="P235" s="19"/>
      <c r="Q235" s="20"/>
      <c r="R235" s="18" t="s">
        <v>150</v>
      </c>
      <c r="S235" s="17"/>
      <c r="T235" s="226"/>
      <c r="U235" s="17" t="s">
        <v>189</v>
      </c>
      <c r="V235" s="18"/>
      <c r="W235" s="20"/>
      <c r="X235" s="19"/>
      <c r="Y235" s="20"/>
      <c r="Z235" s="19"/>
      <c r="AA235" s="20"/>
      <c r="AB235" s="19"/>
      <c r="AC235" s="20"/>
      <c r="AD235" s="19"/>
      <c r="AE235" s="20"/>
      <c r="AF235" s="19"/>
      <c r="AG235" s="20"/>
      <c r="AH235" s="19"/>
      <c r="AI235" s="20"/>
      <c r="AJ235" s="19"/>
      <c r="AK235" s="20"/>
      <c r="AL235" s="19"/>
      <c r="AM235" s="20"/>
      <c r="AN235" s="19"/>
      <c r="AO235" s="20"/>
    </row>
    <row r="236" spans="1:41" ht="15" customHeight="1" x14ac:dyDescent="0.25">
      <c r="A236" s="221"/>
      <c r="B236" s="19"/>
      <c r="C236" s="20"/>
      <c r="D236" s="19"/>
      <c r="E236" s="20"/>
      <c r="F236" s="19"/>
      <c r="G236" s="20"/>
      <c r="H236" s="19"/>
      <c r="I236" s="20"/>
      <c r="J236" s="19"/>
      <c r="K236" s="20"/>
      <c r="L236" s="19"/>
      <c r="M236" s="20"/>
      <c r="N236" s="18"/>
      <c r="O236" s="17"/>
      <c r="P236" s="19"/>
      <c r="Q236" s="20"/>
      <c r="R236" s="18"/>
      <c r="S236" s="17"/>
      <c r="T236" s="226"/>
      <c r="U236" s="17" t="s">
        <v>350</v>
      </c>
      <c r="V236" s="18"/>
      <c r="W236" s="20"/>
      <c r="X236" s="19"/>
      <c r="Y236" s="20"/>
      <c r="Z236" s="19"/>
      <c r="AA236" s="20"/>
      <c r="AB236" s="19"/>
      <c r="AC236" s="20"/>
      <c r="AD236" s="19"/>
      <c r="AE236" s="20"/>
      <c r="AF236" s="19"/>
      <c r="AG236" s="20"/>
      <c r="AH236" s="19"/>
      <c r="AI236" s="20"/>
      <c r="AJ236" s="19"/>
      <c r="AK236" s="20"/>
      <c r="AL236" s="19"/>
      <c r="AM236" s="20"/>
      <c r="AN236" s="19"/>
      <c r="AO236" s="20"/>
    </row>
    <row r="237" spans="1:41" ht="15" customHeight="1" x14ac:dyDescent="0.25">
      <c r="A237" s="221"/>
      <c r="B237" s="19"/>
      <c r="C237" s="20"/>
      <c r="D237" s="19"/>
      <c r="E237" s="20"/>
      <c r="F237" s="19"/>
      <c r="G237" s="20"/>
      <c r="H237" s="19"/>
      <c r="I237" s="20"/>
      <c r="J237" s="19"/>
      <c r="K237" s="20"/>
      <c r="L237" s="19"/>
      <c r="M237" s="20"/>
      <c r="N237" s="18"/>
      <c r="O237" s="17"/>
      <c r="P237" s="19"/>
      <c r="Q237" s="20"/>
      <c r="R237" s="18"/>
      <c r="S237" s="17"/>
      <c r="T237" s="227"/>
      <c r="U237" s="17" t="s">
        <v>196</v>
      </c>
      <c r="V237" s="18"/>
      <c r="W237" s="20"/>
      <c r="X237" s="19"/>
      <c r="Y237" s="20"/>
      <c r="Z237" s="19"/>
      <c r="AA237" s="20"/>
      <c r="AB237" s="19"/>
      <c r="AC237" s="20"/>
      <c r="AD237" s="19"/>
      <c r="AE237" s="20"/>
      <c r="AF237" s="19"/>
      <c r="AG237" s="20"/>
      <c r="AH237" s="19"/>
      <c r="AI237" s="20"/>
      <c r="AJ237" s="19"/>
      <c r="AK237" s="20"/>
      <c r="AL237" s="19"/>
      <c r="AM237" s="20"/>
      <c r="AN237" s="19"/>
      <c r="AO237" s="20"/>
    </row>
    <row r="238" spans="1:41" ht="15" customHeight="1" x14ac:dyDescent="0.25">
      <c r="A238" s="221"/>
      <c r="B238" s="19"/>
      <c r="C238" s="20"/>
      <c r="D238" s="19"/>
      <c r="E238" s="20"/>
      <c r="F238" s="19"/>
      <c r="G238" s="20"/>
      <c r="H238" s="19"/>
      <c r="I238" s="20"/>
      <c r="J238" s="19"/>
      <c r="K238" s="20"/>
      <c r="L238" s="19"/>
      <c r="M238" s="20"/>
      <c r="N238" s="19"/>
      <c r="O238" s="20"/>
      <c r="P238" s="19"/>
      <c r="Q238" s="20"/>
      <c r="R238" s="19"/>
      <c r="S238" s="20"/>
      <c r="T238" s="19" t="s">
        <v>190</v>
      </c>
      <c r="U238" s="20"/>
      <c r="V238" s="19"/>
      <c r="W238" s="20"/>
      <c r="X238" s="19"/>
      <c r="Y238" s="20"/>
      <c r="Z238" s="19"/>
      <c r="AA238" s="20"/>
      <c r="AB238" s="19"/>
      <c r="AC238" s="20"/>
      <c r="AD238" s="19"/>
      <c r="AE238" s="20"/>
      <c r="AF238" s="19"/>
      <c r="AG238" s="20"/>
      <c r="AH238" s="19"/>
      <c r="AI238" s="20"/>
      <c r="AJ238" s="19"/>
      <c r="AK238" s="20"/>
      <c r="AL238" s="19"/>
      <c r="AM238" s="20"/>
      <c r="AN238" s="19"/>
      <c r="AO238" s="20"/>
    </row>
    <row r="239" spans="1:41" s="11" customFormat="1" ht="51" thickBot="1" x14ac:dyDescent="0.3">
      <c r="A239" s="221" t="s">
        <v>289</v>
      </c>
      <c r="B239" s="22"/>
      <c r="C239" s="21"/>
      <c r="D239" s="22"/>
      <c r="E239" s="21"/>
      <c r="F239" s="22"/>
      <c r="G239" s="21"/>
      <c r="H239" s="22"/>
      <c r="I239" s="21"/>
      <c r="J239" s="222" t="s">
        <v>926</v>
      </c>
      <c r="K239" s="222"/>
      <c r="L239" s="222"/>
      <c r="M239" s="222"/>
      <c r="N239" s="222"/>
      <c r="O239" s="222"/>
      <c r="P239" s="222"/>
      <c r="Q239" s="222"/>
      <c r="R239" s="222" t="s">
        <v>927</v>
      </c>
      <c r="S239" s="222"/>
      <c r="T239" s="222"/>
      <c r="U239" s="222"/>
      <c r="V239" s="222"/>
      <c r="W239" s="222"/>
      <c r="X239" s="222"/>
      <c r="Y239" s="222"/>
      <c r="Z239" s="222" t="s">
        <v>928</v>
      </c>
      <c r="AA239" s="222"/>
      <c r="AB239" s="222"/>
      <c r="AC239" s="222"/>
      <c r="AD239" s="222"/>
      <c r="AE239" s="222"/>
      <c r="AF239" s="222"/>
      <c r="AG239" s="222"/>
      <c r="AH239" s="22"/>
      <c r="AI239" s="21"/>
      <c r="AJ239" s="22"/>
      <c r="AK239" s="21"/>
      <c r="AL239" s="22"/>
      <c r="AM239" s="21"/>
      <c r="AN239" s="22"/>
      <c r="AO239" s="21"/>
    </row>
    <row r="240" spans="1:41" s="11" customFormat="1" ht="17.25" thickTop="1" x14ac:dyDescent="0.25">
      <c r="A240" s="221"/>
      <c r="B240" s="22"/>
      <c r="C240" s="21"/>
      <c r="D240" s="22"/>
      <c r="E240" s="21"/>
      <c r="F240" s="22"/>
      <c r="G240" s="21"/>
      <c r="H240" s="22"/>
      <c r="I240" s="21"/>
      <c r="J240" s="231" t="s">
        <v>1445</v>
      </c>
      <c r="K240" s="231" t="s">
        <v>1446</v>
      </c>
      <c r="L240" s="231" t="s">
        <v>1448</v>
      </c>
      <c r="M240" s="231" t="s">
        <v>1449</v>
      </c>
      <c r="N240" s="231" t="s">
        <v>1450</v>
      </c>
      <c r="O240" s="231" t="s">
        <v>1451</v>
      </c>
      <c r="P240" s="231" t="s">
        <v>715</v>
      </c>
      <c r="Q240" s="231" t="s">
        <v>1447</v>
      </c>
      <c r="R240" s="231" t="s">
        <v>1445</v>
      </c>
      <c r="S240" s="231" t="s">
        <v>1446</v>
      </c>
      <c r="T240" s="231" t="s">
        <v>1448</v>
      </c>
      <c r="U240" s="231" t="s">
        <v>1449</v>
      </c>
      <c r="V240" s="231" t="s">
        <v>1450</v>
      </c>
      <c r="W240" s="231" t="s">
        <v>1451</v>
      </c>
      <c r="X240" s="231" t="s">
        <v>715</v>
      </c>
      <c r="Y240" s="231" t="s">
        <v>1447</v>
      </c>
      <c r="Z240" s="231" t="s">
        <v>1445</v>
      </c>
      <c r="AA240" s="231" t="s">
        <v>1446</v>
      </c>
      <c r="AB240" s="231" t="s">
        <v>1448</v>
      </c>
      <c r="AC240" s="231" t="s">
        <v>1449</v>
      </c>
      <c r="AD240" s="231" t="s">
        <v>1450</v>
      </c>
      <c r="AE240" s="231" t="s">
        <v>1451</v>
      </c>
      <c r="AF240" s="231" t="s">
        <v>715</v>
      </c>
      <c r="AG240" s="231" t="s">
        <v>1447</v>
      </c>
      <c r="AH240" s="22"/>
      <c r="AI240" s="21"/>
      <c r="AJ240" s="22"/>
      <c r="AK240" s="21"/>
      <c r="AL240" s="22"/>
      <c r="AM240" s="21"/>
      <c r="AN240" s="22"/>
      <c r="AO240" s="21"/>
    </row>
    <row r="241" spans="1:41" s="12" customFormat="1" x14ac:dyDescent="0.25">
      <c r="A241" s="221"/>
      <c r="B241" s="18"/>
      <c r="C241" s="17"/>
      <c r="D241" s="18"/>
      <c r="E241" s="17"/>
      <c r="F241" s="18"/>
      <c r="G241" s="17"/>
      <c r="H241" s="18"/>
      <c r="I241" s="17"/>
      <c r="J241" s="18" t="s">
        <v>151</v>
      </c>
      <c r="K241" s="17"/>
      <c r="L241" s="18" t="s">
        <v>182</v>
      </c>
      <c r="M241" s="17"/>
      <c r="N241" s="19" t="s">
        <v>558</v>
      </c>
      <c r="O241" s="17" t="s">
        <v>387</v>
      </c>
      <c r="P241" s="18"/>
      <c r="Q241" s="17"/>
      <c r="R241" s="19" t="s">
        <v>558</v>
      </c>
      <c r="S241" s="17" t="s">
        <v>387</v>
      </c>
      <c r="T241" s="18" t="s">
        <v>182</v>
      </c>
      <c r="U241" s="17"/>
      <c r="V241" s="18" t="s">
        <v>155</v>
      </c>
      <c r="W241" s="17"/>
      <c r="X241" s="225" t="s">
        <v>378</v>
      </c>
      <c r="Y241" s="17" t="s">
        <v>124</v>
      </c>
      <c r="Z241" s="18" t="s">
        <v>558</v>
      </c>
      <c r="AA241" s="17" t="s">
        <v>387</v>
      </c>
      <c r="AB241" s="232" t="s">
        <v>703</v>
      </c>
      <c r="AC241" s="17" t="s">
        <v>259</v>
      </c>
      <c r="AD241" s="18" t="s">
        <v>156</v>
      </c>
      <c r="AE241" s="17"/>
      <c r="AF241" s="18" t="s">
        <v>379</v>
      </c>
      <c r="AG241" s="17" t="s">
        <v>192</v>
      </c>
      <c r="AH241" s="18"/>
      <c r="AI241" s="17"/>
      <c r="AJ241" s="18"/>
      <c r="AK241" s="17"/>
      <c r="AL241" s="18"/>
      <c r="AM241" s="17"/>
      <c r="AN241" s="18"/>
      <c r="AO241" s="17"/>
    </row>
    <row r="242" spans="1:41" s="12" customFormat="1" x14ac:dyDescent="0.25">
      <c r="A242" s="221"/>
      <c r="B242" s="18"/>
      <c r="C242" s="17"/>
      <c r="D242" s="18"/>
      <c r="E242" s="17"/>
      <c r="F242" s="18"/>
      <c r="G242" s="17"/>
      <c r="H242" s="18"/>
      <c r="I242" s="17"/>
      <c r="J242" s="18" t="s">
        <v>558</v>
      </c>
      <c r="K242" s="17" t="s">
        <v>192</v>
      </c>
      <c r="L242" s="18" t="s">
        <v>703</v>
      </c>
      <c r="M242" s="17" t="s">
        <v>257</v>
      </c>
      <c r="N242" s="18"/>
      <c r="O242" s="17"/>
      <c r="P242" s="18"/>
      <c r="Q242" s="17"/>
      <c r="R242" s="225" t="s">
        <v>115</v>
      </c>
      <c r="S242" s="17" t="s">
        <v>125</v>
      </c>
      <c r="T242" s="18" t="s">
        <v>186</v>
      </c>
      <c r="U242" s="17" t="s">
        <v>342</v>
      </c>
      <c r="V242" s="19"/>
      <c r="W242" s="17"/>
      <c r="X242" s="226"/>
      <c r="Y242" s="17" t="s">
        <v>125</v>
      </c>
      <c r="Z242" s="225" t="s">
        <v>115</v>
      </c>
      <c r="AA242" s="17" t="s">
        <v>124</v>
      </c>
      <c r="AB242" s="234"/>
      <c r="AC242" s="28" t="s">
        <v>222</v>
      </c>
      <c r="AD242" s="18" t="s">
        <v>155</v>
      </c>
      <c r="AE242" s="17"/>
      <c r="AF242" s="225" t="s">
        <v>378</v>
      </c>
      <c r="AG242" s="17" t="s">
        <v>118</v>
      </c>
      <c r="AH242" s="18"/>
      <c r="AI242" s="17"/>
      <c r="AJ242" s="18"/>
      <c r="AK242" s="17"/>
      <c r="AL242" s="18"/>
      <c r="AM242" s="17"/>
      <c r="AN242" s="18"/>
      <c r="AO242" s="17"/>
    </row>
    <row r="243" spans="1:41" s="12" customFormat="1" x14ac:dyDescent="0.25">
      <c r="A243" s="221"/>
      <c r="B243" s="18"/>
      <c r="C243" s="17"/>
      <c r="D243" s="18"/>
      <c r="E243" s="17"/>
      <c r="F243" s="18"/>
      <c r="G243" s="17"/>
      <c r="H243" s="18"/>
      <c r="I243" s="17"/>
      <c r="J243" s="18" t="s">
        <v>115</v>
      </c>
      <c r="K243" s="17" t="s">
        <v>145</v>
      </c>
      <c r="L243" s="18" t="s">
        <v>190</v>
      </c>
      <c r="M243" s="17"/>
      <c r="N243" s="18"/>
      <c r="O243" s="17"/>
      <c r="P243" s="18"/>
      <c r="Q243" s="17"/>
      <c r="R243" s="226"/>
      <c r="S243" s="17" t="s">
        <v>141</v>
      </c>
      <c r="T243" s="18" t="s">
        <v>191</v>
      </c>
      <c r="U243" s="17"/>
      <c r="V243" s="19"/>
      <c r="W243" s="17"/>
      <c r="X243" s="226"/>
      <c r="Y243" s="17" t="s">
        <v>133</v>
      </c>
      <c r="Z243" s="226"/>
      <c r="AA243" s="17" t="s">
        <v>125</v>
      </c>
      <c r="AB243" s="18" t="s">
        <v>361</v>
      </c>
      <c r="AC243" s="20"/>
      <c r="AD243" s="18"/>
      <c r="AE243" s="17"/>
      <c r="AF243" s="226"/>
      <c r="AG243" s="17" t="s">
        <v>124</v>
      </c>
      <c r="AH243" s="18"/>
      <c r="AI243" s="17"/>
      <c r="AJ243" s="18"/>
      <c r="AK243" s="17"/>
      <c r="AL243" s="18"/>
      <c r="AM243" s="17"/>
      <c r="AN243" s="18"/>
      <c r="AO243" s="17"/>
    </row>
    <row r="244" spans="1:41" s="12" customFormat="1" x14ac:dyDescent="0.25">
      <c r="A244" s="221"/>
      <c r="B244" s="18"/>
      <c r="C244" s="17"/>
      <c r="D244" s="18"/>
      <c r="E244" s="17"/>
      <c r="F244" s="18"/>
      <c r="G244" s="17"/>
      <c r="H244" s="18"/>
      <c r="I244" s="17"/>
      <c r="J244" s="19" t="s">
        <v>149</v>
      </c>
      <c r="K244" s="17"/>
      <c r="L244" s="18"/>
      <c r="M244" s="17"/>
      <c r="N244" s="18"/>
      <c r="O244" s="17"/>
      <c r="P244" s="18"/>
      <c r="Q244" s="17"/>
      <c r="R244" s="227"/>
      <c r="S244" s="17" t="s">
        <v>142</v>
      </c>
      <c r="T244" s="18"/>
      <c r="U244" s="17"/>
      <c r="V244" s="19"/>
      <c r="W244" s="17"/>
      <c r="X244" s="226"/>
      <c r="Y244" s="17" t="s">
        <v>141</v>
      </c>
      <c r="Z244" s="226"/>
      <c r="AA244" s="17" t="s">
        <v>141</v>
      </c>
      <c r="AB244" s="18" t="s">
        <v>190</v>
      </c>
      <c r="AC244" s="20"/>
      <c r="AD244" s="19"/>
      <c r="AE244" s="17"/>
      <c r="AF244" s="226"/>
      <c r="AG244" s="17" t="s">
        <v>125</v>
      </c>
      <c r="AH244" s="18"/>
      <c r="AI244" s="17"/>
      <c r="AJ244" s="18"/>
      <c r="AK244" s="17"/>
      <c r="AL244" s="18"/>
      <c r="AM244" s="17"/>
      <c r="AN244" s="18"/>
      <c r="AO244" s="17"/>
    </row>
    <row r="245" spans="1:41" s="12" customFormat="1" x14ac:dyDescent="0.25">
      <c r="A245" s="221"/>
      <c r="B245" s="18"/>
      <c r="C245" s="17"/>
      <c r="D245" s="18"/>
      <c r="E245" s="17"/>
      <c r="F245" s="18"/>
      <c r="G245" s="17"/>
      <c r="H245" s="18"/>
      <c r="I245" s="17"/>
      <c r="J245" s="19" t="s">
        <v>150</v>
      </c>
      <c r="K245" s="17"/>
      <c r="L245" s="18"/>
      <c r="M245" s="17"/>
      <c r="N245" s="18"/>
      <c r="O245" s="17"/>
      <c r="P245" s="18"/>
      <c r="Q245" s="17"/>
      <c r="R245" s="18" t="s">
        <v>150</v>
      </c>
      <c r="S245" s="17"/>
      <c r="T245" s="18"/>
      <c r="U245" s="17"/>
      <c r="V245" s="19"/>
      <c r="W245" s="17"/>
      <c r="X245" s="227"/>
      <c r="Y245" s="17" t="s">
        <v>142</v>
      </c>
      <c r="Z245" s="227"/>
      <c r="AA245" s="17" t="s">
        <v>142</v>
      </c>
      <c r="AB245" s="18"/>
      <c r="AC245" s="17"/>
      <c r="AD245" s="19"/>
      <c r="AE245" s="17"/>
      <c r="AF245" s="226"/>
      <c r="AG245" s="17" t="s">
        <v>141</v>
      </c>
      <c r="AH245" s="18"/>
      <c r="AI245" s="17"/>
      <c r="AJ245" s="18"/>
      <c r="AK245" s="17"/>
      <c r="AL245" s="18"/>
      <c r="AM245" s="17"/>
      <c r="AN245" s="18"/>
      <c r="AO245" s="17"/>
    </row>
    <row r="246" spans="1:41" s="11" customFormat="1" ht="51" thickBot="1" x14ac:dyDescent="0.3">
      <c r="A246" s="221"/>
      <c r="B246" s="22"/>
      <c r="C246" s="21"/>
      <c r="D246" s="22"/>
      <c r="E246" s="21"/>
      <c r="F246" s="22"/>
      <c r="G246" s="21"/>
      <c r="H246" s="22"/>
      <c r="I246" s="21"/>
      <c r="J246" s="222" t="s">
        <v>84</v>
      </c>
      <c r="K246" s="222"/>
      <c r="L246" s="222"/>
      <c r="M246" s="222"/>
      <c r="N246" s="222"/>
      <c r="O246" s="222"/>
      <c r="P246" s="222"/>
      <c r="Q246" s="222"/>
      <c r="R246" s="18"/>
      <c r="S246" s="17"/>
      <c r="T246" s="18"/>
      <c r="U246" s="17"/>
      <c r="V246" s="19"/>
      <c r="W246" s="17"/>
      <c r="X246" s="22"/>
      <c r="Y246" s="21"/>
      <c r="Z246" s="18" t="s">
        <v>154</v>
      </c>
      <c r="AA246" s="17"/>
      <c r="AB246" s="18"/>
      <c r="AC246" s="17"/>
      <c r="AD246" s="19"/>
      <c r="AE246" s="17"/>
      <c r="AF246" s="227"/>
      <c r="AG246" s="17" t="s">
        <v>142</v>
      </c>
      <c r="AH246" s="22"/>
      <c r="AI246" s="21"/>
      <c r="AJ246" s="22"/>
      <c r="AK246" s="21"/>
      <c r="AL246" s="22"/>
      <c r="AM246" s="21"/>
      <c r="AN246" s="22"/>
      <c r="AO246" s="21"/>
    </row>
    <row r="247" spans="1:41" s="11" customFormat="1" ht="17.25" thickTop="1" x14ac:dyDescent="0.25">
      <c r="A247" s="221"/>
      <c r="B247" s="22"/>
      <c r="C247" s="21"/>
      <c r="D247" s="22"/>
      <c r="E247" s="21"/>
      <c r="F247" s="22"/>
      <c r="G247" s="21"/>
      <c r="H247" s="22"/>
      <c r="I247" s="21"/>
      <c r="J247" s="231" t="s">
        <v>1445</v>
      </c>
      <c r="K247" s="231" t="s">
        <v>1446</v>
      </c>
      <c r="L247" s="231" t="s">
        <v>1448</v>
      </c>
      <c r="M247" s="231" t="s">
        <v>1449</v>
      </c>
      <c r="N247" s="231" t="s">
        <v>1450</v>
      </c>
      <c r="O247" s="231" t="s">
        <v>1451</v>
      </c>
      <c r="P247" s="231" t="s">
        <v>715</v>
      </c>
      <c r="Q247" s="231" t="s">
        <v>1447</v>
      </c>
      <c r="R247" s="22"/>
      <c r="S247" s="21"/>
      <c r="T247" s="22"/>
      <c r="U247" s="21"/>
      <c r="V247" s="22"/>
      <c r="W247" s="21"/>
      <c r="X247" s="22"/>
      <c r="Y247" s="21"/>
      <c r="Z247" s="18" t="s">
        <v>157</v>
      </c>
      <c r="AA247" s="17"/>
      <c r="AB247" s="18"/>
      <c r="AC247" s="17"/>
      <c r="AD247" s="19"/>
      <c r="AE247" s="17"/>
      <c r="AF247" s="22"/>
      <c r="AG247" s="21"/>
      <c r="AH247" s="22"/>
      <c r="AI247" s="21"/>
      <c r="AJ247" s="22"/>
      <c r="AK247" s="21"/>
      <c r="AL247" s="22"/>
      <c r="AM247" s="21"/>
      <c r="AN247" s="22"/>
      <c r="AO247" s="21"/>
    </row>
    <row r="248" spans="1:41" s="12" customFormat="1" x14ac:dyDescent="0.25">
      <c r="A248" s="221"/>
      <c r="B248" s="18"/>
      <c r="C248" s="17"/>
      <c r="D248" s="18"/>
      <c r="E248" s="17"/>
      <c r="F248" s="18"/>
      <c r="G248" s="17"/>
      <c r="H248" s="18"/>
      <c r="I248" s="17"/>
      <c r="J248" s="225" t="s">
        <v>558</v>
      </c>
      <c r="K248" s="17" t="s">
        <v>381</v>
      </c>
      <c r="L248" s="18" t="s">
        <v>182</v>
      </c>
      <c r="M248" s="17"/>
      <c r="N248" s="225" t="s">
        <v>115</v>
      </c>
      <c r="O248" s="17" t="s">
        <v>141</v>
      </c>
      <c r="P248" s="225" t="s">
        <v>378</v>
      </c>
      <c r="Q248" s="17" t="s">
        <v>118</v>
      </c>
      <c r="R248" s="18"/>
      <c r="S248" s="17"/>
      <c r="T248" s="18"/>
      <c r="U248" s="17"/>
      <c r="V248" s="18"/>
      <c r="W248" s="17"/>
      <c r="X248" s="18"/>
      <c r="Y248" s="17"/>
      <c r="Z248" s="18"/>
      <c r="AA248" s="17"/>
      <c r="AB248" s="18"/>
      <c r="AC248" s="17"/>
      <c r="AD248" s="19"/>
      <c r="AE248" s="17"/>
      <c r="AF248" s="18"/>
      <c r="AG248" s="17"/>
      <c r="AH248" s="18"/>
      <c r="AI248" s="17"/>
      <c r="AJ248" s="18"/>
      <c r="AK248" s="17"/>
      <c r="AL248" s="18"/>
      <c r="AM248" s="17"/>
      <c r="AN248" s="18"/>
      <c r="AO248" s="17"/>
    </row>
    <row r="249" spans="1:41" s="12" customFormat="1" x14ac:dyDescent="0.25">
      <c r="A249" s="221"/>
      <c r="B249" s="18"/>
      <c r="C249" s="17"/>
      <c r="D249" s="18"/>
      <c r="E249" s="17"/>
      <c r="F249" s="18"/>
      <c r="G249" s="17"/>
      <c r="H249" s="18"/>
      <c r="I249" s="17"/>
      <c r="J249" s="226"/>
      <c r="K249" s="17" t="s">
        <v>382</v>
      </c>
      <c r="L249" s="225" t="s">
        <v>702</v>
      </c>
      <c r="M249" s="17" t="s">
        <v>183</v>
      </c>
      <c r="N249" s="227"/>
      <c r="O249" s="17" t="s">
        <v>142</v>
      </c>
      <c r="P249" s="226"/>
      <c r="Q249" s="17" t="s">
        <v>124</v>
      </c>
      <c r="R249" s="18"/>
      <c r="S249" s="17"/>
      <c r="T249" s="18"/>
      <c r="U249" s="17"/>
      <c r="V249" s="18"/>
      <c r="W249" s="17"/>
      <c r="X249" s="18"/>
      <c r="Y249" s="17"/>
      <c r="Z249" s="18"/>
      <c r="AA249" s="17"/>
      <c r="AB249" s="18"/>
      <c r="AC249" s="17"/>
      <c r="AD249" s="18"/>
      <c r="AE249" s="21"/>
      <c r="AF249" s="18"/>
      <c r="AG249" s="17"/>
      <c r="AH249" s="18"/>
      <c r="AI249" s="17"/>
      <c r="AJ249" s="18"/>
      <c r="AK249" s="17"/>
      <c r="AL249" s="18"/>
      <c r="AM249" s="17"/>
      <c r="AN249" s="18"/>
      <c r="AO249" s="17"/>
    </row>
    <row r="250" spans="1:41" s="12" customFormat="1" x14ac:dyDescent="0.25">
      <c r="A250" s="221"/>
      <c r="B250" s="18"/>
      <c r="C250" s="17"/>
      <c r="D250" s="18"/>
      <c r="E250" s="17"/>
      <c r="F250" s="18"/>
      <c r="G250" s="17"/>
      <c r="H250" s="18"/>
      <c r="I250" s="17"/>
      <c r="J250" s="226"/>
      <c r="K250" s="17" t="s">
        <v>383</v>
      </c>
      <c r="L250" s="226"/>
      <c r="M250" s="17" t="s">
        <v>555</v>
      </c>
      <c r="N250" s="19"/>
      <c r="O250" s="17"/>
      <c r="P250" s="227"/>
      <c r="Q250" s="17" t="s">
        <v>125</v>
      </c>
      <c r="R250" s="18"/>
      <c r="S250" s="17"/>
      <c r="T250" s="18"/>
      <c r="U250" s="17"/>
      <c r="V250" s="18"/>
      <c r="W250" s="17"/>
      <c r="X250" s="18"/>
      <c r="Y250" s="17"/>
      <c r="Z250" s="18"/>
      <c r="AA250" s="17"/>
      <c r="AB250" s="18"/>
      <c r="AC250" s="17"/>
      <c r="AD250" s="18"/>
      <c r="AE250" s="17"/>
      <c r="AF250" s="18"/>
      <c r="AG250" s="17"/>
      <c r="AH250" s="18"/>
      <c r="AI250" s="17"/>
      <c r="AJ250" s="18"/>
      <c r="AK250" s="17"/>
      <c r="AL250" s="18"/>
      <c r="AM250" s="17"/>
      <c r="AN250" s="18"/>
      <c r="AO250" s="17"/>
    </row>
    <row r="251" spans="1:41" s="12" customFormat="1" x14ac:dyDescent="0.25">
      <c r="A251" s="221"/>
      <c r="B251" s="18"/>
      <c r="C251" s="17"/>
      <c r="D251" s="18"/>
      <c r="E251" s="17"/>
      <c r="F251" s="18"/>
      <c r="G251" s="17"/>
      <c r="H251" s="18"/>
      <c r="I251" s="17"/>
      <c r="J251" s="226"/>
      <c r="K251" s="17" t="s">
        <v>384</v>
      </c>
      <c r="L251" s="227"/>
      <c r="M251" s="17" t="s">
        <v>185</v>
      </c>
      <c r="N251" s="19"/>
      <c r="O251" s="17"/>
      <c r="P251" s="18"/>
      <c r="Q251" s="17"/>
      <c r="R251" s="18"/>
      <c r="S251" s="17"/>
      <c r="T251" s="18"/>
      <c r="U251" s="17"/>
      <c r="V251" s="18"/>
      <c r="W251" s="17"/>
      <c r="X251" s="18"/>
      <c r="Y251" s="17"/>
      <c r="Z251" s="18"/>
      <c r="AA251" s="17"/>
      <c r="AB251" s="18"/>
      <c r="AC251" s="17"/>
      <c r="AD251" s="18"/>
      <c r="AE251" s="17"/>
      <c r="AF251" s="18"/>
      <c r="AG251" s="17"/>
      <c r="AH251" s="18"/>
      <c r="AI251" s="17"/>
      <c r="AJ251" s="18"/>
      <c r="AK251" s="17"/>
      <c r="AL251" s="18"/>
      <c r="AM251" s="17"/>
      <c r="AN251" s="18"/>
      <c r="AO251" s="17"/>
    </row>
    <row r="252" spans="1:41" s="12" customFormat="1" x14ac:dyDescent="0.25">
      <c r="A252" s="221"/>
      <c r="B252" s="18"/>
      <c r="C252" s="17"/>
      <c r="D252" s="18"/>
      <c r="E252" s="17"/>
      <c r="F252" s="18"/>
      <c r="G252" s="17"/>
      <c r="H252" s="18"/>
      <c r="I252" s="17"/>
      <c r="J252" s="226"/>
      <c r="K252" s="17" t="s">
        <v>385</v>
      </c>
      <c r="L252" s="225" t="s">
        <v>703</v>
      </c>
      <c r="M252" s="17" t="s">
        <v>200</v>
      </c>
      <c r="N252" s="19"/>
      <c r="O252" s="17"/>
      <c r="P252" s="18"/>
      <c r="Q252" s="17"/>
      <c r="R252" s="18"/>
      <c r="S252" s="17"/>
      <c r="T252" s="18"/>
      <c r="U252" s="17"/>
      <c r="V252" s="18"/>
      <c r="W252" s="17"/>
      <c r="X252" s="18"/>
      <c r="Y252" s="17"/>
      <c r="Z252" s="18"/>
      <c r="AA252" s="17"/>
      <c r="AB252" s="18"/>
      <c r="AC252" s="17"/>
      <c r="AD252" s="18"/>
      <c r="AE252" s="17"/>
      <c r="AF252" s="18"/>
      <c r="AG252" s="17"/>
      <c r="AH252" s="18"/>
      <c r="AI252" s="17"/>
      <c r="AJ252" s="18"/>
      <c r="AK252" s="17"/>
      <c r="AL252" s="18"/>
      <c r="AM252" s="17"/>
      <c r="AN252" s="18"/>
      <c r="AO252" s="17"/>
    </row>
    <row r="253" spans="1:41" s="12" customFormat="1" x14ac:dyDescent="0.25">
      <c r="A253" s="221"/>
      <c r="B253" s="18"/>
      <c r="C253" s="17"/>
      <c r="D253" s="18"/>
      <c r="E253" s="17"/>
      <c r="F253" s="18"/>
      <c r="G253" s="17"/>
      <c r="H253" s="18"/>
      <c r="I253" s="17"/>
      <c r="J253" s="226"/>
      <c r="K253" s="17" t="s">
        <v>387</v>
      </c>
      <c r="L253" s="226"/>
      <c r="M253" s="17" t="s">
        <v>248</v>
      </c>
      <c r="N253" s="18"/>
      <c r="O253" s="17"/>
      <c r="P253" s="18"/>
      <c r="Q253" s="17"/>
      <c r="R253" s="18"/>
      <c r="S253" s="17"/>
      <c r="T253" s="18"/>
      <c r="U253" s="17"/>
      <c r="V253" s="18"/>
      <c r="W253" s="17"/>
      <c r="X253" s="18"/>
      <c r="Y253" s="17"/>
      <c r="Z253" s="18"/>
      <c r="AA253" s="17"/>
      <c r="AB253" s="18"/>
      <c r="AC253" s="17"/>
      <c r="AD253" s="18"/>
      <c r="AE253" s="17"/>
      <c r="AF253" s="18"/>
      <c r="AG253" s="17"/>
      <c r="AH253" s="18"/>
      <c r="AI253" s="17"/>
      <c r="AJ253" s="18"/>
      <c r="AK253" s="17"/>
      <c r="AL253" s="18"/>
      <c r="AM253" s="17"/>
      <c r="AN253" s="18"/>
      <c r="AO253" s="17"/>
    </row>
    <row r="254" spans="1:41" s="12" customFormat="1" x14ac:dyDescent="0.25">
      <c r="A254" s="221"/>
      <c r="B254" s="18"/>
      <c r="C254" s="17"/>
      <c r="D254" s="18"/>
      <c r="E254" s="17"/>
      <c r="F254" s="18"/>
      <c r="G254" s="17"/>
      <c r="H254" s="18"/>
      <c r="I254" s="17"/>
      <c r="J254" s="226"/>
      <c r="K254" s="17" t="s">
        <v>430</v>
      </c>
      <c r="L254" s="226"/>
      <c r="M254" s="17" t="s">
        <v>258</v>
      </c>
      <c r="N254" s="18"/>
      <c r="O254" s="17"/>
      <c r="P254" s="18"/>
      <c r="Q254" s="17"/>
      <c r="R254" s="18"/>
      <c r="S254" s="17"/>
      <c r="T254" s="18"/>
      <c r="U254" s="17"/>
      <c r="V254" s="18"/>
      <c r="W254" s="17"/>
      <c r="X254" s="18"/>
      <c r="Y254" s="17"/>
      <c r="Z254" s="18"/>
      <c r="AA254" s="17"/>
      <c r="AB254" s="18"/>
      <c r="AC254" s="17"/>
      <c r="AD254" s="18"/>
      <c r="AE254" s="17"/>
      <c r="AF254" s="18"/>
      <c r="AG254" s="17"/>
      <c r="AH254" s="18"/>
      <c r="AI254" s="17"/>
      <c r="AJ254" s="18"/>
      <c r="AK254" s="17"/>
      <c r="AL254" s="18"/>
      <c r="AM254" s="17"/>
      <c r="AN254" s="18"/>
      <c r="AO254" s="17"/>
    </row>
    <row r="255" spans="1:41" s="12" customFormat="1" x14ac:dyDescent="0.25">
      <c r="A255" s="221"/>
      <c r="B255" s="18"/>
      <c r="C255" s="17"/>
      <c r="D255" s="18"/>
      <c r="E255" s="17"/>
      <c r="F255" s="18"/>
      <c r="G255" s="17"/>
      <c r="H255" s="18"/>
      <c r="I255" s="17"/>
      <c r="J255" s="226"/>
      <c r="K255" s="17" t="s">
        <v>431</v>
      </c>
      <c r="L255" s="227"/>
      <c r="M255" s="17" t="s">
        <v>249</v>
      </c>
      <c r="N255" s="18"/>
      <c r="O255" s="17"/>
      <c r="P255" s="18"/>
      <c r="Q255" s="17"/>
      <c r="R255" s="18"/>
      <c r="S255" s="17"/>
      <c r="T255" s="18"/>
      <c r="U255" s="17"/>
      <c r="V255" s="18"/>
      <c r="W255" s="17"/>
      <c r="X255" s="18"/>
      <c r="Y255" s="17"/>
      <c r="Z255" s="18"/>
      <c r="AA255" s="17"/>
      <c r="AB255" s="18"/>
      <c r="AC255" s="17"/>
      <c r="AD255" s="18"/>
      <c r="AE255" s="17"/>
      <c r="AF255" s="18"/>
      <c r="AG255" s="17"/>
      <c r="AH255" s="18"/>
      <c r="AI255" s="17"/>
      <c r="AJ255" s="18"/>
      <c r="AK255" s="17"/>
      <c r="AL255" s="18"/>
      <c r="AM255" s="17"/>
      <c r="AN255" s="18"/>
      <c r="AO255" s="17"/>
    </row>
    <row r="256" spans="1:41" s="12" customFormat="1" x14ac:dyDescent="0.25">
      <c r="A256" s="221"/>
      <c r="B256" s="18"/>
      <c r="C256" s="17"/>
      <c r="D256" s="18"/>
      <c r="E256" s="17"/>
      <c r="F256" s="18"/>
      <c r="G256" s="17"/>
      <c r="H256" s="18"/>
      <c r="I256" s="17"/>
      <c r="J256" s="227"/>
      <c r="K256" s="17" t="s">
        <v>432</v>
      </c>
      <c r="L256" s="18" t="s">
        <v>186</v>
      </c>
      <c r="M256" s="17" t="s">
        <v>188</v>
      </c>
      <c r="N256" s="18"/>
      <c r="O256" s="17"/>
      <c r="P256" s="18"/>
      <c r="Q256" s="17"/>
      <c r="R256" s="18"/>
      <c r="S256" s="17"/>
      <c r="T256" s="18"/>
      <c r="U256" s="17"/>
      <c r="V256" s="18"/>
      <c r="W256" s="17"/>
      <c r="X256" s="18"/>
      <c r="Y256" s="17"/>
      <c r="Z256" s="18"/>
      <c r="AA256" s="17"/>
      <c r="AB256" s="18"/>
      <c r="AC256" s="17"/>
      <c r="AD256" s="18"/>
      <c r="AE256" s="17"/>
      <c r="AF256" s="18"/>
      <c r="AG256" s="17"/>
      <c r="AH256" s="18"/>
      <c r="AI256" s="17"/>
      <c r="AJ256" s="18"/>
      <c r="AK256" s="17"/>
      <c r="AL256" s="18"/>
      <c r="AM256" s="17"/>
      <c r="AN256" s="18"/>
      <c r="AO256" s="17"/>
    </row>
    <row r="257" spans="1:41" s="12" customFormat="1" x14ac:dyDescent="0.25">
      <c r="A257" s="221"/>
      <c r="B257" s="18"/>
      <c r="C257" s="17"/>
      <c r="D257" s="18"/>
      <c r="E257" s="17"/>
      <c r="F257" s="18"/>
      <c r="G257" s="17"/>
      <c r="H257" s="18"/>
      <c r="I257" s="17"/>
      <c r="J257" s="225" t="s">
        <v>115</v>
      </c>
      <c r="K257" s="17" t="s">
        <v>118</v>
      </c>
      <c r="L257" s="18" t="s">
        <v>263</v>
      </c>
      <c r="M257" s="17"/>
      <c r="N257" s="18"/>
      <c r="O257" s="17"/>
      <c r="P257" s="18"/>
      <c r="Q257" s="17"/>
      <c r="R257" s="18"/>
      <c r="S257" s="17"/>
      <c r="T257" s="18"/>
      <c r="U257" s="17"/>
      <c r="V257" s="18"/>
      <c r="W257" s="17"/>
      <c r="X257" s="18"/>
      <c r="Y257" s="17"/>
      <c r="Z257" s="18"/>
      <c r="AA257" s="17"/>
      <c r="AB257" s="18"/>
      <c r="AC257" s="17"/>
      <c r="AD257" s="18"/>
      <c r="AE257" s="17"/>
      <c r="AF257" s="18"/>
      <c r="AG257" s="17"/>
      <c r="AH257" s="18"/>
      <c r="AI257" s="17"/>
      <c r="AJ257" s="18"/>
      <c r="AK257" s="17"/>
      <c r="AL257" s="18"/>
      <c r="AM257" s="17"/>
      <c r="AN257" s="18"/>
      <c r="AO257" s="17"/>
    </row>
    <row r="258" spans="1:41" s="12" customFormat="1" x14ac:dyDescent="0.25">
      <c r="A258" s="221"/>
      <c r="B258" s="18"/>
      <c r="C258" s="17"/>
      <c r="D258" s="18"/>
      <c r="E258" s="17"/>
      <c r="F258" s="18"/>
      <c r="G258" s="17"/>
      <c r="H258" s="18"/>
      <c r="I258" s="17"/>
      <c r="J258" s="226"/>
      <c r="K258" s="17" t="s">
        <v>121</v>
      </c>
      <c r="L258" s="18" t="s">
        <v>190</v>
      </c>
      <c r="M258" s="17"/>
      <c r="N258" s="18"/>
      <c r="O258" s="17"/>
      <c r="P258" s="18"/>
      <c r="Q258" s="17"/>
      <c r="R258" s="18"/>
      <c r="S258" s="17"/>
      <c r="T258" s="18"/>
      <c r="U258" s="17"/>
      <c r="V258" s="18"/>
      <c r="W258" s="17"/>
      <c r="X258" s="18"/>
      <c r="Y258" s="17"/>
      <c r="Z258" s="18"/>
      <c r="AA258" s="17"/>
      <c r="AB258" s="18"/>
      <c r="AC258" s="17"/>
      <c r="AD258" s="18"/>
      <c r="AE258" s="17"/>
      <c r="AF258" s="18"/>
      <c r="AG258" s="17"/>
      <c r="AH258" s="18"/>
      <c r="AI258" s="17"/>
      <c r="AJ258" s="18"/>
      <c r="AK258" s="17"/>
      <c r="AL258" s="18"/>
      <c r="AM258" s="17"/>
      <c r="AN258" s="18"/>
      <c r="AO258" s="17"/>
    </row>
    <row r="259" spans="1:41" s="12" customFormat="1" x14ac:dyDescent="0.25">
      <c r="A259" s="221"/>
      <c r="B259" s="18"/>
      <c r="C259" s="17"/>
      <c r="D259" s="18"/>
      <c r="E259" s="17"/>
      <c r="F259" s="18"/>
      <c r="G259" s="17"/>
      <c r="H259" s="18"/>
      <c r="I259" s="17"/>
      <c r="J259" s="226"/>
      <c r="K259" s="17" t="s">
        <v>123</v>
      </c>
      <c r="L259" s="18"/>
      <c r="M259" s="17"/>
      <c r="N259" s="18"/>
      <c r="O259" s="17"/>
      <c r="P259" s="18"/>
      <c r="Q259" s="17"/>
      <c r="R259" s="18"/>
      <c r="S259" s="17"/>
      <c r="T259" s="18"/>
      <c r="U259" s="17"/>
      <c r="V259" s="18"/>
      <c r="W259" s="17"/>
      <c r="X259" s="18"/>
      <c r="Y259" s="17"/>
      <c r="Z259" s="18"/>
      <c r="AA259" s="17"/>
      <c r="AB259" s="18"/>
      <c r="AC259" s="17"/>
      <c r="AD259" s="18"/>
      <c r="AE259" s="17"/>
      <c r="AF259" s="18"/>
      <c r="AG259" s="17"/>
      <c r="AH259" s="18"/>
      <c r="AI259" s="17"/>
      <c r="AJ259" s="18"/>
      <c r="AK259" s="17"/>
      <c r="AL259" s="18"/>
      <c r="AM259" s="17"/>
      <c r="AN259" s="18"/>
      <c r="AO259" s="17"/>
    </row>
    <row r="260" spans="1:41" s="12" customFormat="1" x14ac:dyDescent="0.25">
      <c r="A260" s="221"/>
      <c r="B260" s="18"/>
      <c r="C260" s="17"/>
      <c r="D260" s="18"/>
      <c r="E260" s="17"/>
      <c r="F260" s="18"/>
      <c r="G260" s="17"/>
      <c r="H260" s="18"/>
      <c r="I260" s="17"/>
      <c r="J260" s="226"/>
      <c r="K260" s="17" t="s">
        <v>124</v>
      </c>
      <c r="L260" s="18"/>
      <c r="M260" s="17"/>
      <c r="N260" s="18"/>
      <c r="O260" s="17"/>
      <c r="P260" s="18"/>
      <c r="Q260" s="17"/>
      <c r="R260" s="18"/>
      <c r="S260" s="17"/>
      <c r="T260" s="18"/>
      <c r="U260" s="17"/>
      <c r="V260" s="18"/>
      <c r="W260" s="17"/>
      <c r="X260" s="18"/>
      <c r="Y260" s="17"/>
      <c r="Z260" s="18"/>
      <c r="AA260" s="17"/>
      <c r="AB260" s="18"/>
      <c r="AC260" s="17"/>
      <c r="AD260" s="18"/>
      <c r="AE260" s="17"/>
      <c r="AF260" s="18"/>
      <c r="AG260" s="17"/>
      <c r="AH260" s="18"/>
      <c r="AI260" s="17"/>
      <c r="AJ260" s="18"/>
      <c r="AK260" s="17"/>
      <c r="AL260" s="18"/>
      <c r="AM260" s="17"/>
      <c r="AN260" s="18"/>
      <c r="AO260" s="17"/>
    </row>
    <row r="261" spans="1:41" s="12" customFormat="1" x14ac:dyDescent="0.25">
      <c r="A261" s="221"/>
      <c r="B261" s="18"/>
      <c r="C261" s="17"/>
      <c r="D261" s="18"/>
      <c r="E261" s="17"/>
      <c r="F261" s="18"/>
      <c r="G261" s="17"/>
      <c r="H261" s="18"/>
      <c r="I261" s="17"/>
      <c r="J261" s="226"/>
      <c r="K261" s="17" t="s">
        <v>125</v>
      </c>
      <c r="L261" s="18"/>
      <c r="M261" s="17"/>
      <c r="N261" s="18"/>
      <c r="O261" s="17"/>
      <c r="P261" s="18"/>
      <c r="Q261" s="17"/>
      <c r="R261" s="18"/>
      <c r="S261" s="17"/>
      <c r="T261" s="18"/>
      <c r="U261" s="17"/>
      <c r="V261" s="18"/>
      <c r="W261" s="17"/>
      <c r="X261" s="18"/>
      <c r="Y261" s="17"/>
      <c r="Z261" s="18"/>
      <c r="AA261" s="17"/>
      <c r="AB261" s="18"/>
      <c r="AC261" s="17"/>
      <c r="AD261" s="18"/>
      <c r="AE261" s="17"/>
      <c r="AF261" s="18"/>
      <c r="AG261" s="17"/>
      <c r="AH261" s="18"/>
      <c r="AI261" s="17"/>
      <c r="AJ261" s="18"/>
      <c r="AK261" s="17"/>
      <c r="AL261" s="18"/>
      <c r="AM261" s="17"/>
      <c r="AN261" s="18"/>
      <c r="AO261" s="17"/>
    </row>
    <row r="262" spans="1:41" s="12" customFormat="1" x14ac:dyDescent="0.25">
      <c r="A262" s="221"/>
      <c r="B262" s="18"/>
      <c r="C262" s="17"/>
      <c r="D262" s="18"/>
      <c r="E262" s="17"/>
      <c r="F262" s="18"/>
      <c r="G262" s="17"/>
      <c r="H262" s="18"/>
      <c r="I262" s="17"/>
      <c r="J262" s="226"/>
      <c r="K262" s="17" t="s">
        <v>136</v>
      </c>
      <c r="L262" s="18"/>
      <c r="M262" s="17"/>
      <c r="N262" s="18"/>
      <c r="O262" s="17"/>
      <c r="P262" s="18"/>
      <c r="Q262" s="17"/>
      <c r="R262" s="18"/>
      <c r="S262" s="17"/>
      <c r="T262" s="18"/>
      <c r="U262" s="17"/>
      <c r="V262" s="18"/>
      <c r="W262" s="17"/>
      <c r="X262" s="18"/>
      <c r="Y262" s="17"/>
      <c r="Z262" s="18"/>
      <c r="AA262" s="17"/>
      <c r="AB262" s="18"/>
      <c r="AC262" s="17"/>
      <c r="AD262" s="18"/>
      <c r="AE262" s="17"/>
      <c r="AF262" s="18"/>
      <c r="AG262" s="17"/>
      <c r="AH262" s="18"/>
      <c r="AI262" s="17"/>
      <c r="AJ262" s="18"/>
      <c r="AK262" s="17"/>
      <c r="AL262" s="18"/>
      <c r="AM262" s="17"/>
      <c r="AN262" s="18"/>
      <c r="AO262" s="17"/>
    </row>
    <row r="263" spans="1:41" s="12" customFormat="1" x14ac:dyDescent="0.25">
      <c r="A263" s="221"/>
      <c r="B263" s="18"/>
      <c r="C263" s="17"/>
      <c r="D263" s="18"/>
      <c r="E263" s="17"/>
      <c r="F263" s="18"/>
      <c r="G263" s="17"/>
      <c r="H263" s="18"/>
      <c r="I263" s="17"/>
      <c r="J263" s="226"/>
      <c r="K263" s="17" t="s">
        <v>140</v>
      </c>
      <c r="L263" s="18"/>
      <c r="M263" s="17"/>
      <c r="N263" s="18"/>
      <c r="O263" s="17"/>
      <c r="P263" s="18"/>
      <c r="Q263" s="17"/>
      <c r="R263" s="18"/>
      <c r="S263" s="17"/>
      <c r="T263" s="18"/>
      <c r="U263" s="17"/>
      <c r="V263" s="18"/>
      <c r="W263" s="17"/>
      <c r="X263" s="18"/>
      <c r="Y263" s="17"/>
      <c r="Z263" s="18"/>
      <c r="AA263" s="17"/>
      <c r="AB263" s="18"/>
      <c r="AC263" s="17"/>
      <c r="AD263" s="18"/>
      <c r="AE263" s="17"/>
      <c r="AF263" s="18"/>
      <c r="AG263" s="17"/>
      <c r="AH263" s="18"/>
      <c r="AI263" s="17"/>
      <c r="AJ263" s="18"/>
      <c r="AK263" s="17"/>
      <c r="AL263" s="18"/>
      <c r="AM263" s="17"/>
      <c r="AN263" s="18"/>
      <c r="AO263" s="17"/>
    </row>
    <row r="264" spans="1:41" s="12" customFormat="1" x14ac:dyDescent="0.25">
      <c r="A264" s="221"/>
      <c r="B264" s="18"/>
      <c r="C264" s="17"/>
      <c r="D264" s="18"/>
      <c r="E264" s="17"/>
      <c r="F264" s="18"/>
      <c r="G264" s="17"/>
      <c r="H264" s="18"/>
      <c r="I264" s="17"/>
      <c r="J264" s="227"/>
      <c r="K264" s="17" t="s">
        <v>145</v>
      </c>
      <c r="L264" s="18"/>
      <c r="M264" s="17"/>
      <c r="N264" s="18"/>
      <c r="O264" s="17"/>
      <c r="P264" s="18"/>
      <c r="Q264" s="17"/>
      <c r="R264" s="18"/>
      <c r="S264" s="17"/>
      <c r="T264" s="18"/>
      <c r="U264" s="17"/>
      <c r="V264" s="18"/>
      <c r="W264" s="17"/>
      <c r="X264" s="18"/>
      <c r="Y264" s="17"/>
      <c r="Z264" s="18"/>
      <c r="AA264" s="17"/>
      <c r="AB264" s="18"/>
      <c r="AC264" s="17"/>
      <c r="AD264" s="18"/>
      <c r="AE264" s="17"/>
      <c r="AF264" s="18"/>
      <c r="AG264" s="17"/>
      <c r="AH264" s="18"/>
      <c r="AI264" s="17"/>
      <c r="AJ264" s="18"/>
      <c r="AK264" s="17"/>
      <c r="AL264" s="18"/>
      <c r="AM264" s="17"/>
      <c r="AN264" s="18"/>
      <c r="AO264" s="17"/>
    </row>
    <row r="265" spans="1:41" s="12" customFormat="1" x14ac:dyDescent="0.25">
      <c r="A265" s="221"/>
      <c r="B265" s="18"/>
      <c r="C265" s="17"/>
      <c r="D265" s="18"/>
      <c r="E265" s="17"/>
      <c r="F265" s="18"/>
      <c r="G265" s="17"/>
      <c r="H265" s="18"/>
      <c r="I265" s="17"/>
      <c r="J265" s="18" t="s">
        <v>148</v>
      </c>
      <c r="K265" s="17"/>
      <c r="L265" s="18"/>
      <c r="M265" s="17"/>
      <c r="N265" s="18"/>
      <c r="O265" s="17"/>
      <c r="P265" s="18"/>
      <c r="Q265" s="17"/>
      <c r="R265" s="18"/>
      <c r="S265" s="17"/>
      <c r="T265" s="18"/>
      <c r="U265" s="17"/>
      <c r="V265" s="18"/>
      <c r="W265" s="17"/>
      <c r="X265" s="18"/>
      <c r="Y265" s="17"/>
      <c r="Z265" s="18"/>
      <c r="AA265" s="17"/>
      <c r="AB265" s="18"/>
      <c r="AC265" s="17"/>
      <c r="AD265" s="18"/>
      <c r="AE265" s="17"/>
      <c r="AF265" s="18"/>
      <c r="AG265" s="17"/>
      <c r="AH265" s="18"/>
      <c r="AI265" s="17"/>
      <c r="AJ265" s="18"/>
      <c r="AK265" s="17"/>
      <c r="AL265" s="18"/>
      <c r="AM265" s="17"/>
      <c r="AN265" s="18"/>
      <c r="AO265" s="17"/>
    </row>
    <row r="266" spans="1:41" s="12" customFormat="1" x14ac:dyDescent="0.25">
      <c r="A266" s="221"/>
      <c r="B266" s="18"/>
      <c r="C266" s="17"/>
      <c r="D266" s="18"/>
      <c r="E266" s="17"/>
      <c r="F266" s="18"/>
      <c r="G266" s="17"/>
      <c r="H266" s="18"/>
      <c r="I266" s="17"/>
      <c r="J266" s="18" t="s">
        <v>159</v>
      </c>
      <c r="K266" s="17"/>
      <c r="L266" s="18"/>
      <c r="M266" s="17"/>
      <c r="N266" s="18"/>
      <c r="O266" s="17"/>
      <c r="P266" s="18"/>
      <c r="Q266" s="17"/>
      <c r="R266" s="18"/>
      <c r="S266" s="17"/>
      <c r="T266" s="18"/>
      <c r="U266" s="17"/>
      <c r="V266" s="18"/>
      <c r="W266" s="17"/>
      <c r="X266" s="18"/>
      <c r="Y266" s="17"/>
      <c r="Z266" s="18"/>
      <c r="AA266" s="17"/>
      <c r="AB266" s="18"/>
      <c r="AC266" s="17"/>
      <c r="AD266" s="18"/>
      <c r="AE266" s="17"/>
      <c r="AF266" s="18"/>
      <c r="AG266" s="17"/>
      <c r="AH266" s="18"/>
      <c r="AI266" s="17"/>
      <c r="AJ266" s="18"/>
      <c r="AK266" s="17"/>
      <c r="AL266" s="18"/>
      <c r="AM266" s="17"/>
      <c r="AN266" s="18"/>
      <c r="AO266" s="17"/>
    </row>
    <row r="267" spans="1:41" s="12" customFormat="1" x14ac:dyDescent="0.25">
      <c r="A267" s="221"/>
      <c r="B267" s="18"/>
      <c r="C267" s="17"/>
      <c r="D267" s="18"/>
      <c r="E267" s="17"/>
      <c r="F267" s="18"/>
      <c r="G267" s="17"/>
      <c r="H267" s="18"/>
      <c r="I267" s="17"/>
      <c r="J267" s="18" t="s">
        <v>149</v>
      </c>
      <c r="K267" s="17"/>
      <c r="L267" s="18"/>
      <c r="M267" s="17"/>
      <c r="N267" s="18"/>
      <c r="O267" s="17"/>
      <c r="P267" s="18"/>
      <c r="Q267" s="17"/>
      <c r="R267" s="18"/>
      <c r="S267" s="17"/>
      <c r="T267" s="18"/>
      <c r="U267" s="17"/>
      <c r="V267" s="18"/>
      <c r="W267" s="17"/>
      <c r="X267" s="18"/>
      <c r="Y267" s="17"/>
      <c r="Z267" s="18"/>
      <c r="AA267" s="17"/>
      <c r="AB267" s="18"/>
      <c r="AC267" s="17"/>
      <c r="AD267" s="18"/>
      <c r="AE267" s="17"/>
      <c r="AF267" s="18"/>
      <c r="AG267" s="17"/>
      <c r="AH267" s="18"/>
      <c r="AI267" s="17"/>
      <c r="AJ267" s="18"/>
      <c r="AK267" s="17"/>
      <c r="AL267" s="18"/>
      <c r="AM267" s="17"/>
      <c r="AN267" s="18"/>
      <c r="AO267" s="17"/>
    </row>
    <row r="268" spans="1:41" s="12" customFormat="1" x14ac:dyDescent="0.25">
      <c r="A268" s="221"/>
      <c r="B268" s="18"/>
      <c r="C268" s="17"/>
      <c r="D268" s="18"/>
      <c r="E268" s="17"/>
      <c r="F268" s="18"/>
      <c r="G268" s="17"/>
      <c r="H268" s="18"/>
      <c r="I268" s="17"/>
      <c r="J268" s="19" t="s">
        <v>150</v>
      </c>
      <c r="K268" s="17"/>
      <c r="L268" s="18"/>
      <c r="M268" s="17"/>
      <c r="N268" s="18"/>
      <c r="O268" s="17"/>
      <c r="P268" s="18"/>
      <c r="Q268" s="17"/>
      <c r="R268" s="18"/>
      <c r="S268" s="17"/>
      <c r="T268" s="18"/>
      <c r="U268" s="17"/>
      <c r="V268" s="18"/>
      <c r="W268" s="17"/>
      <c r="X268" s="18"/>
      <c r="Y268" s="17"/>
      <c r="Z268" s="18"/>
      <c r="AA268" s="17"/>
      <c r="AB268" s="18"/>
      <c r="AC268" s="17"/>
      <c r="AD268" s="18"/>
      <c r="AE268" s="17"/>
      <c r="AF268" s="18"/>
      <c r="AG268" s="17"/>
      <c r="AH268" s="18"/>
      <c r="AI268" s="17"/>
      <c r="AJ268" s="18"/>
      <c r="AK268" s="17"/>
      <c r="AL268" s="18"/>
      <c r="AM268" s="17"/>
      <c r="AN268" s="18"/>
      <c r="AO268" s="17"/>
    </row>
    <row r="269" spans="1:41" s="11" customFormat="1" ht="51" thickBot="1" x14ac:dyDescent="0.3">
      <c r="A269" s="221"/>
      <c r="B269" s="22"/>
      <c r="C269" s="21"/>
      <c r="D269" s="22"/>
      <c r="E269" s="21"/>
      <c r="F269" s="22"/>
      <c r="G269" s="21"/>
      <c r="H269" s="22"/>
      <c r="I269" s="21"/>
      <c r="J269" s="222" t="s">
        <v>85</v>
      </c>
      <c r="K269" s="222"/>
      <c r="L269" s="222"/>
      <c r="M269" s="222"/>
      <c r="N269" s="222"/>
      <c r="O269" s="222"/>
      <c r="P269" s="222"/>
      <c r="Q269" s="222"/>
      <c r="R269" s="22"/>
      <c r="S269" s="21"/>
      <c r="T269" s="22"/>
      <c r="U269" s="21"/>
      <c r="V269" s="22"/>
      <c r="W269" s="21"/>
      <c r="X269" s="22"/>
      <c r="Y269" s="21"/>
      <c r="Z269" s="22"/>
      <c r="AA269" s="21"/>
      <c r="AB269" s="22"/>
      <c r="AC269" s="21"/>
      <c r="AD269" s="22"/>
      <c r="AE269" s="21"/>
      <c r="AF269" s="22"/>
      <c r="AG269" s="21"/>
      <c r="AH269" s="22"/>
      <c r="AI269" s="21"/>
      <c r="AJ269" s="22"/>
      <c r="AK269" s="21"/>
      <c r="AL269" s="22"/>
      <c r="AM269" s="21"/>
      <c r="AN269" s="22"/>
      <c r="AO269" s="21"/>
    </row>
    <row r="270" spans="1:41" s="11" customFormat="1" ht="17.25" thickTop="1" x14ac:dyDescent="0.25">
      <c r="A270" s="221"/>
      <c r="B270" s="22"/>
      <c r="C270" s="21"/>
      <c r="D270" s="22"/>
      <c r="E270" s="21"/>
      <c r="F270" s="22"/>
      <c r="G270" s="21"/>
      <c r="H270" s="22"/>
      <c r="I270" s="21"/>
      <c r="J270" s="231" t="s">
        <v>1445</v>
      </c>
      <c r="K270" s="231" t="s">
        <v>1446</v>
      </c>
      <c r="L270" s="231" t="s">
        <v>1448</v>
      </c>
      <c r="M270" s="231" t="s">
        <v>1449</v>
      </c>
      <c r="N270" s="231" t="s">
        <v>1450</v>
      </c>
      <c r="O270" s="231" t="s">
        <v>1451</v>
      </c>
      <c r="P270" s="231" t="s">
        <v>715</v>
      </c>
      <c r="Q270" s="231" t="s">
        <v>1447</v>
      </c>
      <c r="R270" s="22"/>
      <c r="S270" s="21"/>
      <c r="T270" s="22"/>
      <c r="U270" s="21"/>
      <c r="V270" s="22"/>
      <c r="W270" s="21"/>
      <c r="X270" s="22"/>
      <c r="Y270" s="21"/>
      <c r="Z270" s="22"/>
      <c r="AA270" s="21"/>
      <c r="AB270" s="22"/>
      <c r="AC270" s="21"/>
      <c r="AD270" s="22"/>
      <c r="AE270" s="21"/>
      <c r="AF270" s="22"/>
      <c r="AG270" s="21"/>
      <c r="AH270" s="22"/>
      <c r="AI270" s="21"/>
      <c r="AJ270" s="22"/>
      <c r="AK270" s="21"/>
      <c r="AL270" s="22"/>
      <c r="AM270" s="21"/>
      <c r="AN270" s="22"/>
      <c r="AO270" s="21"/>
    </row>
    <row r="271" spans="1:41" s="12" customFormat="1" x14ac:dyDescent="0.25">
      <c r="A271" s="221"/>
      <c r="B271" s="18"/>
      <c r="C271" s="17"/>
      <c r="D271" s="18"/>
      <c r="E271" s="17"/>
      <c r="F271" s="18"/>
      <c r="G271" s="17"/>
      <c r="H271" s="18"/>
      <c r="I271" s="17"/>
      <c r="J271" s="29" t="s">
        <v>558</v>
      </c>
      <c r="K271" s="30" t="s">
        <v>566</v>
      </c>
      <c r="L271" s="29" t="s">
        <v>182</v>
      </c>
      <c r="M271" s="30"/>
      <c r="N271" s="31"/>
      <c r="O271" s="30"/>
      <c r="P271" s="228" t="s">
        <v>378</v>
      </c>
      <c r="Q271" s="30" t="s">
        <v>118</v>
      </c>
      <c r="R271" s="18"/>
      <c r="S271" s="17"/>
      <c r="T271" s="18"/>
      <c r="U271" s="17"/>
      <c r="V271" s="18"/>
      <c r="W271" s="17"/>
      <c r="X271" s="18"/>
      <c r="Y271" s="17"/>
      <c r="Z271" s="18"/>
      <c r="AA271" s="17"/>
      <c r="AB271" s="18"/>
      <c r="AC271" s="17"/>
      <c r="AD271" s="18"/>
      <c r="AE271" s="17"/>
      <c r="AF271" s="18"/>
      <c r="AG271" s="17"/>
      <c r="AH271" s="18"/>
      <c r="AI271" s="17"/>
      <c r="AJ271" s="18"/>
      <c r="AK271" s="17"/>
      <c r="AL271" s="18"/>
      <c r="AM271" s="17"/>
      <c r="AN271" s="18"/>
      <c r="AO271" s="17"/>
    </row>
    <row r="272" spans="1:41" s="12" customFormat="1" x14ac:dyDescent="0.25">
      <c r="A272" s="221"/>
      <c r="B272" s="18"/>
      <c r="C272" s="17"/>
      <c r="D272" s="18"/>
      <c r="E272" s="17"/>
      <c r="F272" s="18"/>
      <c r="G272" s="17"/>
      <c r="H272" s="18"/>
      <c r="I272" s="17"/>
      <c r="J272" s="228" t="s">
        <v>115</v>
      </c>
      <c r="K272" s="30" t="s">
        <v>118</v>
      </c>
      <c r="L272" s="29" t="s">
        <v>702</v>
      </c>
      <c r="M272" s="30" t="s">
        <v>185</v>
      </c>
      <c r="N272" s="31"/>
      <c r="O272" s="30"/>
      <c r="P272" s="229"/>
      <c r="Q272" s="30" t="s">
        <v>124</v>
      </c>
      <c r="R272" s="18"/>
      <c r="S272" s="17"/>
      <c r="T272" s="18"/>
      <c r="U272" s="17"/>
      <c r="V272" s="18"/>
      <c r="W272" s="17"/>
      <c r="X272" s="18"/>
      <c r="Y272" s="17"/>
      <c r="Z272" s="18"/>
      <c r="AA272" s="17"/>
      <c r="AB272" s="18"/>
      <c r="AC272" s="17"/>
      <c r="AD272" s="18"/>
      <c r="AE272" s="17"/>
      <c r="AF272" s="18"/>
      <c r="AG272" s="17"/>
      <c r="AH272" s="18"/>
      <c r="AI272" s="17"/>
      <c r="AJ272" s="18"/>
      <c r="AK272" s="17"/>
      <c r="AL272" s="18"/>
      <c r="AM272" s="17"/>
      <c r="AN272" s="18"/>
      <c r="AO272" s="17"/>
    </row>
    <row r="273" spans="1:41" s="12" customFormat="1" x14ac:dyDescent="0.25">
      <c r="A273" s="221"/>
      <c r="B273" s="18"/>
      <c r="C273" s="17"/>
      <c r="D273" s="18"/>
      <c r="E273" s="17"/>
      <c r="F273" s="18"/>
      <c r="G273" s="17"/>
      <c r="H273" s="18"/>
      <c r="I273" s="17"/>
      <c r="J273" s="229"/>
      <c r="K273" s="30" t="s">
        <v>141</v>
      </c>
      <c r="L273" s="228" t="s">
        <v>703</v>
      </c>
      <c r="M273" s="30" t="s">
        <v>254</v>
      </c>
      <c r="N273" s="31"/>
      <c r="O273" s="30"/>
      <c r="P273" s="229"/>
      <c r="Q273" s="30" t="s">
        <v>141</v>
      </c>
      <c r="R273" s="18"/>
      <c r="S273" s="17"/>
      <c r="T273" s="18"/>
      <c r="U273" s="17"/>
      <c r="V273" s="18"/>
      <c r="W273" s="17"/>
      <c r="X273" s="18"/>
      <c r="Y273" s="17"/>
      <c r="Z273" s="18"/>
      <c r="AA273" s="17"/>
      <c r="AB273" s="18"/>
      <c r="AC273" s="17"/>
      <c r="AD273" s="18"/>
      <c r="AE273" s="17"/>
      <c r="AF273" s="18"/>
      <c r="AG273" s="17"/>
      <c r="AH273" s="18"/>
      <c r="AI273" s="17"/>
      <c r="AJ273" s="18"/>
      <c r="AK273" s="17"/>
      <c r="AL273" s="18"/>
      <c r="AM273" s="17"/>
      <c r="AN273" s="18"/>
      <c r="AO273" s="17"/>
    </row>
    <row r="274" spans="1:41" s="12" customFormat="1" x14ac:dyDescent="0.25">
      <c r="A274" s="221"/>
      <c r="B274" s="18"/>
      <c r="C274" s="17"/>
      <c r="D274" s="18"/>
      <c r="E274" s="17"/>
      <c r="F274" s="18"/>
      <c r="G274" s="17"/>
      <c r="H274" s="18"/>
      <c r="I274" s="17"/>
      <c r="J274" s="230"/>
      <c r="K274" s="30" t="s">
        <v>145</v>
      </c>
      <c r="L274" s="229"/>
      <c r="M274" s="30" t="s">
        <v>255</v>
      </c>
      <c r="N274" s="31"/>
      <c r="O274" s="30"/>
      <c r="P274" s="230"/>
      <c r="Q274" s="30" t="s">
        <v>142</v>
      </c>
      <c r="R274" s="18"/>
      <c r="S274" s="17"/>
      <c r="T274" s="18"/>
      <c r="U274" s="17"/>
      <c r="V274" s="18"/>
      <c r="W274" s="17"/>
      <c r="X274" s="18"/>
      <c r="Y274" s="17"/>
      <c r="Z274" s="18"/>
      <c r="AA274" s="17"/>
      <c r="AB274" s="18"/>
      <c r="AC274" s="17"/>
      <c r="AD274" s="18"/>
      <c r="AE274" s="17"/>
      <c r="AF274" s="18"/>
      <c r="AG274" s="17"/>
      <c r="AH274" s="18"/>
      <c r="AI274" s="17"/>
      <c r="AJ274" s="18"/>
      <c r="AK274" s="17"/>
      <c r="AL274" s="18"/>
      <c r="AM274" s="17"/>
      <c r="AN274" s="18"/>
      <c r="AO274" s="17"/>
    </row>
    <row r="275" spans="1:41" s="12" customFormat="1" x14ac:dyDescent="0.25">
      <c r="A275" s="221"/>
      <c r="B275" s="18"/>
      <c r="C275" s="17"/>
      <c r="D275" s="18"/>
      <c r="E275" s="17"/>
      <c r="F275" s="18"/>
      <c r="G275" s="17"/>
      <c r="H275" s="18"/>
      <c r="I275" s="17"/>
      <c r="J275" s="29" t="s">
        <v>149</v>
      </c>
      <c r="K275" s="30"/>
      <c r="L275" s="230"/>
      <c r="M275" s="30" t="s">
        <v>575</v>
      </c>
      <c r="N275" s="29"/>
      <c r="O275" s="30"/>
      <c r="P275" s="18"/>
      <c r="Q275" s="17"/>
      <c r="R275" s="18"/>
      <c r="S275" s="17"/>
      <c r="T275" s="18"/>
      <c r="U275" s="17"/>
      <c r="V275" s="18"/>
      <c r="W275" s="17"/>
      <c r="X275" s="18"/>
      <c r="Y275" s="17"/>
      <c r="Z275" s="18"/>
      <c r="AA275" s="17"/>
      <c r="AB275" s="18"/>
      <c r="AC275" s="17"/>
      <c r="AD275" s="18"/>
      <c r="AE275" s="17"/>
      <c r="AF275" s="18"/>
      <c r="AG275" s="17"/>
      <c r="AH275" s="18"/>
      <c r="AI275" s="17"/>
      <c r="AJ275" s="18"/>
      <c r="AK275" s="17"/>
      <c r="AL275" s="18"/>
      <c r="AM275" s="17"/>
      <c r="AN275" s="18"/>
      <c r="AO275" s="17"/>
    </row>
    <row r="276" spans="1:41" s="12" customFormat="1" x14ac:dyDescent="0.25">
      <c r="A276" s="221"/>
      <c r="B276" s="18"/>
      <c r="C276" s="17"/>
      <c r="D276" s="18"/>
      <c r="E276" s="17"/>
      <c r="F276" s="18"/>
      <c r="G276" s="17"/>
      <c r="H276" s="18"/>
      <c r="I276" s="17"/>
      <c r="J276" s="29" t="s">
        <v>150</v>
      </c>
      <c r="K276" s="30"/>
      <c r="L276" s="29" t="s">
        <v>186</v>
      </c>
      <c r="M276" s="30" t="s">
        <v>188</v>
      </c>
      <c r="N276" s="29"/>
      <c r="O276" s="30"/>
      <c r="P276" s="18"/>
      <c r="Q276" s="17"/>
      <c r="R276" s="18"/>
      <c r="S276" s="17"/>
      <c r="T276" s="18"/>
      <c r="U276" s="17"/>
      <c r="V276" s="18"/>
      <c r="W276" s="17"/>
      <c r="X276" s="18"/>
      <c r="Y276" s="17"/>
      <c r="Z276" s="18"/>
      <c r="AA276" s="17"/>
      <c r="AB276" s="18"/>
      <c r="AC276" s="17"/>
      <c r="AD276" s="18"/>
      <c r="AE276" s="17"/>
      <c r="AF276" s="18"/>
      <c r="AG276" s="17"/>
      <c r="AH276" s="18"/>
      <c r="AI276" s="17"/>
      <c r="AJ276" s="18"/>
      <c r="AK276" s="17"/>
      <c r="AL276" s="18"/>
      <c r="AM276" s="17"/>
      <c r="AN276" s="18"/>
      <c r="AO276" s="17"/>
    </row>
    <row r="277" spans="1:41" s="12" customFormat="1" x14ac:dyDescent="0.25">
      <c r="A277" s="221"/>
      <c r="B277" s="18"/>
      <c r="C277" s="17"/>
      <c r="D277" s="18"/>
      <c r="E277" s="17"/>
      <c r="F277" s="18"/>
      <c r="G277" s="17"/>
      <c r="H277" s="18"/>
      <c r="I277" s="17"/>
      <c r="J277" s="29"/>
      <c r="K277" s="30"/>
      <c r="L277" s="29" t="s">
        <v>266</v>
      </c>
      <c r="M277" s="30"/>
      <c r="N277" s="29"/>
      <c r="O277" s="30"/>
      <c r="P277" s="18"/>
      <c r="Q277" s="17"/>
      <c r="R277" s="18"/>
      <c r="S277" s="17"/>
      <c r="T277" s="18"/>
      <c r="U277" s="17"/>
      <c r="V277" s="18"/>
      <c r="W277" s="17"/>
      <c r="X277" s="18"/>
      <c r="Y277" s="17"/>
      <c r="Z277" s="18"/>
      <c r="AA277" s="17"/>
      <c r="AB277" s="18"/>
      <c r="AC277" s="17"/>
      <c r="AD277" s="18"/>
      <c r="AE277" s="17"/>
      <c r="AF277" s="18"/>
      <c r="AG277" s="17"/>
      <c r="AH277" s="18"/>
      <c r="AI277" s="17"/>
      <c r="AJ277" s="18"/>
      <c r="AK277" s="17"/>
      <c r="AL277" s="18"/>
      <c r="AM277" s="17"/>
      <c r="AN277" s="18"/>
      <c r="AO277" s="17"/>
    </row>
    <row r="278" spans="1:41" s="12" customFormat="1" x14ac:dyDescent="0.25">
      <c r="A278" s="221"/>
      <c r="B278" s="18"/>
      <c r="C278" s="17"/>
      <c r="D278" s="18"/>
      <c r="E278" s="17"/>
      <c r="F278" s="18"/>
      <c r="G278" s="17"/>
      <c r="H278" s="18"/>
      <c r="I278" s="17"/>
      <c r="J278" s="29"/>
      <c r="K278" s="30"/>
      <c r="L278" s="228" t="s">
        <v>704</v>
      </c>
      <c r="M278" s="30" t="s">
        <v>316</v>
      </c>
      <c r="N278" s="29"/>
      <c r="O278" s="30"/>
      <c r="P278" s="18"/>
      <c r="Q278" s="17"/>
      <c r="R278" s="18"/>
      <c r="S278" s="17"/>
      <c r="T278" s="18"/>
      <c r="U278" s="17"/>
      <c r="V278" s="18"/>
      <c r="W278" s="17"/>
      <c r="X278" s="18"/>
      <c r="Y278" s="17"/>
      <c r="Z278" s="18"/>
      <c r="AA278" s="17"/>
      <c r="AB278" s="18"/>
      <c r="AC278" s="17"/>
      <c r="AD278" s="18"/>
      <c r="AE278" s="17"/>
      <c r="AF278" s="18"/>
      <c r="AG278" s="17"/>
      <c r="AH278" s="18"/>
      <c r="AI278" s="17"/>
      <c r="AJ278" s="18"/>
      <c r="AK278" s="17"/>
      <c r="AL278" s="18"/>
      <c r="AM278" s="17"/>
      <c r="AN278" s="18"/>
      <c r="AO278" s="17"/>
    </row>
    <row r="279" spans="1:41" s="12" customFormat="1" x14ac:dyDescent="0.25">
      <c r="A279" s="221"/>
      <c r="B279" s="18"/>
      <c r="C279" s="17"/>
      <c r="D279" s="18"/>
      <c r="E279" s="17"/>
      <c r="F279" s="18"/>
      <c r="G279" s="17"/>
      <c r="H279" s="18"/>
      <c r="I279" s="17"/>
      <c r="J279" s="29"/>
      <c r="K279" s="30"/>
      <c r="L279" s="230"/>
      <c r="M279" s="30" t="s">
        <v>308</v>
      </c>
      <c r="N279" s="29"/>
      <c r="O279" s="30"/>
      <c r="P279" s="18"/>
      <c r="Q279" s="17"/>
      <c r="R279" s="18"/>
      <c r="S279" s="17"/>
      <c r="T279" s="18"/>
      <c r="U279" s="17"/>
      <c r="V279" s="18"/>
      <c r="W279" s="17"/>
      <c r="X279" s="18"/>
      <c r="Y279" s="17"/>
      <c r="Z279" s="18"/>
      <c r="AA279" s="17"/>
      <c r="AB279" s="18"/>
      <c r="AC279" s="17"/>
      <c r="AD279" s="18"/>
      <c r="AE279" s="17"/>
      <c r="AF279" s="18"/>
      <c r="AG279" s="17"/>
      <c r="AH279" s="18"/>
      <c r="AI279" s="17"/>
      <c r="AJ279" s="18"/>
      <c r="AK279" s="17"/>
      <c r="AL279" s="18"/>
      <c r="AM279" s="17"/>
      <c r="AN279" s="18"/>
      <c r="AO279" s="17"/>
    </row>
    <row r="280" spans="1:41" s="12" customFormat="1" x14ac:dyDescent="0.25">
      <c r="A280" s="221"/>
      <c r="B280" s="18"/>
      <c r="C280" s="17"/>
      <c r="D280" s="18"/>
      <c r="E280" s="17"/>
      <c r="F280" s="18"/>
      <c r="G280" s="17"/>
      <c r="H280" s="18"/>
      <c r="I280" s="17"/>
      <c r="J280" s="29"/>
      <c r="K280" s="30"/>
      <c r="L280" s="29" t="s">
        <v>190</v>
      </c>
      <c r="M280" s="30"/>
      <c r="N280" s="29"/>
      <c r="O280" s="30"/>
      <c r="P280" s="18"/>
      <c r="Q280" s="17"/>
      <c r="R280" s="18"/>
      <c r="S280" s="17"/>
      <c r="T280" s="18"/>
      <c r="U280" s="17"/>
      <c r="V280" s="18"/>
      <c r="W280" s="17"/>
      <c r="X280" s="18"/>
      <c r="Y280" s="17"/>
      <c r="Z280" s="18"/>
      <c r="AA280" s="17"/>
      <c r="AB280" s="18"/>
      <c r="AC280" s="17"/>
      <c r="AD280" s="18"/>
      <c r="AE280" s="17"/>
      <c r="AF280" s="18"/>
      <c r="AG280" s="17"/>
      <c r="AH280" s="18"/>
      <c r="AI280" s="17"/>
      <c r="AJ280" s="18"/>
      <c r="AK280" s="17"/>
      <c r="AL280" s="18"/>
      <c r="AM280" s="17"/>
      <c r="AN280" s="18"/>
      <c r="AO280" s="17"/>
    </row>
    <row r="281" spans="1:41" s="11" customFormat="1" ht="51" thickBot="1" x14ac:dyDescent="0.3">
      <c r="A281" s="221"/>
      <c r="B281" s="22"/>
      <c r="C281" s="21"/>
      <c r="D281" s="22"/>
      <c r="E281" s="21"/>
      <c r="F281" s="22"/>
      <c r="G281" s="21"/>
      <c r="H281" s="22"/>
      <c r="I281" s="21"/>
      <c r="J281" s="222" t="s">
        <v>86</v>
      </c>
      <c r="K281" s="222"/>
      <c r="L281" s="222"/>
      <c r="M281" s="222"/>
      <c r="N281" s="222"/>
      <c r="O281" s="222"/>
      <c r="P281" s="222"/>
      <c r="Q281" s="222"/>
      <c r="R281" s="22"/>
      <c r="S281" s="21"/>
      <c r="T281" s="22"/>
      <c r="U281" s="21"/>
      <c r="V281" s="22"/>
      <c r="W281" s="21"/>
      <c r="X281" s="22"/>
      <c r="Y281" s="21"/>
      <c r="Z281" s="22"/>
      <c r="AA281" s="21"/>
      <c r="AB281" s="22"/>
      <c r="AC281" s="21"/>
      <c r="AD281" s="22"/>
      <c r="AE281" s="21"/>
      <c r="AF281" s="22"/>
      <c r="AG281" s="21"/>
      <c r="AH281" s="22"/>
      <c r="AI281" s="21"/>
      <c r="AJ281" s="22"/>
      <c r="AK281" s="21"/>
      <c r="AL281" s="22"/>
      <c r="AM281" s="21"/>
      <c r="AN281" s="22"/>
      <c r="AO281" s="21"/>
    </row>
    <row r="282" spans="1:41" s="11" customFormat="1" ht="17.25" thickTop="1" x14ac:dyDescent="0.25">
      <c r="A282" s="221"/>
      <c r="B282" s="22"/>
      <c r="C282" s="21"/>
      <c r="D282" s="22"/>
      <c r="E282" s="21"/>
      <c r="F282" s="22"/>
      <c r="G282" s="21"/>
      <c r="H282" s="22"/>
      <c r="I282" s="21"/>
      <c r="J282" s="231" t="s">
        <v>1445</v>
      </c>
      <c r="K282" s="231" t="s">
        <v>1446</v>
      </c>
      <c r="L282" s="231" t="s">
        <v>1448</v>
      </c>
      <c r="M282" s="231" t="s">
        <v>1449</v>
      </c>
      <c r="N282" s="231" t="s">
        <v>1450</v>
      </c>
      <c r="O282" s="231" t="s">
        <v>1451</v>
      </c>
      <c r="P282" s="231" t="s">
        <v>715</v>
      </c>
      <c r="Q282" s="231" t="s">
        <v>1447</v>
      </c>
      <c r="R282" s="22"/>
      <c r="S282" s="21"/>
      <c r="T282" s="22"/>
      <c r="U282" s="21"/>
      <c r="V282" s="22"/>
      <c r="W282" s="21"/>
      <c r="X282" s="22"/>
      <c r="Y282" s="21"/>
      <c r="Z282" s="22"/>
      <c r="AA282" s="21"/>
      <c r="AB282" s="22"/>
      <c r="AC282" s="21"/>
      <c r="AD282" s="22"/>
      <c r="AE282" s="21"/>
      <c r="AF282" s="22"/>
      <c r="AG282" s="21"/>
      <c r="AH282" s="22"/>
      <c r="AI282" s="21"/>
      <c r="AJ282" s="22"/>
      <c r="AK282" s="21"/>
      <c r="AL282" s="22"/>
      <c r="AM282" s="21"/>
      <c r="AN282" s="22"/>
      <c r="AO282" s="21"/>
    </row>
    <row r="283" spans="1:41" s="12" customFormat="1" x14ac:dyDescent="0.25">
      <c r="A283" s="221"/>
      <c r="B283" s="18"/>
      <c r="C283" s="17"/>
      <c r="D283" s="18"/>
      <c r="E283" s="17"/>
      <c r="F283" s="18"/>
      <c r="G283" s="17"/>
      <c r="H283" s="18"/>
      <c r="I283" s="17"/>
      <c r="J283" s="225" t="s">
        <v>558</v>
      </c>
      <c r="K283" s="17" t="s">
        <v>566</v>
      </c>
      <c r="L283" s="18" t="s">
        <v>182</v>
      </c>
      <c r="M283" s="17"/>
      <c r="N283" s="18"/>
      <c r="O283" s="17"/>
      <c r="P283" s="18" t="s">
        <v>378</v>
      </c>
      <c r="Q283" s="17" t="s">
        <v>142</v>
      </c>
      <c r="R283" s="18"/>
      <c r="S283" s="17"/>
      <c r="T283" s="18"/>
      <c r="U283" s="17"/>
      <c r="V283" s="18"/>
      <c r="W283" s="17"/>
      <c r="X283" s="18"/>
      <c r="Y283" s="17"/>
      <c r="Z283" s="18"/>
      <c r="AA283" s="17"/>
      <c r="AB283" s="18"/>
      <c r="AC283" s="17"/>
      <c r="AD283" s="18"/>
      <c r="AE283" s="17"/>
      <c r="AF283" s="18"/>
      <c r="AG283" s="17"/>
      <c r="AH283" s="18"/>
      <c r="AI283" s="17"/>
      <c r="AJ283" s="18"/>
      <c r="AK283" s="17"/>
      <c r="AL283" s="18"/>
      <c r="AM283" s="17"/>
      <c r="AN283" s="18"/>
      <c r="AO283" s="17"/>
    </row>
    <row r="284" spans="1:41" s="12" customFormat="1" x14ac:dyDescent="0.25">
      <c r="A284" s="221"/>
      <c r="B284" s="18"/>
      <c r="C284" s="17"/>
      <c r="D284" s="18"/>
      <c r="E284" s="17"/>
      <c r="F284" s="18"/>
      <c r="G284" s="17"/>
      <c r="H284" s="18"/>
      <c r="I284" s="17"/>
      <c r="J284" s="226"/>
      <c r="K284" s="17" t="s">
        <v>430</v>
      </c>
      <c r="L284" s="18" t="s">
        <v>702</v>
      </c>
      <c r="M284" s="17" t="s">
        <v>185</v>
      </c>
      <c r="N284" s="18"/>
      <c r="O284" s="17"/>
      <c r="P284" s="18"/>
      <c r="Q284" s="17"/>
      <c r="R284" s="18"/>
      <c r="S284" s="17"/>
      <c r="T284" s="18"/>
      <c r="U284" s="17"/>
      <c r="V284" s="18"/>
      <c r="W284" s="17"/>
      <c r="X284" s="18"/>
      <c r="Y284" s="17"/>
      <c r="Z284" s="18"/>
      <c r="AA284" s="17"/>
      <c r="AB284" s="18"/>
      <c r="AC284" s="17"/>
      <c r="AD284" s="18"/>
      <c r="AE284" s="17"/>
      <c r="AF284" s="18"/>
      <c r="AG284" s="17"/>
      <c r="AH284" s="18"/>
      <c r="AI284" s="17"/>
      <c r="AJ284" s="18"/>
      <c r="AK284" s="17"/>
      <c r="AL284" s="18"/>
      <c r="AM284" s="17"/>
      <c r="AN284" s="18"/>
      <c r="AO284" s="17"/>
    </row>
    <row r="285" spans="1:41" s="12" customFormat="1" x14ac:dyDescent="0.25">
      <c r="A285" s="221"/>
      <c r="B285" s="18"/>
      <c r="C285" s="17"/>
      <c r="D285" s="18"/>
      <c r="E285" s="17"/>
      <c r="F285" s="18"/>
      <c r="G285" s="17"/>
      <c r="H285" s="18"/>
      <c r="I285" s="17"/>
      <c r="J285" s="226"/>
      <c r="K285" s="17" t="s">
        <v>431</v>
      </c>
      <c r="L285" s="18" t="s">
        <v>186</v>
      </c>
      <c r="M285" s="17" t="s">
        <v>188</v>
      </c>
      <c r="N285" s="18"/>
      <c r="O285" s="17"/>
      <c r="P285" s="18"/>
      <c r="Q285" s="17"/>
      <c r="R285" s="18"/>
      <c r="S285" s="17"/>
      <c r="T285" s="18"/>
      <c r="U285" s="17"/>
      <c r="V285" s="18"/>
      <c r="W285" s="17"/>
      <c r="X285" s="18"/>
      <c r="Y285" s="17"/>
      <c r="Z285" s="18"/>
      <c r="AA285" s="17"/>
      <c r="AB285" s="18"/>
      <c r="AC285" s="17"/>
      <c r="AD285" s="18"/>
      <c r="AE285" s="17"/>
      <c r="AF285" s="18"/>
      <c r="AG285" s="17"/>
      <c r="AH285" s="18"/>
      <c r="AI285" s="17"/>
      <c r="AJ285" s="18"/>
      <c r="AK285" s="17"/>
      <c r="AL285" s="18"/>
      <c r="AM285" s="17"/>
      <c r="AN285" s="18"/>
      <c r="AO285" s="17"/>
    </row>
    <row r="286" spans="1:41" s="12" customFormat="1" x14ac:dyDescent="0.25">
      <c r="A286" s="221"/>
      <c r="B286" s="18"/>
      <c r="C286" s="17"/>
      <c r="D286" s="18"/>
      <c r="E286" s="17"/>
      <c r="F286" s="18"/>
      <c r="G286" s="17"/>
      <c r="H286" s="18"/>
      <c r="I286" s="17"/>
      <c r="J286" s="227"/>
      <c r="K286" s="17" t="s">
        <v>432</v>
      </c>
      <c r="L286" s="18" t="s">
        <v>265</v>
      </c>
      <c r="M286" s="17"/>
      <c r="N286" s="18"/>
      <c r="O286" s="17"/>
      <c r="P286" s="18"/>
      <c r="Q286" s="17"/>
      <c r="R286" s="18"/>
      <c r="S286" s="17"/>
      <c r="T286" s="18"/>
      <c r="U286" s="17"/>
      <c r="V286" s="18"/>
      <c r="W286" s="17"/>
      <c r="X286" s="18"/>
      <c r="Y286" s="17"/>
      <c r="Z286" s="18"/>
      <c r="AA286" s="17"/>
      <c r="AB286" s="18"/>
      <c r="AC286" s="17"/>
      <c r="AD286" s="18"/>
      <c r="AE286" s="17"/>
      <c r="AF286" s="18"/>
      <c r="AG286" s="17"/>
      <c r="AH286" s="18"/>
      <c r="AI286" s="17"/>
      <c r="AJ286" s="18"/>
      <c r="AK286" s="17"/>
      <c r="AL286" s="18"/>
      <c r="AM286" s="17"/>
      <c r="AN286" s="18"/>
      <c r="AO286" s="17"/>
    </row>
    <row r="287" spans="1:41" s="12" customFormat="1" x14ac:dyDescent="0.25">
      <c r="A287" s="221"/>
      <c r="B287" s="18"/>
      <c r="C287" s="17"/>
      <c r="D287" s="18"/>
      <c r="E287" s="17"/>
      <c r="F287" s="18"/>
      <c r="G287" s="17"/>
      <c r="H287" s="18"/>
      <c r="I287" s="17"/>
      <c r="J287" s="225" t="s">
        <v>115</v>
      </c>
      <c r="K287" s="17" t="s">
        <v>118</v>
      </c>
      <c r="L287" s="225" t="s">
        <v>703</v>
      </c>
      <c r="M287" s="17" t="s">
        <v>226</v>
      </c>
      <c r="N287" s="18"/>
      <c r="O287" s="17"/>
      <c r="P287" s="18"/>
      <c r="Q287" s="17"/>
      <c r="R287" s="18"/>
      <c r="S287" s="17"/>
      <c r="T287" s="18"/>
      <c r="U287" s="17"/>
      <c r="V287" s="18"/>
      <c r="W287" s="17"/>
      <c r="X287" s="18"/>
      <c r="Y287" s="17"/>
      <c r="Z287" s="18"/>
      <c r="AA287" s="17"/>
      <c r="AB287" s="18"/>
      <c r="AC287" s="17"/>
      <c r="AD287" s="18"/>
      <c r="AE287" s="17"/>
      <c r="AF287" s="18"/>
      <c r="AG287" s="17"/>
      <c r="AH287" s="18"/>
      <c r="AI287" s="17"/>
      <c r="AJ287" s="18"/>
      <c r="AK287" s="17"/>
      <c r="AL287" s="18"/>
      <c r="AM287" s="17"/>
      <c r="AN287" s="18"/>
      <c r="AO287" s="17"/>
    </row>
    <row r="288" spans="1:41" s="12" customFormat="1" x14ac:dyDescent="0.25">
      <c r="A288" s="221"/>
      <c r="B288" s="18"/>
      <c r="C288" s="17"/>
      <c r="D288" s="18"/>
      <c r="E288" s="17"/>
      <c r="F288" s="18"/>
      <c r="G288" s="17"/>
      <c r="H288" s="18"/>
      <c r="I288" s="17"/>
      <c r="J288" s="226"/>
      <c r="K288" s="17" t="s">
        <v>119</v>
      </c>
      <c r="L288" s="226"/>
      <c r="M288" s="17" t="s">
        <v>256</v>
      </c>
      <c r="N288" s="18"/>
      <c r="O288" s="17"/>
      <c r="P288" s="18"/>
      <c r="Q288" s="17"/>
      <c r="R288" s="18"/>
      <c r="S288" s="17"/>
      <c r="T288" s="18"/>
      <c r="U288" s="17"/>
      <c r="V288" s="18"/>
      <c r="W288" s="17"/>
      <c r="X288" s="18"/>
      <c r="Y288" s="17"/>
      <c r="Z288" s="18"/>
      <c r="AA288" s="17"/>
      <c r="AB288" s="18"/>
      <c r="AC288" s="17"/>
      <c r="AD288" s="18"/>
      <c r="AE288" s="17"/>
      <c r="AF288" s="18"/>
      <c r="AG288" s="17"/>
      <c r="AH288" s="18"/>
      <c r="AI288" s="17"/>
      <c r="AJ288" s="18"/>
      <c r="AK288" s="17"/>
      <c r="AL288" s="18"/>
      <c r="AM288" s="17"/>
      <c r="AN288" s="18"/>
      <c r="AO288" s="17"/>
    </row>
    <row r="289" spans="1:41" s="12" customFormat="1" x14ac:dyDescent="0.25">
      <c r="A289" s="221"/>
      <c r="B289" s="18"/>
      <c r="C289" s="17"/>
      <c r="D289" s="18"/>
      <c r="E289" s="17"/>
      <c r="F289" s="18"/>
      <c r="G289" s="17"/>
      <c r="H289" s="18"/>
      <c r="I289" s="17"/>
      <c r="J289" s="226"/>
      <c r="K289" s="17" t="s">
        <v>121</v>
      </c>
      <c r="L289" s="226"/>
      <c r="M289" s="17" t="s">
        <v>300</v>
      </c>
      <c r="N289" s="18"/>
      <c r="O289" s="17"/>
      <c r="P289" s="18"/>
      <c r="Q289" s="17"/>
      <c r="R289" s="18"/>
      <c r="S289" s="17"/>
      <c r="T289" s="18"/>
      <c r="U289" s="17"/>
      <c r="V289" s="18"/>
      <c r="W289" s="17"/>
      <c r="X289" s="18"/>
      <c r="Y289" s="17"/>
      <c r="Z289" s="18"/>
      <c r="AA289" s="17"/>
      <c r="AB289" s="18"/>
      <c r="AC289" s="17"/>
      <c r="AD289" s="18"/>
      <c r="AE289" s="17"/>
      <c r="AF289" s="18"/>
      <c r="AG289" s="17"/>
      <c r="AH289" s="18"/>
      <c r="AI289" s="17"/>
      <c r="AJ289" s="18"/>
      <c r="AK289" s="17"/>
      <c r="AL289" s="18"/>
      <c r="AM289" s="17"/>
      <c r="AN289" s="18"/>
      <c r="AO289" s="17"/>
    </row>
    <row r="290" spans="1:41" s="12" customFormat="1" x14ac:dyDescent="0.25">
      <c r="A290" s="221"/>
      <c r="B290" s="18"/>
      <c r="C290" s="17"/>
      <c r="D290" s="18"/>
      <c r="E290" s="17"/>
      <c r="F290" s="18"/>
      <c r="G290" s="17"/>
      <c r="H290" s="18"/>
      <c r="I290" s="17"/>
      <c r="J290" s="226"/>
      <c r="K290" s="17" t="s">
        <v>122</v>
      </c>
      <c r="L290" s="227"/>
      <c r="M290" s="17" t="s">
        <v>250</v>
      </c>
      <c r="N290" s="18"/>
      <c r="O290" s="17"/>
      <c r="P290" s="18"/>
      <c r="Q290" s="17"/>
      <c r="R290" s="18"/>
      <c r="S290" s="17"/>
      <c r="T290" s="18"/>
      <c r="U290" s="17"/>
      <c r="V290" s="18"/>
      <c r="W290" s="17"/>
      <c r="X290" s="18"/>
      <c r="Y290" s="17"/>
      <c r="Z290" s="18"/>
      <c r="AA290" s="17"/>
      <c r="AB290" s="18"/>
      <c r="AC290" s="17"/>
      <c r="AD290" s="18"/>
      <c r="AE290" s="17"/>
      <c r="AF290" s="18"/>
      <c r="AG290" s="17"/>
      <c r="AH290" s="18"/>
      <c r="AI290" s="17"/>
      <c r="AJ290" s="18"/>
      <c r="AK290" s="17"/>
      <c r="AL290" s="18"/>
      <c r="AM290" s="17"/>
      <c r="AN290" s="18"/>
      <c r="AO290" s="17"/>
    </row>
    <row r="291" spans="1:41" s="12" customFormat="1" x14ac:dyDescent="0.25">
      <c r="A291" s="221"/>
      <c r="B291" s="18"/>
      <c r="C291" s="17"/>
      <c r="D291" s="18"/>
      <c r="E291" s="17"/>
      <c r="F291" s="18"/>
      <c r="G291" s="17"/>
      <c r="H291" s="18"/>
      <c r="I291" s="17"/>
      <c r="J291" s="226"/>
      <c r="K291" s="17" t="s">
        <v>123</v>
      </c>
      <c r="L291" s="18"/>
      <c r="M291" s="17"/>
      <c r="N291" s="18"/>
      <c r="O291" s="17"/>
      <c r="P291" s="18"/>
      <c r="Q291" s="17"/>
      <c r="R291" s="18"/>
      <c r="S291" s="17"/>
      <c r="T291" s="18"/>
      <c r="U291" s="17"/>
      <c r="V291" s="18"/>
      <c r="W291" s="17"/>
      <c r="X291" s="18"/>
      <c r="Y291" s="17"/>
      <c r="Z291" s="18"/>
      <c r="AA291" s="17"/>
      <c r="AB291" s="18"/>
      <c r="AC291" s="17"/>
      <c r="AD291" s="18"/>
      <c r="AE291" s="17"/>
      <c r="AF291" s="18"/>
      <c r="AG291" s="17"/>
      <c r="AH291" s="18"/>
      <c r="AI291" s="17"/>
      <c r="AJ291" s="18"/>
      <c r="AK291" s="17"/>
      <c r="AL291" s="18"/>
      <c r="AM291" s="17"/>
      <c r="AN291" s="18"/>
      <c r="AO291" s="17"/>
    </row>
    <row r="292" spans="1:41" s="12" customFormat="1" x14ac:dyDescent="0.25">
      <c r="A292" s="221"/>
      <c r="B292" s="18"/>
      <c r="C292" s="17"/>
      <c r="D292" s="18"/>
      <c r="E292" s="17"/>
      <c r="F292" s="18"/>
      <c r="G292" s="17"/>
      <c r="H292" s="18"/>
      <c r="I292" s="17"/>
      <c r="J292" s="226"/>
      <c r="K292" s="17" t="s">
        <v>126</v>
      </c>
      <c r="L292" s="18"/>
      <c r="M292" s="17"/>
      <c r="N292" s="18"/>
      <c r="O292" s="17"/>
      <c r="P292" s="18"/>
      <c r="Q292" s="17"/>
      <c r="R292" s="18"/>
      <c r="S292" s="17"/>
      <c r="T292" s="18"/>
      <c r="U292" s="17"/>
      <c r="V292" s="18"/>
      <c r="W292" s="17"/>
      <c r="X292" s="18"/>
      <c r="Y292" s="17"/>
      <c r="Z292" s="18"/>
      <c r="AA292" s="17"/>
      <c r="AB292" s="18"/>
      <c r="AC292" s="17"/>
      <c r="AD292" s="18"/>
      <c r="AE292" s="17"/>
      <c r="AF292" s="18"/>
      <c r="AG292" s="17"/>
      <c r="AH292" s="18"/>
      <c r="AI292" s="17"/>
      <c r="AJ292" s="18"/>
      <c r="AK292" s="17"/>
      <c r="AL292" s="18"/>
      <c r="AM292" s="17"/>
      <c r="AN292" s="18"/>
      <c r="AO292" s="17"/>
    </row>
    <row r="293" spans="1:41" s="12" customFormat="1" x14ac:dyDescent="0.25">
      <c r="A293" s="221"/>
      <c r="B293" s="18"/>
      <c r="C293" s="17"/>
      <c r="D293" s="18"/>
      <c r="E293" s="17"/>
      <c r="F293" s="18"/>
      <c r="G293" s="17"/>
      <c r="H293" s="18"/>
      <c r="I293" s="17"/>
      <c r="J293" s="226"/>
      <c r="K293" s="17" t="s">
        <v>140</v>
      </c>
      <c r="L293" s="18"/>
      <c r="M293" s="17"/>
      <c r="N293" s="18"/>
      <c r="O293" s="17"/>
      <c r="P293" s="18"/>
      <c r="Q293" s="17"/>
      <c r="R293" s="18"/>
      <c r="S293" s="17"/>
      <c r="T293" s="18"/>
      <c r="U293" s="17"/>
      <c r="V293" s="18"/>
      <c r="W293" s="17"/>
      <c r="X293" s="18"/>
      <c r="Y293" s="17"/>
      <c r="Z293" s="18"/>
      <c r="AA293" s="17"/>
      <c r="AB293" s="18"/>
      <c r="AC293" s="17"/>
      <c r="AD293" s="18"/>
      <c r="AE293" s="17"/>
      <c r="AF293" s="18"/>
      <c r="AG293" s="17"/>
      <c r="AH293" s="18"/>
      <c r="AI293" s="17"/>
      <c r="AJ293" s="18"/>
      <c r="AK293" s="17"/>
      <c r="AL293" s="18"/>
      <c r="AM293" s="17"/>
      <c r="AN293" s="18"/>
      <c r="AO293" s="17"/>
    </row>
    <row r="294" spans="1:41" s="12" customFormat="1" x14ac:dyDescent="0.25">
      <c r="A294" s="221"/>
      <c r="B294" s="18"/>
      <c r="C294" s="17"/>
      <c r="D294" s="18"/>
      <c r="E294" s="17"/>
      <c r="F294" s="18"/>
      <c r="G294" s="17"/>
      <c r="H294" s="18"/>
      <c r="I294" s="17"/>
      <c r="J294" s="226"/>
      <c r="K294" s="17" t="s">
        <v>141</v>
      </c>
      <c r="L294" s="18"/>
      <c r="M294" s="17"/>
      <c r="N294" s="18"/>
      <c r="O294" s="17"/>
      <c r="P294" s="18"/>
      <c r="Q294" s="17"/>
      <c r="R294" s="18"/>
      <c r="S294" s="17"/>
      <c r="T294" s="18"/>
      <c r="U294" s="17"/>
      <c r="V294" s="18"/>
      <c r="W294" s="17"/>
      <c r="X294" s="18"/>
      <c r="Y294" s="17"/>
      <c r="Z294" s="18"/>
      <c r="AA294" s="17"/>
      <c r="AB294" s="18"/>
      <c r="AC294" s="17"/>
      <c r="AD294" s="18"/>
      <c r="AE294" s="17"/>
      <c r="AF294" s="18"/>
      <c r="AG294" s="17"/>
      <c r="AH294" s="18"/>
      <c r="AI294" s="17"/>
      <c r="AJ294" s="18"/>
      <c r="AK294" s="17"/>
      <c r="AL294" s="18"/>
      <c r="AM294" s="17"/>
      <c r="AN294" s="18"/>
      <c r="AO294" s="17"/>
    </row>
    <row r="295" spans="1:41" s="12" customFormat="1" x14ac:dyDescent="0.25">
      <c r="A295" s="221"/>
      <c r="B295" s="18"/>
      <c r="C295" s="17"/>
      <c r="D295" s="18"/>
      <c r="E295" s="17"/>
      <c r="F295" s="18"/>
      <c r="G295" s="17"/>
      <c r="H295" s="18"/>
      <c r="I295" s="17"/>
      <c r="J295" s="226"/>
      <c r="K295" s="17" t="s">
        <v>142</v>
      </c>
      <c r="L295" s="18"/>
      <c r="M295" s="17"/>
      <c r="N295" s="18"/>
      <c r="O295" s="17"/>
      <c r="P295" s="18"/>
      <c r="Q295" s="17"/>
      <c r="R295" s="18"/>
      <c r="S295" s="17"/>
      <c r="T295" s="18"/>
      <c r="U295" s="17"/>
      <c r="V295" s="18"/>
      <c r="W295" s="17"/>
      <c r="X295" s="18"/>
      <c r="Y295" s="17"/>
      <c r="Z295" s="18"/>
      <c r="AA295" s="17"/>
      <c r="AB295" s="18"/>
      <c r="AC295" s="17"/>
      <c r="AD295" s="18"/>
      <c r="AE295" s="17"/>
      <c r="AF295" s="18"/>
      <c r="AG295" s="17"/>
      <c r="AH295" s="18"/>
      <c r="AI295" s="17"/>
      <c r="AJ295" s="18"/>
      <c r="AK295" s="17"/>
      <c r="AL295" s="18"/>
      <c r="AM295" s="17"/>
      <c r="AN295" s="18"/>
      <c r="AO295" s="17"/>
    </row>
    <row r="296" spans="1:41" s="12" customFormat="1" x14ac:dyDescent="0.25">
      <c r="A296" s="221"/>
      <c r="B296" s="18"/>
      <c r="C296" s="17"/>
      <c r="D296" s="18"/>
      <c r="E296" s="17"/>
      <c r="F296" s="18"/>
      <c r="G296" s="17"/>
      <c r="H296" s="18"/>
      <c r="I296" s="17"/>
      <c r="J296" s="227"/>
      <c r="K296" s="17" t="s">
        <v>144</v>
      </c>
      <c r="L296" s="18"/>
      <c r="M296" s="17"/>
      <c r="N296" s="18"/>
      <c r="O296" s="17"/>
      <c r="P296" s="18"/>
      <c r="Q296" s="17"/>
      <c r="R296" s="18"/>
      <c r="S296" s="17"/>
      <c r="T296" s="18"/>
      <c r="U296" s="17"/>
      <c r="V296" s="18"/>
      <c r="W296" s="17"/>
      <c r="X296" s="18"/>
      <c r="Y296" s="17"/>
      <c r="Z296" s="18"/>
      <c r="AA296" s="17"/>
      <c r="AB296" s="18"/>
      <c r="AC296" s="17"/>
      <c r="AD296" s="18"/>
      <c r="AE296" s="17"/>
      <c r="AF296" s="18"/>
      <c r="AG296" s="17"/>
      <c r="AH296" s="18"/>
      <c r="AI296" s="17"/>
      <c r="AJ296" s="18"/>
      <c r="AK296" s="17"/>
      <c r="AL296" s="18"/>
      <c r="AM296" s="17"/>
      <c r="AN296" s="18"/>
      <c r="AO296" s="17"/>
    </row>
    <row r="297" spans="1:41" s="12" customFormat="1" x14ac:dyDescent="0.25">
      <c r="A297" s="221"/>
      <c r="B297" s="18"/>
      <c r="C297" s="17"/>
      <c r="D297" s="18"/>
      <c r="E297" s="17"/>
      <c r="F297" s="18"/>
      <c r="G297" s="17"/>
      <c r="H297" s="18"/>
      <c r="I297" s="17"/>
      <c r="J297" s="18" t="s">
        <v>149</v>
      </c>
      <c r="K297" s="17"/>
      <c r="L297" s="18"/>
      <c r="M297" s="17"/>
      <c r="N297" s="18"/>
      <c r="O297" s="17"/>
      <c r="P297" s="18"/>
      <c r="Q297" s="17"/>
      <c r="R297" s="18"/>
      <c r="S297" s="17"/>
      <c r="T297" s="18"/>
      <c r="U297" s="17"/>
      <c r="V297" s="18"/>
      <c r="W297" s="17"/>
      <c r="X297" s="18"/>
      <c r="Y297" s="17"/>
      <c r="Z297" s="18"/>
      <c r="AA297" s="17"/>
      <c r="AB297" s="18"/>
      <c r="AC297" s="17"/>
      <c r="AD297" s="18"/>
      <c r="AE297" s="17"/>
      <c r="AF297" s="18"/>
      <c r="AG297" s="17"/>
      <c r="AH297" s="18"/>
      <c r="AI297" s="17"/>
      <c r="AJ297" s="18"/>
      <c r="AK297" s="17"/>
      <c r="AL297" s="18"/>
      <c r="AM297" s="17"/>
      <c r="AN297" s="18"/>
      <c r="AO297" s="17"/>
    </row>
    <row r="298" spans="1:41" s="12" customFormat="1" x14ac:dyDescent="0.25">
      <c r="A298" s="221"/>
      <c r="B298" s="18"/>
      <c r="C298" s="17"/>
      <c r="D298" s="18"/>
      <c r="E298" s="17"/>
      <c r="F298" s="18"/>
      <c r="G298" s="17"/>
      <c r="H298" s="18"/>
      <c r="I298" s="17"/>
      <c r="J298" s="18" t="s">
        <v>150</v>
      </c>
      <c r="K298" s="17"/>
      <c r="L298" s="18"/>
      <c r="M298" s="17"/>
      <c r="N298" s="18"/>
      <c r="O298" s="17"/>
      <c r="P298" s="18"/>
      <c r="Q298" s="17"/>
      <c r="R298" s="18"/>
      <c r="S298" s="17"/>
      <c r="T298" s="18"/>
      <c r="U298" s="17"/>
      <c r="V298" s="18"/>
      <c r="W298" s="17"/>
      <c r="X298" s="18"/>
      <c r="Y298" s="17"/>
      <c r="Z298" s="18"/>
      <c r="AA298" s="17"/>
      <c r="AB298" s="18"/>
      <c r="AC298" s="17"/>
      <c r="AD298" s="18"/>
      <c r="AE298" s="17"/>
      <c r="AF298" s="18"/>
      <c r="AG298" s="17"/>
      <c r="AH298" s="18"/>
      <c r="AI298" s="17"/>
      <c r="AJ298" s="18"/>
      <c r="AK298" s="17"/>
      <c r="AL298" s="18"/>
      <c r="AM298" s="17"/>
      <c r="AN298" s="18"/>
      <c r="AO298" s="17"/>
    </row>
    <row r="299" spans="1:41" s="11" customFormat="1" ht="51" thickBot="1" x14ac:dyDescent="0.3">
      <c r="A299" s="221"/>
      <c r="B299" s="22"/>
      <c r="C299" s="21"/>
      <c r="D299" s="22"/>
      <c r="E299" s="21"/>
      <c r="F299" s="22"/>
      <c r="G299" s="21"/>
      <c r="H299" s="22"/>
      <c r="I299" s="21"/>
      <c r="J299" s="222" t="s">
        <v>929</v>
      </c>
      <c r="K299" s="222"/>
      <c r="L299" s="222"/>
      <c r="M299" s="222"/>
      <c r="N299" s="222"/>
      <c r="O299" s="222"/>
      <c r="P299" s="222"/>
      <c r="Q299" s="222"/>
      <c r="R299" s="22"/>
      <c r="S299" s="21"/>
      <c r="T299" s="22"/>
      <c r="U299" s="21"/>
      <c r="V299" s="22"/>
      <c r="W299" s="21"/>
      <c r="X299" s="22"/>
      <c r="Y299" s="21"/>
      <c r="Z299" s="22"/>
      <c r="AA299" s="21"/>
      <c r="AB299" s="22"/>
      <c r="AC299" s="21"/>
      <c r="AD299" s="22"/>
      <c r="AE299" s="21"/>
      <c r="AF299" s="22"/>
      <c r="AG299" s="21"/>
      <c r="AH299" s="22"/>
      <c r="AI299" s="21"/>
      <c r="AJ299" s="22"/>
      <c r="AK299" s="21"/>
      <c r="AL299" s="22"/>
      <c r="AM299" s="21"/>
      <c r="AN299" s="22"/>
      <c r="AO299" s="21"/>
    </row>
    <row r="300" spans="1:41" s="11" customFormat="1" ht="17.25" thickTop="1" x14ac:dyDescent="0.25">
      <c r="A300" s="221"/>
      <c r="B300" s="22"/>
      <c r="C300" s="21"/>
      <c r="D300" s="22"/>
      <c r="E300" s="21"/>
      <c r="F300" s="22"/>
      <c r="G300" s="21"/>
      <c r="H300" s="22"/>
      <c r="I300" s="21"/>
      <c r="J300" s="231" t="s">
        <v>1445</v>
      </c>
      <c r="K300" s="231" t="s">
        <v>1446</v>
      </c>
      <c r="L300" s="231" t="s">
        <v>1448</v>
      </c>
      <c r="M300" s="231" t="s">
        <v>1449</v>
      </c>
      <c r="N300" s="231" t="s">
        <v>1450</v>
      </c>
      <c r="O300" s="231" t="s">
        <v>1451</v>
      </c>
      <c r="P300" s="231" t="s">
        <v>715</v>
      </c>
      <c r="Q300" s="231" t="s">
        <v>1447</v>
      </c>
      <c r="R300" s="22"/>
      <c r="S300" s="21"/>
      <c r="T300" s="22"/>
      <c r="U300" s="21"/>
      <c r="V300" s="22"/>
      <c r="W300" s="21"/>
      <c r="X300" s="22"/>
      <c r="Y300" s="21"/>
      <c r="Z300" s="22"/>
      <c r="AA300" s="21"/>
      <c r="AB300" s="22"/>
      <c r="AC300" s="21"/>
      <c r="AD300" s="22"/>
      <c r="AE300" s="21"/>
      <c r="AF300" s="22"/>
      <c r="AG300" s="21"/>
      <c r="AH300" s="22"/>
      <c r="AI300" s="21"/>
      <c r="AJ300" s="22"/>
      <c r="AK300" s="21"/>
      <c r="AL300" s="22"/>
      <c r="AM300" s="21"/>
      <c r="AN300" s="22"/>
      <c r="AO300" s="21"/>
    </row>
    <row r="301" spans="1:41" s="12" customFormat="1" x14ac:dyDescent="0.25">
      <c r="A301" s="221"/>
      <c r="B301" s="18"/>
      <c r="C301" s="17"/>
      <c r="D301" s="18"/>
      <c r="E301" s="17"/>
      <c r="F301" s="18"/>
      <c r="G301" s="17"/>
      <c r="H301" s="18"/>
      <c r="I301" s="17"/>
      <c r="J301" s="225" t="s">
        <v>558</v>
      </c>
      <c r="K301" s="17" t="s">
        <v>570</v>
      </c>
      <c r="L301" s="18" t="s">
        <v>182</v>
      </c>
      <c r="M301" s="17"/>
      <c r="N301" s="18" t="s">
        <v>155</v>
      </c>
      <c r="O301" s="17"/>
      <c r="P301" s="225" t="s">
        <v>379</v>
      </c>
      <c r="Q301" s="17" t="s">
        <v>382</v>
      </c>
      <c r="R301" s="18"/>
      <c r="S301" s="17"/>
      <c r="T301" s="18"/>
      <c r="U301" s="17"/>
      <c r="V301" s="18"/>
      <c r="W301" s="17"/>
      <c r="X301" s="18"/>
      <c r="Y301" s="17"/>
      <c r="Z301" s="18"/>
      <c r="AA301" s="17"/>
      <c r="AB301" s="18"/>
      <c r="AC301" s="17"/>
      <c r="AD301" s="18"/>
      <c r="AE301" s="17"/>
      <c r="AF301" s="18"/>
      <c r="AG301" s="17"/>
      <c r="AH301" s="18"/>
      <c r="AI301" s="17"/>
      <c r="AJ301" s="18"/>
      <c r="AK301" s="17"/>
      <c r="AL301" s="18"/>
      <c r="AM301" s="17"/>
      <c r="AN301" s="18"/>
      <c r="AO301" s="17"/>
    </row>
    <row r="302" spans="1:41" s="12" customFormat="1" x14ac:dyDescent="0.25">
      <c r="A302" s="221"/>
      <c r="B302" s="18"/>
      <c r="C302" s="17"/>
      <c r="D302" s="18"/>
      <c r="E302" s="17"/>
      <c r="F302" s="18"/>
      <c r="G302" s="17"/>
      <c r="H302" s="18"/>
      <c r="I302" s="17"/>
      <c r="J302" s="226"/>
      <c r="K302" s="17" t="s">
        <v>566</v>
      </c>
      <c r="L302" s="18" t="s">
        <v>702</v>
      </c>
      <c r="M302" s="17" t="s">
        <v>185</v>
      </c>
      <c r="N302" s="19"/>
      <c r="O302" s="17"/>
      <c r="P302" s="226"/>
      <c r="Q302" s="17" t="s">
        <v>383</v>
      </c>
      <c r="R302" s="18"/>
      <c r="S302" s="17"/>
      <c r="T302" s="18"/>
      <c r="U302" s="17"/>
      <c r="V302" s="18"/>
      <c r="W302" s="17"/>
      <c r="X302" s="18"/>
      <c r="Y302" s="17"/>
      <c r="Z302" s="18"/>
      <c r="AA302" s="17"/>
      <c r="AB302" s="18"/>
      <c r="AC302" s="17"/>
      <c r="AD302" s="18"/>
      <c r="AE302" s="17"/>
      <c r="AF302" s="18"/>
      <c r="AG302" s="17"/>
      <c r="AH302" s="18"/>
      <c r="AI302" s="17"/>
      <c r="AJ302" s="18"/>
      <c r="AK302" s="17"/>
      <c r="AL302" s="18"/>
      <c r="AM302" s="17"/>
      <c r="AN302" s="18"/>
      <c r="AO302" s="17"/>
    </row>
    <row r="303" spans="1:41" s="12" customFormat="1" x14ac:dyDescent="0.25">
      <c r="A303" s="221"/>
      <c r="B303" s="18"/>
      <c r="C303" s="17"/>
      <c r="D303" s="18"/>
      <c r="E303" s="17"/>
      <c r="F303" s="18"/>
      <c r="G303" s="17"/>
      <c r="H303" s="18"/>
      <c r="I303" s="17"/>
      <c r="J303" s="227"/>
      <c r="K303" s="17" t="s">
        <v>111</v>
      </c>
      <c r="L303" s="18" t="s">
        <v>186</v>
      </c>
      <c r="M303" s="17" t="s">
        <v>188</v>
      </c>
      <c r="N303" s="19"/>
      <c r="O303" s="17"/>
      <c r="P303" s="226"/>
      <c r="Q303" s="17" t="s">
        <v>384</v>
      </c>
      <c r="R303" s="18"/>
      <c r="S303" s="17"/>
      <c r="T303" s="18"/>
      <c r="U303" s="17"/>
      <c r="V303" s="18"/>
      <c r="W303" s="17"/>
      <c r="X303" s="18"/>
      <c r="Y303" s="17"/>
      <c r="Z303" s="18"/>
      <c r="AA303" s="17"/>
      <c r="AB303" s="18"/>
      <c r="AC303" s="17"/>
      <c r="AD303" s="18"/>
      <c r="AE303" s="17"/>
      <c r="AF303" s="18"/>
      <c r="AG303" s="17"/>
      <c r="AH303" s="18"/>
      <c r="AI303" s="17"/>
      <c r="AJ303" s="18"/>
      <c r="AK303" s="17"/>
      <c r="AL303" s="18"/>
      <c r="AM303" s="17"/>
      <c r="AN303" s="18"/>
      <c r="AO303" s="17"/>
    </row>
    <row r="304" spans="1:41" s="12" customFormat="1" x14ac:dyDescent="0.25">
      <c r="A304" s="221"/>
      <c r="B304" s="18"/>
      <c r="C304" s="17"/>
      <c r="D304" s="18"/>
      <c r="E304" s="17"/>
      <c r="F304" s="18"/>
      <c r="G304" s="17"/>
      <c r="H304" s="18"/>
      <c r="I304" s="17"/>
      <c r="J304" s="225" t="s">
        <v>115</v>
      </c>
      <c r="K304" s="17" t="s">
        <v>125</v>
      </c>
      <c r="L304" s="18" t="s">
        <v>586</v>
      </c>
      <c r="M304" s="17"/>
      <c r="N304" s="19"/>
      <c r="O304" s="17"/>
      <c r="P304" s="226"/>
      <c r="Q304" s="17" t="s">
        <v>385</v>
      </c>
      <c r="R304" s="18"/>
      <c r="S304" s="17"/>
      <c r="T304" s="18"/>
      <c r="U304" s="17"/>
      <c r="V304" s="18"/>
      <c r="W304" s="17"/>
      <c r="X304" s="18"/>
      <c r="Y304" s="17"/>
      <c r="Z304" s="18"/>
      <c r="AA304" s="17"/>
      <c r="AB304" s="18"/>
      <c r="AC304" s="17"/>
      <c r="AD304" s="18"/>
      <c r="AE304" s="17"/>
      <c r="AF304" s="18"/>
      <c r="AG304" s="17"/>
      <c r="AH304" s="18"/>
      <c r="AI304" s="17"/>
      <c r="AJ304" s="18"/>
      <c r="AK304" s="17"/>
      <c r="AL304" s="18"/>
      <c r="AM304" s="17"/>
      <c r="AN304" s="18"/>
      <c r="AO304" s="17"/>
    </row>
    <row r="305" spans="1:41" s="12" customFormat="1" x14ac:dyDescent="0.25">
      <c r="A305" s="221"/>
      <c r="B305" s="18"/>
      <c r="C305" s="17"/>
      <c r="D305" s="18"/>
      <c r="E305" s="17"/>
      <c r="F305" s="18"/>
      <c r="G305" s="17"/>
      <c r="H305" s="18"/>
      <c r="I305" s="17"/>
      <c r="J305" s="226"/>
      <c r="K305" s="17" t="s">
        <v>130</v>
      </c>
      <c r="L305" s="18" t="s">
        <v>708</v>
      </c>
      <c r="M305" s="17"/>
      <c r="N305" s="19"/>
      <c r="O305" s="17"/>
      <c r="P305" s="226"/>
      <c r="Q305" s="17" t="s">
        <v>571</v>
      </c>
      <c r="R305" s="18"/>
      <c r="S305" s="17"/>
      <c r="T305" s="18"/>
      <c r="U305" s="17"/>
      <c r="V305" s="18"/>
      <c r="W305" s="17"/>
      <c r="X305" s="18"/>
      <c r="Y305" s="17"/>
      <c r="Z305" s="18"/>
      <c r="AA305" s="17"/>
      <c r="AB305" s="18"/>
      <c r="AC305" s="17"/>
      <c r="AD305" s="18"/>
      <c r="AE305" s="17"/>
      <c r="AF305" s="18"/>
      <c r="AG305" s="17"/>
      <c r="AH305" s="18"/>
      <c r="AI305" s="17"/>
      <c r="AJ305" s="18"/>
      <c r="AK305" s="17"/>
      <c r="AL305" s="18"/>
      <c r="AM305" s="17"/>
      <c r="AN305" s="18"/>
      <c r="AO305" s="17"/>
    </row>
    <row r="306" spans="1:41" s="12" customFormat="1" x14ac:dyDescent="0.25">
      <c r="A306" s="221"/>
      <c r="B306" s="18"/>
      <c r="C306" s="17"/>
      <c r="D306" s="18"/>
      <c r="E306" s="17"/>
      <c r="F306" s="18"/>
      <c r="G306" s="17"/>
      <c r="H306" s="18"/>
      <c r="I306" s="17"/>
      <c r="J306" s="226"/>
      <c r="K306" s="17" t="s">
        <v>133</v>
      </c>
      <c r="L306" s="18" t="s">
        <v>587</v>
      </c>
      <c r="M306" s="17"/>
      <c r="N306" s="19"/>
      <c r="O306" s="17"/>
      <c r="P306" s="226"/>
      <c r="Q306" s="17" t="s">
        <v>109</v>
      </c>
      <c r="R306" s="18"/>
      <c r="S306" s="17"/>
      <c r="T306" s="18"/>
      <c r="U306" s="17"/>
      <c r="V306" s="18"/>
      <c r="W306" s="17"/>
      <c r="X306" s="18"/>
      <c r="Y306" s="17"/>
      <c r="Z306" s="18"/>
      <c r="AA306" s="17"/>
      <c r="AB306" s="18"/>
      <c r="AC306" s="17"/>
      <c r="AD306" s="18"/>
      <c r="AE306" s="17"/>
      <c r="AF306" s="18"/>
      <c r="AG306" s="17"/>
      <c r="AH306" s="18"/>
      <c r="AI306" s="17"/>
      <c r="AJ306" s="18"/>
      <c r="AK306" s="17"/>
      <c r="AL306" s="18"/>
      <c r="AM306" s="17"/>
      <c r="AN306" s="18"/>
      <c r="AO306" s="17"/>
    </row>
    <row r="307" spans="1:41" s="12" customFormat="1" x14ac:dyDescent="0.25">
      <c r="A307" s="221"/>
      <c r="B307" s="18"/>
      <c r="C307" s="17"/>
      <c r="D307" s="18"/>
      <c r="E307" s="17"/>
      <c r="F307" s="18"/>
      <c r="G307" s="17"/>
      <c r="H307" s="18"/>
      <c r="I307" s="17"/>
      <c r="J307" s="226"/>
      <c r="K307" s="17" t="s">
        <v>139</v>
      </c>
      <c r="L307" s="18" t="s">
        <v>588</v>
      </c>
      <c r="M307" s="17"/>
      <c r="N307" s="19"/>
      <c r="O307" s="17"/>
      <c r="P307" s="226"/>
      <c r="Q307" s="17" t="s">
        <v>110</v>
      </c>
      <c r="R307" s="18"/>
      <c r="S307" s="17"/>
      <c r="T307" s="18"/>
      <c r="U307" s="17"/>
      <c r="V307" s="18"/>
      <c r="W307" s="17"/>
      <c r="X307" s="18"/>
      <c r="Y307" s="17"/>
      <c r="Z307" s="18"/>
      <c r="AA307" s="17"/>
      <c r="AB307" s="18"/>
      <c r="AC307" s="17"/>
      <c r="AD307" s="18"/>
      <c r="AE307" s="17"/>
      <c r="AF307" s="18"/>
      <c r="AG307" s="17"/>
      <c r="AH307" s="18"/>
      <c r="AI307" s="17"/>
      <c r="AJ307" s="18"/>
      <c r="AK307" s="17"/>
      <c r="AL307" s="18"/>
      <c r="AM307" s="17"/>
      <c r="AN307" s="18"/>
      <c r="AO307" s="17"/>
    </row>
    <row r="308" spans="1:41" s="12" customFormat="1" x14ac:dyDescent="0.25">
      <c r="A308" s="221"/>
      <c r="B308" s="18"/>
      <c r="C308" s="17"/>
      <c r="D308" s="18"/>
      <c r="E308" s="17"/>
      <c r="F308" s="18"/>
      <c r="G308" s="17"/>
      <c r="H308" s="18"/>
      <c r="I308" s="17"/>
      <c r="J308" s="226"/>
      <c r="K308" s="17" t="s">
        <v>141</v>
      </c>
      <c r="L308" s="18" t="s">
        <v>703</v>
      </c>
      <c r="M308" s="17" t="s">
        <v>197</v>
      </c>
      <c r="N308" s="19"/>
      <c r="O308" s="17"/>
      <c r="P308" s="227"/>
      <c r="Q308" s="17" t="s">
        <v>111</v>
      </c>
      <c r="R308" s="18"/>
      <c r="S308" s="17"/>
      <c r="T308" s="18"/>
      <c r="U308" s="17"/>
      <c r="V308" s="18"/>
      <c r="W308" s="17"/>
      <c r="X308" s="18"/>
      <c r="Y308" s="17"/>
      <c r="Z308" s="18"/>
      <c r="AA308" s="17"/>
      <c r="AB308" s="18"/>
      <c r="AC308" s="17"/>
      <c r="AD308" s="18"/>
      <c r="AE308" s="17"/>
      <c r="AF308" s="18"/>
      <c r="AG308" s="17"/>
      <c r="AH308" s="18"/>
      <c r="AI308" s="17"/>
      <c r="AJ308" s="18"/>
      <c r="AK308" s="17"/>
      <c r="AL308" s="18"/>
      <c r="AM308" s="17"/>
      <c r="AN308" s="18"/>
      <c r="AO308" s="17"/>
    </row>
    <row r="309" spans="1:41" s="12" customFormat="1" x14ac:dyDescent="0.25">
      <c r="A309" s="221"/>
      <c r="B309" s="18"/>
      <c r="C309" s="17"/>
      <c r="D309" s="18"/>
      <c r="E309" s="17"/>
      <c r="F309" s="18"/>
      <c r="G309" s="17"/>
      <c r="H309" s="18"/>
      <c r="I309" s="17"/>
      <c r="J309" s="226"/>
      <c r="K309" s="17" t="s">
        <v>142</v>
      </c>
      <c r="L309" s="23"/>
      <c r="M309" s="17" t="s">
        <v>198</v>
      </c>
      <c r="N309" s="19"/>
      <c r="O309" s="17"/>
      <c r="P309" s="225" t="s">
        <v>378</v>
      </c>
      <c r="Q309" s="17" t="s">
        <v>118</v>
      </c>
      <c r="R309" s="18"/>
      <c r="S309" s="17"/>
      <c r="T309" s="18"/>
      <c r="U309" s="17"/>
      <c r="V309" s="18"/>
      <c r="W309" s="17"/>
      <c r="X309" s="18"/>
      <c r="Y309" s="17"/>
      <c r="Z309" s="18"/>
      <c r="AA309" s="17"/>
      <c r="AB309" s="18"/>
      <c r="AC309" s="17"/>
      <c r="AD309" s="18"/>
      <c r="AE309" s="17"/>
      <c r="AF309" s="18"/>
      <c r="AG309" s="17"/>
      <c r="AH309" s="18"/>
      <c r="AI309" s="17"/>
      <c r="AJ309" s="18"/>
      <c r="AK309" s="17"/>
      <c r="AL309" s="18"/>
      <c r="AM309" s="17"/>
      <c r="AN309" s="18"/>
      <c r="AO309" s="17"/>
    </row>
    <row r="310" spans="1:41" s="12" customFormat="1" x14ac:dyDescent="0.25">
      <c r="A310" s="221"/>
      <c r="B310" s="18"/>
      <c r="C310" s="17"/>
      <c r="D310" s="18"/>
      <c r="E310" s="17"/>
      <c r="F310" s="18"/>
      <c r="G310" s="17"/>
      <c r="H310" s="18"/>
      <c r="I310" s="17"/>
      <c r="J310" s="227"/>
      <c r="K310" s="17" t="s">
        <v>145</v>
      </c>
      <c r="L310" s="18" t="s">
        <v>706</v>
      </c>
      <c r="M310" s="17" t="s">
        <v>210</v>
      </c>
      <c r="N310" s="19"/>
      <c r="O310" s="17"/>
      <c r="P310" s="226"/>
      <c r="Q310" s="17" t="s">
        <v>122</v>
      </c>
      <c r="R310" s="18"/>
      <c r="S310" s="17"/>
      <c r="T310" s="18"/>
      <c r="U310" s="17"/>
      <c r="V310" s="18"/>
      <c r="W310" s="17"/>
      <c r="X310" s="18"/>
      <c r="Y310" s="17"/>
      <c r="Z310" s="18"/>
      <c r="AA310" s="17"/>
      <c r="AB310" s="18"/>
      <c r="AC310" s="17"/>
      <c r="AD310" s="18"/>
      <c r="AE310" s="17"/>
      <c r="AF310" s="18"/>
      <c r="AG310" s="17"/>
      <c r="AH310" s="18"/>
      <c r="AI310" s="17"/>
      <c r="AJ310" s="18"/>
      <c r="AK310" s="17"/>
      <c r="AL310" s="18"/>
      <c r="AM310" s="17"/>
      <c r="AN310" s="18"/>
      <c r="AO310" s="17"/>
    </row>
    <row r="311" spans="1:41" s="12" customFormat="1" x14ac:dyDescent="0.25">
      <c r="A311" s="221"/>
      <c r="B311" s="18"/>
      <c r="C311" s="17"/>
      <c r="D311" s="18"/>
      <c r="E311" s="17"/>
      <c r="F311" s="18"/>
      <c r="G311" s="17"/>
      <c r="H311" s="18"/>
      <c r="I311" s="17"/>
      <c r="J311" s="18" t="s">
        <v>149</v>
      </c>
      <c r="K311" s="17"/>
      <c r="L311" s="18"/>
      <c r="M311" s="17"/>
      <c r="N311" s="19"/>
      <c r="O311" s="17"/>
      <c r="P311" s="226"/>
      <c r="Q311" s="17" t="s">
        <v>125</v>
      </c>
      <c r="R311" s="18"/>
      <c r="S311" s="17"/>
      <c r="T311" s="18"/>
      <c r="U311" s="17"/>
      <c r="V311" s="18"/>
      <c r="W311" s="17"/>
      <c r="X311" s="18"/>
      <c r="Y311" s="17"/>
      <c r="Z311" s="18"/>
      <c r="AA311" s="17"/>
      <c r="AB311" s="18"/>
      <c r="AC311" s="17"/>
      <c r="AD311" s="18"/>
      <c r="AE311" s="17"/>
      <c r="AF311" s="18"/>
      <c r="AG311" s="17"/>
      <c r="AH311" s="18"/>
      <c r="AI311" s="17"/>
      <c r="AJ311" s="18"/>
      <c r="AK311" s="17"/>
      <c r="AL311" s="18"/>
      <c r="AM311" s="17"/>
      <c r="AN311" s="18"/>
      <c r="AO311" s="17"/>
    </row>
    <row r="312" spans="1:41" s="12" customFormat="1" x14ac:dyDescent="0.25">
      <c r="A312" s="221"/>
      <c r="B312" s="18"/>
      <c r="C312" s="17"/>
      <c r="D312" s="18"/>
      <c r="E312" s="17"/>
      <c r="F312" s="18"/>
      <c r="G312" s="17"/>
      <c r="H312" s="18"/>
      <c r="I312" s="17"/>
      <c r="J312" s="18" t="s">
        <v>150</v>
      </c>
      <c r="K312" s="17"/>
      <c r="L312" s="18"/>
      <c r="M312" s="17"/>
      <c r="N312" s="19"/>
      <c r="O312" s="17"/>
      <c r="P312" s="226"/>
      <c r="Q312" s="17" t="s">
        <v>130</v>
      </c>
      <c r="R312" s="18"/>
      <c r="S312" s="17"/>
      <c r="T312" s="18"/>
      <c r="U312" s="17"/>
      <c r="V312" s="18"/>
      <c r="W312" s="17"/>
      <c r="X312" s="18"/>
      <c r="Y312" s="17"/>
      <c r="Z312" s="18"/>
      <c r="AA312" s="17"/>
      <c r="AB312" s="18"/>
      <c r="AC312" s="17"/>
      <c r="AD312" s="18"/>
      <c r="AE312" s="17"/>
      <c r="AF312" s="18"/>
      <c r="AG312" s="17"/>
      <c r="AH312" s="18"/>
      <c r="AI312" s="17"/>
      <c r="AJ312" s="18"/>
      <c r="AK312" s="17"/>
      <c r="AL312" s="18"/>
      <c r="AM312" s="17"/>
      <c r="AN312" s="18"/>
      <c r="AO312" s="17"/>
    </row>
    <row r="313" spans="1:41" s="12" customFormat="1" x14ac:dyDescent="0.25">
      <c r="A313" s="221"/>
      <c r="B313" s="18"/>
      <c r="C313" s="17"/>
      <c r="D313" s="18"/>
      <c r="E313" s="17"/>
      <c r="F313" s="18"/>
      <c r="G313" s="17"/>
      <c r="H313" s="18"/>
      <c r="I313" s="17"/>
      <c r="J313" s="18"/>
      <c r="K313" s="17"/>
      <c r="L313" s="18"/>
      <c r="M313" s="17"/>
      <c r="N313" s="19"/>
      <c r="O313" s="17"/>
      <c r="P313" s="226"/>
      <c r="Q313" s="17" t="s">
        <v>133</v>
      </c>
      <c r="R313" s="18"/>
      <c r="S313" s="17"/>
      <c r="T313" s="18"/>
      <c r="U313" s="17"/>
      <c r="V313" s="18"/>
      <c r="W313" s="17"/>
      <c r="X313" s="18"/>
      <c r="Y313" s="17"/>
      <c r="Z313" s="18"/>
      <c r="AA313" s="17"/>
      <c r="AB313" s="18"/>
      <c r="AC313" s="17"/>
      <c r="AD313" s="18"/>
      <c r="AE313" s="17"/>
      <c r="AF313" s="18"/>
      <c r="AG313" s="17"/>
      <c r="AH313" s="18"/>
      <c r="AI313" s="17"/>
      <c r="AJ313" s="18"/>
      <c r="AK313" s="17"/>
      <c r="AL313" s="18"/>
      <c r="AM313" s="17"/>
      <c r="AN313" s="18"/>
      <c r="AO313" s="17"/>
    </row>
    <row r="314" spans="1:41" s="12" customFormat="1" x14ac:dyDescent="0.25">
      <c r="A314" s="221"/>
      <c r="B314" s="18"/>
      <c r="C314" s="17"/>
      <c r="D314" s="18"/>
      <c r="E314" s="17"/>
      <c r="F314" s="18"/>
      <c r="G314" s="17"/>
      <c r="H314" s="18"/>
      <c r="I314" s="17"/>
      <c r="J314" s="18"/>
      <c r="K314" s="17"/>
      <c r="L314" s="18"/>
      <c r="M314" s="17"/>
      <c r="N314" s="19"/>
      <c r="O314" s="17"/>
      <c r="P314" s="226"/>
      <c r="Q314" s="17" t="s">
        <v>141</v>
      </c>
      <c r="R314" s="18"/>
      <c r="S314" s="17"/>
      <c r="T314" s="18"/>
      <c r="U314" s="17"/>
      <c r="V314" s="18"/>
      <c r="W314" s="17"/>
      <c r="X314" s="18"/>
      <c r="Y314" s="17"/>
      <c r="Z314" s="18"/>
      <c r="AA314" s="17"/>
      <c r="AB314" s="18"/>
      <c r="AC314" s="17"/>
      <c r="AD314" s="18"/>
      <c r="AE314" s="17"/>
      <c r="AF314" s="18"/>
      <c r="AG314" s="17"/>
      <c r="AH314" s="18"/>
      <c r="AI314" s="17"/>
      <c r="AJ314" s="18"/>
      <c r="AK314" s="17"/>
      <c r="AL314" s="18"/>
      <c r="AM314" s="17"/>
      <c r="AN314" s="18"/>
      <c r="AO314" s="17"/>
    </row>
    <row r="315" spans="1:41" s="12" customFormat="1" x14ac:dyDescent="0.25">
      <c r="A315" s="221"/>
      <c r="B315" s="18"/>
      <c r="C315" s="17"/>
      <c r="D315" s="18"/>
      <c r="E315" s="17"/>
      <c r="F315" s="18"/>
      <c r="G315" s="17"/>
      <c r="H315" s="18"/>
      <c r="I315" s="17"/>
      <c r="J315" s="18"/>
      <c r="K315" s="17"/>
      <c r="L315" s="18"/>
      <c r="M315" s="17"/>
      <c r="N315" s="19"/>
      <c r="O315" s="17"/>
      <c r="P315" s="227"/>
      <c r="Q315" s="17" t="s">
        <v>142</v>
      </c>
      <c r="R315" s="18"/>
      <c r="S315" s="17"/>
      <c r="T315" s="18"/>
      <c r="U315" s="17"/>
      <c r="V315" s="18"/>
      <c r="W315" s="17"/>
      <c r="X315" s="18"/>
      <c r="Y315" s="17"/>
      <c r="Z315" s="18"/>
      <c r="AA315" s="17"/>
      <c r="AB315" s="18"/>
      <c r="AC315" s="17"/>
      <c r="AD315" s="18"/>
      <c r="AE315" s="17"/>
      <c r="AF315" s="18"/>
      <c r="AG315" s="17"/>
      <c r="AH315" s="18"/>
      <c r="AI315" s="17"/>
      <c r="AJ315" s="18"/>
      <c r="AK315" s="17"/>
      <c r="AL315" s="18"/>
      <c r="AM315" s="17"/>
      <c r="AN315" s="18"/>
      <c r="AO315" s="17"/>
    </row>
    <row r="316" spans="1:41" s="11" customFormat="1" ht="51" thickBot="1" x14ac:dyDescent="0.3">
      <c r="A316" s="221" t="s">
        <v>290</v>
      </c>
      <c r="B316" s="22"/>
      <c r="C316" s="21"/>
      <c r="D316" s="22"/>
      <c r="E316" s="21"/>
      <c r="F316" s="22"/>
      <c r="G316" s="21"/>
      <c r="H316" s="22"/>
      <c r="I316" s="21"/>
      <c r="J316" s="222" t="s">
        <v>88</v>
      </c>
      <c r="K316" s="222"/>
      <c r="L316" s="222"/>
      <c r="M316" s="222"/>
      <c r="N316" s="222"/>
      <c r="O316" s="222"/>
      <c r="P316" s="222"/>
      <c r="Q316" s="222"/>
      <c r="R316" s="222" t="s">
        <v>97</v>
      </c>
      <c r="S316" s="222"/>
      <c r="T316" s="222"/>
      <c r="U316" s="222"/>
      <c r="V316" s="222"/>
      <c r="W316" s="222"/>
      <c r="X316" s="222"/>
      <c r="Y316" s="222"/>
      <c r="Z316" s="222" t="s">
        <v>107</v>
      </c>
      <c r="AA316" s="222"/>
      <c r="AB316" s="222"/>
      <c r="AC316" s="222"/>
      <c r="AD316" s="222"/>
      <c r="AE316" s="222"/>
      <c r="AF316" s="222"/>
      <c r="AG316" s="222"/>
      <c r="AH316" s="22"/>
      <c r="AI316" s="21"/>
      <c r="AJ316" s="22"/>
      <c r="AK316" s="21"/>
      <c r="AL316" s="22"/>
      <c r="AM316" s="21"/>
      <c r="AN316" s="22"/>
      <c r="AO316" s="21"/>
    </row>
    <row r="317" spans="1:41" s="11" customFormat="1" ht="17.25" thickTop="1" x14ac:dyDescent="0.25">
      <c r="A317" s="221"/>
      <c r="B317" s="22"/>
      <c r="C317" s="21"/>
      <c r="D317" s="22"/>
      <c r="E317" s="21"/>
      <c r="F317" s="22"/>
      <c r="G317" s="21"/>
      <c r="H317" s="22"/>
      <c r="I317" s="21"/>
      <c r="J317" s="231" t="s">
        <v>1445</v>
      </c>
      <c r="K317" s="231" t="s">
        <v>1446</v>
      </c>
      <c r="L317" s="231" t="s">
        <v>1448</v>
      </c>
      <c r="M317" s="231" t="s">
        <v>1449</v>
      </c>
      <c r="N317" s="231" t="s">
        <v>1450</v>
      </c>
      <c r="O317" s="231" t="s">
        <v>1451</v>
      </c>
      <c r="P317" s="231" t="s">
        <v>715</v>
      </c>
      <c r="Q317" s="231" t="s">
        <v>1447</v>
      </c>
      <c r="R317" s="231" t="s">
        <v>1445</v>
      </c>
      <c r="S317" s="231" t="s">
        <v>1446</v>
      </c>
      <c r="T317" s="231" t="s">
        <v>1448</v>
      </c>
      <c r="U317" s="231" t="s">
        <v>1449</v>
      </c>
      <c r="V317" s="231" t="s">
        <v>1450</v>
      </c>
      <c r="W317" s="231" t="s">
        <v>1451</v>
      </c>
      <c r="X317" s="231" t="s">
        <v>715</v>
      </c>
      <c r="Y317" s="231" t="s">
        <v>1447</v>
      </c>
      <c r="Z317" s="231" t="s">
        <v>1445</v>
      </c>
      <c r="AA317" s="231" t="s">
        <v>1446</v>
      </c>
      <c r="AB317" s="231" t="s">
        <v>1448</v>
      </c>
      <c r="AC317" s="231" t="s">
        <v>1449</v>
      </c>
      <c r="AD317" s="231" t="s">
        <v>1450</v>
      </c>
      <c r="AE317" s="231" t="s">
        <v>1451</v>
      </c>
      <c r="AF317" s="231" t="s">
        <v>715</v>
      </c>
      <c r="AG317" s="231" t="s">
        <v>1447</v>
      </c>
      <c r="AH317" s="22"/>
      <c r="AI317" s="21"/>
      <c r="AJ317" s="22"/>
      <c r="AK317" s="21"/>
      <c r="AL317" s="22"/>
      <c r="AM317" s="21"/>
      <c r="AN317" s="22"/>
      <c r="AO317" s="21"/>
    </row>
    <row r="318" spans="1:41" s="12" customFormat="1" x14ac:dyDescent="0.25">
      <c r="A318" s="221"/>
      <c r="B318" s="18"/>
      <c r="C318" s="17"/>
      <c r="D318" s="18"/>
      <c r="E318" s="17"/>
      <c r="F318" s="18"/>
      <c r="G318" s="17"/>
      <c r="H318" s="18"/>
      <c r="I318" s="17"/>
      <c r="J318" s="18" t="s">
        <v>151</v>
      </c>
      <c r="K318" s="17"/>
      <c r="L318" s="18" t="s">
        <v>182</v>
      </c>
      <c r="M318" s="17"/>
      <c r="N318" s="18" t="s">
        <v>558</v>
      </c>
      <c r="O318" s="17" t="s">
        <v>571</v>
      </c>
      <c r="P318" s="225" t="s">
        <v>378</v>
      </c>
      <c r="Q318" s="17" t="s">
        <v>125</v>
      </c>
      <c r="R318" s="225" t="s">
        <v>558</v>
      </c>
      <c r="S318" s="17" t="s">
        <v>576</v>
      </c>
      <c r="T318" s="18" t="s">
        <v>182</v>
      </c>
      <c r="U318" s="17"/>
      <c r="V318" s="18" t="s">
        <v>169</v>
      </c>
      <c r="W318" s="17"/>
      <c r="X318" s="225" t="s">
        <v>379</v>
      </c>
      <c r="Y318" s="17" t="s">
        <v>580</v>
      </c>
      <c r="Z318" s="225" t="s">
        <v>558</v>
      </c>
      <c r="AA318" s="17" t="s">
        <v>580</v>
      </c>
      <c r="AB318" s="18" t="s">
        <v>182</v>
      </c>
      <c r="AC318" s="17"/>
      <c r="AD318" s="18" t="s">
        <v>170</v>
      </c>
      <c r="AE318" s="17"/>
      <c r="AF318" s="225" t="s">
        <v>379</v>
      </c>
      <c r="AG318" s="17" t="s">
        <v>566</v>
      </c>
      <c r="AH318" s="18"/>
      <c r="AI318" s="17"/>
      <c r="AJ318" s="18"/>
      <c r="AK318" s="17"/>
      <c r="AL318" s="18"/>
      <c r="AM318" s="17"/>
      <c r="AN318" s="18"/>
      <c r="AO318" s="17"/>
    </row>
    <row r="319" spans="1:41" s="12" customFormat="1" x14ac:dyDescent="0.25">
      <c r="A319" s="221"/>
      <c r="B319" s="18"/>
      <c r="C319" s="17"/>
      <c r="D319" s="18"/>
      <c r="E319" s="17"/>
      <c r="F319" s="18"/>
      <c r="G319" s="17"/>
      <c r="H319" s="18"/>
      <c r="I319" s="17"/>
      <c r="J319" s="225" t="s">
        <v>147</v>
      </c>
      <c r="K319" s="17" t="s">
        <v>180</v>
      </c>
      <c r="L319" s="18" t="s">
        <v>702</v>
      </c>
      <c r="M319" s="17" t="s">
        <v>556</v>
      </c>
      <c r="N319" s="18" t="s">
        <v>166</v>
      </c>
      <c r="O319" s="17"/>
      <c r="P319" s="226"/>
      <c r="Q319" s="17" t="s">
        <v>126</v>
      </c>
      <c r="R319" s="226"/>
      <c r="S319" s="17" t="s">
        <v>580</v>
      </c>
      <c r="T319" s="18" t="s">
        <v>541</v>
      </c>
      <c r="U319" s="17"/>
      <c r="V319" s="18" t="s">
        <v>148</v>
      </c>
      <c r="W319" s="17"/>
      <c r="X319" s="226"/>
      <c r="Y319" s="17" t="s">
        <v>568</v>
      </c>
      <c r="Z319" s="226"/>
      <c r="AA319" s="17" t="s">
        <v>566</v>
      </c>
      <c r="AB319" s="18" t="s">
        <v>365</v>
      </c>
      <c r="AC319" s="17"/>
      <c r="AD319" s="18" t="s">
        <v>156</v>
      </c>
      <c r="AE319" s="17"/>
      <c r="AF319" s="226"/>
      <c r="AG319" s="17" t="s">
        <v>571</v>
      </c>
      <c r="AH319" s="18"/>
      <c r="AI319" s="17"/>
      <c r="AJ319" s="18"/>
      <c r="AK319" s="17"/>
      <c r="AL319" s="18"/>
      <c r="AM319" s="17"/>
      <c r="AN319" s="18"/>
      <c r="AO319" s="17"/>
    </row>
    <row r="320" spans="1:41" s="12" customFormat="1" x14ac:dyDescent="0.25">
      <c r="A320" s="221"/>
      <c r="B320" s="18"/>
      <c r="C320" s="17"/>
      <c r="D320" s="18"/>
      <c r="E320" s="17"/>
      <c r="F320" s="18"/>
      <c r="G320" s="17"/>
      <c r="H320" s="18"/>
      <c r="I320" s="17"/>
      <c r="J320" s="227"/>
      <c r="K320" s="17" t="s">
        <v>181</v>
      </c>
      <c r="L320" s="25" t="s">
        <v>703</v>
      </c>
      <c r="M320" s="17" t="s">
        <v>251</v>
      </c>
      <c r="N320" s="238" t="s">
        <v>159</v>
      </c>
      <c r="O320" s="30" t="s">
        <v>423</v>
      </c>
      <c r="P320" s="226"/>
      <c r="Q320" s="17" t="s">
        <v>136</v>
      </c>
      <c r="R320" s="226"/>
      <c r="S320" s="17" t="s">
        <v>573</v>
      </c>
      <c r="T320" s="18" t="s">
        <v>543</v>
      </c>
      <c r="U320" s="17"/>
      <c r="V320" s="18" t="s">
        <v>155</v>
      </c>
      <c r="W320" s="17"/>
      <c r="X320" s="226"/>
      <c r="Y320" s="17" t="s">
        <v>573</v>
      </c>
      <c r="Z320" s="226"/>
      <c r="AA320" s="17" t="s">
        <v>571</v>
      </c>
      <c r="AB320" s="225" t="s">
        <v>703</v>
      </c>
      <c r="AC320" s="17" t="s">
        <v>230</v>
      </c>
      <c r="AD320" s="18" t="s">
        <v>155</v>
      </c>
      <c r="AE320" s="17"/>
      <c r="AF320" s="226"/>
      <c r="AG320" s="17" t="s">
        <v>110</v>
      </c>
      <c r="AH320" s="18"/>
      <c r="AI320" s="17"/>
      <c r="AJ320" s="18"/>
      <c r="AK320" s="17"/>
      <c r="AL320" s="18"/>
      <c r="AM320" s="17"/>
      <c r="AN320" s="18"/>
      <c r="AO320" s="17"/>
    </row>
    <row r="321" spans="1:41" s="12" customFormat="1" x14ac:dyDescent="0.25">
      <c r="A321" s="221"/>
      <c r="B321" s="18"/>
      <c r="C321" s="17"/>
      <c r="D321" s="18"/>
      <c r="E321" s="17"/>
      <c r="F321" s="18"/>
      <c r="G321" s="17"/>
      <c r="H321" s="18"/>
      <c r="I321" s="17"/>
      <c r="J321" s="225" t="s">
        <v>558</v>
      </c>
      <c r="K321" s="17" t="s">
        <v>576</v>
      </c>
      <c r="L321" s="18" t="s">
        <v>577</v>
      </c>
      <c r="M321" s="17"/>
      <c r="N321" s="229"/>
      <c r="O321" s="30" t="s">
        <v>420</v>
      </c>
      <c r="P321" s="226"/>
      <c r="Q321" s="17" t="s">
        <v>137</v>
      </c>
      <c r="R321" s="226"/>
      <c r="S321" s="17" t="s">
        <v>566</v>
      </c>
      <c r="T321" s="18" t="s">
        <v>703</v>
      </c>
      <c r="U321" s="17" t="s">
        <v>253</v>
      </c>
      <c r="V321" s="18"/>
      <c r="W321" s="17"/>
      <c r="X321" s="226"/>
      <c r="Y321" s="17" t="s">
        <v>566</v>
      </c>
      <c r="Z321" s="226"/>
      <c r="AA321" s="17" t="s">
        <v>582</v>
      </c>
      <c r="AB321" s="226"/>
      <c r="AC321" s="17" t="s">
        <v>199</v>
      </c>
      <c r="AD321" s="18"/>
      <c r="AE321" s="17"/>
      <c r="AF321" s="227"/>
      <c r="AG321" s="17" t="s">
        <v>111</v>
      </c>
      <c r="AH321" s="18"/>
      <c r="AI321" s="17"/>
      <c r="AJ321" s="18"/>
      <c r="AK321" s="17"/>
      <c r="AL321" s="18"/>
      <c r="AM321" s="17"/>
      <c r="AN321" s="18"/>
      <c r="AO321" s="17"/>
    </row>
    <row r="322" spans="1:41" s="12" customFormat="1" x14ac:dyDescent="0.25">
      <c r="A322" s="221"/>
      <c r="B322" s="18"/>
      <c r="C322" s="17"/>
      <c r="D322" s="18"/>
      <c r="E322" s="17"/>
      <c r="F322" s="18"/>
      <c r="G322" s="17"/>
      <c r="H322" s="18"/>
      <c r="I322" s="17"/>
      <c r="J322" s="226"/>
      <c r="K322" s="17" t="s">
        <v>568</v>
      </c>
      <c r="L322" s="18" t="s">
        <v>190</v>
      </c>
      <c r="M322" s="17"/>
      <c r="N322" s="229"/>
      <c r="O322" s="30" t="s">
        <v>425</v>
      </c>
      <c r="P322" s="226"/>
      <c r="Q322" s="17" t="s">
        <v>141</v>
      </c>
      <c r="R322" s="226"/>
      <c r="S322" s="17" t="s">
        <v>571</v>
      </c>
      <c r="T322" s="18" t="s">
        <v>186</v>
      </c>
      <c r="U322" s="17" t="s">
        <v>348</v>
      </c>
      <c r="V322" s="19"/>
      <c r="W322" s="17"/>
      <c r="X322" s="226"/>
      <c r="Y322" s="17" t="s">
        <v>571</v>
      </c>
      <c r="Z322" s="227"/>
      <c r="AA322" s="17" t="s">
        <v>110</v>
      </c>
      <c r="AB322" s="227"/>
      <c r="AC322" s="17" t="s">
        <v>201</v>
      </c>
      <c r="AD322" s="18"/>
      <c r="AE322" s="17"/>
      <c r="AF322" s="225" t="s">
        <v>378</v>
      </c>
      <c r="AG322" s="17" t="s">
        <v>125</v>
      </c>
      <c r="AH322" s="18"/>
      <c r="AI322" s="17"/>
      <c r="AJ322" s="18"/>
      <c r="AK322" s="17"/>
      <c r="AL322" s="18"/>
      <c r="AM322" s="17"/>
      <c r="AN322" s="18"/>
      <c r="AO322" s="17"/>
    </row>
    <row r="323" spans="1:41" s="12" customFormat="1" x14ac:dyDescent="0.25">
      <c r="A323" s="221"/>
      <c r="B323" s="18"/>
      <c r="C323" s="17"/>
      <c r="D323" s="18"/>
      <c r="E323" s="17"/>
      <c r="F323" s="18"/>
      <c r="G323" s="17"/>
      <c r="H323" s="18"/>
      <c r="I323" s="17"/>
      <c r="J323" s="226"/>
      <c r="K323" s="17" t="s">
        <v>570</v>
      </c>
      <c r="L323" s="18"/>
      <c r="M323" s="17"/>
      <c r="N323" s="230"/>
      <c r="O323" s="30" t="s">
        <v>579</v>
      </c>
      <c r="P323" s="227"/>
      <c r="Q323" s="17" t="s">
        <v>145</v>
      </c>
      <c r="R323" s="226"/>
      <c r="S323" s="17" t="s">
        <v>581</v>
      </c>
      <c r="T323" s="18"/>
      <c r="U323" s="17"/>
      <c r="V323" s="19"/>
      <c r="W323" s="17"/>
      <c r="X323" s="226"/>
      <c r="Y323" s="17" t="s">
        <v>109</v>
      </c>
      <c r="Z323" s="225" t="s">
        <v>115</v>
      </c>
      <c r="AA323" s="17" t="s">
        <v>118</v>
      </c>
      <c r="AB323" s="18" t="s">
        <v>217</v>
      </c>
      <c r="AC323" s="17"/>
      <c r="AD323" s="19"/>
      <c r="AE323" s="17"/>
      <c r="AF323" s="226"/>
      <c r="AG323" s="17" t="s">
        <v>140</v>
      </c>
      <c r="AH323" s="18"/>
      <c r="AI323" s="17"/>
      <c r="AJ323" s="18"/>
      <c r="AK323" s="17"/>
      <c r="AL323" s="18"/>
      <c r="AM323" s="17"/>
      <c r="AN323" s="18"/>
      <c r="AO323" s="17"/>
    </row>
    <row r="324" spans="1:41" s="12" customFormat="1" x14ac:dyDescent="0.25">
      <c r="A324" s="221"/>
      <c r="B324" s="18"/>
      <c r="C324" s="17"/>
      <c r="D324" s="18"/>
      <c r="E324" s="17"/>
      <c r="F324" s="18"/>
      <c r="G324" s="17"/>
      <c r="H324" s="18"/>
      <c r="I324" s="17"/>
      <c r="J324" s="227"/>
      <c r="K324" s="17" t="s">
        <v>109</v>
      </c>
      <c r="L324" s="18"/>
      <c r="M324" s="17"/>
      <c r="N324" s="18" t="s">
        <v>167</v>
      </c>
      <c r="O324" s="35"/>
      <c r="P324" s="18" t="s">
        <v>1164</v>
      </c>
      <c r="Q324" s="17"/>
      <c r="R324" s="227"/>
      <c r="S324" s="17" t="s">
        <v>111</v>
      </c>
      <c r="T324" s="18"/>
      <c r="U324" s="17"/>
      <c r="V324" s="19"/>
      <c r="W324" s="17"/>
      <c r="X324" s="226"/>
      <c r="Y324" s="17" t="s">
        <v>110</v>
      </c>
      <c r="Z324" s="226"/>
      <c r="AA324" s="17" t="s">
        <v>125</v>
      </c>
      <c r="AB324" s="18" t="s">
        <v>361</v>
      </c>
      <c r="AC324" s="17"/>
      <c r="AD324" s="19"/>
      <c r="AE324" s="17"/>
      <c r="AF324" s="226"/>
      <c r="AG324" s="17" t="s">
        <v>137</v>
      </c>
      <c r="AH324" s="18"/>
      <c r="AI324" s="17"/>
      <c r="AJ324" s="18"/>
      <c r="AK324" s="17"/>
      <c r="AL324" s="18"/>
      <c r="AM324" s="17"/>
      <c r="AN324" s="18"/>
      <c r="AO324" s="17"/>
    </row>
    <row r="325" spans="1:41" s="12" customFormat="1" x14ac:dyDescent="0.25">
      <c r="A325" s="221"/>
      <c r="B325" s="18"/>
      <c r="C325" s="17"/>
      <c r="D325" s="18"/>
      <c r="E325" s="17"/>
      <c r="F325" s="18"/>
      <c r="G325" s="17"/>
      <c r="H325" s="18"/>
      <c r="I325" s="17"/>
      <c r="J325" s="225" t="s">
        <v>115</v>
      </c>
      <c r="K325" s="17" t="s">
        <v>126</v>
      </c>
      <c r="L325" s="18"/>
      <c r="M325" s="17"/>
      <c r="N325" s="18" t="s">
        <v>155</v>
      </c>
      <c r="O325" s="17"/>
      <c r="P325" s="18"/>
      <c r="Q325" s="17"/>
      <c r="R325" s="225" t="s">
        <v>115</v>
      </c>
      <c r="S325" s="17" t="s">
        <v>125</v>
      </c>
      <c r="T325" s="18"/>
      <c r="U325" s="17"/>
      <c r="V325" s="19"/>
      <c r="W325" s="17"/>
      <c r="X325" s="227"/>
      <c r="Y325" s="17" t="s">
        <v>111</v>
      </c>
      <c r="Z325" s="226"/>
      <c r="AA325" s="17" t="s">
        <v>126</v>
      </c>
      <c r="AB325" s="18"/>
      <c r="AC325" s="17"/>
      <c r="AD325" s="19"/>
      <c r="AE325" s="17"/>
      <c r="AF325" s="226"/>
      <c r="AG325" s="17" t="s">
        <v>141</v>
      </c>
      <c r="AH325" s="18"/>
      <c r="AI325" s="17"/>
      <c r="AJ325" s="18"/>
      <c r="AK325" s="17"/>
      <c r="AL325" s="18"/>
      <c r="AM325" s="17"/>
      <c r="AN325" s="18"/>
      <c r="AO325" s="17"/>
    </row>
    <row r="326" spans="1:41" s="12" customFormat="1" x14ac:dyDescent="0.25">
      <c r="A326" s="221"/>
      <c r="B326" s="18"/>
      <c r="C326" s="17"/>
      <c r="D326" s="18"/>
      <c r="E326" s="17"/>
      <c r="F326" s="18"/>
      <c r="G326" s="17"/>
      <c r="H326" s="18"/>
      <c r="I326" s="17"/>
      <c r="J326" s="226"/>
      <c r="K326" s="17" t="s">
        <v>133</v>
      </c>
      <c r="L326" s="18"/>
      <c r="M326" s="17"/>
      <c r="N326" s="18"/>
      <c r="O326" s="17"/>
      <c r="P326" s="18"/>
      <c r="Q326" s="17"/>
      <c r="R326" s="226"/>
      <c r="S326" s="17" t="s">
        <v>130</v>
      </c>
      <c r="T326" s="18"/>
      <c r="U326" s="17"/>
      <c r="V326" s="19"/>
      <c r="W326" s="17"/>
      <c r="X326" s="225" t="s">
        <v>378</v>
      </c>
      <c r="Y326" s="17" t="s">
        <v>125</v>
      </c>
      <c r="Z326" s="226"/>
      <c r="AA326" s="17" t="s">
        <v>135</v>
      </c>
      <c r="AB326" s="18"/>
      <c r="AC326" s="17"/>
      <c r="AD326" s="19"/>
      <c r="AE326" s="17"/>
      <c r="AF326" s="227"/>
      <c r="AG326" s="17" t="s">
        <v>145</v>
      </c>
      <c r="AH326" s="18"/>
      <c r="AI326" s="17"/>
      <c r="AJ326" s="18"/>
      <c r="AK326" s="17"/>
      <c r="AL326" s="18"/>
      <c r="AM326" s="17"/>
      <c r="AN326" s="18"/>
      <c r="AO326" s="17"/>
    </row>
    <row r="327" spans="1:41" s="12" customFormat="1" x14ac:dyDescent="0.25">
      <c r="A327" s="221"/>
      <c r="B327" s="18"/>
      <c r="C327" s="17"/>
      <c r="D327" s="18"/>
      <c r="E327" s="17"/>
      <c r="F327" s="18"/>
      <c r="G327" s="17"/>
      <c r="H327" s="18"/>
      <c r="I327" s="17"/>
      <c r="J327" s="226"/>
      <c r="K327" s="17" t="s">
        <v>136</v>
      </c>
      <c r="L327" s="18"/>
      <c r="M327" s="17"/>
      <c r="N327" s="19"/>
      <c r="O327" s="17"/>
      <c r="P327" s="18"/>
      <c r="Q327" s="17"/>
      <c r="R327" s="226"/>
      <c r="S327" s="17" t="s">
        <v>136</v>
      </c>
      <c r="T327" s="18"/>
      <c r="U327" s="17"/>
      <c r="V327" s="19"/>
      <c r="W327" s="17"/>
      <c r="X327" s="226"/>
      <c r="Y327" s="17" t="s">
        <v>136</v>
      </c>
      <c r="Z327" s="226"/>
      <c r="AA327" s="17" t="s">
        <v>136</v>
      </c>
      <c r="AB327" s="18"/>
      <c r="AC327" s="17"/>
      <c r="AD327" s="19"/>
      <c r="AE327" s="17"/>
      <c r="AF327" s="18" t="s">
        <v>1165</v>
      </c>
      <c r="AG327" s="17"/>
      <c r="AH327" s="18"/>
      <c r="AI327" s="17"/>
      <c r="AJ327" s="18"/>
      <c r="AK327" s="17"/>
      <c r="AL327" s="18"/>
      <c r="AM327" s="17"/>
      <c r="AN327" s="18"/>
      <c r="AO327" s="17"/>
    </row>
    <row r="328" spans="1:41" s="12" customFormat="1" x14ac:dyDescent="0.25">
      <c r="A328" s="221"/>
      <c r="B328" s="18"/>
      <c r="C328" s="17"/>
      <c r="D328" s="18"/>
      <c r="E328" s="17"/>
      <c r="F328" s="18"/>
      <c r="G328" s="17"/>
      <c r="H328" s="18"/>
      <c r="I328" s="17"/>
      <c r="J328" s="226"/>
      <c r="K328" s="17" t="s">
        <v>137</v>
      </c>
      <c r="L328" s="18"/>
      <c r="M328" s="17"/>
      <c r="N328" s="19"/>
      <c r="O328" s="17"/>
      <c r="P328" s="18"/>
      <c r="Q328" s="17"/>
      <c r="R328" s="226"/>
      <c r="S328" s="17" t="s">
        <v>141</v>
      </c>
      <c r="T328" s="18"/>
      <c r="U328" s="17"/>
      <c r="V328" s="19"/>
      <c r="W328" s="17"/>
      <c r="X328" s="226"/>
      <c r="Y328" s="17" t="s">
        <v>137</v>
      </c>
      <c r="Z328" s="226"/>
      <c r="AA328" s="17" t="s">
        <v>137</v>
      </c>
      <c r="AB328" s="18"/>
      <c r="AC328" s="17"/>
      <c r="AD328" s="19"/>
      <c r="AE328" s="17"/>
      <c r="AF328" s="191" t="s">
        <v>405</v>
      </c>
      <c r="AG328" s="17"/>
      <c r="AH328" s="18"/>
      <c r="AI328" s="17"/>
      <c r="AJ328" s="18"/>
      <c r="AK328" s="17"/>
      <c r="AL328" s="18"/>
      <c r="AM328" s="17"/>
      <c r="AN328" s="18"/>
      <c r="AO328" s="17"/>
    </row>
    <row r="329" spans="1:41" s="12" customFormat="1" x14ac:dyDescent="0.25">
      <c r="A329" s="221"/>
      <c r="B329" s="18"/>
      <c r="C329" s="17"/>
      <c r="D329" s="18"/>
      <c r="E329" s="17"/>
      <c r="F329" s="18"/>
      <c r="G329" s="17"/>
      <c r="H329" s="18"/>
      <c r="I329" s="17"/>
      <c r="J329" s="226"/>
      <c r="K329" s="17" t="s">
        <v>140</v>
      </c>
      <c r="L329" s="18"/>
      <c r="M329" s="17"/>
      <c r="N329" s="19"/>
      <c r="O329" s="17"/>
      <c r="P329" s="18"/>
      <c r="Q329" s="17"/>
      <c r="R329" s="227"/>
      <c r="S329" s="17" t="s">
        <v>145</v>
      </c>
      <c r="T329" s="18"/>
      <c r="U329" s="17"/>
      <c r="V329" s="19"/>
      <c r="W329" s="17"/>
      <c r="X329" s="226"/>
      <c r="Y329" s="17" t="s">
        <v>139</v>
      </c>
      <c r="Z329" s="226"/>
      <c r="AA329" s="17" t="s">
        <v>141</v>
      </c>
      <c r="AB329" s="18"/>
      <c r="AC329" s="17"/>
      <c r="AD329" s="19"/>
      <c r="AE329" s="17"/>
      <c r="AF329" s="18"/>
      <c r="AG329" s="17"/>
      <c r="AH329" s="18"/>
      <c r="AI329" s="17"/>
      <c r="AJ329" s="18"/>
      <c r="AK329" s="17"/>
      <c r="AL329" s="18"/>
      <c r="AM329" s="17"/>
      <c r="AN329" s="18"/>
      <c r="AO329" s="17"/>
    </row>
    <row r="330" spans="1:41" s="12" customFormat="1" x14ac:dyDescent="0.25">
      <c r="A330" s="221"/>
      <c r="B330" s="18"/>
      <c r="C330" s="17"/>
      <c r="D330" s="18"/>
      <c r="E330" s="17"/>
      <c r="F330" s="18"/>
      <c r="G330" s="17"/>
      <c r="H330" s="18"/>
      <c r="I330" s="17"/>
      <c r="J330" s="226"/>
      <c r="K330" s="17" t="s">
        <v>141</v>
      </c>
      <c r="L330" s="18"/>
      <c r="M330" s="17"/>
      <c r="N330" s="19"/>
      <c r="O330" s="17"/>
      <c r="P330" s="18"/>
      <c r="Q330" s="17"/>
      <c r="R330" s="18" t="s">
        <v>159</v>
      </c>
      <c r="S330" s="17"/>
      <c r="T330" s="18"/>
      <c r="U330" s="17"/>
      <c r="V330" s="19"/>
      <c r="W330" s="17"/>
      <c r="X330" s="226"/>
      <c r="Y330" s="17" t="s">
        <v>141</v>
      </c>
      <c r="Z330" s="227"/>
      <c r="AA330" s="17" t="s">
        <v>145</v>
      </c>
      <c r="AB330" s="18"/>
      <c r="AC330" s="17"/>
      <c r="AD330" s="19"/>
      <c r="AE330" s="17"/>
      <c r="AF330" s="18"/>
      <c r="AG330" s="17"/>
      <c r="AH330" s="18"/>
      <c r="AI330" s="17"/>
      <c r="AJ330" s="18"/>
      <c r="AK330" s="17"/>
      <c r="AL330" s="18"/>
      <c r="AM330" s="17"/>
      <c r="AN330" s="18"/>
      <c r="AO330" s="17"/>
    </row>
    <row r="331" spans="1:41" s="12" customFormat="1" x14ac:dyDescent="0.25">
      <c r="A331" s="221"/>
      <c r="B331" s="18"/>
      <c r="C331" s="17"/>
      <c r="D331" s="18"/>
      <c r="E331" s="17"/>
      <c r="F331" s="18"/>
      <c r="G331" s="17"/>
      <c r="H331" s="18"/>
      <c r="I331" s="17"/>
      <c r="J331" s="227"/>
      <c r="K331" s="17" t="s">
        <v>145</v>
      </c>
      <c r="L331" s="18"/>
      <c r="M331" s="17"/>
      <c r="N331" s="19"/>
      <c r="O331" s="17"/>
      <c r="P331" s="18"/>
      <c r="Q331" s="17"/>
      <c r="R331" s="18" t="s">
        <v>168</v>
      </c>
      <c r="S331" s="17"/>
      <c r="T331" s="18"/>
      <c r="U331" s="17"/>
      <c r="V331" s="19"/>
      <c r="W331" s="17"/>
      <c r="X331" s="227"/>
      <c r="Y331" s="17" t="s">
        <v>145</v>
      </c>
      <c r="Z331" s="18" t="s">
        <v>148</v>
      </c>
      <c r="AA331" s="17"/>
      <c r="AB331" s="18"/>
      <c r="AC331" s="17"/>
      <c r="AD331" s="18"/>
      <c r="AE331" s="17"/>
      <c r="AF331" s="18"/>
      <c r="AG331" s="17"/>
      <c r="AH331" s="18"/>
      <c r="AI331" s="17"/>
      <c r="AJ331" s="18"/>
      <c r="AK331" s="17"/>
      <c r="AL331" s="18"/>
      <c r="AM331" s="17"/>
      <c r="AN331" s="18"/>
      <c r="AO331" s="17"/>
    </row>
    <row r="332" spans="1:41" s="12" customFormat="1" x14ac:dyDescent="0.25">
      <c r="A332" s="221"/>
      <c r="B332" s="18"/>
      <c r="C332" s="17"/>
      <c r="D332" s="18"/>
      <c r="E332" s="17"/>
      <c r="F332" s="18"/>
      <c r="G332" s="17"/>
      <c r="H332" s="18"/>
      <c r="I332" s="17"/>
      <c r="J332" s="18" t="s">
        <v>149</v>
      </c>
      <c r="K332" s="17"/>
      <c r="L332" s="18"/>
      <c r="M332" s="17"/>
      <c r="N332" s="18"/>
      <c r="O332" s="17"/>
      <c r="P332" s="18"/>
      <c r="Q332" s="17"/>
      <c r="R332" s="18" t="s">
        <v>149</v>
      </c>
      <c r="S332" s="17"/>
      <c r="T332" s="18"/>
      <c r="U332" s="17"/>
      <c r="V332" s="19"/>
      <c r="W332" s="17"/>
      <c r="X332" s="18" t="s">
        <v>1164</v>
      </c>
      <c r="Y332" s="17"/>
      <c r="Z332" s="18" t="s">
        <v>159</v>
      </c>
      <c r="AA332" s="17"/>
      <c r="AB332" s="18"/>
      <c r="AC332" s="17"/>
      <c r="AD332" s="18"/>
      <c r="AE332" s="17"/>
      <c r="AF332" s="18"/>
      <c r="AG332" s="17"/>
      <c r="AH332" s="18"/>
      <c r="AI332" s="17"/>
      <c r="AJ332" s="18"/>
      <c r="AK332" s="17"/>
      <c r="AL332" s="18"/>
      <c r="AM332" s="17"/>
      <c r="AN332" s="18"/>
      <c r="AO332" s="17"/>
    </row>
    <row r="333" spans="1:41" s="12" customFormat="1" x14ac:dyDescent="0.25">
      <c r="A333" s="221"/>
      <c r="B333" s="18"/>
      <c r="C333" s="17"/>
      <c r="D333" s="18"/>
      <c r="E333" s="17"/>
      <c r="F333" s="18"/>
      <c r="G333" s="17"/>
      <c r="H333" s="18"/>
      <c r="I333" s="17"/>
      <c r="J333" s="18" t="s">
        <v>150</v>
      </c>
      <c r="K333" s="17"/>
      <c r="L333" s="18"/>
      <c r="M333" s="17"/>
      <c r="N333" s="18"/>
      <c r="O333" s="17"/>
      <c r="P333" s="18"/>
      <c r="Q333" s="17"/>
      <c r="R333" s="18" t="s">
        <v>150</v>
      </c>
      <c r="S333" s="17"/>
      <c r="T333" s="18"/>
      <c r="U333" s="17"/>
      <c r="V333" s="19"/>
      <c r="W333" s="17"/>
      <c r="X333" s="18"/>
      <c r="Y333" s="17"/>
      <c r="Z333" s="18" t="s">
        <v>152</v>
      </c>
      <c r="AA333" s="17"/>
      <c r="AB333" s="18"/>
      <c r="AC333" s="17"/>
      <c r="AD333" s="18"/>
      <c r="AE333" s="17"/>
      <c r="AF333" s="18"/>
      <c r="AG333" s="17"/>
      <c r="AH333" s="18"/>
      <c r="AI333" s="17"/>
      <c r="AJ333" s="18"/>
      <c r="AK333" s="17"/>
      <c r="AL333" s="18"/>
      <c r="AM333" s="17"/>
      <c r="AN333" s="18"/>
      <c r="AO333" s="17"/>
    </row>
    <row r="334" spans="1:41" s="12" customFormat="1" x14ac:dyDescent="0.25">
      <c r="A334" s="221"/>
      <c r="B334" s="18"/>
      <c r="C334" s="17"/>
      <c r="D334" s="18"/>
      <c r="E334" s="17"/>
      <c r="F334" s="18"/>
      <c r="G334" s="17"/>
      <c r="H334" s="18"/>
      <c r="I334" s="17"/>
      <c r="J334" s="18"/>
      <c r="K334" s="17"/>
      <c r="L334" s="18"/>
      <c r="M334" s="17"/>
      <c r="N334" s="18"/>
      <c r="O334" s="17"/>
      <c r="P334" s="18"/>
      <c r="Q334" s="17"/>
      <c r="R334" s="18"/>
      <c r="S334" s="17"/>
      <c r="T334" s="18"/>
      <c r="U334" s="17"/>
      <c r="V334" s="19"/>
      <c r="W334" s="17"/>
      <c r="X334" s="18"/>
      <c r="Y334" s="17"/>
      <c r="Z334" s="18" t="s">
        <v>154</v>
      </c>
      <c r="AA334" s="17"/>
      <c r="AB334" s="18"/>
      <c r="AC334" s="17"/>
      <c r="AD334" s="18"/>
      <c r="AE334" s="17"/>
      <c r="AF334" s="18"/>
      <c r="AG334" s="17"/>
      <c r="AH334" s="18"/>
      <c r="AI334" s="17"/>
      <c r="AJ334" s="18"/>
      <c r="AK334" s="17"/>
      <c r="AL334" s="18"/>
      <c r="AM334" s="17"/>
      <c r="AN334" s="18"/>
      <c r="AO334" s="17"/>
    </row>
    <row r="335" spans="1:41" s="12" customFormat="1" x14ac:dyDescent="0.25">
      <c r="A335" s="221"/>
      <c r="B335" s="18"/>
      <c r="C335" s="17"/>
      <c r="D335" s="18"/>
      <c r="E335" s="17"/>
      <c r="F335" s="18"/>
      <c r="G335" s="17"/>
      <c r="H335" s="18"/>
      <c r="I335" s="17"/>
      <c r="J335" s="18"/>
      <c r="K335" s="17"/>
      <c r="L335" s="18"/>
      <c r="M335" s="17"/>
      <c r="N335" s="18"/>
      <c r="O335" s="17"/>
      <c r="P335" s="18"/>
      <c r="Q335" s="17"/>
      <c r="R335" s="18"/>
      <c r="S335" s="17"/>
      <c r="T335" s="18"/>
      <c r="U335" s="17"/>
      <c r="V335" s="18"/>
      <c r="W335" s="17"/>
      <c r="X335" s="18"/>
      <c r="Y335" s="17"/>
      <c r="Z335" s="18" t="s">
        <v>149</v>
      </c>
      <c r="AA335" s="17"/>
      <c r="AB335" s="18"/>
      <c r="AC335" s="17"/>
      <c r="AD335" s="18"/>
      <c r="AE335" s="17"/>
      <c r="AF335" s="18"/>
      <c r="AG335" s="17"/>
      <c r="AH335" s="18"/>
      <c r="AI335" s="17"/>
      <c r="AJ335" s="18"/>
      <c r="AK335" s="17"/>
      <c r="AL335" s="18"/>
      <c r="AM335" s="17"/>
      <c r="AN335" s="18"/>
      <c r="AO335" s="17"/>
    </row>
    <row r="336" spans="1:41" s="12" customFormat="1" x14ac:dyDescent="0.25">
      <c r="A336" s="221"/>
      <c r="B336" s="18"/>
      <c r="C336" s="17"/>
      <c r="D336" s="18"/>
      <c r="E336" s="17"/>
      <c r="F336" s="18"/>
      <c r="G336" s="17"/>
      <c r="H336" s="18"/>
      <c r="I336" s="17"/>
      <c r="J336" s="18"/>
      <c r="K336" s="17"/>
      <c r="L336" s="18"/>
      <c r="M336" s="17"/>
      <c r="N336" s="18"/>
      <c r="O336" s="17"/>
      <c r="P336" s="18"/>
      <c r="Q336" s="17"/>
      <c r="R336" s="18"/>
      <c r="S336" s="17"/>
      <c r="T336" s="18"/>
      <c r="U336" s="17"/>
      <c r="V336" s="18"/>
      <c r="W336" s="17"/>
      <c r="X336" s="18"/>
      <c r="Y336" s="17"/>
      <c r="Z336" s="18" t="s">
        <v>150</v>
      </c>
      <c r="AA336" s="17"/>
      <c r="AB336" s="18"/>
      <c r="AC336" s="17"/>
      <c r="AD336" s="18"/>
      <c r="AE336" s="17"/>
      <c r="AF336" s="18"/>
      <c r="AG336" s="17"/>
      <c r="AH336" s="18"/>
      <c r="AI336" s="17"/>
      <c r="AJ336" s="18"/>
      <c r="AK336" s="17"/>
      <c r="AL336" s="18"/>
      <c r="AM336" s="17"/>
      <c r="AN336" s="18"/>
      <c r="AO336" s="17"/>
    </row>
    <row r="337" spans="1:41" s="11" customFormat="1" ht="51" thickBot="1" x14ac:dyDescent="0.3">
      <c r="A337" s="240" t="s">
        <v>292</v>
      </c>
      <c r="B337" s="222" t="s">
        <v>930</v>
      </c>
      <c r="C337" s="222"/>
      <c r="D337" s="222"/>
      <c r="E337" s="222"/>
      <c r="F337" s="222"/>
      <c r="G337" s="222"/>
      <c r="H337" s="222"/>
      <c r="I337" s="222"/>
      <c r="J337" s="222" t="s">
        <v>931</v>
      </c>
      <c r="K337" s="222"/>
      <c r="L337" s="222"/>
      <c r="M337" s="222"/>
      <c r="N337" s="222"/>
      <c r="O337" s="222"/>
      <c r="P337" s="222"/>
      <c r="Q337" s="222"/>
      <c r="R337" s="222" t="s">
        <v>932</v>
      </c>
      <c r="S337" s="222"/>
      <c r="T337" s="222"/>
      <c r="U337" s="222"/>
      <c r="V337" s="222"/>
      <c r="W337" s="222"/>
      <c r="X337" s="222"/>
      <c r="Y337" s="222"/>
      <c r="Z337" s="222" t="s">
        <v>933</v>
      </c>
      <c r="AA337" s="222"/>
      <c r="AB337" s="222"/>
      <c r="AC337" s="222"/>
      <c r="AD337" s="222"/>
      <c r="AE337" s="222"/>
      <c r="AF337" s="222"/>
      <c r="AG337" s="222"/>
      <c r="AH337" s="22"/>
      <c r="AI337" s="21"/>
      <c r="AJ337" s="22"/>
      <c r="AK337" s="21"/>
      <c r="AL337" s="22"/>
      <c r="AM337" s="21"/>
      <c r="AN337" s="37"/>
      <c r="AO337" s="37"/>
    </row>
    <row r="338" spans="1:41" s="11" customFormat="1" ht="17.25" thickTop="1" x14ac:dyDescent="0.25">
      <c r="A338" s="240"/>
      <c r="B338" s="231" t="s">
        <v>1445</v>
      </c>
      <c r="C338" s="231" t="s">
        <v>1446</v>
      </c>
      <c r="D338" s="231" t="s">
        <v>1448</v>
      </c>
      <c r="E338" s="231" t="s">
        <v>1449</v>
      </c>
      <c r="F338" s="231" t="s">
        <v>1450</v>
      </c>
      <c r="G338" s="231" t="s">
        <v>1451</v>
      </c>
      <c r="H338" s="231" t="s">
        <v>715</v>
      </c>
      <c r="I338" s="231" t="s">
        <v>1447</v>
      </c>
      <c r="J338" s="231" t="s">
        <v>1445</v>
      </c>
      <c r="K338" s="231" t="s">
        <v>1446</v>
      </c>
      <c r="L338" s="231" t="s">
        <v>1448</v>
      </c>
      <c r="M338" s="231" t="s">
        <v>1449</v>
      </c>
      <c r="N338" s="231" t="s">
        <v>1450</v>
      </c>
      <c r="O338" s="231" t="s">
        <v>1451</v>
      </c>
      <c r="P338" s="231" t="s">
        <v>715</v>
      </c>
      <c r="Q338" s="231" t="s">
        <v>1447</v>
      </c>
      <c r="R338" s="231" t="s">
        <v>1445</v>
      </c>
      <c r="S338" s="231" t="s">
        <v>1446</v>
      </c>
      <c r="T338" s="231" t="s">
        <v>1448</v>
      </c>
      <c r="U338" s="231" t="s">
        <v>1449</v>
      </c>
      <c r="V338" s="231" t="s">
        <v>1450</v>
      </c>
      <c r="W338" s="231" t="s">
        <v>1451</v>
      </c>
      <c r="X338" s="231" t="s">
        <v>715</v>
      </c>
      <c r="Y338" s="231" t="s">
        <v>1447</v>
      </c>
      <c r="Z338" s="231" t="s">
        <v>1445</v>
      </c>
      <c r="AA338" s="231" t="s">
        <v>1446</v>
      </c>
      <c r="AB338" s="231" t="s">
        <v>1448</v>
      </c>
      <c r="AC338" s="231" t="s">
        <v>1449</v>
      </c>
      <c r="AD338" s="231" t="s">
        <v>1450</v>
      </c>
      <c r="AE338" s="231" t="s">
        <v>1451</v>
      </c>
      <c r="AF338" s="231" t="s">
        <v>715</v>
      </c>
      <c r="AG338" s="231" t="s">
        <v>1447</v>
      </c>
      <c r="AH338" s="22"/>
      <c r="AI338" s="21"/>
      <c r="AJ338" s="22"/>
      <c r="AK338" s="21"/>
      <c r="AL338" s="22"/>
      <c r="AM338" s="21"/>
      <c r="AN338" s="19"/>
      <c r="AO338" s="19"/>
    </row>
    <row r="339" spans="1:41" x14ac:dyDescent="0.25">
      <c r="A339" s="240"/>
      <c r="B339" s="18" t="s">
        <v>151</v>
      </c>
      <c r="C339" s="17"/>
      <c r="D339" s="18" t="s">
        <v>182</v>
      </c>
      <c r="E339" s="17"/>
      <c r="F339" s="18" t="s">
        <v>115</v>
      </c>
      <c r="G339" s="17" t="s">
        <v>464</v>
      </c>
      <c r="H339" s="232" t="s">
        <v>379</v>
      </c>
      <c r="I339" s="20" t="s">
        <v>580</v>
      </c>
      <c r="J339" s="19" t="s">
        <v>151</v>
      </c>
      <c r="K339" s="20"/>
      <c r="L339" s="19" t="s">
        <v>182</v>
      </c>
      <c r="M339" s="17"/>
      <c r="N339" s="18" t="s">
        <v>558</v>
      </c>
      <c r="O339" s="17" t="s">
        <v>208</v>
      </c>
      <c r="P339" s="18"/>
      <c r="Q339" s="17"/>
      <c r="R339" s="225" t="s">
        <v>558</v>
      </c>
      <c r="S339" s="17" t="s">
        <v>573</v>
      </c>
      <c r="T339" s="18" t="s">
        <v>182</v>
      </c>
      <c r="U339" s="17"/>
      <c r="V339" s="18" t="s">
        <v>155</v>
      </c>
      <c r="W339" s="17"/>
      <c r="X339" s="225" t="s">
        <v>379</v>
      </c>
      <c r="Y339" s="17" t="s">
        <v>573</v>
      </c>
      <c r="Z339" s="225" t="s">
        <v>558</v>
      </c>
      <c r="AA339" s="17" t="s">
        <v>570</v>
      </c>
      <c r="AB339" s="225" t="s">
        <v>703</v>
      </c>
      <c r="AC339" s="17" t="s">
        <v>514</v>
      </c>
      <c r="AD339" s="18" t="s">
        <v>156</v>
      </c>
      <c r="AE339" s="17"/>
      <c r="AF339" s="225" t="s">
        <v>379</v>
      </c>
      <c r="AG339" s="17" t="s">
        <v>570</v>
      </c>
      <c r="AH339" s="18"/>
      <c r="AI339" s="17"/>
      <c r="AJ339" s="18"/>
      <c r="AK339" s="17"/>
      <c r="AL339" s="18"/>
      <c r="AM339" s="17"/>
      <c r="AN339" s="18"/>
      <c r="AO339" s="17"/>
    </row>
    <row r="340" spans="1:41" x14ac:dyDescent="0.25">
      <c r="A340" s="240"/>
      <c r="B340" s="232" t="s">
        <v>147</v>
      </c>
      <c r="C340" s="20" t="s">
        <v>180</v>
      </c>
      <c r="D340" s="232" t="s">
        <v>702</v>
      </c>
      <c r="E340" s="20" t="s">
        <v>564</v>
      </c>
      <c r="F340" s="19" t="s">
        <v>155</v>
      </c>
      <c r="G340" s="20"/>
      <c r="H340" s="233"/>
      <c r="I340" s="20" t="s">
        <v>573</v>
      </c>
      <c r="J340" s="232" t="s">
        <v>558</v>
      </c>
      <c r="K340" s="20" t="s">
        <v>570</v>
      </c>
      <c r="L340" s="19" t="s">
        <v>702</v>
      </c>
      <c r="M340" s="17" t="s">
        <v>209</v>
      </c>
      <c r="N340" s="19"/>
      <c r="O340" s="20"/>
      <c r="P340" s="19"/>
      <c r="Q340" s="20"/>
      <c r="R340" s="226"/>
      <c r="S340" s="17" t="s">
        <v>566</v>
      </c>
      <c r="T340" s="18" t="s">
        <v>707</v>
      </c>
      <c r="U340" s="17" t="s">
        <v>329</v>
      </c>
      <c r="V340" s="19"/>
      <c r="W340" s="17"/>
      <c r="X340" s="227"/>
      <c r="Y340" s="17" t="s">
        <v>208</v>
      </c>
      <c r="Z340" s="226"/>
      <c r="AA340" s="17" t="s">
        <v>573</v>
      </c>
      <c r="AB340" s="226"/>
      <c r="AC340" s="17" t="s">
        <v>200</v>
      </c>
      <c r="AD340" s="18" t="s">
        <v>155</v>
      </c>
      <c r="AE340" s="20"/>
      <c r="AF340" s="226"/>
      <c r="AG340" s="17" t="s">
        <v>573</v>
      </c>
      <c r="AH340" s="19"/>
      <c r="AI340" s="20"/>
      <c r="AJ340" s="19"/>
      <c r="AK340" s="20"/>
      <c r="AL340" s="19"/>
      <c r="AM340" s="20"/>
      <c r="AN340" s="19"/>
      <c r="AO340" s="20"/>
    </row>
    <row r="341" spans="1:41" x14ac:dyDescent="0.25">
      <c r="A341" s="240"/>
      <c r="B341" s="234"/>
      <c r="C341" s="20" t="s">
        <v>181</v>
      </c>
      <c r="D341" s="234"/>
      <c r="E341" s="20" t="s">
        <v>183</v>
      </c>
      <c r="F341" s="19"/>
      <c r="G341" s="20"/>
      <c r="H341" s="233"/>
      <c r="I341" s="20" t="s">
        <v>566</v>
      </c>
      <c r="J341" s="233"/>
      <c r="K341" s="20" t="s">
        <v>573</v>
      </c>
      <c r="L341" s="232" t="s">
        <v>703</v>
      </c>
      <c r="M341" s="17" t="s">
        <v>248</v>
      </c>
      <c r="N341" s="19"/>
      <c r="O341" s="20"/>
      <c r="P341" s="19"/>
      <c r="Q341" s="20"/>
      <c r="R341" s="226"/>
      <c r="S341" s="17" t="s">
        <v>208</v>
      </c>
      <c r="T341" s="225" t="s">
        <v>186</v>
      </c>
      <c r="U341" s="17" t="s">
        <v>187</v>
      </c>
      <c r="V341" s="19"/>
      <c r="W341" s="17"/>
      <c r="X341" s="225" t="s">
        <v>378</v>
      </c>
      <c r="Y341" s="17" t="s">
        <v>120</v>
      </c>
      <c r="Z341" s="227"/>
      <c r="AA341" s="17" t="s">
        <v>208</v>
      </c>
      <c r="AB341" s="227"/>
      <c r="AC341" s="17" t="s">
        <v>257</v>
      </c>
      <c r="AD341" s="19"/>
      <c r="AE341" s="17"/>
      <c r="AF341" s="227"/>
      <c r="AG341" s="17" t="s">
        <v>208</v>
      </c>
      <c r="AH341" s="19"/>
      <c r="AI341" s="20"/>
      <c r="AJ341" s="19"/>
      <c r="AK341" s="20"/>
      <c r="AL341" s="19"/>
      <c r="AM341" s="20"/>
      <c r="AN341" s="19"/>
      <c r="AO341" s="20"/>
    </row>
    <row r="342" spans="1:41" x14ac:dyDescent="0.25">
      <c r="A342" s="240"/>
      <c r="B342" s="232" t="s">
        <v>558</v>
      </c>
      <c r="C342" s="20" t="s">
        <v>573</v>
      </c>
      <c r="D342" s="232" t="s">
        <v>703</v>
      </c>
      <c r="E342" s="20" t="s">
        <v>257</v>
      </c>
      <c r="F342" s="19"/>
      <c r="G342" s="20"/>
      <c r="H342" s="234"/>
      <c r="I342" s="20" t="s">
        <v>208</v>
      </c>
      <c r="J342" s="234"/>
      <c r="K342" s="20" t="s">
        <v>566</v>
      </c>
      <c r="L342" s="234"/>
      <c r="M342" s="20" t="s">
        <v>200</v>
      </c>
      <c r="N342" s="19"/>
      <c r="O342" s="20"/>
      <c r="P342" s="19"/>
      <c r="Q342" s="20"/>
      <c r="R342" s="227"/>
      <c r="S342" s="17" t="s">
        <v>582</v>
      </c>
      <c r="T342" s="226"/>
      <c r="U342" s="17" t="s">
        <v>337</v>
      </c>
      <c r="V342" s="19"/>
      <c r="W342" s="17"/>
      <c r="X342" s="226"/>
      <c r="Y342" s="17" t="s">
        <v>124</v>
      </c>
      <c r="Z342" s="225" t="s">
        <v>115</v>
      </c>
      <c r="AA342" s="17" t="s">
        <v>124</v>
      </c>
      <c r="AB342" s="225" t="s">
        <v>706</v>
      </c>
      <c r="AC342" s="17" t="s">
        <v>210</v>
      </c>
      <c r="AD342" s="19"/>
      <c r="AE342" s="17"/>
      <c r="AF342" s="225" t="s">
        <v>378</v>
      </c>
      <c r="AG342" s="17" t="s">
        <v>124</v>
      </c>
      <c r="AH342" s="19"/>
      <c r="AI342" s="20"/>
      <c r="AJ342" s="19"/>
      <c r="AK342" s="20"/>
      <c r="AL342" s="19"/>
      <c r="AM342" s="20"/>
      <c r="AN342" s="19"/>
      <c r="AO342" s="20"/>
    </row>
    <row r="343" spans="1:41" x14ac:dyDescent="0.25">
      <c r="A343" s="240"/>
      <c r="B343" s="234"/>
      <c r="C343" s="20" t="s">
        <v>208</v>
      </c>
      <c r="D343" s="234"/>
      <c r="E343" s="20" t="s">
        <v>249</v>
      </c>
      <c r="F343" s="19"/>
      <c r="G343" s="20"/>
      <c r="H343" s="232" t="s">
        <v>378</v>
      </c>
      <c r="I343" s="20" t="s">
        <v>118</v>
      </c>
      <c r="J343" s="232" t="s">
        <v>115</v>
      </c>
      <c r="K343" s="20" t="s">
        <v>118</v>
      </c>
      <c r="L343" s="19" t="s">
        <v>706</v>
      </c>
      <c r="M343" s="20" t="s">
        <v>583</v>
      </c>
      <c r="N343" s="19"/>
      <c r="O343" s="20"/>
      <c r="P343" s="19"/>
      <c r="Q343" s="20"/>
      <c r="R343" s="225" t="s">
        <v>115</v>
      </c>
      <c r="S343" s="17" t="s">
        <v>120</v>
      </c>
      <c r="T343" s="226"/>
      <c r="U343" s="17" t="s">
        <v>348</v>
      </c>
      <c r="V343" s="19"/>
      <c r="W343" s="17"/>
      <c r="X343" s="226"/>
      <c r="Y343" s="17" t="s">
        <v>125</v>
      </c>
      <c r="Z343" s="226"/>
      <c r="AA343" s="17" t="s">
        <v>125</v>
      </c>
      <c r="AB343" s="227"/>
      <c r="AC343" s="17" t="s">
        <v>205</v>
      </c>
      <c r="AD343" s="19"/>
      <c r="AE343" s="17"/>
      <c r="AF343" s="226"/>
      <c r="AG343" s="17" t="s">
        <v>125</v>
      </c>
      <c r="AH343" s="19"/>
      <c r="AI343" s="20"/>
      <c r="AJ343" s="19"/>
      <c r="AK343" s="20"/>
      <c r="AL343" s="19"/>
      <c r="AM343" s="20"/>
      <c r="AN343" s="19"/>
      <c r="AO343" s="20"/>
    </row>
    <row r="344" spans="1:41" x14ac:dyDescent="0.25">
      <c r="A344" s="240"/>
      <c r="B344" s="232" t="s">
        <v>115</v>
      </c>
      <c r="C344" s="20" t="s">
        <v>120</v>
      </c>
      <c r="D344" s="19" t="s">
        <v>704</v>
      </c>
      <c r="E344" s="20" t="s">
        <v>322</v>
      </c>
      <c r="F344" s="19"/>
      <c r="G344" s="20"/>
      <c r="H344" s="233"/>
      <c r="I344" s="20" t="s">
        <v>124</v>
      </c>
      <c r="J344" s="233"/>
      <c r="K344" s="20" t="s">
        <v>120</v>
      </c>
      <c r="L344" s="232" t="s">
        <v>704</v>
      </c>
      <c r="M344" s="17" t="s">
        <v>211</v>
      </c>
      <c r="N344" s="19"/>
      <c r="O344" s="20"/>
      <c r="P344" s="19"/>
      <c r="Q344" s="20"/>
      <c r="R344" s="226"/>
      <c r="S344" s="17" t="s">
        <v>124</v>
      </c>
      <c r="T344" s="226"/>
      <c r="U344" s="17" t="s">
        <v>353</v>
      </c>
      <c r="V344" s="19"/>
      <c r="W344" s="17"/>
      <c r="X344" s="227"/>
      <c r="Y344" s="17" t="s">
        <v>145</v>
      </c>
      <c r="Z344" s="226"/>
      <c r="AA344" s="17" t="s">
        <v>129</v>
      </c>
      <c r="AB344" s="18" t="s">
        <v>704</v>
      </c>
      <c r="AC344" s="17" t="s">
        <v>319</v>
      </c>
      <c r="AD344" s="19"/>
      <c r="AE344" s="17"/>
      <c r="AF344" s="226"/>
      <c r="AG344" s="17" t="s">
        <v>141</v>
      </c>
      <c r="AH344" s="19"/>
      <c r="AI344" s="20"/>
      <c r="AJ344" s="19"/>
      <c r="AK344" s="20"/>
      <c r="AL344" s="19"/>
      <c r="AM344" s="20"/>
      <c r="AN344" s="19"/>
      <c r="AO344" s="20"/>
    </row>
    <row r="345" spans="1:41" x14ac:dyDescent="0.25">
      <c r="A345" s="240"/>
      <c r="B345" s="233"/>
      <c r="C345" s="20" t="s">
        <v>124</v>
      </c>
      <c r="D345" s="19" t="s">
        <v>190</v>
      </c>
      <c r="E345" s="20"/>
      <c r="F345" s="19"/>
      <c r="G345" s="20"/>
      <c r="H345" s="234"/>
      <c r="I345" s="20" t="s">
        <v>141</v>
      </c>
      <c r="J345" s="233"/>
      <c r="K345" s="20" t="s">
        <v>124</v>
      </c>
      <c r="L345" s="234"/>
      <c r="M345" s="17" t="s">
        <v>320</v>
      </c>
      <c r="N345" s="19"/>
      <c r="O345" s="20"/>
      <c r="P345" s="19"/>
      <c r="Q345" s="20"/>
      <c r="R345" s="226"/>
      <c r="S345" s="17" t="s">
        <v>125</v>
      </c>
      <c r="T345" s="227"/>
      <c r="U345" s="17" t="s">
        <v>196</v>
      </c>
      <c r="V345" s="19"/>
      <c r="W345" s="17"/>
      <c r="X345" s="19"/>
      <c r="Y345" s="20"/>
      <c r="Z345" s="226"/>
      <c r="AA345" s="17" t="s">
        <v>141</v>
      </c>
      <c r="AB345" s="225" t="s">
        <v>707</v>
      </c>
      <c r="AC345" s="17" t="s">
        <v>329</v>
      </c>
      <c r="AD345" s="19"/>
      <c r="AE345" s="17"/>
      <c r="AF345" s="227"/>
      <c r="AG345" s="17" t="s">
        <v>145</v>
      </c>
      <c r="AH345" s="19"/>
      <c r="AI345" s="20"/>
      <c r="AJ345" s="19"/>
      <c r="AK345" s="20"/>
      <c r="AL345" s="19"/>
      <c r="AM345" s="20"/>
      <c r="AN345" s="19"/>
      <c r="AO345" s="20"/>
    </row>
    <row r="346" spans="1:41" x14ac:dyDescent="0.25">
      <c r="A346" s="240"/>
      <c r="B346" s="234"/>
      <c r="C346" s="20" t="s">
        <v>136</v>
      </c>
      <c r="D346" s="19"/>
      <c r="E346" s="20"/>
      <c r="F346" s="19"/>
      <c r="G346" s="20"/>
      <c r="H346" s="19"/>
      <c r="I346" s="20"/>
      <c r="J346" s="233"/>
      <c r="K346" s="20" t="s">
        <v>130</v>
      </c>
      <c r="L346" s="19" t="s">
        <v>190</v>
      </c>
      <c r="M346" s="20"/>
      <c r="N346" s="19"/>
      <c r="O346" s="20"/>
      <c r="P346" s="19"/>
      <c r="Q346" s="20"/>
      <c r="R346" s="227"/>
      <c r="S346" s="17" t="s">
        <v>145</v>
      </c>
      <c r="T346" s="18" t="s">
        <v>546</v>
      </c>
      <c r="U346" s="17"/>
      <c r="V346" s="18"/>
      <c r="W346" s="20"/>
      <c r="X346" s="19"/>
      <c r="Y346" s="20"/>
      <c r="Z346" s="227"/>
      <c r="AA346" s="17" t="s">
        <v>145</v>
      </c>
      <c r="AB346" s="227"/>
      <c r="AC346" s="17" t="s">
        <v>331</v>
      </c>
      <c r="AD346" s="19"/>
      <c r="AE346" s="17"/>
      <c r="AF346" s="19"/>
      <c r="AG346" s="20"/>
      <c r="AH346" s="19"/>
      <c r="AI346" s="20"/>
      <c r="AJ346" s="19"/>
      <c r="AK346" s="20"/>
      <c r="AL346" s="19"/>
      <c r="AM346" s="20"/>
      <c r="AN346" s="19"/>
      <c r="AO346" s="20"/>
    </row>
    <row r="347" spans="1:41" x14ac:dyDescent="0.25">
      <c r="A347" s="240"/>
      <c r="B347" s="19" t="s">
        <v>148</v>
      </c>
      <c r="C347" s="20"/>
      <c r="D347" s="19"/>
      <c r="E347" s="20"/>
      <c r="F347" s="19"/>
      <c r="G347" s="20"/>
      <c r="H347" s="19"/>
      <c r="I347" s="20"/>
      <c r="J347" s="233"/>
      <c r="K347" s="20" t="s">
        <v>141</v>
      </c>
      <c r="L347" s="19"/>
      <c r="M347" s="20"/>
      <c r="N347" s="19"/>
      <c r="O347" s="20"/>
      <c r="P347" s="19"/>
      <c r="Q347" s="20"/>
      <c r="R347" s="18" t="s">
        <v>149</v>
      </c>
      <c r="S347" s="20"/>
      <c r="T347" s="19" t="s">
        <v>190</v>
      </c>
      <c r="U347" s="20"/>
      <c r="V347" s="19"/>
      <c r="W347" s="20"/>
      <c r="X347" s="19"/>
      <c r="Y347" s="20"/>
      <c r="Z347" s="18" t="s">
        <v>154</v>
      </c>
      <c r="AA347" s="17"/>
      <c r="AB347" s="225" t="s">
        <v>186</v>
      </c>
      <c r="AC347" s="17" t="s">
        <v>194</v>
      </c>
      <c r="AD347" s="19"/>
      <c r="AE347" s="17"/>
      <c r="AF347" s="19"/>
      <c r="AG347" s="20"/>
      <c r="AH347" s="19"/>
      <c r="AI347" s="20"/>
      <c r="AJ347" s="19"/>
      <c r="AK347" s="20"/>
      <c r="AL347" s="19"/>
      <c r="AM347" s="20"/>
      <c r="AN347" s="19"/>
      <c r="AO347" s="20"/>
    </row>
    <row r="348" spans="1:41" x14ac:dyDescent="0.25">
      <c r="A348" s="240"/>
      <c r="B348" s="18" t="s">
        <v>149</v>
      </c>
      <c r="C348" s="20"/>
      <c r="D348" s="19"/>
      <c r="E348" s="20"/>
      <c r="F348" s="19"/>
      <c r="G348" s="20"/>
      <c r="H348" s="19"/>
      <c r="I348" s="20"/>
      <c r="J348" s="234"/>
      <c r="K348" s="20" t="s">
        <v>145</v>
      </c>
      <c r="L348" s="19"/>
      <c r="M348" s="20"/>
      <c r="N348" s="19"/>
      <c r="O348" s="20"/>
      <c r="P348" s="19"/>
      <c r="Q348" s="20"/>
      <c r="R348" s="18" t="s">
        <v>150</v>
      </c>
      <c r="S348" s="20"/>
      <c r="T348" s="19"/>
      <c r="U348" s="20"/>
      <c r="V348" s="19"/>
      <c r="W348" s="20"/>
      <c r="X348" s="19"/>
      <c r="Y348" s="20"/>
      <c r="Z348" s="18" t="s">
        <v>149</v>
      </c>
      <c r="AA348" s="17"/>
      <c r="AB348" s="226"/>
      <c r="AC348" s="17" t="s">
        <v>337</v>
      </c>
      <c r="AD348" s="18"/>
      <c r="AE348" s="20"/>
      <c r="AF348" s="19"/>
      <c r="AG348" s="20"/>
      <c r="AH348" s="19"/>
      <c r="AI348" s="20"/>
      <c r="AJ348" s="19"/>
      <c r="AK348" s="20"/>
      <c r="AL348" s="19"/>
      <c r="AM348" s="20"/>
      <c r="AN348" s="19"/>
      <c r="AO348" s="20"/>
    </row>
    <row r="349" spans="1:41" x14ac:dyDescent="0.25">
      <c r="A349" s="240"/>
      <c r="B349" s="18" t="s">
        <v>150</v>
      </c>
      <c r="C349" s="20"/>
      <c r="D349" s="19"/>
      <c r="E349" s="20"/>
      <c r="F349" s="19"/>
      <c r="G349" s="20"/>
      <c r="H349" s="19"/>
      <c r="I349" s="20"/>
      <c r="J349" s="19" t="s">
        <v>148</v>
      </c>
      <c r="K349" s="20"/>
      <c r="L349" s="19"/>
      <c r="M349" s="20"/>
      <c r="N349" s="19"/>
      <c r="O349" s="20"/>
      <c r="P349" s="19"/>
      <c r="Q349" s="20"/>
      <c r="R349" s="19"/>
      <c r="S349" s="20"/>
      <c r="T349" s="19"/>
      <c r="U349" s="20"/>
      <c r="V349" s="19"/>
      <c r="W349" s="20"/>
      <c r="X349" s="19"/>
      <c r="Y349" s="20"/>
      <c r="Z349" s="18" t="s">
        <v>150</v>
      </c>
      <c r="AA349" s="17"/>
      <c r="AB349" s="226"/>
      <c r="AC349" s="17" t="s">
        <v>195</v>
      </c>
      <c r="AD349" s="18"/>
      <c r="AE349" s="20"/>
      <c r="AF349" s="19"/>
      <c r="AG349" s="20"/>
      <c r="AH349" s="19"/>
      <c r="AI349" s="20"/>
      <c r="AJ349" s="19"/>
      <c r="AK349" s="20"/>
      <c r="AL349" s="19"/>
      <c r="AM349" s="20"/>
      <c r="AN349" s="19"/>
      <c r="AO349" s="20"/>
    </row>
    <row r="350" spans="1:41" x14ac:dyDescent="0.25">
      <c r="A350" s="240"/>
      <c r="B350" s="19"/>
      <c r="C350" s="20"/>
      <c r="D350" s="19"/>
      <c r="E350" s="20"/>
      <c r="F350" s="19"/>
      <c r="G350" s="20"/>
      <c r="H350" s="19"/>
      <c r="I350" s="20"/>
      <c r="J350" s="19" t="s">
        <v>149</v>
      </c>
      <c r="K350" s="20"/>
      <c r="L350" s="19"/>
      <c r="M350" s="20"/>
      <c r="N350" s="19"/>
      <c r="O350" s="20"/>
      <c r="P350" s="19"/>
      <c r="Q350" s="20"/>
      <c r="R350" s="19"/>
      <c r="S350" s="20"/>
      <c r="T350" s="19"/>
      <c r="U350" s="20"/>
      <c r="V350" s="19"/>
      <c r="W350" s="20"/>
      <c r="X350" s="19"/>
      <c r="Y350" s="20"/>
      <c r="Z350" s="18"/>
      <c r="AA350" s="17"/>
      <c r="AB350" s="226"/>
      <c r="AC350" s="17" t="s">
        <v>350</v>
      </c>
      <c r="AD350" s="18"/>
      <c r="AE350" s="20"/>
      <c r="AF350" s="19"/>
      <c r="AG350" s="20"/>
      <c r="AH350" s="19"/>
      <c r="AI350" s="20"/>
      <c r="AJ350" s="19"/>
      <c r="AK350" s="20"/>
      <c r="AL350" s="19"/>
      <c r="AM350" s="20"/>
      <c r="AN350" s="19"/>
      <c r="AO350" s="20"/>
    </row>
    <row r="351" spans="1:41" x14ac:dyDescent="0.25">
      <c r="A351" s="240"/>
      <c r="B351" s="19"/>
      <c r="C351" s="20"/>
      <c r="D351" s="19"/>
      <c r="E351" s="20"/>
      <c r="F351" s="19"/>
      <c r="G351" s="20"/>
      <c r="H351" s="19"/>
      <c r="I351" s="20"/>
      <c r="J351" s="19" t="s">
        <v>150</v>
      </c>
      <c r="K351" s="20"/>
      <c r="L351" s="19"/>
      <c r="M351" s="20"/>
      <c r="N351" s="19"/>
      <c r="O351" s="20"/>
      <c r="P351" s="19"/>
      <c r="Q351" s="20"/>
      <c r="R351" s="19"/>
      <c r="S351" s="20"/>
      <c r="T351" s="19"/>
      <c r="U351" s="20"/>
      <c r="V351" s="19"/>
      <c r="W351" s="20"/>
      <c r="X351" s="19"/>
      <c r="Y351" s="20"/>
      <c r="Z351" s="18"/>
      <c r="AA351" s="17"/>
      <c r="AB351" s="227"/>
      <c r="AC351" s="17" t="s">
        <v>196</v>
      </c>
      <c r="AD351" s="18"/>
      <c r="AE351" s="20"/>
      <c r="AF351" s="19"/>
      <c r="AG351" s="20"/>
      <c r="AH351" s="19"/>
      <c r="AI351" s="20"/>
      <c r="AJ351" s="19"/>
      <c r="AK351" s="20"/>
      <c r="AL351" s="19"/>
      <c r="AM351" s="20"/>
      <c r="AN351" s="19"/>
      <c r="AO351" s="20"/>
    </row>
    <row r="352" spans="1:41" x14ac:dyDescent="0.25">
      <c r="A352" s="240"/>
      <c r="B352" s="19"/>
      <c r="C352" s="20"/>
      <c r="D352" s="19"/>
      <c r="E352" s="20"/>
      <c r="F352" s="19"/>
      <c r="G352" s="20"/>
      <c r="H352" s="19"/>
      <c r="I352" s="20"/>
      <c r="J352" s="19"/>
      <c r="K352" s="20"/>
      <c r="L352" s="19"/>
      <c r="M352" s="20"/>
      <c r="N352" s="19"/>
      <c r="O352" s="20"/>
      <c r="P352" s="19"/>
      <c r="Q352" s="20"/>
      <c r="R352" s="19"/>
      <c r="S352" s="20"/>
      <c r="T352" s="19"/>
      <c r="U352" s="20"/>
      <c r="V352" s="19"/>
      <c r="W352" s="20"/>
      <c r="X352" s="19"/>
      <c r="Y352" s="20"/>
      <c r="Z352" s="19"/>
      <c r="AA352" s="20"/>
      <c r="AB352" s="19" t="s">
        <v>190</v>
      </c>
      <c r="AC352" s="20"/>
      <c r="AD352" s="19"/>
      <c r="AE352" s="20"/>
      <c r="AF352" s="19"/>
      <c r="AG352" s="20"/>
      <c r="AH352" s="19"/>
      <c r="AI352" s="20"/>
      <c r="AJ352" s="19"/>
      <c r="AK352" s="20"/>
      <c r="AL352" s="19"/>
      <c r="AM352" s="20"/>
      <c r="AN352" s="19"/>
      <c r="AO352" s="20"/>
    </row>
  </sheetData>
  <mergeCells count="454">
    <mergeCell ref="X317:Y317"/>
    <mergeCell ref="AF317:AG317"/>
    <mergeCell ref="X338:Y338"/>
    <mergeCell ref="AF338:AG338"/>
    <mergeCell ref="P338:Q338"/>
    <mergeCell ref="P223:Q223"/>
    <mergeCell ref="X223:Y223"/>
    <mergeCell ref="AF223:AG223"/>
    <mergeCell ref="X240:Y240"/>
    <mergeCell ref="AF240:AG240"/>
    <mergeCell ref="P247:Q247"/>
    <mergeCell ref="P240:Q240"/>
    <mergeCell ref="P225:P226"/>
    <mergeCell ref="X224:X225"/>
    <mergeCell ref="X226:X230"/>
    <mergeCell ref="AF224:AF225"/>
    <mergeCell ref="AF226:AF228"/>
    <mergeCell ref="AF242:AF246"/>
    <mergeCell ref="X241:X245"/>
    <mergeCell ref="AD240:AE240"/>
    <mergeCell ref="Z240:AA240"/>
    <mergeCell ref="AB240:AC240"/>
    <mergeCell ref="AB241:AB242"/>
    <mergeCell ref="R242:R244"/>
    <mergeCell ref="AF339:AF341"/>
    <mergeCell ref="AF342:AF345"/>
    <mergeCell ref="X339:X340"/>
    <mergeCell ref="X341:X344"/>
    <mergeCell ref="H339:H342"/>
    <mergeCell ref="H343:H345"/>
    <mergeCell ref="P301:P308"/>
    <mergeCell ref="P309:P315"/>
    <mergeCell ref="P318:P323"/>
    <mergeCell ref="X318:X325"/>
    <mergeCell ref="X326:X331"/>
    <mergeCell ref="AF318:AF321"/>
    <mergeCell ref="AF322:AF326"/>
    <mergeCell ref="J337:Q337"/>
    <mergeCell ref="R337:Y337"/>
    <mergeCell ref="Z337:AG337"/>
    <mergeCell ref="AD338:AE338"/>
    <mergeCell ref="AD317:AE317"/>
    <mergeCell ref="N317:O317"/>
    <mergeCell ref="R317:S317"/>
    <mergeCell ref="T317:U317"/>
    <mergeCell ref="V317:W317"/>
    <mergeCell ref="Z317:AA317"/>
    <mergeCell ref="AB317:AC317"/>
    <mergeCell ref="AF189:AF194"/>
    <mergeCell ref="X198:Y198"/>
    <mergeCell ref="X200:X204"/>
    <mergeCell ref="P199:P201"/>
    <mergeCell ref="P198:Q198"/>
    <mergeCell ref="X213:X215"/>
    <mergeCell ref="X212:Y212"/>
    <mergeCell ref="AF169:AF172"/>
    <mergeCell ref="AF167:AG167"/>
    <mergeCell ref="P186:P187"/>
    <mergeCell ref="P185:Q185"/>
    <mergeCell ref="X185:Y185"/>
    <mergeCell ref="AF185:AG185"/>
    <mergeCell ref="X186:X187"/>
    <mergeCell ref="AF186:AF188"/>
    <mergeCell ref="V198:W198"/>
    <mergeCell ref="J197:Q197"/>
    <mergeCell ref="J187:J188"/>
    <mergeCell ref="L187:L189"/>
    <mergeCell ref="Z187:Z193"/>
    <mergeCell ref="J189:J192"/>
    <mergeCell ref="R189:R192"/>
    <mergeCell ref="AB191:AB192"/>
    <mergeCell ref="Z185:AA185"/>
    <mergeCell ref="AF134:AG134"/>
    <mergeCell ref="P134:Q134"/>
    <mergeCell ref="P69:Q69"/>
    <mergeCell ref="P70:P71"/>
    <mergeCell ref="P76:Q76"/>
    <mergeCell ref="P83:Q83"/>
    <mergeCell ref="P84:P85"/>
    <mergeCell ref="P90:P93"/>
    <mergeCell ref="P89:Q89"/>
    <mergeCell ref="P118:P123"/>
    <mergeCell ref="AD134:AE134"/>
    <mergeCell ref="Z77:Z80"/>
    <mergeCell ref="AB77:AB82"/>
    <mergeCell ref="AB76:AC76"/>
    <mergeCell ref="AD76:AE76"/>
    <mergeCell ref="Z75:AG75"/>
    <mergeCell ref="AF76:AG76"/>
    <mergeCell ref="P115:Q115"/>
    <mergeCell ref="P34:Q34"/>
    <mergeCell ref="P42:Q42"/>
    <mergeCell ref="P60:Q60"/>
    <mergeCell ref="R316:Y316"/>
    <mergeCell ref="Z316:AG316"/>
    <mergeCell ref="J269:Q269"/>
    <mergeCell ref="J281:Q281"/>
    <mergeCell ref="P248:P250"/>
    <mergeCell ref="P271:P274"/>
    <mergeCell ref="P270:Q270"/>
    <mergeCell ref="P170:P173"/>
    <mergeCell ref="J82:Q82"/>
    <mergeCell ref="J88:Q88"/>
    <mergeCell ref="J98:Q98"/>
    <mergeCell ref="J114:Q114"/>
    <mergeCell ref="J133:Q133"/>
    <mergeCell ref="Z133:AG133"/>
    <mergeCell ref="P100:P102"/>
    <mergeCell ref="P99:Q99"/>
    <mergeCell ref="P116:P117"/>
    <mergeCell ref="AF135:AF137"/>
    <mergeCell ref="AF138:AF142"/>
    <mergeCell ref="AF77:AF80"/>
    <mergeCell ref="AF81:AF87"/>
    <mergeCell ref="AF35:AF37"/>
    <mergeCell ref="J239:Q239"/>
    <mergeCell ref="R239:Y239"/>
    <mergeCell ref="Z239:AG239"/>
    <mergeCell ref="J246:Q246"/>
    <mergeCell ref="R197:Y197"/>
    <mergeCell ref="R211:Y211"/>
    <mergeCell ref="J222:Q222"/>
    <mergeCell ref="R222:Y222"/>
    <mergeCell ref="Z222:AG222"/>
    <mergeCell ref="X216:X218"/>
    <mergeCell ref="J140:Q140"/>
    <mergeCell ref="J152:Q152"/>
    <mergeCell ref="J166:Q166"/>
    <mergeCell ref="R166:Y166"/>
    <mergeCell ref="Z166:AG166"/>
    <mergeCell ref="J184:Q184"/>
    <mergeCell ref="R184:Y184"/>
    <mergeCell ref="Z184:AG184"/>
    <mergeCell ref="P168:P169"/>
    <mergeCell ref="AF46:AF50"/>
    <mergeCell ref="AF51:AF53"/>
    <mergeCell ref="AF45:AG45"/>
    <mergeCell ref="P61:P64"/>
    <mergeCell ref="AN3:AO3"/>
    <mergeCell ref="J2:Q2"/>
    <mergeCell ref="J1:Q1"/>
    <mergeCell ref="R1:Y1"/>
    <mergeCell ref="Z1:AG1"/>
    <mergeCell ref="AH1:AO1"/>
    <mergeCell ref="R2:Y2"/>
    <mergeCell ref="Z2:AG2"/>
    <mergeCell ref="AH2:AO2"/>
    <mergeCell ref="F3:G3"/>
    <mergeCell ref="F338:G338"/>
    <mergeCell ref="P3:Q3"/>
    <mergeCell ref="X3:Y3"/>
    <mergeCell ref="R16:Y16"/>
    <mergeCell ref="J59:Q59"/>
    <mergeCell ref="J68:Q68"/>
    <mergeCell ref="J75:Q75"/>
    <mergeCell ref="AB342:AB343"/>
    <mergeCell ref="J343:J348"/>
    <mergeCell ref="R343:R346"/>
    <mergeCell ref="T338:U338"/>
    <mergeCell ref="V338:W338"/>
    <mergeCell ref="Z338:AA338"/>
    <mergeCell ref="AB338:AC338"/>
    <mergeCell ref="R318:R324"/>
    <mergeCell ref="Z318:Z322"/>
    <mergeCell ref="J319:J320"/>
    <mergeCell ref="N320:N323"/>
    <mergeCell ref="AB320:AB322"/>
    <mergeCell ref="J321:J324"/>
    <mergeCell ref="Z323:Z330"/>
    <mergeCell ref="J317:K317"/>
    <mergeCell ref="L317:M317"/>
    <mergeCell ref="AB345:AB346"/>
    <mergeCell ref="AB347:AB351"/>
    <mergeCell ref="B340:B341"/>
    <mergeCell ref="D340:D341"/>
    <mergeCell ref="J340:J342"/>
    <mergeCell ref="L341:L342"/>
    <mergeCell ref="T341:T345"/>
    <mergeCell ref="B342:B343"/>
    <mergeCell ref="D342:D343"/>
    <mergeCell ref="R339:R342"/>
    <mergeCell ref="Z339:Z341"/>
    <mergeCell ref="AB339:AB341"/>
    <mergeCell ref="Z342:Z346"/>
    <mergeCell ref="D338:E338"/>
    <mergeCell ref="H338:I338"/>
    <mergeCell ref="J338:K338"/>
    <mergeCell ref="L338:M338"/>
    <mergeCell ref="N338:O338"/>
    <mergeCell ref="R338:S338"/>
    <mergeCell ref="R325:R329"/>
    <mergeCell ref="A337:A352"/>
    <mergeCell ref="B337:I337"/>
    <mergeCell ref="B338:C338"/>
    <mergeCell ref="B344:B346"/>
    <mergeCell ref="L344:L345"/>
    <mergeCell ref="J301:J303"/>
    <mergeCell ref="J304:J310"/>
    <mergeCell ref="A316:A336"/>
    <mergeCell ref="J325:J331"/>
    <mergeCell ref="J316:Q316"/>
    <mergeCell ref="J287:J296"/>
    <mergeCell ref="L287:L290"/>
    <mergeCell ref="J300:K300"/>
    <mergeCell ref="L300:M300"/>
    <mergeCell ref="N300:O300"/>
    <mergeCell ref="J299:Q299"/>
    <mergeCell ref="A239:A315"/>
    <mergeCell ref="P282:Q282"/>
    <mergeCell ref="P300:Q300"/>
    <mergeCell ref="P317:Q317"/>
    <mergeCell ref="L278:L279"/>
    <mergeCell ref="J282:K282"/>
    <mergeCell ref="L282:M282"/>
    <mergeCell ref="N282:O282"/>
    <mergeCell ref="J283:J286"/>
    <mergeCell ref="J257:J264"/>
    <mergeCell ref="J270:K270"/>
    <mergeCell ref="L270:M270"/>
    <mergeCell ref="N270:O270"/>
    <mergeCell ref="J272:J274"/>
    <mergeCell ref="L273:L275"/>
    <mergeCell ref="J247:K247"/>
    <mergeCell ref="L247:M247"/>
    <mergeCell ref="N247:O247"/>
    <mergeCell ref="J248:J256"/>
    <mergeCell ref="N248:N249"/>
    <mergeCell ref="L249:L251"/>
    <mergeCell ref="L252:L255"/>
    <mergeCell ref="A222:A238"/>
    <mergeCell ref="J223:K223"/>
    <mergeCell ref="L223:M223"/>
    <mergeCell ref="N223:O223"/>
    <mergeCell ref="R223:S223"/>
    <mergeCell ref="T223:U223"/>
    <mergeCell ref="V223:W223"/>
    <mergeCell ref="Z242:Z245"/>
    <mergeCell ref="J240:K240"/>
    <mergeCell ref="L240:M240"/>
    <mergeCell ref="N240:O240"/>
    <mergeCell ref="R240:S240"/>
    <mergeCell ref="T240:U240"/>
    <mergeCell ref="V240:W240"/>
    <mergeCell ref="Z227:Z229"/>
    <mergeCell ref="L229:L231"/>
    <mergeCell ref="T232:T237"/>
    <mergeCell ref="J227:J228"/>
    <mergeCell ref="R227:R232"/>
    <mergeCell ref="R224:R226"/>
    <mergeCell ref="Z224:Z226"/>
    <mergeCell ref="J225:J226"/>
    <mergeCell ref="T226:T229"/>
    <mergeCell ref="AB185:AC185"/>
    <mergeCell ref="AD185:AE185"/>
    <mergeCell ref="R186:R188"/>
    <mergeCell ref="V186:V188"/>
    <mergeCell ref="AB186:AB189"/>
    <mergeCell ref="X188:X193"/>
    <mergeCell ref="Z223:AA223"/>
    <mergeCell ref="AB223:AC223"/>
    <mergeCell ref="AD223:AE223"/>
    <mergeCell ref="A184:A221"/>
    <mergeCell ref="J185:K185"/>
    <mergeCell ref="L185:M185"/>
    <mergeCell ref="N185:O185"/>
    <mergeCell ref="R185:S185"/>
    <mergeCell ref="T185:U185"/>
    <mergeCell ref="V185:W185"/>
    <mergeCell ref="J199:J200"/>
    <mergeCell ref="N199:N201"/>
    <mergeCell ref="R200:R204"/>
    <mergeCell ref="J201:J206"/>
    <mergeCell ref="T202:T206"/>
    <mergeCell ref="J198:K198"/>
    <mergeCell ref="L198:M198"/>
    <mergeCell ref="N198:O198"/>
    <mergeCell ref="R198:S198"/>
    <mergeCell ref="T198:U198"/>
    <mergeCell ref="R212:S212"/>
    <mergeCell ref="T212:U212"/>
    <mergeCell ref="V212:W212"/>
    <mergeCell ref="T213:T217"/>
    <mergeCell ref="R214:R217"/>
    <mergeCell ref="AD167:AE167"/>
    <mergeCell ref="V168:V169"/>
    <mergeCell ref="AB168:AB171"/>
    <mergeCell ref="J169:J172"/>
    <mergeCell ref="L169:L171"/>
    <mergeCell ref="R169:R172"/>
    <mergeCell ref="T169:T172"/>
    <mergeCell ref="Z169:Z171"/>
    <mergeCell ref="J167:K167"/>
    <mergeCell ref="L167:M167"/>
    <mergeCell ref="N167:O167"/>
    <mergeCell ref="R167:S167"/>
    <mergeCell ref="T167:U167"/>
    <mergeCell ref="V167:W167"/>
    <mergeCell ref="Z167:AA167"/>
    <mergeCell ref="AB167:AC167"/>
    <mergeCell ref="P167:Q167"/>
    <mergeCell ref="X168:X171"/>
    <mergeCell ref="X172:X174"/>
    <mergeCell ref="X167:Y167"/>
    <mergeCell ref="A166:A183"/>
    <mergeCell ref="L172:L173"/>
    <mergeCell ref="J145:J148"/>
    <mergeCell ref="L147:L149"/>
    <mergeCell ref="J153:K153"/>
    <mergeCell ref="L153:M153"/>
    <mergeCell ref="AB172:AB173"/>
    <mergeCell ref="J173:J177"/>
    <mergeCell ref="T174:T179"/>
    <mergeCell ref="L175:L178"/>
    <mergeCell ref="AB176:AB179"/>
    <mergeCell ref="P153:Q153"/>
    <mergeCell ref="P154:P156"/>
    <mergeCell ref="N153:O153"/>
    <mergeCell ref="J136:J137"/>
    <mergeCell ref="AB136:AB139"/>
    <mergeCell ref="J141:K141"/>
    <mergeCell ref="L141:M141"/>
    <mergeCell ref="N141:O141"/>
    <mergeCell ref="J142:J144"/>
    <mergeCell ref="N142:N143"/>
    <mergeCell ref="A133:A165"/>
    <mergeCell ref="J134:K134"/>
    <mergeCell ref="L134:M134"/>
    <mergeCell ref="N134:O134"/>
    <mergeCell ref="Z134:AA134"/>
    <mergeCell ref="AB134:AC134"/>
    <mergeCell ref="Z135:Z137"/>
    <mergeCell ref="J154:J156"/>
    <mergeCell ref="J157:J160"/>
    <mergeCell ref="J161:J162"/>
    <mergeCell ref="P142:P144"/>
    <mergeCell ref="P141:Q141"/>
    <mergeCell ref="L89:M89"/>
    <mergeCell ref="N89:O89"/>
    <mergeCell ref="J116:J117"/>
    <mergeCell ref="N117:N119"/>
    <mergeCell ref="J118:J129"/>
    <mergeCell ref="L119:L120"/>
    <mergeCell ref="J102:J111"/>
    <mergeCell ref="L105:L106"/>
    <mergeCell ref="J115:K115"/>
    <mergeCell ref="L115:M115"/>
    <mergeCell ref="N115:O115"/>
    <mergeCell ref="A75:A132"/>
    <mergeCell ref="N84:N86"/>
    <mergeCell ref="J90:J91"/>
    <mergeCell ref="J60:K60"/>
    <mergeCell ref="L60:M60"/>
    <mergeCell ref="N60:O60"/>
    <mergeCell ref="J63:J65"/>
    <mergeCell ref="J78:J79"/>
    <mergeCell ref="Z81:Z85"/>
    <mergeCell ref="J83:K83"/>
    <mergeCell ref="L83:M83"/>
    <mergeCell ref="N83:O83"/>
    <mergeCell ref="J84:J85"/>
    <mergeCell ref="J76:K76"/>
    <mergeCell ref="L76:M76"/>
    <mergeCell ref="N76:O76"/>
    <mergeCell ref="Z76:AA76"/>
    <mergeCell ref="J92:J95"/>
    <mergeCell ref="J99:K99"/>
    <mergeCell ref="L99:M99"/>
    <mergeCell ref="N99:O99"/>
    <mergeCell ref="J100:J101"/>
    <mergeCell ref="N100:N101"/>
    <mergeCell ref="J89:K89"/>
    <mergeCell ref="A33:A74"/>
    <mergeCell ref="J34:K34"/>
    <mergeCell ref="L34:M34"/>
    <mergeCell ref="N34:O34"/>
    <mergeCell ref="Z34:AA34"/>
    <mergeCell ref="L50:L51"/>
    <mergeCell ref="L52:L53"/>
    <mergeCell ref="Z52:Z54"/>
    <mergeCell ref="L54:L56"/>
    <mergeCell ref="Z45:AA45"/>
    <mergeCell ref="Z46:Z51"/>
    <mergeCell ref="L44:L48"/>
    <mergeCell ref="J69:K69"/>
    <mergeCell ref="L69:M69"/>
    <mergeCell ref="N69:O69"/>
    <mergeCell ref="J71:J72"/>
    <mergeCell ref="Z33:AG33"/>
    <mergeCell ref="J33:Q33"/>
    <mergeCell ref="J41:Q41"/>
    <mergeCell ref="Z44:AG44"/>
    <mergeCell ref="AF34:AG34"/>
    <mergeCell ref="J42:K42"/>
    <mergeCell ref="L42:M42"/>
    <mergeCell ref="N42:O42"/>
    <mergeCell ref="AJ5:AJ8"/>
    <mergeCell ref="AH6:AH17"/>
    <mergeCell ref="Z5:Z14"/>
    <mergeCell ref="AB5:AB10"/>
    <mergeCell ref="J47:J49"/>
    <mergeCell ref="N35:N36"/>
    <mergeCell ref="Z35:Z37"/>
    <mergeCell ref="J36:J38"/>
    <mergeCell ref="Z38:Z41"/>
    <mergeCell ref="Z26:Z28"/>
    <mergeCell ref="AB45:AC45"/>
    <mergeCell ref="AD45:AE45"/>
    <mergeCell ref="AB46:AB47"/>
    <mergeCell ref="Z19:AG19"/>
    <mergeCell ref="N43:N44"/>
    <mergeCell ref="J44:J46"/>
    <mergeCell ref="AB34:AC34"/>
    <mergeCell ref="AD34:AE34"/>
    <mergeCell ref="R19:R22"/>
    <mergeCell ref="AH19:AH20"/>
    <mergeCell ref="X5:X10"/>
    <mergeCell ref="AF5:AF9"/>
    <mergeCell ref="X17:Y17"/>
    <mergeCell ref="AF20:AG20"/>
    <mergeCell ref="B4:B5"/>
    <mergeCell ref="D5:D7"/>
    <mergeCell ref="L5:L8"/>
    <mergeCell ref="R5:R12"/>
    <mergeCell ref="Z20:AA20"/>
    <mergeCell ref="AB20:AC20"/>
    <mergeCell ref="AD20:AE20"/>
    <mergeCell ref="T21:T25"/>
    <mergeCell ref="Z21:Z25"/>
    <mergeCell ref="AB23:AB24"/>
    <mergeCell ref="AB25:AB27"/>
    <mergeCell ref="B1:I1"/>
    <mergeCell ref="A2:A32"/>
    <mergeCell ref="B2:I2"/>
    <mergeCell ref="Z3:AA3"/>
    <mergeCell ref="AB3:AC3"/>
    <mergeCell ref="AD3:AE3"/>
    <mergeCell ref="AH3:AI3"/>
    <mergeCell ref="AJ3:AK3"/>
    <mergeCell ref="AL3:AM3"/>
    <mergeCell ref="AF3:AG3"/>
    <mergeCell ref="B3:C3"/>
    <mergeCell ref="D3:E3"/>
    <mergeCell ref="H3:I3"/>
    <mergeCell ref="J3:K3"/>
    <mergeCell ref="L3:M3"/>
    <mergeCell ref="N3:O3"/>
    <mergeCell ref="R3:S3"/>
    <mergeCell ref="T3:U3"/>
    <mergeCell ref="V3:W3"/>
    <mergeCell ref="D8:D10"/>
    <mergeCell ref="L9:L11"/>
    <mergeCell ref="R17:S17"/>
    <mergeCell ref="T17:U17"/>
    <mergeCell ref="V17:W17"/>
  </mergeCells>
  <phoneticPr fontId="3" type="noConversion"/>
  <conditionalFormatting sqref="B2:AO12 B13:AD13 AF13:AO13 B14:AO352">
    <cfRule type="expression" dxfId="58" priority="14">
      <formula>IF(B2&lt;&gt;"",FIND(B2,s01d_查找全)*COUNTIF(i01_清單過程組,B2),)</formula>
    </cfRule>
    <cfRule type="expression" dxfId="57" priority="16">
      <formula>IF(B2&lt;&gt;"",(B2=s01d_查找)*(B$3="更新"),)</formula>
    </cfRule>
    <cfRule type="expression" dxfId="56" priority="22">
      <formula>IF(B2&lt;&gt;"",(B2=s01d_查找)*(B$3="產出"),)</formula>
    </cfRule>
    <cfRule type="expression" dxfId="55" priority="28">
      <formula>IF(B2&lt;&gt;"",(B2=s01d_工具),)</formula>
    </cfRule>
    <cfRule type="expression" dxfId="54" priority="33">
      <formula>IF(B2&lt;&gt;"",(B2=s01d_查找)*(B$3="投入"),)</formula>
    </cfRule>
  </conditionalFormatting>
  <conditionalFormatting sqref="B3:AO12 B13:AD352 AF13:AO352 AE16:AE352">
    <cfRule type="expression" dxfId="53" priority="5">
      <formula>IF(B2&lt;&gt;"",FIND(B2,s01d_查找_投入)*COUNTIF(i01_清單過程組,B2),)</formula>
    </cfRule>
  </conditionalFormatting>
  <conditionalFormatting sqref="F3:AO12 F15:AO352 F13:AD14 AF13:AO14">
    <cfRule type="expression" dxfId="52" priority="2">
      <formula>IF(B2&lt;&gt;"",FIND(B2,s01d_查找_產出)*COUNTIF(i01_清單過程組,B2),)</formula>
    </cfRule>
  </conditionalFormatting>
  <conditionalFormatting sqref="H3:AO12 H15:AO352 H13:AD14 AF13:AO14">
    <cfRule type="expression" dxfId="51" priority="1">
      <formula>IF(B2&lt;&gt;"",FIND(B2,s01d_查找_更新)*COUNTIF(i01_清單過程組,B2),)</formula>
    </cfRule>
  </conditionalFormatting>
  <conditionalFormatting sqref="D3:AO12 D15:AO352 D13:AD14 AF13:AO14">
    <cfRule type="expression" dxfId="50" priority="3">
      <formula>IF(B2&lt;&gt;"",FIND(B2,s01_工具_組件)*COUNTIF(i01_清單過程組,B2),)</formula>
    </cfRule>
  </conditionalFormatting>
  <conditionalFormatting sqref="B2:AO12 B13:AD13 AF13:AO13 B14:AO351">
    <cfRule type="expression" dxfId="49" priority="15">
      <formula>IF(B2&lt;&gt;"",(B2=s01_查找1)*(B$3="更新"),)*COUNTIF(a02_子清單範圍,s01d_查找)</formula>
    </cfRule>
    <cfRule type="expression" dxfId="48" priority="17">
      <formula>IF(B2&lt;&gt;"",(B2=s01_查找1)*(B$3="產出"),)*COUNTIF(a02_子清單範圍,s01d_查找)</formula>
    </cfRule>
    <cfRule type="expression" dxfId="47" priority="27">
      <formula>IF(B2&lt;&gt;"",(B2=s01_工具1)*COUNTIF(a02_子清單範圍,s01d_工具))</formula>
    </cfRule>
    <cfRule type="expression" dxfId="46" priority="29">
      <formula>IF(B2&lt;&gt;"",(B2=s01_查找1)*(B$3="投入"),)*COUNTIF(a02_子清單範圍,s01d_查找)</formula>
    </cfRule>
  </conditionalFormatting>
  <conditionalFormatting sqref="AE14">
    <cfRule type="expression" dxfId="45" priority="64">
      <formula>IF(AE12&lt;&gt;"",FIND(AE12,s01d_查找_投入)*COUNTIF(i01_清單過程組,AE12),)</formula>
    </cfRule>
  </conditionalFormatting>
  <conditionalFormatting sqref="AE15">
    <cfRule type="expression" dxfId="44" priority="65">
      <formula>IF(#REF!&lt;&gt;"",FIND(#REF!,s01d_查找_投入)*COUNTIF(i01_清單過程組,#REF!),)</formula>
    </cfRule>
  </conditionalFormatting>
  <conditionalFormatting sqref="AE14">
    <cfRule type="expression" dxfId="43" priority="67">
      <formula>IF(AA12&lt;&gt;"",FIND(AA12,s01d_查找_產出)*COUNTIF(i01_清單過程組,AA12),)</formula>
    </cfRule>
  </conditionalFormatting>
  <conditionalFormatting sqref="AE14">
    <cfRule type="expression" dxfId="42" priority="69">
      <formula>IF(Y12&lt;&gt;"",FIND(Y12,s01d_查找_更新)*COUNTIF(i01_清單過程組,Y12),)</formula>
    </cfRule>
  </conditionalFormatting>
  <conditionalFormatting sqref="AE14">
    <cfRule type="expression" dxfId="41" priority="71">
      <formula>IF(AC12&lt;&gt;"",FIND(AC12,s01_工具_組件)*COUNTIF(i01_清單過程組,AC12),)</formula>
    </cfRule>
  </conditionalFormatting>
  <dataValidations count="5">
    <dataValidation type="list" allowBlank="1" showInputMessage="1" showErrorMessage="1" sqref="E339:E1048576 E4:E286 M4:M32 U199 AK4:AK1048576 M339:M1048576 AC241:AC242 U339:U1048576 U224:U226 E2 U2 AC2 AK2 U4:U16 AC4:AC19 AC21:AC33 M35:M41 AC35:AC44 M43:M59 M61:M68 M70:M75 AC46:AC75 M77:M82 M84:M88 M90:M98 M100:M114 M116:M133 AC77:AC133 M135:M140 M142:M152 M154:M166 U18:U166 AC135:AC166 AC168:AC184 M168:M184 U168:U184 U186:U197 M186:M197 U202:U211 U213:U222 AC186:AC222 M199:M222 M224:M239 U230:U239 AC224:AC239 M241:M246 M248:M269 M271:M281 M283:M299 M301:M316 AC245:AC316 U241:U316 U318:U337 M318:M337 E294:E337 AC318:AC337 AC339:AC1048576">
      <formula1>i01_清單工具與技術元件</formula1>
    </dataValidation>
    <dataValidation type="list" allowBlank="1" showInputMessage="1" showErrorMessage="1" sqref="AH18:AH19 J43:J44 N248 J168:J169 B347:B1048576 V346:V1048576 J224:J225 H348:H1048576 Z21 Z347:Z1048576 P4:P32 B342 B344 X341 J349:J1048576 J343 R325 J321 J325 J304 R347:R1048576 J283 J257 N310 P301 J287 N301:N302 N271 N123 P248 N250 R241:R242 J227 N224:N226 V224:V225 J201 J189 N202 J173 N186:N188 AH21:AH24 R186 N172 N154 X168 J157 J161 P154 J145 J118 N144 V329 P142 J116 J142 N156 P116 N102 J100 J102 J92 P100 J84 P90 P84 J70:J71 Z77 N61:N62 P70 P61 J47 AD46:AD48 N4:N32 AF35 Z168:Z169 AD135:AD138 V170:V171 V175 V186 R189 Z186:Z187 V189:W190 V192 V213:V214 X216 V217 R227 X226 V227 V241:V242 Z241:Z242 R343 V342 AD348:AD1048576 Z342 Z323 AD344 AD326 AF322 X241 Z227 AD228 AD186:AD188 AD191 P186 AD168:AD173 AD84 P168 AD141 AF135 AD77:AD80 Z81 Z46 Z52 AF77 AD53 Z35 AF46 Z38 AD35:AD38 Z26 X326 N120:N121 P271 AF318 F348:F1048576 F345 P348:P1048576 AN345 P345 X348:X1048576 H2 X345 AF348:AF1048576 B2 AN348:AN1048576 AN2 P339:P341 N43 AF168:AF169 R18:R19 AF51 H343 J35:J36 J61:J63 N70:N71 N90:N91 P118 N100 AF138 AF81 J77:J78 P170 V168 N142 X172 X186 X188 V201:V202 AF186 AF189 N168:N170 P224:P225 B339:B340 X213 N324:N326 N116:N117 X224 AF224 AF226 AF241:AF242 AD241:AD244 R224 J248 P309 J271:J272 AF342 R168:R169 Z135 J90 J135:J136 J154 F2 N84 AD224:AD226 P199 Z224 R213:R214 R199:R200 N199 J199 V199 J186:J187 X318 X199:X200 P318 V318:V321 Z318 J318:J319 R318 AD318:AD322 F339:F341 AF339 AH26:AH1048576 AH4:AH6 AD2 X339 N339:N1048576 V339:V340 AD339:AD341 Z339 R339 J339:J340 N318:N320 J301 V2 X2 J2 N35 X4:X5 V4:V9 AF2 R2 R4:R5 AF4:AF5 AD4:AD7 AL2 Z2 Z4:Z5 AL4:AL1048576 AN4:AN341 B4 AH2 V15:V16 X11:X16 R13:R16 AF10:AF19 Z15:Z19 AD12:AD19 J4:J33 AD21:AD33 Z29:Z33 AF21:AF33 P35:P41 J39:J41 N37:N41 AF38:AF44 Z42:Z44 AD41:AD44 P43:P59 N45:N59 J50:J59 P65:P68 J66:J68 N66:N68 P72:P75 N73:N75 J73:J75 AF54:AF75 AD56:AD75 Z55:Z75 P77:P82 J80:J82 N77:N82 J86:J88 P86:P88 N87:N88 P94:P98 J96:J98 N95:N98 P103:P114 J112:J114 N105:N114 P124:P133 N129:N133 J130:J133 Z86:Z133 AF88:AF133 AD89:AD133 J138:J140 P135:P140 N135:N140 P145:P152 N147:N152 J149:J152 R23:R166 V18:V166 AF143:AF166 P157:P166 AD146:AD166 Z138:Z166 X18:X166 J163:J166 N159:N166 AF173:AF184 X175:X184 P174:P184 AD177:AD184 Z172:Z184 V178:V184 R173:R184 N176:N184 J178:J184 V197 J193:J197 N190:N197 R193:R197 P188:P197 X194:X197 X205:X211 V207:V211 R205:R211 Z194:Z222 AD197:AD222 AF195:AF222 X219:X222 P202:P222 V220:V222 N205:N222 J207:J222 R218:R222 P227:P239 AF229:AF239 X231:X239 Z230:Z239 V232:V239 R233:R239 N228:N239 J229:J239 AD231:AD239 P241:P246 N241:N246 J241:J246 P251:P269 N253:N269 J265:J269 P275:P281 J275:J281 N275:N281 N283:N299 P283:P299 J297:J299 AD249:AD316 R245:R316 J311:J316 Z246:Z316 V247:V316 P316 X246:X316 AF247:AF316 N316 J332:J337 R330:R337 Z331:Z337 AD331:AD337 V335:V337 N332:N337 X332:X337 AF327:AF337 F4:F337 B6:B337 P324:P337 H4:H337 H339">
      <formula1>i01_清單投入與產出</formula1>
    </dataValidation>
    <dataValidation type="list" allowBlank="1" showInputMessage="1" showErrorMessage="1" sqref="K301:K304 K293 K4:K32 I339:I1048576 O286:O287 O4:O32 W339:W1048576 Y339:Y1048576 W199 AG339:AG1048576 K339:K1048576 K248:K257 S339:S1048576 O283:O284 G339:G1048576 AI4:AI1048576 AO4:AO1048576 K283:K287 AE339:AE1048576 Q339:Q1048576 C339:C1048576 O339:O1048576 Q4:Q32 W186:W188 S18:S115 AM4:AM1048576 C2 G2 I2 Y2 S2 W2 AG2 AE2 AA2 AO2 AI2 AM2 W4:W16 Y4:Y16 S4:S16 AA4:AA19 AG4:AG19 AA21:AA33 AE21:AE33 AG21:AG33 K35:K41 Q35:Q41 O35:O41 AG35:AG44 AA35:AA44 AE35:AE44 O43:O59 K43:K59 Q43:Q59 Q61:Q68 O61:O68 K61:K68 K70:K75 Q70:Q75 O70:O75 AE46:AE75 AG46:AG75 AA46:AA75 O77:O82 K77:K82 Q77:Q82 Q84:Q88 O84:O88 K84:K88 K90:K98 Q90:Q98 O90:O98 O100:O114 K100:K114 Q100:Q114 Q116:Q133 O116:O133 K116:K133 AA77:AA133 AE77:AE133 AG77:AG133 K135:K140 Q135:Q140 O135:O140 O142:O152 K142:K152 Q142:Q152 Q154:Q166 AG135:AG166 S117:S166 AA135:AA166 AE135:AE166 O154:O166 K154:K166 W18:W166 Y18:Y166 Y168:Y184 Q168:Q184 AG168:AG184 S168:S184 AA168:AA184 AE168:AE184 O168:O184 K168:K184 W168:W184 Y186:Y197 Q186:Q197 S186:S197 W191:W197 O186:O197 K186:K197 Y199:Y211 W201:W211 S199:S211 S213:S222 K199:K222 AG186:AG222 Q199:Q222 Y213:Y222 W213:W222 AA186:AA222 AE186:AE222 O199:O222 O224:O239 S224:S239 K224:K239 AG224:AG239 Q224:Q239 Y224:Y239 W224:W239 AA224:AA239 AE224:AE239 O241:O246 K241:K246 Q241:Q246 Q248:Q269 O248:O269 K261:K269 K271:K281 Q271:Q281 O271:O281 O289:O299 K295:K299 Q283:Q299 Q301:Q316 AE241:AE316 S241:S316 K310:K316 AG241:AG316 Y241:Y316 W241:W316 AA241:AA316 O301:O316 O318:O337 C4:C337 Q318:Q337 AE318:AE337 G4:G337 S318:S337 K318:K337 AG318:AG337 Y318:Y337 W318:W337 I4:I337 AA318:AA337 AA339:AA1048576 AE4:AE12 AE14:AE19">
      <formula1>i01_清單投入與產出元件</formula1>
    </dataValidation>
    <dataValidation type="list" allowBlank="1" showInputMessage="1" showErrorMessage="1" sqref="D344:D1048576 L224:L229 T346:T1048576 T18:T21 D4:D5 D8 D342 L346:L1048576 L343:L344 L283:L287 L271:L273 L276:L278 L248:L249 L252 AB241 AB186 L172 L174:L175 L142:L147 L116:L119 L100:L105 L49:L50 L52 L54 D2 T173:T174 T199:T202 T230:T232 AB352:AB1048576 AB342 AB344:AB345 AB347 L12 AB190:AB191 AB318:AB320 AB172 AB174:AB176 T168:T169 AB77 L43:L44 AB25 AB2 T2 L4:L5 L9 L14:L32 AB21:AB23 AB135:AB136 L168:L169 AB46 T213 AB168 L186:L187 AB339 T224:T226 L301:L308 D339:D340 AJ9:AJ1048576 T339:T341 AJ4:AJ5 AB4:AB5 AJ2 T4:T16 AB11:AB19 AB28:AB33 L35:L41 AB35:AB44 L57:L59 L61:L68 L70:L75 AB48:AB75 L77:L82 L84:L88 L90:L98 L107:L114 L121:L133 AB83:AB133 L135:L140 L150:L152 L154:L166 T26:T166 AB140:AB166 T180:T184 AB180:AB184 L179:L184 L190:L197 T186:T197 T207:T211 AB193:AB222 L199:L222 T218:T222 T238:T239 AB224:AB239 L232:L239 L241:L246 L256:L269 L280:L281 L291:L299 L310:L316 AB243:AB316 T241:T316 T318:T337 D11:D337 AB323:AB337 L318:L337 L339:L341">
      <formula1>i01_清單工具與技術</formula1>
    </dataValidation>
    <dataValidation type="list" allowBlank="1" showInputMessage="1" showErrorMessage="1" sqref="A1:XFD1">
      <formula1>i01_清單知識領域</formula1>
    </dataValidation>
  </dataValidations>
  <pageMargins left="0.11811023622047245" right="0.11811023622047245" top="0.15748031496062992" bottom="0.15748031496062992" header="0.11811023622047245" footer="0.11811023622047245"/>
  <pageSetup paperSize="9" scale="45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N42"/>
  <sheetViews>
    <sheetView zoomScale="40" zoomScaleNormal="40" workbookViewId="0">
      <pane xSplit="1" ySplit="1" topLeftCell="B2" activePane="bottomRight" state="frozen"/>
      <selection activeCell="HR29" sqref="HR29"/>
      <selection pane="topRight" activeCell="HR29" sqref="HR29"/>
      <selection pane="bottomLeft" activeCell="HR29" sqref="HR29"/>
      <selection pane="bottomRight" activeCell="LP33" sqref="LP33"/>
    </sheetView>
  </sheetViews>
  <sheetFormatPr defaultRowHeight="36.75" x14ac:dyDescent="0.25"/>
  <cols>
    <col min="1" max="1" width="12.25" style="36" customWidth="1"/>
    <col min="2" max="352" width="14.625" customWidth="1"/>
    <col min="353" max="359" width="15.625" customWidth="1"/>
  </cols>
  <sheetData>
    <row r="1" spans="1:352" ht="64.5" customHeight="1" x14ac:dyDescent="0.25">
      <c r="A1" s="14"/>
      <c r="B1" s="221" t="s">
        <v>274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 t="s">
        <v>283</v>
      </c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/>
      <c r="AU1" s="221"/>
      <c r="AV1" s="221"/>
      <c r="AW1" s="221"/>
      <c r="AX1" s="221"/>
      <c r="AY1" s="221"/>
      <c r="AZ1" s="221"/>
      <c r="BA1" s="221"/>
      <c r="BB1" s="221"/>
      <c r="BC1" s="221"/>
      <c r="BD1" s="221"/>
      <c r="BE1" s="221"/>
      <c r="BF1" s="221"/>
      <c r="BG1" s="221"/>
      <c r="BH1" s="221"/>
      <c r="BI1" s="221"/>
      <c r="BJ1" s="221"/>
      <c r="BK1" s="221"/>
      <c r="BL1" s="221"/>
      <c r="BM1" s="221"/>
      <c r="BN1" s="221"/>
      <c r="BO1" s="221"/>
      <c r="BP1" s="221"/>
      <c r="BQ1" s="221"/>
      <c r="BR1" s="221"/>
      <c r="BS1" s="221"/>
      <c r="BT1" s="221"/>
      <c r="BU1" s="221"/>
      <c r="BV1" s="221"/>
      <c r="BW1" s="221" t="s">
        <v>284</v>
      </c>
      <c r="BX1" s="221"/>
      <c r="BY1" s="221"/>
      <c r="BZ1" s="221"/>
      <c r="CA1" s="221"/>
      <c r="CB1" s="221"/>
      <c r="CC1" s="221"/>
      <c r="CD1" s="221"/>
      <c r="CE1" s="221"/>
      <c r="CF1" s="221"/>
      <c r="CG1" s="221"/>
      <c r="CH1" s="221"/>
      <c r="CI1" s="221"/>
      <c r="CJ1" s="221"/>
      <c r="CK1" s="221"/>
      <c r="CL1" s="221"/>
      <c r="CM1" s="221"/>
      <c r="CN1" s="221"/>
      <c r="CO1" s="221"/>
      <c r="CP1" s="221"/>
      <c r="CQ1" s="221"/>
      <c r="CR1" s="221"/>
      <c r="CS1" s="221"/>
      <c r="CT1" s="221"/>
      <c r="CU1" s="221"/>
      <c r="CV1" s="221"/>
      <c r="CW1" s="221"/>
      <c r="CX1" s="221"/>
      <c r="CY1" s="221"/>
      <c r="CZ1" s="221"/>
      <c r="DA1" s="221"/>
      <c r="DB1" s="221"/>
      <c r="DC1" s="221"/>
      <c r="DD1" s="221"/>
      <c r="DE1" s="221"/>
      <c r="DF1" s="221"/>
      <c r="DG1" s="221"/>
      <c r="DH1" s="221"/>
      <c r="DI1" s="221"/>
      <c r="DJ1" s="221"/>
      <c r="DK1" s="221"/>
      <c r="DL1" s="221"/>
      <c r="DM1" s="221"/>
      <c r="DN1" s="221"/>
      <c r="DO1" s="221"/>
      <c r="DP1" s="221"/>
      <c r="DQ1" s="221"/>
      <c r="DR1" s="221"/>
      <c r="DS1" s="221"/>
      <c r="DT1" s="221"/>
      <c r="DU1" s="221"/>
      <c r="DV1" s="221"/>
      <c r="DW1" s="221"/>
      <c r="DX1" s="221"/>
      <c r="DY1" s="221"/>
      <c r="DZ1" s="221"/>
      <c r="EA1" s="221"/>
      <c r="EB1" s="221"/>
      <c r="EC1" s="221" t="s">
        <v>285</v>
      </c>
      <c r="ED1" s="221"/>
      <c r="EE1" s="221"/>
      <c r="EF1" s="221"/>
      <c r="EG1" s="221"/>
      <c r="EH1" s="221"/>
      <c r="EI1" s="221"/>
      <c r="EJ1" s="221"/>
      <c r="EK1" s="221"/>
      <c r="EL1" s="221"/>
      <c r="EM1" s="221"/>
      <c r="EN1" s="221"/>
      <c r="EO1" s="221"/>
      <c r="EP1" s="221"/>
      <c r="EQ1" s="221"/>
      <c r="ER1" s="221"/>
      <c r="ES1" s="221"/>
      <c r="ET1" s="221"/>
      <c r="EU1" s="221"/>
      <c r="EV1" s="221"/>
      <c r="EW1" s="221"/>
      <c r="EX1" s="221"/>
      <c r="EY1" s="221"/>
      <c r="EZ1" s="221"/>
      <c r="FA1" s="221"/>
      <c r="FB1" s="221"/>
      <c r="FC1" s="221"/>
      <c r="FD1" s="221"/>
      <c r="FE1" s="221"/>
      <c r="FF1" s="221"/>
      <c r="FG1" s="221"/>
      <c r="FH1" s="221"/>
      <c r="FI1" s="221"/>
      <c r="FJ1" s="221" t="s">
        <v>286</v>
      </c>
      <c r="FK1" s="221"/>
      <c r="FL1" s="221"/>
      <c r="FM1" s="221"/>
      <c r="FN1" s="221"/>
      <c r="FO1" s="221"/>
      <c r="FP1" s="221"/>
      <c r="FQ1" s="221"/>
      <c r="FR1" s="221"/>
      <c r="FS1" s="221"/>
      <c r="FT1" s="221"/>
      <c r="FU1" s="221"/>
      <c r="FV1" s="221"/>
      <c r="FW1" s="221"/>
      <c r="FX1" s="221"/>
      <c r="FY1" s="221"/>
      <c r="FZ1" s="221"/>
      <c r="GA1" s="221"/>
      <c r="GB1" s="221" t="s">
        <v>287</v>
      </c>
      <c r="GC1" s="221"/>
      <c r="GD1" s="221"/>
      <c r="GE1" s="221"/>
      <c r="GF1" s="221"/>
      <c r="GG1" s="221"/>
      <c r="GH1" s="221"/>
      <c r="GI1" s="221"/>
      <c r="GJ1" s="221"/>
      <c r="GK1" s="221"/>
      <c r="GL1" s="221"/>
      <c r="GM1" s="221"/>
      <c r="GN1" s="221"/>
      <c r="GO1" s="221"/>
      <c r="GP1" s="221"/>
      <c r="GQ1" s="221"/>
      <c r="GR1" s="221"/>
      <c r="GS1" s="221"/>
      <c r="GT1" s="221"/>
      <c r="GU1" s="221"/>
      <c r="GV1" s="221"/>
      <c r="GW1" s="221"/>
      <c r="GX1" s="221"/>
      <c r="GY1" s="221"/>
      <c r="GZ1" s="221"/>
      <c r="HA1" s="221"/>
      <c r="HB1" s="221"/>
      <c r="HC1" s="221"/>
      <c r="HD1" s="221"/>
      <c r="HE1" s="221"/>
      <c r="HF1" s="221"/>
      <c r="HG1" s="221"/>
      <c r="HH1" s="221"/>
      <c r="HI1" s="221"/>
      <c r="HJ1" s="221"/>
      <c r="HK1" s="221"/>
      <c r="HL1" s="221"/>
      <c r="HM1" s="221"/>
      <c r="HN1" s="221" t="s">
        <v>288</v>
      </c>
      <c r="HO1" s="221"/>
      <c r="HP1" s="221"/>
      <c r="HQ1" s="221"/>
      <c r="HR1" s="221"/>
      <c r="HS1" s="221"/>
      <c r="HT1" s="221"/>
      <c r="HU1" s="221"/>
      <c r="HV1" s="221"/>
      <c r="HW1" s="221"/>
      <c r="HX1" s="221"/>
      <c r="HY1" s="221"/>
      <c r="HZ1" s="221"/>
      <c r="IA1" s="221"/>
      <c r="IB1" s="221"/>
      <c r="IC1" s="221"/>
      <c r="ID1" s="221"/>
      <c r="IE1" s="221" t="s">
        <v>289</v>
      </c>
      <c r="IF1" s="221"/>
      <c r="IG1" s="221"/>
      <c r="IH1" s="221"/>
      <c r="II1" s="221"/>
      <c r="IJ1" s="221"/>
      <c r="IK1" s="221"/>
      <c r="IL1" s="221"/>
      <c r="IM1" s="221"/>
      <c r="IN1" s="221"/>
      <c r="IO1" s="221"/>
      <c r="IP1" s="221"/>
      <c r="IQ1" s="221"/>
      <c r="IR1" s="221"/>
      <c r="IS1" s="221"/>
      <c r="IT1" s="221"/>
      <c r="IU1" s="221"/>
      <c r="IV1" s="221"/>
      <c r="IW1" s="221"/>
      <c r="IX1" s="221"/>
      <c r="IY1" s="221"/>
      <c r="IZ1" s="221"/>
      <c r="JA1" s="221"/>
      <c r="JB1" s="221"/>
      <c r="JC1" s="221"/>
      <c r="JD1" s="221"/>
      <c r="JE1" s="221"/>
      <c r="JF1" s="221"/>
      <c r="JG1" s="221"/>
      <c r="JH1" s="221"/>
      <c r="JI1" s="221"/>
      <c r="JJ1" s="221"/>
      <c r="JK1" s="221"/>
      <c r="JL1" s="221"/>
      <c r="JM1" s="221"/>
      <c r="JN1" s="221"/>
      <c r="JO1" s="221"/>
      <c r="JP1" s="221"/>
      <c r="JQ1" s="221"/>
      <c r="JR1" s="221"/>
      <c r="JS1" s="221"/>
      <c r="JT1" s="221"/>
      <c r="JU1" s="221"/>
      <c r="JV1" s="221"/>
      <c r="JW1" s="221"/>
      <c r="JX1" s="221"/>
      <c r="JY1" s="221"/>
      <c r="JZ1" s="221"/>
      <c r="KA1" s="221"/>
      <c r="KB1" s="221"/>
      <c r="KC1" s="221"/>
      <c r="KD1" s="221"/>
      <c r="KE1" s="221"/>
      <c r="KF1" s="221"/>
      <c r="KG1" s="221"/>
      <c r="KH1" s="221"/>
      <c r="KI1" s="221"/>
      <c r="KJ1" s="221"/>
      <c r="KK1" s="221"/>
      <c r="KL1" s="221"/>
      <c r="KM1" s="221"/>
      <c r="KN1" s="221"/>
      <c r="KO1" s="221"/>
      <c r="KP1" s="221"/>
      <c r="KQ1" s="221"/>
      <c r="KR1" s="221"/>
      <c r="KS1" s="221"/>
      <c r="KT1" s="221"/>
      <c r="KU1" s="221"/>
      <c r="KV1" s="221"/>
      <c r="KW1" s="221"/>
      <c r="KX1" s="221"/>
      <c r="KY1" s="221"/>
      <c r="KZ1" s="221"/>
      <c r="LA1" s="221"/>
      <c r="LB1" s="221"/>
      <c r="LC1" s="221"/>
      <c r="LD1" s="221" t="s">
        <v>290</v>
      </c>
      <c r="LE1" s="221"/>
      <c r="LF1" s="221"/>
      <c r="LG1" s="221"/>
      <c r="LH1" s="221"/>
      <c r="LI1" s="221"/>
      <c r="LJ1" s="221"/>
      <c r="LK1" s="221"/>
      <c r="LL1" s="221"/>
      <c r="LM1" s="221"/>
      <c r="LN1" s="221"/>
      <c r="LO1" s="221"/>
      <c r="LP1" s="221"/>
      <c r="LQ1" s="221"/>
      <c r="LR1" s="221"/>
      <c r="LS1" s="221"/>
      <c r="LT1" s="221"/>
      <c r="LU1" s="221"/>
      <c r="LV1" s="221"/>
      <c r="LW1" s="221"/>
      <c r="LX1" s="221"/>
      <c r="LY1" s="240" t="s">
        <v>292</v>
      </c>
      <c r="LZ1" s="240"/>
      <c r="MA1" s="240"/>
      <c r="MB1" s="240"/>
      <c r="MC1" s="240"/>
      <c r="MD1" s="240"/>
      <c r="ME1" s="240"/>
      <c r="MF1" s="240"/>
      <c r="MG1" s="240"/>
      <c r="MH1" s="240"/>
      <c r="MI1" s="240"/>
      <c r="MJ1" s="240"/>
      <c r="MK1" s="240"/>
      <c r="ML1" s="240"/>
      <c r="MM1" s="240"/>
      <c r="MN1" s="240"/>
    </row>
    <row r="2" spans="1:352" ht="24.95" customHeight="1" thickBot="1" x14ac:dyDescent="0.3">
      <c r="A2" s="221" t="s">
        <v>2</v>
      </c>
      <c r="B2" s="241" t="s">
        <v>67</v>
      </c>
      <c r="C2" s="198" t="s">
        <v>172</v>
      </c>
      <c r="D2" s="225" t="s">
        <v>147</v>
      </c>
      <c r="E2" s="227"/>
      <c r="F2" s="18" t="s">
        <v>148</v>
      </c>
      <c r="G2" s="18" t="s">
        <v>149</v>
      </c>
      <c r="H2" s="18" t="s">
        <v>405</v>
      </c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00"/>
      <c r="AH2" s="100"/>
      <c r="AI2" s="18"/>
      <c r="AJ2" s="18"/>
      <c r="AK2" s="18"/>
      <c r="AL2" s="18"/>
      <c r="AM2" s="18"/>
      <c r="AN2" s="18"/>
      <c r="AO2" s="100"/>
      <c r="AP2" s="100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00"/>
      <c r="BH2" s="100"/>
      <c r="BI2" s="18"/>
      <c r="BJ2" s="18"/>
      <c r="BK2" s="18"/>
      <c r="BL2" s="18"/>
      <c r="BM2" s="18"/>
      <c r="BN2" s="18"/>
      <c r="BO2" s="18"/>
      <c r="BP2" s="100"/>
      <c r="BQ2" s="100"/>
      <c r="BR2" s="18"/>
      <c r="BS2" s="18"/>
      <c r="BT2" s="18"/>
      <c r="BU2" s="18"/>
      <c r="BV2" s="18"/>
      <c r="BW2" s="100"/>
      <c r="BX2" s="100"/>
      <c r="BY2" s="18"/>
      <c r="BZ2" s="18"/>
      <c r="CA2" s="18"/>
      <c r="CB2" s="18"/>
      <c r="CC2" s="18"/>
      <c r="CD2" s="100"/>
      <c r="CE2" s="100"/>
      <c r="CF2" s="18"/>
      <c r="CG2" s="18"/>
      <c r="CH2" s="18"/>
      <c r="CI2" s="18"/>
      <c r="CJ2" s="100"/>
      <c r="CK2" s="100"/>
      <c r="CL2" s="18"/>
      <c r="CM2" s="18"/>
      <c r="CN2" s="18"/>
      <c r="CO2" s="18"/>
      <c r="CP2" s="18"/>
      <c r="CQ2" s="18"/>
      <c r="CR2" s="18"/>
      <c r="CS2" s="18"/>
      <c r="CT2" s="100"/>
      <c r="CU2" s="100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00"/>
      <c r="DK2" s="100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00"/>
      <c r="ED2" s="100"/>
      <c r="EE2" s="18"/>
      <c r="EF2" s="18"/>
      <c r="EG2" s="18"/>
      <c r="EH2" s="18"/>
      <c r="EI2" s="18"/>
      <c r="EJ2" s="100"/>
      <c r="EK2" s="100"/>
      <c r="EL2" s="19"/>
      <c r="EM2" s="19"/>
      <c r="EN2" s="19"/>
      <c r="EO2" s="19"/>
      <c r="EP2" s="19"/>
      <c r="EQ2" s="19"/>
      <c r="ER2" s="19"/>
      <c r="ES2" s="19"/>
      <c r="ET2" s="19"/>
      <c r="EU2" s="19"/>
      <c r="EV2" s="100"/>
      <c r="EW2" s="100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00"/>
      <c r="FK2" s="100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00"/>
      <c r="GC2" s="100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00"/>
      <c r="GP2" s="100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9"/>
      <c r="HF2" s="19"/>
      <c r="HG2" s="19"/>
      <c r="HH2" s="19"/>
      <c r="HI2" s="19"/>
      <c r="HJ2" s="19"/>
      <c r="HK2" s="19"/>
      <c r="HL2" s="19"/>
      <c r="HM2" s="19"/>
      <c r="HN2" s="100"/>
      <c r="HO2" s="100"/>
      <c r="HP2" s="19"/>
      <c r="HQ2" s="19"/>
      <c r="HR2" s="19"/>
      <c r="HS2" s="19"/>
      <c r="HT2" s="19"/>
      <c r="HU2" s="19"/>
      <c r="HV2" s="19"/>
      <c r="HW2" s="19"/>
      <c r="HX2" s="19"/>
      <c r="HY2" s="19"/>
      <c r="HZ2" s="19"/>
      <c r="IA2" s="19"/>
      <c r="IB2" s="19"/>
      <c r="IC2" s="19"/>
      <c r="ID2" s="19"/>
      <c r="IE2" s="100"/>
      <c r="IF2" s="100"/>
      <c r="IG2" s="18"/>
      <c r="IH2" s="18"/>
      <c r="II2" s="18"/>
      <c r="IJ2" s="18"/>
      <c r="IK2" s="18"/>
      <c r="IL2" s="100"/>
      <c r="IM2" s="100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00"/>
      <c r="JJ2" s="100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00"/>
      <c r="JV2" s="100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00"/>
      <c r="KN2" s="100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00"/>
      <c r="LE2" s="100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242" t="s">
        <v>179</v>
      </c>
      <c r="LZ2" s="231" t="s">
        <v>172</v>
      </c>
      <c r="MA2" s="18" t="s">
        <v>151</v>
      </c>
      <c r="MB2" s="232" t="s">
        <v>147</v>
      </c>
      <c r="MC2" s="234"/>
      <c r="MD2" s="232" t="s">
        <v>558</v>
      </c>
      <c r="ME2" s="234"/>
      <c r="MF2" s="232" t="s">
        <v>115</v>
      </c>
      <c r="MG2" s="233"/>
      <c r="MH2" s="234"/>
      <c r="MI2" s="19" t="s">
        <v>148</v>
      </c>
      <c r="MJ2" s="18" t="s">
        <v>149</v>
      </c>
      <c r="MK2" s="18" t="s">
        <v>150</v>
      </c>
      <c r="ML2" s="19"/>
      <c r="MM2" s="19"/>
      <c r="MN2" s="19"/>
    </row>
    <row r="3" spans="1:352" ht="24.95" customHeight="1" thickTop="1" thickBot="1" x14ac:dyDescent="0.3">
      <c r="A3" s="221"/>
      <c r="B3" s="241"/>
      <c r="C3" s="198" t="s">
        <v>172</v>
      </c>
      <c r="D3" s="17" t="s">
        <v>180</v>
      </c>
      <c r="E3" s="17" t="s">
        <v>181</v>
      </c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21"/>
      <c r="AH3" s="21"/>
      <c r="AI3" s="17"/>
      <c r="AJ3" s="17"/>
      <c r="AK3" s="17"/>
      <c r="AL3" s="17"/>
      <c r="AM3" s="17"/>
      <c r="AN3" s="17"/>
      <c r="AO3" s="21"/>
      <c r="AP3" s="21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21"/>
      <c r="BH3" s="21"/>
      <c r="BI3" s="17"/>
      <c r="BJ3" s="17"/>
      <c r="BK3" s="17"/>
      <c r="BL3" s="17"/>
      <c r="BM3" s="17"/>
      <c r="BN3" s="17"/>
      <c r="BO3" s="17"/>
      <c r="BP3" s="21"/>
      <c r="BQ3" s="21"/>
      <c r="BR3" s="17"/>
      <c r="BS3" s="17"/>
      <c r="BT3" s="17"/>
      <c r="BU3" s="17"/>
      <c r="BV3" s="17"/>
      <c r="BW3" s="21"/>
      <c r="BX3" s="21"/>
      <c r="BY3" s="17"/>
      <c r="BZ3" s="17"/>
      <c r="CA3" s="17"/>
      <c r="CB3" s="17"/>
      <c r="CC3" s="17"/>
      <c r="CD3" s="21"/>
      <c r="CE3" s="21"/>
      <c r="CF3" s="17"/>
      <c r="CG3" s="17"/>
      <c r="CH3" s="17"/>
      <c r="CI3" s="17"/>
      <c r="CJ3" s="21"/>
      <c r="CK3" s="21"/>
      <c r="CL3" s="17"/>
      <c r="CM3" s="17"/>
      <c r="CN3" s="17"/>
      <c r="CO3" s="17"/>
      <c r="CP3" s="17"/>
      <c r="CQ3" s="17"/>
      <c r="CR3" s="17"/>
      <c r="CS3" s="17"/>
      <c r="CT3" s="21"/>
      <c r="CU3" s="21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21"/>
      <c r="DK3" s="21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21"/>
      <c r="ED3" s="21"/>
      <c r="EE3" s="17"/>
      <c r="EF3" s="17"/>
      <c r="EG3" s="17"/>
      <c r="EH3" s="17"/>
      <c r="EI3" s="17"/>
      <c r="EJ3" s="21"/>
      <c r="EK3" s="21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1"/>
      <c r="EW3" s="21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21"/>
      <c r="FK3" s="21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21"/>
      <c r="GC3" s="21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21"/>
      <c r="GP3" s="21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20"/>
      <c r="HF3" s="20"/>
      <c r="HG3" s="20"/>
      <c r="HH3" s="20"/>
      <c r="HI3" s="20"/>
      <c r="HJ3" s="20"/>
      <c r="HK3" s="20"/>
      <c r="HL3" s="20"/>
      <c r="HM3" s="20"/>
      <c r="HN3" s="21"/>
      <c r="HO3" s="21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1"/>
      <c r="IF3" s="21"/>
      <c r="IG3" s="17"/>
      <c r="IH3" s="17"/>
      <c r="II3" s="17"/>
      <c r="IJ3" s="17"/>
      <c r="IK3" s="17"/>
      <c r="IL3" s="21"/>
      <c r="IM3" s="21"/>
      <c r="IN3" s="17"/>
      <c r="IO3" s="17"/>
      <c r="IP3" s="17"/>
      <c r="IQ3" s="17"/>
      <c r="IR3" s="17"/>
      <c r="IS3" s="17"/>
      <c r="IT3" s="17"/>
      <c r="IU3" s="17"/>
      <c r="IV3" s="17"/>
      <c r="IW3" s="17"/>
      <c r="IX3" s="17"/>
      <c r="IY3" s="17"/>
      <c r="IZ3" s="17"/>
      <c r="JA3" s="17"/>
      <c r="JB3" s="17"/>
      <c r="JC3" s="17"/>
      <c r="JD3" s="17"/>
      <c r="JE3" s="17"/>
      <c r="JF3" s="17"/>
      <c r="JG3" s="17"/>
      <c r="JH3" s="17"/>
      <c r="JI3" s="21"/>
      <c r="JJ3" s="21"/>
      <c r="JK3" s="17"/>
      <c r="JL3" s="17"/>
      <c r="JM3" s="17"/>
      <c r="JN3" s="17"/>
      <c r="JO3" s="17"/>
      <c r="JP3" s="17"/>
      <c r="JQ3" s="17"/>
      <c r="JR3" s="17"/>
      <c r="JS3" s="17"/>
      <c r="JT3" s="17"/>
      <c r="JU3" s="21"/>
      <c r="JV3" s="21"/>
      <c r="JW3" s="17"/>
      <c r="JX3" s="17"/>
      <c r="JY3" s="17"/>
      <c r="JZ3" s="17"/>
      <c r="KA3" s="17"/>
      <c r="KB3" s="17"/>
      <c r="KC3" s="17"/>
      <c r="KD3" s="17"/>
      <c r="KE3" s="17"/>
      <c r="KF3" s="17"/>
      <c r="KG3" s="17"/>
      <c r="KH3" s="17"/>
      <c r="KI3" s="17"/>
      <c r="KJ3" s="17"/>
      <c r="KK3" s="17"/>
      <c r="KL3" s="17"/>
      <c r="KM3" s="21"/>
      <c r="KN3" s="21"/>
      <c r="KO3" s="17"/>
      <c r="KP3" s="17"/>
      <c r="KQ3" s="17"/>
      <c r="KR3" s="17"/>
      <c r="KS3" s="17"/>
      <c r="KT3" s="17"/>
      <c r="KU3" s="17"/>
      <c r="KV3" s="17"/>
      <c r="KW3" s="17"/>
      <c r="KX3" s="17"/>
      <c r="KY3" s="17"/>
      <c r="KZ3" s="17"/>
      <c r="LA3" s="17"/>
      <c r="LB3" s="17"/>
      <c r="LC3" s="17"/>
      <c r="LD3" s="21"/>
      <c r="LE3" s="21"/>
      <c r="LF3" s="17"/>
      <c r="LG3" s="17"/>
      <c r="LH3" s="17"/>
      <c r="LI3" s="17"/>
      <c r="LJ3" s="17"/>
      <c r="LK3" s="17"/>
      <c r="LL3" s="17"/>
      <c r="LM3" s="17"/>
      <c r="LN3" s="17"/>
      <c r="LO3" s="17"/>
      <c r="LP3" s="17"/>
      <c r="LQ3" s="17"/>
      <c r="LR3" s="17"/>
      <c r="LS3" s="17"/>
      <c r="LT3" s="17"/>
      <c r="LU3" s="17"/>
      <c r="LV3" s="17"/>
      <c r="LW3" s="17"/>
      <c r="LX3" s="17"/>
      <c r="LY3" s="242"/>
      <c r="LZ3" s="231" t="s">
        <v>1446</v>
      </c>
      <c r="MA3" s="17"/>
      <c r="MB3" s="20" t="s">
        <v>180</v>
      </c>
      <c r="MC3" s="20" t="s">
        <v>181</v>
      </c>
      <c r="MD3" s="20" t="s">
        <v>573</v>
      </c>
      <c r="ME3" s="20" t="s">
        <v>208</v>
      </c>
      <c r="MF3" s="20" t="s">
        <v>120</v>
      </c>
      <c r="MG3" s="20" t="s">
        <v>124</v>
      </c>
      <c r="MH3" s="20" t="s">
        <v>136</v>
      </c>
      <c r="MI3" s="20"/>
      <c r="MJ3" s="20"/>
      <c r="MK3" s="20"/>
      <c r="ML3" s="20"/>
      <c r="MM3" s="20"/>
      <c r="MN3" s="20"/>
    </row>
    <row r="4" spans="1:352" ht="24.95" customHeight="1" thickTop="1" thickBot="1" x14ac:dyDescent="0.3">
      <c r="A4" s="221"/>
      <c r="B4" s="241"/>
      <c r="C4" s="198" t="s">
        <v>171</v>
      </c>
      <c r="D4" s="18" t="s">
        <v>182</v>
      </c>
      <c r="E4" s="225" t="s">
        <v>702</v>
      </c>
      <c r="F4" s="226"/>
      <c r="G4" s="227"/>
      <c r="H4" s="225" t="s">
        <v>186</v>
      </c>
      <c r="I4" s="226"/>
      <c r="J4" s="227"/>
      <c r="K4" s="18" t="s">
        <v>190</v>
      </c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00"/>
      <c r="AH4" s="100"/>
      <c r="AI4" s="18"/>
      <c r="AJ4" s="18"/>
      <c r="AK4" s="18"/>
      <c r="AL4" s="18"/>
      <c r="AM4" s="18"/>
      <c r="AN4" s="18"/>
      <c r="AO4" s="18"/>
      <c r="AP4" s="100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00"/>
      <c r="BH4" s="100"/>
      <c r="BI4" s="18"/>
      <c r="BJ4" s="18"/>
      <c r="BK4" s="18"/>
      <c r="BL4" s="18"/>
      <c r="BM4" s="18"/>
      <c r="BN4" s="18"/>
      <c r="BO4" s="18"/>
      <c r="BP4" s="100"/>
      <c r="BQ4" s="100"/>
      <c r="BR4" s="18"/>
      <c r="BS4" s="18"/>
      <c r="BT4" s="18"/>
      <c r="BU4" s="18"/>
      <c r="BV4" s="18"/>
      <c r="BW4" s="100"/>
      <c r="BX4" s="100"/>
      <c r="BY4" s="18"/>
      <c r="BZ4" s="18"/>
      <c r="CA4" s="18"/>
      <c r="CB4" s="18"/>
      <c r="CC4" s="18"/>
      <c r="CD4" s="100"/>
      <c r="CE4" s="100"/>
      <c r="CF4" s="18"/>
      <c r="CG4" s="18"/>
      <c r="CH4" s="18"/>
      <c r="CI4" s="18"/>
      <c r="CJ4" s="100"/>
      <c r="CK4" s="100"/>
      <c r="CL4" s="18"/>
      <c r="CM4" s="18"/>
      <c r="CN4" s="18"/>
      <c r="CO4" s="18"/>
      <c r="CP4" s="18"/>
      <c r="CQ4" s="18"/>
      <c r="CR4" s="18"/>
      <c r="CS4" s="18"/>
      <c r="CT4" s="100"/>
      <c r="CU4" s="100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00"/>
      <c r="DK4" s="100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00"/>
      <c r="ED4" s="100"/>
      <c r="EE4" s="18"/>
      <c r="EF4" s="18"/>
      <c r="EG4" s="18"/>
      <c r="EH4" s="18"/>
      <c r="EI4" s="18"/>
      <c r="EJ4" s="100"/>
      <c r="EK4" s="100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00"/>
      <c r="EW4" s="100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00"/>
      <c r="FK4" s="100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00"/>
      <c r="GC4" s="100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00"/>
      <c r="GP4" s="100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9"/>
      <c r="HF4" s="19"/>
      <c r="HG4" s="19"/>
      <c r="HH4" s="19"/>
      <c r="HI4" s="19"/>
      <c r="HJ4" s="19"/>
      <c r="HK4" s="19"/>
      <c r="HL4" s="19"/>
      <c r="HM4" s="19"/>
      <c r="HN4" s="100"/>
      <c r="HO4" s="100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00"/>
      <c r="IF4" s="100"/>
      <c r="IG4" s="18"/>
      <c r="IH4" s="18"/>
      <c r="II4" s="18"/>
      <c r="IJ4" s="18"/>
      <c r="IK4" s="18"/>
      <c r="IL4" s="100"/>
      <c r="IM4" s="100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00"/>
      <c r="JJ4" s="100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00"/>
      <c r="JV4" s="100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00"/>
      <c r="KN4" s="100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00"/>
      <c r="LE4" s="100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242"/>
      <c r="LZ4" s="231" t="s">
        <v>171</v>
      </c>
      <c r="MA4" s="18" t="s">
        <v>182</v>
      </c>
      <c r="MB4" s="232" t="s">
        <v>702</v>
      </c>
      <c r="MC4" s="234"/>
      <c r="MD4" s="232" t="s">
        <v>703</v>
      </c>
      <c r="ME4" s="234"/>
      <c r="MF4" s="19" t="s">
        <v>704</v>
      </c>
      <c r="MG4" s="19" t="s">
        <v>190</v>
      </c>
      <c r="MH4" s="19"/>
      <c r="MI4" s="19"/>
      <c r="MJ4" s="19"/>
      <c r="MK4" s="19"/>
      <c r="ML4" s="19"/>
      <c r="MM4" s="19"/>
      <c r="MN4" s="19"/>
    </row>
    <row r="5" spans="1:352" ht="24.95" customHeight="1" thickTop="1" thickBot="1" x14ac:dyDescent="0.3">
      <c r="A5" s="221"/>
      <c r="B5" s="241"/>
      <c r="C5" s="198" t="s">
        <v>171</v>
      </c>
      <c r="D5" s="17"/>
      <c r="E5" s="17" t="s">
        <v>183</v>
      </c>
      <c r="F5" s="17" t="s">
        <v>184</v>
      </c>
      <c r="G5" s="17" t="s">
        <v>185</v>
      </c>
      <c r="H5" s="17" t="s">
        <v>187</v>
      </c>
      <c r="I5" s="17" t="s">
        <v>188</v>
      </c>
      <c r="J5" s="17" t="s">
        <v>189</v>
      </c>
      <c r="K5" s="20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21"/>
      <c r="AH5" s="21"/>
      <c r="AI5" s="17"/>
      <c r="AJ5" s="17"/>
      <c r="AK5" s="17"/>
      <c r="AL5" s="17"/>
      <c r="AM5" s="17"/>
      <c r="AN5" s="17"/>
      <c r="AO5" s="21"/>
      <c r="AP5" s="21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21"/>
      <c r="BH5" s="21"/>
      <c r="BI5" s="17"/>
      <c r="BJ5" s="17"/>
      <c r="BK5" s="17"/>
      <c r="BL5" s="17"/>
      <c r="BM5" s="17"/>
      <c r="BN5" s="17"/>
      <c r="BO5" s="17"/>
      <c r="BP5" s="21"/>
      <c r="BQ5" s="21"/>
      <c r="BR5" s="17"/>
      <c r="BS5" s="17"/>
      <c r="BT5" s="17"/>
      <c r="BU5" s="17"/>
      <c r="BV5" s="17"/>
      <c r="BW5" s="21"/>
      <c r="BX5" s="21"/>
      <c r="BY5" s="17"/>
      <c r="BZ5" s="17"/>
      <c r="CA5" s="17"/>
      <c r="CB5" s="17"/>
      <c r="CC5" s="17"/>
      <c r="CD5" s="21"/>
      <c r="CE5" s="21"/>
      <c r="CF5" s="17"/>
      <c r="CG5" s="17"/>
      <c r="CH5" s="17"/>
      <c r="CI5" s="17"/>
      <c r="CJ5" s="21"/>
      <c r="CK5" s="21"/>
      <c r="CL5" s="17"/>
      <c r="CM5" s="17"/>
      <c r="CN5" s="17"/>
      <c r="CO5" s="17"/>
      <c r="CP5" s="17"/>
      <c r="CQ5" s="17"/>
      <c r="CR5" s="17"/>
      <c r="CS5" s="17"/>
      <c r="CT5" s="21"/>
      <c r="CU5" s="21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21"/>
      <c r="DK5" s="21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21"/>
      <c r="ED5" s="21"/>
      <c r="EE5" s="17"/>
      <c r="EF5" s="17"/>
      <c r="EG5" s="17"/>
      <c r="EH5" s="17"/>
      <c r="EI5" s="17"/>
      <c r="EJ5" s="21"/>
      <c r="EK5" s="21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1"/>
      <c r="EW5" s="21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21"/>
      <c r="FK5" s="21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21"/>
      <c r="GC5" s="21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21"/>
      <c r="GP5" s="21"/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20"/>
      <c r="HF5" s="20"/>
      <c r="HG5" s="20"/>
      <c r="HH5" s="20"/>
      <c r="HI5" s="20"/>
      <c r="HJ5" s="20"/>
      <c r="HK5" s="20"/>
      <c r="HL5" s="20"/>
      <c r="HM5" s="20"/>
      <c r="HN5" s="21"/>
      <c r="HO5" s="21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1"/>
      <c r="IF5" s="21"/>
      <c r="IG5" s="17"/>
      <c r="IH5" s="17"/>
      <c r="II5" s="17"/>
      <c r="IJ5" s="17"/>
      <c r="IK5" s="17"/>
      <c r="IL5" s="21"/>
      <c r="IM5" s="21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21"/>
      <c r="JJ5" s="21"/>
      <c r="JK5" s="17"/>
      <c r="JL5" s="17"/>
      <c r="JM5" s="17"/>
      <c r="JN5" s="17"/>
      <c r="JO5" s="17"/>
      <c r="JP5" s="17"/>
      <c r="JQ5" s="17"/>
      <c r="JR5" s="17"/>
      <c r="JS5" s="17"/>
      <c r="JT5" s="17"/>
      <c r="JU5" s="21"/>
      <c r="JV5" s="21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21"/>
      <c r="KN5" s="21"/>
      <c r="KO5" s="17"/>
      <c r="KP5" s="17"/>
      <c r="KQ5" s="17"/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21"/>
      <c r="LE5" s="21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17"/>
      <c r="LV5" s="17"/>
      <c r="LW5" s="17"/>
      <c r="LX5" s="17"/>
      <c r="LY5" s="242"/>
      <c r="LZ5" s="231" t="s">
        <v>1449</v>
      </c>
      <c r="MA5" s="17"/>
      <c r="MB5" s="20" t="s">
        <v>564</v>
      </c>
      <c r="MC5" s="20" t="s">
        <v>183</v>
      </c>
      <c r="MD5" s="20" t="s">
        <v>257</v>
      </c>
      <c r="ME5" s="20" t="s">
        <v>249</v>
      </c>
      <c r="MF5" s="20" t="s">
        <v>322</v>
      </c>
      <c r="MG5" s="20"/>
      <c r="MH5" s="20"/>
      <c r="MI5" s="20"/>
      <c r="MJ5" s="20"/>
      <c r="MK5" s="20"/>
      <c r="ML5" s="20"/>
      <c r="MM5" s="20"/>
      <c r="MN5" s="20"/>
    </row>
    <row r="6" spans="1:352" ht="24.95" customHeight="1" thickTop="1" thickBot="1" x14ac:dyDescent="0.3">
      <c r="A6" s="221"/>
      <c r="B6" s="241"/>
      <c r="C6" s="198" t="s">
        <v>173</v>
      </c>
      <c r="D6" s="18" t="s">
        <v>151</v>
      </c>
      <c r="E6" s="18" t="s">
        <v>115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00"/>
      <c r="AH6" s="100"/>
      <c r="AI6" s="18"/>
      <c r="AJ6" s="18"/>
      <c r="AK6" s="18"/>
      <c r="AL6" s="18"/>
      <c r="AM6" s="18"/>
      <c r="AN6" s="18"/>
      <c r="AO6" s="100"/>
      <c r="AP6" s="100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00"/>
      <c r="BH6" s="100"/>
      <c r="BI6" s="18"/>
      <c r="BJ6" s="18"/>
      <c r="BK6" s="18"/>
      <c r="BL6" s="18"/>
      <c r="BM6" s="18"/>
      <c r="BN6" s="18"/>
      <c r="BO6" s="18"/>
      <c r="BP6" s="100"/>
      <c r="BQ6" s="100"/>
      <c r="BR6" s="18"/>
      <c r="BS6" s="18"/>
      <c r="BT6" s="18"/>
      <c r="BU6" s="18"/>
      <c r="BV6" s="18"/>
      <c r="BW6" s="100"/>
      <c r="BX6" s="100"/>
      <c r="BY6" s="18"/>
      <c r="BZ6" s="18"/>
      <c r="CA6" s="18"/>
      <c r="CB6" s="18"/>
      <c r="CC6" s="18"/>
      <c r="CD6" s="100"/>
      <c r="CE6" s="100"/>
      <c r="CF6" s="18"/>
      <c r="CG6" s="18"/>
      <c r="CH6" s="18"/>
      <c r="CI6" s="18"/>
      <c r="CJ6" s="100"/>
      <c r="CK6" s="100"/>
      <c r="CL6" s="18"/>
      <c r="CM6" s="18"/>
      <c r="CN6" s="18"/>
      <c r="CO6" s="18"/>
      <c r="CP6" s="18"/>
      <c r="CQ6" s="18"/>
      <c r="CR6" s="18"/>
      <c r="CS6" s="18"/>
      <c r="CT6" s="100"/>
      <c r="CU6" s="100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00"/>
      <c r="DK6" s="100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00"/>
      <c r="ED6" s="100"/>
      <c r="EE6" s="18"/>
      <c r="EF6" s="18"/>
      <c r="EG6" s="18"/>
      <c r="EH6" s="18"/>
      <c r="EI6" s="18"/>
      <c r="EJ6" s="100"/>
      <c r="EK6" s="100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00"/>
      <c r="EW6" s="100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00"/>
      <c r="FK6" s="100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00"/>
      <c r="GC6" s="100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00"/>
      <c r="GP6" s="100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9"/>
      <c r="HF6" s="19"/>
      <c r="HG6" s="19"/>
      <c r="HH6" s="19"/>
      <c r="HI6" s="19"/>
      <c r="HJ6" s="19"/>
      <c r="HK6" s="19"/>
      <c r="HL6" s="19"/>
      <c r="HM6" s="19"/>
      <c r="HN6" s="100"/>
      <c r="HO6" s="100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00"/>
      <c r="IF6" s="100"/>
      <c r="IG6" s="18"/>
      <c r="IH6" s="18"/>
      <c r="II6" s="18"/>
      <c r="IJ6" s="18"/>
      <c r="IK6" s="18"/>
      <c r="IL6" s="100"/>
      <c r="IM6" s="100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00"/>
      <c r="JJ6" s="100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00"/>
      <c r="JV6" s="100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00"/>
      <c r="KN6" s="100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00"/>
      <c r="LE6" s="100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242"/>
      <c r="LZ6" s="231" t="s">
        <v>173</v>
      </c>
      <c r="MA6" s="18" t="s">
        <v>115</v>
      </c>
      <c r="MB6" s="19" t="s">
        <v>155</v>
      </c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</row>
    <row r="7" spans="1:352" ht="24.95" customHeight="1" thickTop="1" thickBot="1" x14ac:dyDescent="0.3">
      <c r="A7" s="221"/>
      <c r="B7" s="241"/>
      <c r="C7" s="198" t="s">
        <v>173</v>
      </c>
      <c r="D7" s="17"/>
      <c r="E7" s="17" t="s">
        <v>397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21"/>
      <c r="AH7" s="21"/>
      <c r="AI7" s="17"/>
      <c r="AJ7" s="17"/>
      <c r="AK7" s="17"/>
      <c r="AL7" s="17"/>
      <c r="AM7" s="17"/>
      <c r="AN7" s="17"/>
      <c r="AO7" s="21"/>
      <c r="AP7" s="21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21"/>
      <c r="BH7" s="21"/>
      <c r="BI7" s="17"/>
      <c r="BJ7" s="17"/>
      <c r="BK7" s="17"/>
      <c r="BL7" s="17"/>
      <c r="BM7" s="17"/>
      <c r="BN7" s="17"/>
      <c r="BO7" s="17"/>
      <c r="BP7" s="21"/>
      <c r="BQ7" s="21"/>
      <c r="BR7" s="17"/>
      <c r="BS7" s="17"/>
      <c r="BT7" s="17"/>
      <c r="BU7" s="17"/>
      <c r="BV7" s="17"/>
      <c r="BW7" s="21"/>
      <c r="BX7" s="21"/>
      <c r="BY7" s="17"/>
      <c r="BZ7" s="17"/>
      <c r="CA7" s="17"/>
      <c r="CB7" s="17"/>
      <c r="CC7" s="17"/>
      <c r="CD7" s="21"/>
      <c r="CE7" s="21"/>
      <c r="CF7" s="17"/>
      <c r="CG7" s="17"/>
      <c r="CH7" s="17"/>
      <c r="CI7" s="17"/>
      <c r="CJ7" s="21"/>
      <c r="CK7" s="21"/>
      <c r="CL7" s="17"/>
      <c r="CM7" s="17"/>
      <c r="CN7" s="17"/>
      <c r="CO7" s="17"/>
      <c r="CP7" s="17"/>
      <c r="CQ7" s="17"/>
      <c r="CR7" s="17"/>
      <c r="CS7" s="17"/>
      <c r="CT7" s="21"/>
      <c r="CU7" s="21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21"/>
      <c r="DK7" s="21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21"/>
      <c r="ED7" s="21"/>
      <c r="EE7" s="17"/>
      <c r="EF7" s="17"/>
      <c r="EG7" s="17"/>
      <c r="EH7" s="17"/>
      <c r="EI7" s="17"/>
      <c r="EJ7" s="21"/>
      <c r="EK7" s="21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1"/>
      <c r="EW7" s="21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21"/>
      <c r="FK7" s="21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21"/>
      <c r="GC7" s="21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21"/>
      <c r="GP7" s="21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20"/>
      <c r="HF7" s="20"/>
      <c r="HG7" s="20"/>
      <c r="HH7" s="20"/>
      <c r="HI7" s="20"/>
      <c r="HJ7" s="20"/>
      <c r="HK7" s="20"/>
      <c r="HL7" s="20"/>
      <c r="HM7" s="20"/>
      <c r="HN7" s="21"/>
      <c r="HO7" s="21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1"/>
      <c r="IF7" s="21"/>
      <c r="IG7" s="17"/>
      <c r="IH7" s="17"/>
      <c r="II7" s="17"/>
      <c r="IJ7" s="17"/>
      <c r="IK7" s="17"/>
      <c r="IL7" s="21"/>
      <c r="IM7" s="21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21"/>
      <c r="JJ7" s="21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21"/>
      <c r="JV7" s="21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21"/>
      <c r="KN7" s="21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21"/>
      <c r="LE7" s="21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242"/>
      <c r="LZ7" s="231" t="s">
        <v>1451</v>
      </c>
      <c r="MA7" s="17" t="s">
        <v>464</v>
      </c>
      <c r="MB7" s="20"/>
      <c r="MC7" s="20"/>
      <c r="MD7" s="20"/>
      <c r="ME7" s="20"/>
      <c r="MF7" s="20"/>
      <c r="MG7" s="20"/>
      <c r="MH7" s="20"/>
      <c r="MI7" s="20"/>
      <c r="MJ7" s="20"/>
      <c r="MK7" s="20"/>
      <c r="ML7" s="20"/>
      <c r="MM7" s="20"/>
      <c r="MN7" s="20"/>
    </row>
    <row r="8" spans="1:352" ht="24.95" customHeight="1" thickTop="1" thickBot="1" x14ac:dyDescent="0.3">
      <c r="A8" s="221"/>
      <c r="B8" s="241"/>
      <c r="C8" s="198" t="s">
        <v>715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00"/>
      <c r="AH8" s="100"/>
      <c r="AI8" s="18"/>
      <c r="AJ8" s="18"/>
      <c r="AK8" s="18"/>
      <c r="AL8" s="18"/>
      <c r="AM8" s="18"/>
      <c r="AN8" s="18"/>
      <c r="AO8" s="100"/>
      <c r="AP8" s="100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00"/>
      <c r="BH8" s="100"/>
      <c r="BI8" s="18"/>
      <c r="BJ8" s="18"/>
      <c r="BK8" s="18"/>
      <c r="BL8" s="18"/>
      <c r="BM8" s="18"/>
      <c r="BN8" s="18"/>
      <c r="BO8" s="18"/>
      <c r="BP8" s="100"/>
      <c r="BQ8" s="100"/>
      <c r="BR8" s="18"/>
      <c r="BS8" s="18"/>
      <c r="BT8" s="18"/>
      <c r="BU8" s="18"/>
      <c r="BV8" s="18"/>
      <c r="BW8" s="100"/>
      <c r="BX8" s="100"/>
      <c r="BY8" s="18"/>
      <c r="BZ8" s="18"/>
      <c r="CA8" s="18"/>
      <c r="CB8" s="18"/>
      <c r="CC8" s="18"/>
      <c r="CD8" s="100"/>
      <c r="CE8" s="100"/>
      <c r="CF8" s="18"/>
      <c r="CG8" s="18"/>
      <c r="CH8" s="18"/>
      <c r="CI8" s="18"/>
      <c r="CJ8" s="100"/>
      <c r="CK8" s="100"/>
      <c r="CL8" s="18"/>
      <c r="CM8" s="18"/>
      <c r="CN8" s="18"/>
      <c r="CO8" s="18"/>
      <c r="CP8" s="18"/>
      <c r="CQ8" s="18"/>
      <c r="CR8" s="18"/>
      <c r="CS8" s="18"/>
      <c r="CT8" s="100"/>
      <c r="CU8" s="100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00"/>
      <c r="DK8" s="100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00"/>
      <c r="ED8" s="100"/>
      <c r="EE8" s="18"/>
      <c r="EF8" s="18"/>
      <c r="EG8" s="18"/>
      <c r="EH8" s="18"/>
      <c r="EI8" s="18"/>
      <c r="EJ8" s="100"/>
      <c r="EK8" s="100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00"/>
      <c r="EW8" s="100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00"/>
      <c r="FK8" s="100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00"/>
      <c r="GC8" s="100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00"/>
      <c r="GP8" s="100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9"/>
      <c r="HF8" s="19"/>
      <c r="HG8" s="19"/>
      <c r="HH8" s="19"/>
      <c r="HI8" s="19"/>
      <c r="HJ8" s="19"/>
      <c r="HK8" s="19"/>
      <c r="HL8" s="19"/>
      <c r="HM8" s="19"/>
      <c r="HN8" s="100"/>
      <c r="HO8" s="100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00"/>
      <c r="IF8" s="100"/>
      <c r="IG8" s="18"/>
      <c r="IH8" s="18"/>
      <c r="II8" s="18"/>
      <c r="IJ8" s="18"/>
      <c r="IK8" s="18"/>
      <c r="IL8" s="100"/>
      <c r="IM8" s="100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00"/>
      <c r="JJ8" s="100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00"/>
      <c r="JV8" s="100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00"/>
      <c r="KN8" s="100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00"/>
      <c r="LE8" s="100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242"/>
      <c r="LZ8" s="231" t="s">
        <v>715</v>
      </c>
      <c r="MA8" s="232" t="s">
        <v>379</v>
      </c>
      <c r="MB8" s="233"/>
      <c r="MC8" s="233"/>
      <c r="MD8" s="234"/>
      <c r="ME8" s="232" t="s">
        <v>378</v>
      </c>
      <c r="MF8" s="233"/>
      <c r="MG8" s="234"/>
      <c r="MH8" s="19"/>
      <c r="MI8" s="19"/>
      <c r="MJ8" s="19"/>
      <c r="MK8" s="19"/>
      <c r="ML8" s="19"/>
      <c r="MM8" s="19"/>
      <c r="MN8" s="19"/>
    </row>
    <row r="9" spans="1:352" ht="24.95" customHeight="1" thickTop="1" thickBot="1" x14ac:dyDescent="0.3">
      <c r="A9" s="221"/>
      <c r="B9" s="241"/>
      <c r="C9" s="198" t="s">
        <v>715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21"/>
      <c r="AH9" s="21"/>
      <c r="AI9" s="17"/>
      <c r="AJ9" s="17"/>
      <c r="AK9" s="17"/>
      <c r="AL9" s="17"/>
      <c r="AM9" s="17"/>
      <c r="AN9" s="17"/>
      <c r="AO9" s="21"/>
      <c r="AP9" s="21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21"/>
      <c r="BH9" s="21"/>
      <c r="BI9" s="17"/>
      <c r="BJ9" s="17"/>
      <c r="BK9" s="17"/>
      <c r="BL9" s="17"/>
      <c r="BM9" s="17"/>
      <c r="BN9" s="17"/>
      <c r="BO9" s="17"/>
      <c r="BP9" s="21"/>
      <c r="BQ9" s="21"/>
      <c r="BR9" s="17"/>
      <c r="BS9" s="17"/>
      <c r="BT9" s="17"/>
      <c r="BU9" s="17"/>
      <c r="BV9" s="17"/>
      <c r="BW9" s="21"/>
      <c r="BX9" s="21"/>
      <c r="BY9" s="17"/>
      <c r="BZ9" s="17"/>
      <c r="CA9" s="17"/>
      <c r="CB9" s="17"/>
      <c r="CC9" s="17"/>
      <c r="CD9" s="21"/>
      <c r="CE9" s="21"/>
      <c r="CF9" s="17"/>
      <c r="CG9" s="17"/>
      <c r="CH9" s="17"/>
      <c r="CI9" s="17"/>
      <c r="CJ9" s="21"/>
      <c r="CK9" s="21"/>
      <c r="CL9" s="17"/>
      <c r="CM9" s="17"/>
      <c r="CN9" s="17"/>
      <c r="CO9" s="17"/>
      <c r="CP9" s="17"/>
      <c r="CQ9" s="17"/>
      <c r="CR9" s="17"/>
      <c r="CS9" s="17"/>
      <c r="CT9" s="21"/>
      <c r="CU9" s="21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21"/>
      <c r="DK9" s="21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21"/>
      <c r="ED9" s="21"/>
      <c r="EE9" s="17"/>
      <c r="EF9" s="17"/>
      <c r="EG9" s="17"/>
      <c r="EH9" s="17"/>
      <c r="EI9" s="17"/>
      <c r="EJ9" s="21"/>
      <c r="EK9" s="21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1"/>
      <c r="EW9" s="21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21"/>
      <c r="FK9" s="21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21"/>
      <c r="GC9" s="21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21"/>
      <c r="GP9" s="21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20"/>
      <c r="HF9" s="20"/>
      <c r="HG9" s="20"/>
      <c r="HH9" s="20"/>
      <c r="HI9" s="20"/>
      <c r="HJ9" s="20"/>
      <c r="HK9" s="20"/>
      <c r="HL9" s="20"/>
      <c r="HM9" s="20"/>
      <c r="HN9" s="21"/>
      <c r="HO9" s="21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1"/>
      <c r="IF9" s="21"/>
      <c r="IG9" s="17"/>
      <c r="IH9" s="17"/>
      <c r="II9" s="17"/>
      <c r="IJ9" s="17"/>
      <c r="IK9" s="17"/>
      <c r="IL9" s="21"/>
      <c r="IM9" s="21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21"/>
      <c r="JJ9" s="21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21"/>
      <c r="JV9" s="21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21"/>
      <c r="KN9" s="21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21"/>
      <c r="LE9" s="21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242"/>
      <c r="LZ9" s="231" t="s">
        <v>1447</v>
      </c>
      <c r="MA9" s="20" t="s">
        <v>580</v>
      </c>
      <c r="MB9" s="20" t="s">
        <v>573</v>
      </c>
      <c r="MC9" s="20" t="s">
        <v>566</v>
      </c>
      <c r="MD9" s="20" t="s">
        <v>208</v>
      </c>
      <c r="ME9" s="20" t="s">
        <v>118</v>
      </c>
      <c r="MF9" s="20" t="s">
        <v>124</v>
      </c>
      <c r="MG9" s="20" t="s">
        <v>141</v>
      </c>
      <c r="MH9" s="20"/>
      <c r="MI9" s="20"/>
      <c r="MJ9" s="20"/>
      <c r="MK9" s="20"/>
      <c r="ML9" s="20"/>
      <c r="MM9" s="20"/>
      <c r="MN9" s="20"/>
    </row>
    <row r="10" spans="1:352" ht="24.95" customHeight="1" thickTop="1" thickBot="1" x14ac:dyDescent="0.3">
      <c r="A10" s="221" t="s">
        <v>3</v>
      </c>
      <c r="B10" s="242" t="s">
        <v>920</v>
      </c>
      <c r="C10" s="198" t="s">
        <v>172</v>
      </c>
      <c r="D10" s="29" t="s">
        <v>151</v>
      </c>
      <c r="E10" s="29" t="s">
        <v>601</v>
      </c>
      <c r="F10" s="29" t="s">
        <v>149</v>
      </c>
      <c r="G10" s="29" t="s">
        <v>150</v>
      </c>
      <c r="H10" s="29"/>
      <c r="I10" s="29"/>
      <c r="J10" s="29"/>
      <c r="K10" s="29"/>
      <c r="L10" s="29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241" t="s">
        <v>68</v>
      </c>
      <c r="AH10" s="231" t="s">
        <v>172</v>
      </c>
      <c r="AI10" s="18" t="s">
        <v>151</v>
      </c>
      <c r="AJ10" s="225" t="s">
        <v>379</v>
      </c>
      <c r="AK10" s="226"/>
      <c r="AL10" s="227"/>
      <c r="AM10" s="18" t="s">
        <v>149</v>
      </c>
      <c r="AN10" s="18" t="s">
        <v>150</v>
      </c>
      <c r="AO10" s="241" t="s">
        <v>177</v>
      </c>
      <c r="AP10" s="231" t="s">
        <v>172</v>
      </c>
      <c r="AQ10" s="18" t="s">
        <v>151</v>
      </c>
      <c r="AR10" s="225" t="s">
        <v>379</v>
      </c>
      <c r="AS10" s="226"/>
      <c r="AT10" s="227"/>
      <c r="AU10" s="225" t="s">
        <v>115</v>
      </c>
      <c r="AV10" s="226"/>
      <c r="AW10" s="227"/>
      <c r="AX10" s="18" t="s">
        <v>147</v>
      </c>
      <c r="AY10" s="18" t="s">
        <v>148</v>
      </c>
      <c r="AZ10" s="18" t="s">
        <v>149</v>
      </c>
      <c r="BA10" s="18" t="s">
        <v>150</v>
      </c>
      <c r="BB10" s="18"/>
      <c r="BC10" s="18"/>
      <c r="BD10" s="18"/>
      <c r="BE10" s="18"/>
      <c r="BF10" s="18"/>
      <c r="BG10" s="241" t="s">
        <v>69</v>
      </c>
      <c r="BH10" s="231" t="s">
        <v>172</v>
      </c>
      <c r="BI10" s="18" t="s">
        <v>151</v>
      </c>
      <c r="BJ10" s="18" t="s">
        <v>379</v>
      </c>
      <c r="BK10" s="225" t="s">
        <v>115</v>
      </c>
      <c r="BL10" s="226"/>
      <c r="BM10" s="227"/>
      <c r="BN10" s="18" t="s">
        <v>149</v>
      </c>
      <c r="BO10" s="18" t="s">
        <v>150</v>
      </c>
      <c r="BP10" s="241" t="s">
        <v>70</v>
      </c>
      <c r="BQ10" s="231" t="s">
        <v>172</v>
      </c>
      <c r="BR10" s="18" t="s">
        <v>379</v>
      </c>
      <c r="BS10" s="225" t="s">
        <v>115</v>
      </c>
      <c r="BT10" s="227"/>
      <c r="BU10" s="18" t="s">
        <v>149</v>
      </c>
      <c r="BV10" s="18" t="s">
        <v>150</v>
      </c>
      <c r="BW10" s="241" t="s">
        <v>71</v>
      </c>
      <c r="BX10" s="231" t="s">
        <v>172</v>
      </c>
      <c r="BY10" s="18" t="s">
        <v>151</v>
      </c>
      <c r="BZ10" s="225" t="s">
        <v>379</v>
      </c>
      <c r="CA10" s="227"/>
      <c r="CB10" s="18" t="s">
        <v>149</v>
      </c>
      <c r="CC10" s="18" t="s">
        <v>150</v>
      </c>
      <c r="CD10" s="241" t="s">
        <v>72</v>
      </c>
      <c r="CE10" s="231" t="s">
        <v>172</v>
      </c>
      <c r="CF10" s="225" t="s">
        <v>379</v>
      </c>
      <c r="CG10" s="227"/>
      <c r="CH10" s="18" t="s">
        <v>149</v>
      </c>
      <c r="CI10" s="18" t="s">
        <v>150</v>
      </c>
      <c r="CJ10" s="241" t="s">
        <v>73</v>
      </c>
      <c r="CK10" s="231" t="s">
        <v>172</v>
      </c>
      <c r="CL10" s="225" t="s">
        <v>558</v>
      </c>
      <c r="CM10" s="227"/>
      <c r="CN10" s="225" t="s">
        <v>115</v>
      </c>
      <c r="CO10" s="226"/>
      <c r="CP10" s="226"/>
      <c r="CQ10" s="227"/>
      <c r="CR10" s="18" t="s">
        <v>404</v>
      </c>
      <c r="CS10" s="18" t="s">
        <v>405</v>
      </c>
      <c r="CT10" s="241" t="s">
        <v>74</v>
      </c>
      <c r="CU10" s="231" t="s">
        <v>172</v>
      </c>
      <c r="CV10" s="225" t="s">
        <v>379</v>
      </c>
      <c r="CW10" s="227"/>
      <c r="CX10" s="225" t="s">
        <v>115</v>
      </c>
      <c r="CY10" s="226"/>
      <c r="CZ10" s="226"/>
      <c r="DA10" s="226"/>
      <c r="DB10" s="226"/>
      <c r="DC10" s="226"/>
      <c r="DD10" s="226"/>
      <c r="DE10" s="226"/>
      <c r="DF10" s="226"/>
      <c r="DG10" s="227"/>
      <c r="DH10" s="18" t="s">
        <v>149</v>
      </c>
      <c r="DI10" s="18" t="s">
        <v>150</v>
      </c>
      <c r="DJ10" s="241" t="s">
        <v>75</v>
      </c>
      <c r="DK10" s="231" t="s">
        <v>172</v>
      </c>
      <c r="DL10" s="238" t="s">
        <v>379</v>
      </c>
      <c r="DM10" s="230"/>
      <c r="DN10" s="238" t="s">
        <v>115</v>
      </c>
      <c r="DO10" s="229"/>
      <c r="DP10" s="229"/>
      <c r="DQ10" s="229"/>
      <c r="DR10" s="229"/>
      <c r="DS10" s="229"/>
      <c r="DT10" s="229"/>
      <c r="DU10" s="229"/>
      <c r="DV10" s="229"/>
      <c r="DW10" s="229"/>
      <c r="DX10" s="229"/>
      <c r="DY10" s="230"/>
      <c r="DZ10" s="104" t="s">
        <v>148</v>
      </c>
      <c r="EA10" s="104" t="s">
        <v>149</v>
      </c>
      <c r="EB10" s="104" t="s">
        <v>150</v>
      </c>
      <c r="EC10" s="241" t="s">
        <v>76</v>
      </c>
      <c r="ED10" s="231" t="s">
        <v>172</v>
      </c>
      <c r="EE10" s="18" t="s">
        <v>151</v>
      </c>
      <c r="EF10" s="225" t="s">
        <v>379</v>
      </c>
      <c r="EG10" s="227"/>
      <c r="EH10" s="18" t="s">
        <v>149</v>
      </c>
      <c r="EI10" s="18" t="s">
        <v>150</v>
      </c>
      <c r="EJ10" s="241" t="s">
        <v>77</v>
      </c>
      <c r="EK10" s="231" t="s">
        <v>172</v>
      </c>
      <c r="EL10" s="225" t="s">
        <v>379</v>
      </c>
      <c r="EM10" s="226"/>
      <c r="EN10" s="227"/>
      <c r="EO10" s="225" t="s">
        <v>115</v>
      </c>
      <c r="EP10" s="226"/>
      <c r="EQ10" s="226"/>
      <c r="ER10" s="227"/>
      <c r="ES10" s="18" t="s">
        <v>149</v>
      </c>
      <c r="ET10" s="19" t="s">
        <v>150</v>
      </c>
      <c r="EU10" s="19"/>
      <c r="EV10" s="241" t="s">
        <v>78</v>
      </c>
      <c r="EW10" s="231" t="s">
        <v>172</v>
      </c>
      <c r="EX10" s="228" t="s">
        <v>379</v>
      </c>
      <c r="EY10" s="229"/>
      <c r="EZ10" s="230"/>
      <c r="FA10" s="228" t="s">
        <v>115</v>
      </c>
      <c r="FB10" s="229"/>
      <c r="FC10" s="229"/>
      <c r="FD10" s="230"/>
      <c r="FE10" s="228" t="s">
        <v>147</v>
      </c>
      <c r="FF10" s="230"/>
      <c r="FG10" s="104" t="s">
        <v>148</v>
      </c>
      <c r="FH10" s="104" t="s">
        <v>149</v>
      </c>
      <c r="FI10" s="104" t="s">
        <v>150</v>
      </c>
      <c r="FJ10" s="241" t="s">
        <v>79</v>
      </c>
      <c r="FK10" s="231" t="s">
        <v>172</v>
      </c>
      <c r="FL10" s="18" t="s">
        <v>151</v>
      </c>
      <c r="FM10" s="225" t="s">
        <v>379</v>
      </c>
      <c r="FN10" s="226"/>
      <c r="FO10" s="226"/>
      <c r="FP10" s="227"/>
      <c r="FQ10" s="225" t="s">
        <v>115</v>
      </c>
      <c r="FR10" s="226"/>
      <c r="FS10" s="226"/>
      <c r="FT10" s="226"/>
      <c r="FU10" s="227"/>
      <c r="FV10" s="18" t="s">
        <v>149</v>
      </c>
      <c r="FW10" s="18" t="s">
        <v>150</v>
      </c>
      <c r="FX10" s="18"/>
      <c r="FY10" s="18"/>
      <c r="FZ10" s="18"/>
      <c r="GA10" s="18"/>
      <c r="GB10" s="241" t="s">
        <v>80</v>
      </c>
      <c r="GC10" s="231" t="s">
        <v>172</v>
      </c>
      <c r="GD10" s="18" t="s">
        <v>151</v>
      </c>
      <c r="GE10" s="225" t="s">
        <v>558</v>
      </c>
      <c r="GF10" s="227"/>
      <c r="GG10" s="225" t="s">
        <v>115</v>
      </c>
      <c r="GH10" s="226"/>
      <c r="GI10" s="226"/>
      <c r="GJ10" s="227"/>
      <c r="GK10" s="18" t="s">
        <v>149</v>
      </c>
      <c r="GL10" s="18" t="s">
        <v>150</v>
      </c>
      <c r="GM10" s="18"/>
      <c r="GN10" s="18"/>
      <c r="GO10" s="241" t="s">
        <v>81</v>
      </c>
      <c r="GP10" s="231" t="s">
        <v>172</v>
      </c>
      <c r="GQ10" s="225" t="s">
        <v>558</v>
      </c>
      <c r="GR10" s="227"/>
      <c r="GS10" s="225" t="s">
        <v>115</v>
      </c>
      <c r="GT10" s="226"/>
      <c r="GU10" s="226"/>
      <c r="GV10" s="226"/>
      <c r="GW10" s="226"/>
      <c r="GX10" s="227"/>
      <c r="GY10" s="18" t="s">
        <v>149</v>
      </c>
      <c r="GZ10" s="18" t="s">
        <v>150</v>
      </c>
      <c r="HA10" s="18"/>
      <c r="HB10" s="18"/>
      <c r="HC10" s="18"/>
      <c r="HD10" s="18"/>
      <c r="HE10" s="19"/>
      <c r="HF10" s="19"/>
      <c r="HG10" s="19"/>
      <c r="HH10" s="19"/>
      <c r="HI10" s="19"/>
      <c r="HJ10" s="19"/>
      <c r="HK10" s="19"/>
      <c r="HL10" s="19"/>
      <c r="HM10" s="19"/>
      <c r="HN10" s="241" t="s">
        <v>82</v>
      </c>
      <c r="HO10" s="231" t="s">
        <v>172</v>
      </c>
      <c r="HP10" s="19" t="s">
        <v>151</v>
      </c>
      <c r="HQ10" s="225" t="s">
        <v>558</v>
      </c>
      <c r="HR10" s="227"/>
      <c r="HS10" s="225" t="s">
        <v>115</v>
      </c>
      <c r="HT10" s="227"/>
      <c r="HU10" s="18" t="s">
        <v>149</v>
      </c>
      <c r="HV10" s="18" t="s">
        <v>150</v>
      </c>
      <c r="HW10" s="18"/>
      <c r="HX10" s="18"/>
      <c r="HY10" s="18"/>
      <c r="HZ10" s="19"/>
      <c r="IA10" s="19"/>
      <c r="IB10" s="19"/>
      <c r="IC10" s="19"/>
      <c r="ID10" s="19"/>
      <c r="IE10" s="241" t="s">
        <v>83</v>
      </c>
      <c r="IF10" s="231" t="s">
        <v>172</v>
      </c>
      <c r="IG10" s="18" t="s">
        <v>151</v>
      </c>
      <c r="IH10" s="18" t="s">
        <v>558</v>
      </c>
      <c r="II10" s="18" t="s">
        <v>115</v>
      </c>
      <c r="IJ10" s="19" t="s">
        <v>149</v>
      </c>
      <c r="IK10" s="19" t="s">
        <v>150</v>
      </c>
      <c r="IL10" s="241" t="s">
        <v>84</v>
      </c>
      <c r="IM10" s="231" t="s">
        <v>172</v>
      </c>
      <c r="IN10" s="225" t="s">
        <v>558</v>
      </c>
      <c r="IO10" s="226"/>
      <c r="IP10" s="226"/>
      <c r="IQ10" s="226"/>
      <c r="IR10" s="226"/>
      <c r="IS10" s="226"/>
      <c r="IT10" s="226"/>
      <c r="IU10" s="226"/>
      <c r="IV10" s="227"/>
      <c r="IW10" s="225" t="s">
        <v>115</v>
      </c>
      <c r="IX10" s="226"/>
      <c r="IY10" s="226"/>
      <c r="IZ10" s="226"/>
      <c r="JA10" s="226"/>
      <c r="JB10" s="226"/>
      <c r="JC10" s="226"/>
      <c r="JD10" s="227"/>
      <c r="JE10" s="18" t="s">
        <v>148</v>
      </c>
      <c r="JF10" s="18" t="s">
        <v>159</v>
      </c>
      <c r="JG10" s="18" t="s">
        <v>149</v>
      </c>
      <c r="JH10" s="19" t="s">
        <v>150</v>
      </c>
      <c r="JI10" s="241" t="s">
        <v>85</v>
      </c>
      <c r="JJ10" s="231" t="s">
        <v>172</v>
      </c>
      <c r="JK10" s="29" t="s">
        <v>558</v>
      </c>
      <c r="JL10" s="228" t="s">
        <v>115</v>
      </c>
      <c r="JM10" s="229"/>
      <c r="JN10" s="230"/>
      <c r="JO10" s="29" t="s">
        <v>149</v>
      </c>
      <c r="JP10" s="29" t="s">
        <v>150</v>
      </c>
      <c r="JQ10" s="29"/>
      <c r="JR10" s="29"/>
      <c r="JS10" s="29"/>
      <c r="JT10" s="29"/>
      <c r="JU10" s="241" t="s">
        <v>86</v>
      </c>
      <c r="JV10" s="231" t="s">
        <v>172</v>
      </c>
      <c r="JW10" s="225" t="s">
        <v>558</v>
      </c>
      <c r="JX10" s="226"/>
      <c r="JY10" s="226"/>
      <c r="JZ10" s="227"/>
      <c r="KA10" s="225" t="s">
        <v>115</v>
      </c>
      <c r="KB10" s="226"/>
      <c r="KC10" s="226"/>
      <c r="KD10" s="226"/>
      <c r="KE10" s="226"/>
      <c r="KF10" s="226"/>
      <c r="KG10" s="226"/>
      <c r="KH10" s="226"/>
      <c r="KI10" s="226"/>
      <c r="KJ10" s="227"/>
      <c r="KK10" s="18" t="s">
        <v>149</v>
      </c>
      <c r="KL10" s="18" t="s">
        <v>150</v>
      </c>
      <c r="KM10" s="241" t="s">
        <v>87</v>
      </c>
      <c r="KN10" s="231" t="s">
        <v>172</v>
      </c>
      <c r="KO10" s="225" t="s">
        <v>558</v>
      </c>
      <c r="KP10" s="226"/>
      <c r="KQ10" s="227"/>
      <c r="KR10" s="225" t="s">
        <v>115</v>
      </c>
      <c r="KS10" s="226"/>
      <c r="KT10" s="226"/>
      <c r="KU10" s="226"/>
      <c r="KV10" s="226"/>
      <c r="KW10" s="226"/>
      <c r="KX10" s="227"/>
      <c r="KY10" s="18" t="s">
        <v>149</v>
      </c>
      <c r="KZ10" s="18" t="s">
        <v>150</v>
      </c>
      <c r="LA10" s="18"/>
      <c r="LB10" s="18"/>
      <c r="LC10" s="18"/>
      <c r="LD10" s="241" t="s">
        <v>88</v>
      </c>
      <c r="LE10" s="231" t="s">
        <v>172</v>
      </c>
      <c r="LF10" s="18" t="s">
        <v>151</v>
      </c>
      <c r="LG10" s="225" t="s">
        <v>147</v>
      </c>
      <c r="LH10" s="227"/>
      <c r="LI10" s="225" t="s">
        <v>558</v>
      </c>
      <c r="LJ10" s="226"/>
      <c r="LK10" s="226"/>
      <c r="LL10" s="227"/>
      <c r="LM10" s="225" t="s">
        <v>115</v>
      </c>
      <c r="LN10" s="226"/>
      <c r="LO10" s="226"/>
      <c r="LP10" s="226"/>
      <c r="LQ10" s="226"/>
      <c r="LR10" s="226"/>
      <c r="LS10" s="227"/>
      <c r="LT10" s="18" t="s">
        <v>149</v>
      </c>
      <c r="LU10" s="18" t="s">
        <v>150</v>
      </c>
      <c r="LV10" s="18"/>
      <c r="LW10" s="18"/>
      <c r="LX10" s="18"/>
      <c r="LY10" s="242" t="s">
        <v>174</v>
      </c>
      <c r="LZ10" s="231" t="s">
        <v>172</v>
      </c>
      <c r="MA10" s="19" t="s">
        <v>151</v>
      </c>
      <c r="MB10" s="232" t="s">
        <v>558</v>
      </c>
      <c r="MC10" s="233"/>
      <c r="MD10" s="234"/>
      <c r="ME10" s="232" t="s">
        <v>115</v>
      </c>
      <c r="MF10" s="233"/>
      <c r="MG10" s="233"/>
      <c r="MH10" s="233"/>
      <c r="MI10" s="233"/>
      <c r="MJ10" s="234"/>
      <c r="MK10" s="19" t="s">
        <v>148</v>
      </c>
      <c r="ML10" s="19" t="s">
        <v>149</v>
      </c>
      <c r="MM10" s="19" t="s">
        <v>150</v>
      </c>
      <c r="MN10" s="19"/>
    </row>
    <row r="11" spans="1:352" ht="24.95" customHeight="1" thickTop="1" thickBot="1" x14ac:dyDescent="0.3">
      <c r="A11" s="221"/>
      <c r="B11" s="243"/>
      <c r="C11" s="198" t="s">
        <v>172</v>
      </c>
      <c r="D11" s="30"/>
      <c r="E11" s="30"/>
      <c r="F11" s="30"/>
      <c r="G11" s="30"/>
      <c r="H11" s="30"/>
      <c r="I11" s="30"/>
      <c r="J11" s="30"/>
      <c r="K11" s="30"/>
      <c r="L11" s="30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241"/>
      <c r="AH11" s="231" t="s">
        <v>1446</v>
      </c>
      <c r="AI11" s="17"/>
      <c r="AJ11" s="17" t="s">
        <v>384</v>
      </c>
      <c r="AK11" s="17" t="s">
        <v>113</v>
      </c>
      <c r="AL11" s="17" t="s">
        <v>114</v>
      </c>
      <c r="AM11" s="17"/>
      <c r="AN11" s="17"/>
      <c r="AO11" s="241"/>
      <c r="AP11" s="231" t="s">
        <v>1446</v>
      </c>
      <c r="AQ11" s="17"/>
      <c r="AR11" s="17" t="s">
        <v>380</v>
      </c>
      <c r="AS11" s="17" t="s">
        <v>381</v>
      </c>
      <c r="AT11" s="17" t="s">
        <v>208</v>
      </c>
      <c r="AU11" s="17" t="s">
        <v>118</v>
      </c>
      <c r="AV11" s="17" t="s">
        <v>125</v>
      </c>
      <c r="AW11" s="17" t="s">
        <v>145</v>
      </c>
      <c r="AX11" s="17" t="s">
        <v>180</v>
      </c>
      <c r="AY11" s="17"/>
      <c r="AZ11" s="17"/>
      <c r="BA11" s="17"/>
      <c r="BB11" s="17"/>
      <c r="BC11" s="17"/>
      <c r="BD11" s="17"/>
      <c r="BE11" s="17"/>
      <c r="BF11" s="17"/>
      <c r="BG11" s="244"/>
      <c r="BH11" s="231" t="s">
        <v>1446</v>
      </c>
      <c r="BI11" s="17"/>
      <c r="BJ11" s="17" t="s">
        <v>380</v>
      </c>
      <c r="BK11" s="17" t="s">
        <v>118</v>
      </c>
      <c r="BL11" s="17" t="s">
        <v>136</v>
      </c>
      <c r="BM11" s="17" t="s">
        <v>141</v>
      </c>
      <c r="BN11" s="17"/>
      <c r="BO11" s="17"/>
      <c r="BP11" s="241"/>
      <c r="BQ11" s="231" t="s">
        <v>1446</v>
      </c>
      <c r="BR11" s="17" t="s">
        <v>380</v>
      </c>
      <c r="BS11" s="17" t="s">
        <v>132</v>
      </c>
      <c r="BT11" s="17" t="s">
        <v>136</v>
      </c>
      <c r="BU11" s="17"/>
      <c r="BV11" s="17"/>
      <c r="BW11" s="241"/>
      <c r="BX11" s="231" t="s">
        <v>1446</v>
      </c>
      <c r="BY11" s="17"/>
      <c r="BZ11" s="17" t="s">
        <v>380</v>
      </c>
      <c r="CA11" s="17" t="s">
        <v>114</v>
      </c>
      <c r="CB11" s="17"/>
      <c r="CC11" s="17"/>
      <c r="CD11" s="241"/>
      <c r="CE11" s="231" t="s">
        <v>1446</v>
      </c>
      <c r="CF11" s="17" t="s">
        <v>382</v>
      </c>
      <c r="CG11" s="17" t="s">
        <v>109</v>
      </c>
      <c r="CH11" s="17"/>
      <c r="CI11" s="17"/>
      <c r="CJ11" s="241"/>
      <c r="CK11" s="231" t="s">
        <v>1446</v>
      </c>
      <c r="CL11" s="17" t="s">
        <v>559</v>
      </c>
      <c r="CM11" s="17" t="s">
        <v>109</v>
      </c>
      <c r="CN11" s="17" t="s">
        <v>116</v>
      </c>
      <c r="CO11" s="17" t="s">
        <v>117</v>
      </c>
      <c r="CP11" s="17" t="s">
        <v>118</v>
      </c>
      <c r="CQ11" s="17" t="s">
        <v>126</v>
      </c>
      <c r="CR11" s="17"/>
      <c r="CS11" s="17"/>
      <c r="CT11" s="241"/>
      <c r="CU11" s="231" t="s">
        <v>1446</v>
      </c>
      <c r="CV11" s="17" t="s">
        <v>382</v>
      </c>
      <c r="CW11" s="17" t="s">
        <v>109</v>
      </c>
      <c r="CX11" s="17" t="s">
        <v>117</v>
      </c>
      <c r="CY11" s="17" t="s">
        <v>116</v>
      </c>
      <c r="CZ11" s="17" t="s">
        <v>118</v>
      </c>
      <c r="DA11" s="17" t="s">
        <v>125</v>
      </c>
      <c r="DB11" s="17" t="s">
        <v>126</v>
      </c>
      <c r="DC11" s="17" t="s">
        <v>133</v>
      </c>
      <c r="DD11" s="17" t="s">
        <v>138</v>
      </c>
      <c r="DE11" s="17" t="s">
        <v>139</v>
      </c>
      <c r="DF11" s="17" t="s">
        <v>140</v>
      </c>
      <c r="DG11" s="17" t="s">
        <v>141</v>
      </c>
      <c r="DH11" s="17"/>
      <c r="DI11" s="17"/>
      <c r="DJ11" s="241"/>
      <c r="DK11" s="231" t="s">
        <v>1446</v>
      </c>
      <c r="DL11" s="30" t="s">
        <v>382</v>
      </c>
      <c r="DM11" s="30" t="s">
        <v>109</v>
      </c>
      <c r="DN11" s="30" t="s">
        <v>116</v>
      </c>
      <c r="DO11" s="30" t="s">
        <v>117</v>
      </c>
      <c r="DP11" s="30" t="s">
        <v>118</v>
      </c>
      <c r="DQ11" s="30" t="s">
        <v>119</v>
      </c>
      <c r="DR11" s="30" t="s">
        <v>123</v>
      </c>
      <c r="DS11" s="30" t="s">
        <v>125</v>
      </c>
      <c r="DT11" s="30" t="s">
        <v>126</v>
      </c>
      <c r="DU11" s="30" t="s">
        <v>131</v>
      </c>
      <c r="DV11" s="30" t="s">
        <v>133</v>
      </c>
      <c r="DW11" s="30" t="s">
        <v>139</v>
      </c>
      <c r="DX11" s="30" t="s">
        <v>140</v>
      </c>
      <c r="DY11" s="30" t="s">
        <v>141</v>
      </c>
      <c r="DZ11" s="30"/>
      <c r="EA11" s="30"/>
      <c r="EB11" s="30"/>
      <c r="EC11" s="241"/>
      <c r="ED11" s="231" t="s">
        <v>1446</v>
      </c>
      <c r="EE11" s="17"/>
      <c r="EF11" s="17" t="s">
        <v>382</v>
      </c>
      <c r="EG11" s="17" t="s">
        <v>387</v>
      </c>
      <c r="EH11" s="17"/>
      <c r="EI11" s="17"/>
      <c r="EJ11" s="241"/>
      <c r="EK11" s="231" t="s">
        <v>1446</v>
      </c>
      <c r="EL11" s="17" t="s">
        <v>383</v>
      </c>
      <c r="EM11" s="17" t="s">
        <v>384</v>
      </c>
      <c r="EN11" s="17" t="s">
        <v>109</v>
      </c>
      <c r="EO11" s="17" t="s">
        <v>125</v>
      </c>
      <c r="EP11" s="17" t="s">
        <v>130</v>
      </c>
      <c r="EQ11" s="17" t="s">
        <v>140</v>
      </c>
      <c r="ER11" s="17" t="s">
        <v>141</v>
      </c>
      <c r="ES11" s="17"/>
      <c r="ET11" s="20"/>
      <c r="EU11" s="20"/>
      <c r="EV11" s="241"/>
      <c r="EW11" s="231" t="s">
        <v>1446</v>
      </c>
      <c r="EX11" s="30" t="s">
        <v>383</v>
      </c>
      <c r="EY11" s="30" t="s">
        <v>385</v>
      </c>
      <c r="EZ11" s="30" t="s">
        <v>109</v>
      </c>
      <c r="FA11" s="30" t="s">
        <v>119</v>
      </c>
      <c r="FB11" s="30" t="s">
        <v>121</v>
      </c>
      <c r="FC11" s="30" t="s">
        <v>130</v>
      </c>
      <c r="FD11" s="30" t="s">
        <v>141</v>
      </c>
      <c r="FE11" s="30" t="s">
        <v>180</v>
      </c>
      <c r="FF11" s="30" t="s">
        <v>393</v>
      </c>
      <c r="FG11" s="30"/>
      <c r="FH11" s="30"/>
      <c r="FI11" s="30"/>
      <c r="FJ11" s="241"/>
      <c r="FK11" s="231" t="s">
        <v>1446</v>
      </c>
      <c r="FL11" s="17"/>
      <c r="FM11" s="17" t="s">
        <v>381</v>
      </c>
      <c r="FN11" s="17" t="s">
        <v>387</v>
      </c>
      <c r="FO11" s="17" t="s">
        <v>389</v>
      </c>
      <c r="FP11" s="17" t="s">
        <v>109</v>
      </c>
      <c r="FQ11" s="17" t="s">
        <v>118</v>
      </c>
      <c r="FR11" s="17" t="s">
        <v>136</v>
      </c>
      <c r="FS11" s="17" t="s">
        <v>137</v>
      </c>
      <c r="FT11" s="17" t="s">
        <v>141</v>
      </c>
      <c r="FU11" s="17" t="s">
        <v>145</v>
      </c>
      <c r="FV11" s="17"/>
      <c r="FW11" s="17"/>
      <c r="FX11" s="17"/>
      <c r="FY11" s="17"/>
      <c r="FZ11" s="17"/>
      <c r="GA11" s="17"/>
      <c r="GB11" s="241"/>
      <c r="GC11" s="231" t="s">
        <v>1446</v>
      </c>
      <c r="GD11" s="17"/>
      <c r="GE11" s="17" t="s">
        <v>568</v>
      </c>
      <c r="GF11" s="17" t="s">
        <v>109</v>
      </c>
      <c r="GG11" s="17" t="s">
        <v>130</v>
      </c>
      <c r="GH11" s="17" t="s">
        <v>136</v>
      </c>
      <c r="GI11" s="17" t="s">
        <v>141</v>
      </c>
      <c r="GJ11" s="17" t="s">
        <v>145</v>
      </c>
      <c r="GK11" s="17"/>
      <c r="GL11" s="17"/>
      <c r="GM11" s="17"/>
      <c r="GN11" s="17"/>
      <c r="GO11" s="241"/>
      <c r="GP11" s="231" t="s">
        <v>1446</v>
      </c>
      <c r="GQ11" s="17" t="s">
        <v>570</v>
      </c>
      <c r="GR11" s="17" t="s">
        <v>109</v>
      </c>
      <c r="GS11" s="17" t="s">
        <v>116</v>
      </c>
      <c r="GT11" s="17" t="s">
        <v>117</v>
      </c>
      <c r="GU11" s="17" t="s">
        <v>118</v>
      </c>
      <c r="GV11" s="17" t="s">
        <v>121</v>
      </c>
      <c r="GW11" s="17" t="s">
        <v>139</v>
      </c>
      <c r="GX11" s="17" t="s">
        <v>141</v>
      </c>
      <c r="GY11" s="17"/>
      <c r="GZ11" s="17"/>
      <c r="HA11" s="17"/>
      <c r="HB11" s="17"/>
      <c r="HC11" s="17"/>
      <c r="HD11" s="17"/>
      <c r="HE11" s="20"/>
      <c r="HF11" s="20"/>
      <c r="HG11" s="20"/>
      <c r="HH11" s="20"/>
      <c r="HI11" s="20"/>
      <c r="HJ11" s="20"/>
      <c r="HK11" s="20"/>
      <c r="HL11" s="20"/>
      <c r="HM11" s="20"/>
      <c r="HN11" s="241"/>
      <c r="HO11" s="231" t="s">
        <v>1446</v>
      </c>
      <c r="HP11" s="20"/>
      <c r="HQ11" s="17" t="s">
        <v>570</v>
      </c>
      <c r="HR11" s="17" t="s">
        <v>208</v>
      </c>
      <c r="HS11" s="17" t="s">
        <v>136</v>
      </c>
      <c r="HT11" s="17" t="s">
        <v>145</v>
      </c>
      <c r="HU11" s="17"/>
      <c r="HV11" s="17"/>
      <c r="HW11" s="17"/>
      <c r="HX11" s="17"/>
      <c r="HY11" s="17"/>
      <c r="HZ11" s="20"/>
      <c r="IA11" s="20"/>
      <c r="IB11" s="20"/>
      <c r="IC11" s="20"/>
      <c r="ID11" s="20"/>
      <c r="IE11" s="241"/>
      <c r="IF11" s="231" t="s">
        <v>1446</v>
      </c>
      <c r="IG11" s="17"/>
      <c r="IH11" s="17" t="s">
        <v>192</v>
      </c>
      <c r="II11" s="17" t="s">
        <v>145</v>
      </c>
      <c r="IJ11" s="17"/>
      <c r="IK11" s="17"/>
      <c r="IL11" s="241"/>
      <c r="IM11" s="231" t="s">
        <v>1446</v>
      </c>
      <c r="IN11" s="17" t="s">
        <v>381</v>
      </c>
      <c r="IO11" s="17" t="s">
        <v>382</v>
      </c>
      <c r="IP11" s="17" t="s">
        <v>383</v>
      </c>
      <c r="IQ11" s="17" t="s">
        <v>384</v>
      </c>
      <c r="IR11" s="17" t="s">
        <v>385</v>
      </c>
      <c r="IS11" s="17" t="s">
        <v>387</v>
      </c>
      <c r="IT11" s="17" t="s">
        <v>430</v>
      </c>
      <c r="IU11" s="17" t="s">
        <v>431</v>
      </c>
      <c r="IV11" s="17" t="s">
        <v>432</v>
      </c>
      <c r="IW11" s="17" t="s">
        <v>118</v>
      </c>
      <c r="IX11" s="17" t="s">
        <v>121</v>
      </c>
      <c r="IY11" s="17" t="s">
        <v>123</v>
      </c>
      <c r="IZ11" s="17" t="s">
        <v>124</v>
      </c>
      <c r="JA11" s="17" t="s">
        <v>125</v>
      </c>
      <c r="JB11" s="17" t="s">
        <v>136</v>
      </c>
      <c r="JC11" s="17" t="s">
        <v>140</v>
      </c>
      <c r="JD11" s="17" t="s">
        <v>145</v>
      </c>
      <c r="JE11" s="17"/>
      <c r="JF11" s="17"/>
      <c r="JG11" s="17"/>
      <c r="JH11" s="17"/>
      <c r="JI11" s="241"/>
      <c r="JJ11" s="231" t="s">
        <v>1446</v>
      </c>
      <c r="JK11" s="30" t="s">
        <v>566</v>
      </c>
      <c r="JL11" s="30" t="s">
        <v>118</v>
      </c>
      <c r="JM11" s="30" t="s">
        <v>141</v>
      </c>
      <c r="JN11" s="30" t="s">
        <v>145</v>
      </c>
      <c r="JO11" s="30"/>
      <c r="JP11" s="30"/>
      <c r="JQ11" s="30"/>
      <c r="JR11" s="30"/>
      <c r="JS11" s="30"/>
      <c r="JT11" s="30"/>
      <c r="JU11" s="241"/>
      <c r="JV11" s="231" t="s">
        <v>1446</v>
      </c>
      <c r="JW11" s="17" t="s">
        <v>566</v>
      </c>
      <c r="JX11" s="17" t="s">
        <v>430</v>
      </c>
      <c r="JY11" s="17" t="s">
        <v>431</v>
      </c>
      <c r="JZ11" s="17" t="s">
        <v>432</v>
      </c>
      <c r="KA11" s="17" t="s">
        <v>118</v>
      </c>
      <c r="KB11" s="17" t="s">
        <v>119</v>
      </c>
      <c r="KC11" s="17" t="s">
        <v>121</v>
      </c>
      <c r="KD11" s="17" t="s">
        <v>122</v>
      </c>
      <c r="KE11" s="17" t="s">
        <v>123</v>
      </c>
      <c r="KF11" s="17" t="s">
        <v>126</v>
      </c>
      <c r="KG11" s="17" t="s">
        <v>140</v>
      </c>
      <c r="KH11" s="17" t="s">
        <v>141</v>
      </c>
      <c r="KI11" s="17" t="s">
        <v>142</v>
      </c>
      <c r="KJ11" s="17" t="s">
        <v>144</v>
      </c>
      <c r="KK11" s="17"/>
      <c r="KL11" s="17"/>
      <c r="KM11" s="241"/>
      <c r="KN11" s="231" t="s">
        <v>1446</v>
      </c>
      <c r="KO11" s="17" t="s">
        <v>570</v>
      </c>
      <c r="KP11" s="17" t="s">
        <v>566</v>
      </c>
      <c r="KQ11" s="17" t="s">
        <v>111</v>
      </c>
      <c r="KR11" s="17" t="s">
        <v>125</v>
      </c>
      <c r="KS11" s="17" t="s">
        <v>130</v>
      </c>
      <c r="KT11" s="17" t="s">
        <v>133</v>
      </c>
      <c r="KU11" s="17" t="s">
        <v>139</v>
      </c>
      <c r="KV11" s="17" t="s">
        <v>141</v>
      </c>
      <c r="KW11" s="17" t="s">
        <v>142</v>
      </c>
      <c r="KX11" s="17" t="s">
        <v>145</v>
      </c>
      <c r="KY11" s="17"/>
      <c r="KZ11" s="17"/>
      <c r="LA11" s="17"/>
      <c r="LB11" s="17"/>
      <c r="LC11" s="17"/>
      <c r="LD11" s="241"/>
      <c r="LE11" s="231" t="s">
        <v>1446</v>
      </c>
      <c r="LF11" s="17"/>
      <c r="LG11" s="17" t="s">
        <v>180</v>
      </c>
      <c r="LH11" s="17" t="s">
        <v>181</v>
      </c>
      <c r="LI11" s="17" t="s">
        <v>576</v>
      </c>
      <c r="LJ11" s="17" t="s">
        <v>568</v>
      </c>
      <c r="LK11" s="17" t="s">
        <v>570</v>
      </c>
      <c r="LL11" s="17" t="s">
        <v>109</v>
      </c>
      <c r="LM11" s="17" t="s">
        <v>126</v>
      </c>
      <c r="LN11" s="17" t="s">
        <v>133</v>
      </c>
      <c r="LO11" s="17" t="s">
        <v>136</v>
      </c>
      <c r="LP11" s="17" t="s">
        <v>137</v>
      </c>
      <c r="LQ11" s="17" t="s">
        <v>140</v>
      </c>
      <c r="LR11" s="17" t="s">
        <v>141</v>
      </c>
      <c r="LS11" s="17" t="s">
        <v>145</v>
      </c>
      <c r="LT11" s="17"/>
      <c r="LU11" s="17"/>
      <c r="LV11" s="17"/>
      <c r="LW11" s="17"/>
      <c r="LX11" s="17"/>
      <c r="LY11" s="242"/>
      <c r="LZ11" s="231" t="s">
        <v>1446</v>
      </c>
      <c r="MA11" s="20"/>
      <c r="MB11" s="20" t="s">
        <v>570</v>
      </c>
      <c r="MC11" s="20" t="s">
        <v>573</v>
      </c>
      <c r="MD11" s="20" t="s">
        <v>566</v>
      </c>
      <c r="ME11" s="20" t="s">
        <v>118</v>
      </c>
      <c r="MF11" s="20" t="s">
        <v>120</v>
      </c>
      <c r="MG11" s="20" t="s">
        <v>124</v>
      </c>
      <c r="MH11" s="20" t="s">
        <v>130</v>
      </c>
      <c r="MI11" s="20" t="s">
        <v>141</v>
      </c>
      <c r="MJ11" s="20" t="s">
        <v>145</v>
      </c>
      <c r="MK11" s="20"/>
      <c r="ML11" s="20"/>
      <c r="MM11" s="20"/>
      <c r="MN11" s="20"/>
    </row>
    <row r="12" spans="1:352" ht="24.95" customHeight="1" thickTop="1" thickBot="1" x14ac:dyDescent="0.3">
      <c r="A12" s="221"/>
      <c r="B12" s="243"/>
      <c r="C12" s="198" t="s">
        <v>171</v>
      </c>
      <c r="D12" s="29" t="s">
        <v>182</v>
      </c>
      <c r="E12" s="228" t="s">
        <v>709</v>
      </c>
      <c r="F12" s="229"/>
      <c r="G12" s="229"/>
      <c r="H12" s="229"/>
      <c r="I12" s="228" t="s">
        <v>186</v>
      </c>
      <c r="J12" s="229"/>
      <c r="K12" s="230"/>
      <c r="L12" s="29" t="s">
        <v>190</v>
      </c>
      <c r="M12" s="103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241"/>
      <c r="AH12" s="231" t="s">
        <v>171</v>
      </c>
      <c r="AI12" s="18" t="s">
        <v>182</v>
      </c>
      <c r="AJ12" s="18" t="s">
        <v>703</v>
      </c>
      <c r="AK12" s="18" t="s">
        <v>190</v>
      </c>
      <c r="AL12" s="18"/>
      <c r="AM12" s="18"/>
      <c r="AN12" s="18"/>
      <c r="AO12" s="241"/>
      <c r="AP12" s="231" t="s">
        <v>171</v>
      </c>
      <c r="AQ12" s="18" t="s">
        <v>182</v>
      </c>
      <c r="AR12" s="225" t="s">
        <v>702</v>
      </c>
      <c r="AS12" s="226"/>
      <c r="AT12" s="226"/>
      <c r="AU12" s="226"/>
      <c r="AV12" s="227"/>
      <c r="AW12" s="18" t="s">
        <v>703</v>
      </c>
      <c r="AX12" s="225" t="s">
        <v>706</v>
      </c>
      <c r="AY12" s="227"/>
      <c r="AZ12" s="225" t="s">
        <v>704</v>
      </c>
      <c r="BA12" s="227"/>
      <c r="BB12" s="225" t="s">
        <v>186</v>
      </c>
      <c r="BC12" s="226"/>
      <c r="BD12" s="227"/>
      <c r="BE12" s="18" t="s">
        <v>213</v>
      </c>
      <c r="BF12" s="18" t="s">
        <v>214</v>
      </c>
      <c r="BG12" s="244"/>
      <c r="BH12" s="231" t="s">
        <v>171</v>
      </c>
      <c r="BI12" s="18" t="s">
        <v>182</v>
      </c>
      <c r="BJ12" s="18" t="s">
        <v>703</v>
      </c>
      <c r="BK12" s="18" t="s">
        <v>706</v>
      </c>
      <c r="BL12" s="18" t="s">
        <v>186</v>
      </c>
      <c r="BM12" s="18" t="s">
        <v>215</v>
      </c>
      <c r="BN12" s="18"/>
      <c r="BO12" s="18"/>
      <c r="BP12" s="241"/>
      <c r="BQ12" s="231" t="s">
        <v>171</v>
      </c>
      <c r="BR12" s="18" t="s">
        <v>182</v>
      </c>
      <c r="BS12" s="18" t="s">
        <v>216</v>
      </c>
      <c r="BT12" s="18"/>
      <c r="BU12" s="18"/>
      <c r="BV12" s="18"/>
      <c r="BW12" s="241"/>
      <c r="BX12" s="231" t="s">
        <v>171</v>
      </c>
      <c r="BY12" s="18" t="s">
        <v>182</v>
      </c>
      <c r="BZ12" s="18" t="s">
        <v>703</v>
      </c>
      <c r="CA12" s="18" t="s">
        <v>190</v>
      </c>
      <c r="CB12" s="18"/>
      <c r="CC12" s="18"/>
      <c r="CD12" s="241"/>
      <c r="CE12" s="231" t="s">
        <v>171</v>
      </c>
      <c r="CF12" s="18" t="s">
        <v>182</v>
      </c>
      <c r="CG12" s="18" t="s">
        <v>216</v>
      </c>
      <c r="CH12" s="18" t="s">
        <v>218</v>
      </c>
      <c r="CI12" s="18" t="s">
        <v>190</v>
      </c>
      <c r="CJ12" s="241"/>
      <c r="CK12" s="231" t="s">
        <v>171</v>
      </c>
      <c r="CL12" s="18" t="s">
        <v>261</v>
      </c>
      <c r="CM12" s="18" t="s">
        <v>561</v>
      </c>
      <c r="CN12" s="18" t="s">
        <v>548</v>
      </c>
      <c r="CO12" s="18" t="s">
        <v>191</v>
      </c>
      <c r="CP12" s="18"/>
      <c r="CQ12" s="18"/>
      <c r="CR12" s="18"/>
      <c r="CS12" s="18"/>
      <c r="CT12" s="241"/>
      <c r="CU12" s="231" t="s">
        <v>171</v>
      </c>
      <c r="CV12" s="18" t="s">
        <v>182</v>
      </c>
      <c r="CW12" s="18" t="s">
        <v>219</v>
      </c>
      <c r="CX12" s="18" t="s">
        <v>220</v>
      </c>
      <c r="CY12" s="18" t="s">
        <v>221</v>
      </c>
      <c r="CZ12" s="18" t="s">
        <v>562</v>
      </c>
      <c r="DA12" s="225" t="s">
        <v>703</v>
      </c>
      <c r="DB12" s="227"/>
      <c r="DC12" s="18" t="s">
        <v>706</v>
      </c>
      <c r="DD12" s="18" t="s">
        <v>190</v>
      </c>
      <c r="DE12" s="18"/>
      <c r="DF12" s="18"/>
      <c r="DG12" s="18"/>
      <c r="DH12" s="18"/>
      <c r="DI12" s="18"/>
      <c r="DJ12" s="241"/>
      <c r="DK12" s="231" t="s">
        <v>171</v>
      </c>
      <c r="DL12" s="104" t="s">
        <v>223</v>
      </c>
      <c r="DM12" s="104" t="s">
        <v>228</v>
      </c>
      <c r="DN12" s="104" t="s">
        <v>224</v>
      </c>
      <c r="DO12" s="238" t="s">
        <v>703</v>
      </c>
      <c r="DP12" s="230"/>
      <c r="DQ12" s="104" t="s">
        <v>548</v>
      </c>
      <c r="DR12" s="104" t="s">
        <v>227</v>
      </c>
      <c r="DS12" s="104" t="s">
        <v>191</v>
      </c>
      <c r="DT12" s="104" t="s">
        <v>542</v>
      </c>
      <c r="DU12" s="104"/>
      <c r="DV12" s="104"/>
      <c r="DW12" s="104"/>
      <c r="DX12" s="104"/>
      <c r="DY12" s="104"/>
      <c r="DZ12" s="104"/>
      <c r="EA12" s="104"/>
      <c r="EB12" s="104"/>
      <c r="EC12" s="241"/>
      <c r="ED12" s="231" t="s">
        <v>171</v>
      </c>
      <c r="EE12" s="18" t="s">
        <v>182</v>
      </c>
      <c r="EF12" s="18" t="s">
        <v>703</v>
      </c>
      <c r="EG12" s="18" t="s">
        <v>190</v>
      </c>
      <c r="EH12" s="18"/>
      <c r="EI12" s="18"/>
      <c r="EJ12" s="241"/>
      <c r="EK12" s="231" t="s">
        <v>171</v>
      </c>
      <c r="EL12" s="18" t="s">
        <v>182</v>
      </c>
      <c r="EM12" s="18" t="s">
        <v>219</v>
      </c>
      <c r="EN12" s="18" t="s">
        <v>220</v>
      </c>
      <c r="EO12" s="18" t="s">
        <v>562</v>
      </c>
      <c r="EP12" s="18" t="s">
        <v>221</v>
      </c>
      <c r="EQ12" s="225" t="s">
        <v>703</v>
      </c>
      <c r="ER12" s="226"/>
      <c r="ES12" s="227"/>
      <c r="ET12" s="19" t="s">
        <v>191</v>
      </c>
      <c r="EU12" s="19" t="s">
        <v>706</v>
      </c>
      <c r="EV12" s="241"/>
      <c r="EW12" s="231" t="s">
        <v>171</v>
      </c>
      <c r="EX12" s="104" t="s">
        <v>182</v>
      </c>
      <c r="EY12" s="104" t="s">
        <v>375</v>
      </c>
      <c r="EZ12" s="104" t="s">
        <v>703</v>
      </c>
      <c r="FA12" s="104" t="s">
        <v>232</v>
      </c>
      <c r="FB12" s="104" t="s">
        <v>233</v>
      </c>
      <c r="FC12" s="104" t="s">
        <v>234</v>
      </c>
      <c r="FD12" s="104"/>
      <c r="FE12" s="104"/>
      <c r="FF12" s="104"/>
      <c r="FG12" s="104"/>
      <c r="FH12" s="104"/>
      <c r="FI12" s="104"/>
      <c r="FJ12" s="241"/>
      <c r="FK12" s="231" t="s">
        <v>171</v>
      </c>
      <c r="FL12" s="18" t="s">
        <v>182</v>
      </c>
      <c r="FM12" s="225" t="s">
        <v>702</v>
      </c>
      <c r="FN12" s="226"/>
      <c r="FO12" s="227"/>
      <c r="FP12" s="225" t="s">
        <v>703</v>
      </c>
      <c r="FQ12" s="227"/>
      <c r="FR12" s="18" t="s">
        <v>706</v>
      </c>
      <c r="FS12" s="225" t="s">
        <v>704</v>
      </c>
      <c r="FT12" s="226"/>
      <c r="FU12" s="226"/>
      <c r="FV12" s="227"/>
      <c r="FW12" s="18" t="s">
        <v>237</v>
      </c>
      <c r="FX12" s="18" t="s">
        <v>190</v>
      </c>
      <c r="FY12" s="18"/>
      <c r="FZ12" s="18"/>
      <c r="GA12" s="18"/>
      <c r="GB12" s="241"/>
      <c r="GC12" s="231" t="s">
        <v>171</v>
      </c>
      <c r="GD12" s="18" t="s">
        <v>182</v>
      </c>
      <c r="GE12" s="225" t="s">
        <v>704</v>
      </c>
      <c r="GF12" s="226"/>
      <c r="GG12" s="227"/>
      <c r="GH12" s="18" t="s">
        <v>260</v>
      </c>
      <c r="GI12" s="18" t="s">
        <v>190</v>
      </c>
      <c r="GJ12" s="18"/>
      <c r="GK12" s="18"/>
      <c r="GL12" s="18"/>
      <c r="GM12" s="18"/>
      <c r="GN12" s="18"/>
      <c r="GO12" s="241"/>
      <c r="GP12" s="231" t="s">
        <v>171</v>
      </c>
      <c r="GQ12" s="18" t="s">
        <v>182</v>
      </c>
      <c r="GR12" s="18" t="s">
        <v>562</v>
      </c>
      <c r="GS12" s="18" t="s">
        <v>219</v>
      </c>
      <c r="GT12" s="18" t="s">
        <v>220</v>
      </c>
      <c r="GU12" s="18" t="s">
        <v>703</v>
      </c>
      <c r="GV12" s="18" t="s">
        <v>191</v>
      </c>
      <c r="GW12" s="18" t="s">
        <v>190</v>
      </c>
      <c r="GX12" s="18"/>
      <c r="GY12" s="18"/>
      <c r="GZ12" s="18"/>
      <c r="HA12" s="18"/>
      <c r="HB12" s="18"/>
      <c r="HC12" s="18"/>
      <c r="HD12" s="18"/>
      <c r="HE12" s="19"/>
      <c r="HF12" s="19"/>
      <c r="HG12" s="19"/>
      <c r="HH12" s="19"/>
      <c r="HI12" s="19"/>
      <c r="HJ12" s="19"/>
      <c r="HK12" s="19"/>
      <c r="HL12" s="19"/>
      <c r="HM12" s="19"/>
      <c r="HN12" s="241"/>
      <c r="HO12" s="231" t="s">
        <v>171</v>
      </c>
      <c r="HP12" s="19" t="s">
        <v>182</v>
      </c>
      <c r="HQ12" s="18" t="s">
        <v>370</v>
      </c>
      <c r="HR12" s="18" t="s">
        <v>545</v>
      </c>
      <c r="HS12" s="18" t="s">
        <v>368</v>
      </c>
      <c r="HT12" s="18" t="s">
        <v>544</v>
      </c>
      <c r="HU12" s="225" t="s">
        <v>186</v>
      </c>
      <c r="HV12" s="226"/>
      <c r="HW12" s="227"/>
      <c r="HX12" s="18" t="s">
        <v>704</v>
      </c>
      <c r="HY12" s="18" t="s">
        <v>190</v>
      </c>
      <c r="HZ12" s="19"/>
      <c r="IA12" s="19"/>
      <c r="IB12" s="19"/>
      <c r="IC12" s="19"/>
      <c r="ID12" s="19"/>
      <c r="IE12" s="241"/>
      <c r="IF12" s="231" t="s">
        <v>171</v>
      </c>
      <c r="IG12" s="18" t="s">
        <v>182</v>
      </c>
      <c r="IH12" s="18" t="s">
        <v>703</v>
      </c>
      <c r="II12" s="18" t="s">
        <v>190</v>
      </c>
      <c r="IJ12" s="18"/>
      <c r="IK12" s="18"/>
      <c r="IL12" s="241"/>
      <c r="IM12" s="231" t="s">
        <v>171</v>
      </c>
      <c r="IN12" s="18" t="s">
        <v>182</v>
      </c>
      <c r="IO12" s="225" t="s">
        <v>702</v>
      </c>
      <c r="IP12" s="226"/>
      <c r="IQ12" s="227"/>
      <c r="IR12" s="225" t="s">
        <v>703</v>
      </c>
      <c r="IS12" s="226"/>
      <c r="IT12" s="226"/>
      <c r="IU12" s="227"/>
      <c r="IV12" s="18" t="s">
        <v>186</v>
      </c>
      <c r="IW12" s="18" t="s">
        <v>263</v>
      </c>
      <c r="IX12" s="18" t="s">
        <v>190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241"/>
      <c r="JJ12" s="231" t="s">
        <v>171</v>
      </c>
      <c r="JK12" s="29" t="s">
        <v>182</v>
      </c>
      <c r="JL12" s="29" t="s">
        <v>702</v>
      </c>
      <c r="JM12" s="228" t="s">
        <v>703</v>
      </c>
      <c r="JN12" s="229"/>
      <c r="JO12" s="230"/>
      <c r="JP12" s="29" t="s">
        <v>186</v>
      </c>
      <c r="JQ12" s="29" t="s">
        <v>266</v>
      </c>
      <c r="JR12" s="228" t="s">
        <v>704</v>
      </c>
      <c r="JS12" s="230"/>
      <c r="JT12" s="29" t="s">
        <v>190</v>
      </c>
      <c r="JU12" s="241"/>
      <c r="JV12" s="231" t="s">
        <v>171</v>
      </c>
      <c r="JW12" s="18" t="s">
        <v>182</v>
      </c>
      <c r="JX12" s="18" t="s">
        <v>702</v>
      </c>
      <c r="JY12" s="18" t="s">
        <v>186</v>
      </c>
      <c r="JZ12" s="18" t="s">
        <v>265</v>
      </c>
      <c r="KA12" s="225" t="s">
        <v>703</v>
      </c>
      <c r="KB12" s="226"/>
      <c r="KC12" s="226"/>
      <c r="KD12" s="227"/>
      <c r="KE12" s="18"/>
      <c r="KF12" s="18"/>
      <c r="KG12" s="18"/>
      <c r="KH12" s="18"/>
      <c r="KI12" s="18"/>
      <c r="KJ12" s="18"/>
      <c r="KK12" s="18"/>
      <c r="KL12" s="18"/>
      <c r="KM12" s="241"/>
      <c r="KN12" s="231" t="s">
        <v>171</v>
      </c>
      <c r="KO12" s="18" t="s">
        <v>182</v>
      </c>
      <c r="KP12" s="18" t="s">
        <v>702</v>
      </c>
      <c r="KQ12" s="18" t="s">
        <v>186</v>
      </c>
      <c r="KR12" s="18" t="s">
        <v>586</v>
      </c>
      <c r="KS12" s="18" t="s">
        <v>708</v>
      </c>
      <c r="KT12" s="18" t="s">
        <v>587</v>
      </c>
      <c r="KU12" s="18" t="s">
        <v>588</v>
      </c>
      <c r="KV12" s="18" t="s">
        <v>703</v>
      </c>
      <c r="KW12" s="101"/>
      <c r="KX12" s="18" t="s">
        <v>706</v>
      </c>
      <c r="KY12" s="18"/>
      <c r="KZ12" s="18"/>
      <c r="LA12" s="18"/>
      <c r="LB12" s="18"/>
      <c r="LC12" s="18"/>
      <c r="LD12" s="241"/>
      <c r="LE12" s="231" t="s">
        <v>171</v>
      </c>
      <c r="LF12" s="18" t="s">
        <v>182</v>
      </c>
      <c r="LG12" s="18" t="s">
        <v>702</v>
      </c>
      <c r="LH12" s="102" t="s">
        <v>703</v>
      </c>
      <c r="LI12" s="18" t="s">
        <v>577</v>
      </c>
      <c r="LJ12" s="18" t="s">
        <v>190</v>
      </c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242"/>
      <c r="LZ12" s="231" t="s">
        <v>171</v>
      </c>
      <c r="MA12" s="19" t="s">
        <v>182</v>
      </c>
      <c r="MB12" s="19" t="s">
        <v>702</v>
      </c>
      <c r="MC12" s="232" t="s">
        <v>703</v>
      </c>
      <c r="MD12" s="234"/>
      <c r="ME12" s="19" t="s">
        <v>706</v>
      </c>
      <c r="MF12" s="232" t="s">
        <v>704</v>
      </c>
      <c r="MG12" s="234"/>
      <c r="MH12" s="19" t="s">
        <v>190</v>
      </c>
      <c r="MI12" s="19"/>
      <c r="MJ12" s="19"/>
      <c r="MK12" s="19"/>
      <c r="ML12" s="19"/>
      <c r="MM12" s="19"/>
      <c r="MN12" s="19"/>
    </row>
    <row r="13" spans="1:352" ht="24.95" customHeight="1" thickTop="1" thickBot="1" x14ac:dyDescent="0.3">
      <c r="A13" s="221"/>
      <c r="B13" s="243"/>
      <c r="C13" s="198" t="s">
        <v>171</v>
      </c>
      <c r="D13" s="30"/>
      <c r="E13" s="30" t="s">
        <v>183</v>
      </c>
      <c r="F13" s="30" t="s">
        <v>555</v>
      </c>
      <c r="G13" s="30" t="s">
        <v>184</v>
      </c>
      <c r="H13" s="30" t="s">
        <v>185</v>
      </c>
      <c r="I13" s="30" t="s">
        <v>187</v>
      </c>
      <c r="J13" s="30" t="s">
        <v>188</v>
      </c>
      <c r="K13" s="30" t="s">
        <v>189</v>
      </c>
      <c r="L13" s="30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241"/>
      <c r="AH13" s="231" t="s">
        <v>1449</v>
      </c>
      <c r="AI13" s="17"/>
      <c r="AJ13" s="17" t="s">
        <v>197</v>
      </c>
      <c r="AK13" s="17"/>
      <c r="AL13" s="17"/>
      <c r="AM13" s="17"/>
      <c r="AN13" s="17"/>
      <c r="AO13" s="241"/>
      <c r="AP13" s="231" t="s">
        <v>1449</v>
      </c>
      <c r="AQ13" s="17"/>
      <c r="AR13" s="17" t="s">
        <v>183</v>
      </c>
      <c r="AS13" s="17" t="s">
        <v>185</v>
      </c>
      <c r="AT13" s="17" t="s">
        <v>184</v>
      </c>
      <c r="AU13" s="17" t="s">
        <v>564</v>
      </c>
      <c r="AV13" s="17" t="s">
        <v>209</v>
      </c>
      <c r="AW13" s="17" t="s">
        <v>249</v>
      </c>
      <c r="AX13" s="17" t="s">
        <v>205</v>
      </c>
      <c r="AY13" s="17" t="s">
        <v>210</v>
      </c>
      <c r="AZ13" s="17" t="s">
        <v>302</v>
      </c>
      <c r="BA13" s="17" t="s">
        <v>211</v>
      </c>
      <c r="BB13" s="17" t="s">
        <v>212</v>
      </c>
      <c r="BC13" s="17" t="s">
        <v>353</v>
      </c>
      <c r="BD13" s="17" t="s">
        <v>188</v>
      </c>
      <c r="BE13" s="17"/>
      <c r="BF13" s="17"/>
      <c r="BG13" s="244"/>
      <c r="BH13" s="231" t="s">
        <v>1449</v>
      </c>
      <c r="BI13" s="17"/>
      <c r="BJ13" s="17" t="s">
        <v>197</v>
      </c>
      <c r="BK13" s="17" t="s">
        <v>210</v>
      </c>
      <c r="BL13" s="17" t="s">
        <v>188</v>
      </c>
      <c r="BM13" s="17"/>
      <c r="BN13" s="17"/>
      <c r="BO13" s="17"/>
      <c r="BP13" s="241"/>
      <c r="BQ13" s="231" t="s">
        <v>1449</v>
      </c>
      <c r="BR13" s="17"/>
      <c r="BS13" s="17"/>
      <c r="BT13" s="17"/>
      <c r="BU13" s="17"/>
      <c r="BV13" s="17"/>
      <c r="BW13" s="241"/>
      <c r="BX13" s="231" t="s">
        <v>1449</v>
      </c>
      <c r="BY13" s="17"/>
      <c r="BZ13" s="17"/>
      <c r="CA13" s="17"/>
      <c r="CB13" s="17"/>
      <c r="CC13" s="17"/>
      <c r="CD13" s="241"/>
      <c r="CE13" s="231" t="s">
        <v>1449</v>
      </c>
      <c r="CF13" s="17"/>
      <c r="CG13" s="17"/>
      <c r="CH13" s="17"/>
      <c r="CI13" s="17"/>
      <c r="CJ13" s="241"/>
      <c r="CK13" s="231" t="s">
        <v>1449</v>
      </c>
      <c r="CL13" s="17"/>
      <c r="CM13" s="17"/>
      <c r="CN13" s="17"/>
      <c r="CO13" s="17"/>
      <c r="CP13" s="17"/>
      <c r="CQ13" s="17"/>
      <c r="CR13" s="17"/>
      <c r="CS13" s="17"/>
      <c r="CT13" s="241"/>
      <c r="CU13" s="231" t="s">
        <v>1449</v>
      </c>
      <c r="CV13" s="17"/>
      <c r="CW13" s="17"/>
      <c r="CX13" s="17"/>
      <c r="CY13" s="17"/>
      <c r="CZ13" s="17"/>
      <c r="DA13" s="17" t="s">
        <v>197</v>
      </c>
      <c r="DB13" s="17" t="s">
        <v>222</v>
      </c>
      <c r="DC13" s="17"/>
      <c r="DD13" s="17"/>
      <c r="DE13" s="17"/>
      <c r="DF13" s="17"/>
      <c r="DG13" s="17"/>
      <c r="DH13" s="17"/>
      <c r="DI13" s="17"/>
      <c r="DJ13" s="241"/>
      <c r="DK13" s="231" t="s">
        <v>1449</v>
      </c>
      <c r="DL13" s="30"/>
      <c r="DM13" s="30"/>
      <c r="DN13" s="30"/>
      <c r="DO13" s="30" t="s">
        <v>225</v>
      </c>
      <c r="DP13" s="30" t="s">
        <v>226</v>
      </c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241"/>
      <c r="ED13" s="231" t="s">
        <v>1449</v>
      </c>
      <c r="EE13" s="17"/>
      <c r="EF13" s="17"/>
      <c r="EG13" s="17"/>
      <c r="EH13" s="17"/>
      <c r="EI13" s="17"/>
      <c r="EJ13" s="241"/>
      <c r="EK13" s="231" t="s">
        <v>1449</v>
      </c>
      <c r="EL13" s="17"/>
      <c r="EM13" s="17"/>
      <c r="EN13" s="17"/>
      <c r="EO13" s="17"/>
      <c r="EP13" s="17"/>
      <c r="EQ13" s="17" t="s">
        <v>197</v>
      </c>
      <c r="ER13" s="17" t="s">
        <v>222</v>
      </c>
      <c r="ES13" s="17" t="s">
        <v>231</v>
      </c>
      <c r="ET13" s="20"/>
      <c r="EU13" s="20" t="s">
        <v>205</v>
      </c>
      <c r="EV13" s="241"/>
      <c r="EW13" s="231" t="s">
        <v>1449</v>
      </c>
      <c r="EX13" s="30"/>
      <c r="EY13" s="30"/>
      <c r="EZ13" s="30" t="s">
        <v>222</v>
      </c>
      <c r="FA13" s="30"/>
      <c r="FB13" s="30"/>
      <c r="FC13" s="30"/>
      <c r="FD13" s="30"/>
      <c r="FE13" s="30"/>
      <c r="FF13" s="30"/>
      <c r="FG13" s="30"/>
      <c r="FH13" s="30"/>
      <c r="FI13" s="30"/>
      <c r="FJ13" s="241"/>
      <c r="FK13" s="231" t="s">
        <v>1449</v>
      </c>
      <c r="FL13" s="17"/>
      <c r="FM13" s="17" t="s">
        <v>209</v>
      </c>
      <c r="FN13" s="17" t="s">
        <v>183</v>
      </c>
      <c r="FO13" s="17" t="s">
        <v>185</v>
      </c>
      <c r="FP13" s="17" t="s">
        <v>198</v>
      </c>
      <c r="FQ13" s="17" t="s">
        <v>231</v>
      </c>
      <c r="FR13" s="17" t="s">
        <v>210</v>
      </c>
      <c r="FS13" s="17" t="s">
        <v>565</v>
      </c>
      <c r="FT13" s="17" t="s">
        <v>236</v>
      </c>
      <c r="FU13" s="17" t="s">
        <v>313</v>
      </c>
      <c r="FV13" s="17" t="s">
        <v>211</v>
      </c>
      <c r="FW13" s="17"/>
      <c r="FX13" s="17"/>
      <c r="FY13" s="17"/>
      <c r="FZ13" s="17"/>
      <c r="GA13" s="17"/>
      <c r="GB13" s="241"/>
      <c r="GC13" s="231" t="s">
        <v>1449</v>
      </c>
      <c r="GD13" s="17"/>
      <c r="GE13" s="17" t="s">
        <v>308</v>
      </c>
      <c r="GF13" s="17" t="s">
        <v>569</v>
      </c>
      <c r="GG13" s="17" t="s">
        <v>324</v>
      </c>
      <c r="GH13" s="17"/>
      <c r="GI13" s="17"/>
      <c r="GJ13" s="17"/>
      <c r="GK13" s="17"/>
      <c r="GL13" s="17"/>
      <c r="GM13" s="17"/>
      <c r="GN13" s="17"/>
      <c r="GO13" s="241"/>
      <c r="GP13" s="231" t="s">
        <v>1449</v>
      </c>
      <c r="GQ13" s="17"/>
      <c r="GR13" s="17"/>
      <c r="GS13" s="17"/>
      <c r="GT13" s="17"/>
      <c r="GU13" s="17" t="s">
        <v>197</v>
      </c>
      <c r="GV13" s="17"/>
      <c r="GW13" s="17"/>
      <c r="GX13" s="17"/>
      <c r="GY13" s="17"/>
      <c r="GZ13" s="17"/>
      <c r="HA13" s="17"/>
      <c r="HB13" s="17"/>
      <c r="HC13" s="17"/>
      <c r="HD13" s="17"/>
      <c r="HE13" s="20"/>
      <c r="HF13" s="20"/>
      <c r="HG13" s="20"/>
      <c r="HH13" s="20"/>
      <c r="HI13" s="20"/>
      <c r="HJ13" s="20"/>
      <c r="HK13" s="20"/>
      <c r="HL13" s="20"/>
      <c r="HM13" s="20"/>
      <c r="HN13" s="241"/>
      <c r="HO13" s="231" t="s">
        <v>1449</v>
      </c>
      <c r="HP13" s="20"/>
      <c r="HQ13" s="17"/>
      <c r="HR13" s="17"/>
      <c r="HS13" s="17"/>
      <c r="HT13" s="17"/>
      <c r="HU13" s="17" t="s">
        <v>334</v>
      </c>
      <c r="HV13" s="17" t="s">
        <v>196</v>
      </c>
      <c r="HW13" s="17" t="s">
        <v>337</v>
      </c>
      <c r="HX13" s="17" t="s">
        <v>320</v>
      </c>
      <c r="HY13" s="17"/>
      <c r="HZ13" s="20"/>
      <c r="IA13" s="20"/>
      <c r="IB13" s="20"/>
      <c r="IC13" s="20"/>
      <c r="ID13" s="20"/>
      <c r="IE13" s="241"/>
      <c r="IF13" s="231" t="s">
        <v>1449</v>
      </c>
      <c r="IG13" s="17"/>
      <c r="IH13" s="17" t="s">
        <v>257</v>
      </c>
      <c r="II13" s="17"/>
      <c r="IJ13" s="17"/>
      <c r="IK13" s="17"/>
      <c r="IL13" s="241"/>
      <c r="IM13" s="231" t="s">
        <v>1449</v>
      </c>
      <c r="IN13" s="17"/>
      <c r="IO13" s="17" t="s">
        <v>183</v>
      </c>
      <c r="IP13" s="17" t="s">
        <v>555</v>
      </c>
      <c r="IQ13" s="17" t="s">
        <v>185</v>
      </c>
      <c r="IR13" s="17" t="s">
        <v>200</v>
      </c>
      <c r="IS13" s="17" t="s">
        <v>248</v>
      </c>
      <c r="IT13" s="17" t="s">
        <v>258</v>
      </c>
      <c r="IU13" s="17" t="s">
        <v>249</v>
      </c>
      <c r="IV13" s="17" t="s">
        <v>188</v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241"/>
      <c r="JJ13" s="231" t="s">
        <v>1449</v>
      </c>
      <c r="JK13" s="30"/>
      <c r="JL13" s="30" t="s">
        <v>185</v>
      </c>
      <c r="JM13" s="30" t="s">
        <v>254</v>
      </c>
      <c r="JN13" s="30" t="s">
        <v>255</v>
      </c>
      <c r="JO13" s="30" t="s">
        <v>575</v>
      </c>
      <c r="JP13" s="30" t="s">
        <v>188</v>
      </c>
      <c r="JQ13" s="30"/>
      <c r="JR13" s="30" t="s">
        <v>316</v>
      </c>
      <c r="JS13" s="30" t="s">
        <v>308</v>
      </c>
      <c r="JT13" s="30"/>
      <c r="JU13" s="241"/>
      <c r="JV13" s="231" t="s">
        <v>1449</v>
      </c>
      <c r="JW13" s="17"/>
      <c r="JX13" s="17" t="s">
        <v>185</v>
      </c>
      <c r="JY13" s="17" t="s">
        <v>188</v>
      </c>
      <c r="JZ13" s="17"/>
      <c r="KA13" s="17" t="s">
        <v>226</v>
      </c>
      <c r="KB13" s="17" t="s">
        <v>256</v>
      </c>
      <c r="KC13" s="17" t="s">
        <v>300</v>
      </c>
      <c r="KD13" s="17" t="s">
        <v>250</v>
      </c>
      <c r="KE13" s="17"/>
      <c r="KF13" s="17"/>
      <c r="KG13" s="17"/>
      <c r="KH13" s="17"/>
      <c r="KI13" s="17"/>
      <c r="KJ13" s="17"/>
      <c r="KK13" s="17"/>
      <c r="KL13" s="17"/>
      <c r="KM13" s="241"/>
      <c r="KN13" s="231" t="s">
        <v>1449</v>
      </c>
      <c r="KO13" s="17"/>
      <c r="KP13" s="17" t="s">
        <v>185</v>
      </c>
      <c r="KQ13" s="17" t="s">
        <v>188</v>
      </c>
      <c r="KR13" s="17"/>
      <c r="KS13" s="17"/>
      <c r="KT13" s="17"/>
      <c r="KU13" s="17"/>
      <c r="KV13" s="17" t="s">
        <v>197</v>
      </c>
      <c r="KW13" s="17" t="s">
        <v>198</v>
      </c>
      <c r="KX13" s="17" t="s">
        <v>210</v>
      </c>
      <c r="KY13" s="17"/>
      <c r="KZ13" s="17"/>
      <c r="LA13" s="17"/>
      <c r="LB13" s="17"/>
      <c r="LC13" s="17"/>
      <c r="LD13" s="241"/>
      <c r="LE13" s="231" t="s">
        <v>1449</v>
      </c>
      <c r="LF13" s="17"/>
      <c r="LG13" s="17" t="s">
        <v>556</v>
      </c>
      <c r="LH13" s="17" t="s">
        <v>251</v>
      </c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242"/>
      <c r="LZ13" s="231" t="s">
        <v>1449</v>
      </c>
      <c r="MA13" s="17"/>
      <c r="MB13" s="17" t="s">
        <v>209</v>
      </c>
      <c r="MC13" s="17" t="s">
        <v>248</v>
      </c>
      <c r="MD13" s="20" t="s">
        <v>200</v>
      </c>
      <c r="ME13" s="20" t="s">
        <v>583</v>
      </c>
      <c r="MF13" s="17" t="s">
        <v>211</v>
      </c>
      <c r="MG13" s="17" t="s">
        <v>320</v>
      </c>
      <c r="MH13" s="20"/>
      <c r="MI13" s="20"/>
      <c r="MJ13" s="20"/>
      <c r="MK13" s="20"/>
      <c r="ML13" s="20"/>
      <c r="MM13" s="20"/>
      <c r="MN13" s="20"/>
    </row>
    <row r="14" spans="1:352" ht="24.95" customHeight="1" thickTop="1" thickBot="1" x14ac:dyDescent="0.3">
      <c r="A14" s="221"/>
      <c r="B14" s="243"/>
      <c r="C14" s="198" t="s">
        <v>173</v>
      </c>
      <c r="D14" s="29" t="s">
        <v>558</v>
      </c>
      <c r="E14" s="29"/>
      <c r="F14" s="29"/>
      <c r="G14" s="29"/>
      <c r="H14" s="29"/>
      <c r="I14" s="29"/>
      <c r="J14" s="29"/>
      <c r="K14" s="29"/>
      <c r="L14" s="29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241"/>
      <c r="AH14" s="231" t="s">
        <v>173</v>
      </c>
      <c r="AI14" s="225" t="s">
        <v>558</v>
      </c>
      <c r="AJ14" s="227"/>
      <c r="AK14" s="18"/>
      <c r="AL14" s="18"/>
      <c r="AM14" s="18"/>
      <c r="AN14" s="18"/>
      <c r="AO14" s="241"/>
      <c r="AP14" s="231" t="s">
        <v>173</v>
      </c>
      <c r="AQ14" s="225" t="s">
        <v>115</v>
      </c>
      <c r="AR14" s="227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244"/>
      <c r="BH14" s="231" t="s">
        <v>173</v>
      </c>
      <c r="BI14" s="18" t="s">
        <v>378</v>
      </c>
      <c r="BJ14" s="19"/>
      <c r="BK14" s="19"/>
      <c r="BL14" s="19"/>
      <c r="BM14" s="19"/>
      <c r="BN14" s="18"/>
      <c r="BO14" s="18"/>
      <c r="BP14" s="241"/>
      <c r="BQ14" s="231" t="s">
        <v>173</v>
      </c>
      <c r="BR14" s="18" t="s">
        <v>558</v>
      </c>
      <c r="BS14" s="19"/>
      <c r="BT14" s="19"/>
      <c r="BU14" s="18"/>
      <c r="BV14" s="18"/>
      <c r="BW14" s="241"/>
      <c r="BX14" s="231" t="s">
        <v>173</v>
      </c>
      <c r="BY14" s="18" t="s">
        <v>558</v>
      </c>
      <c r="BZ14" s="18"/>
      <c r="CA14" s="18"/>
      <c r="CB14" s="18"/>
      <c r="CC14" s="18"/>
      <c r="CD14" s="241"/>
      <c r="CE14" s="231" t="s">
        <v>173</v>
      </c>
      <c r="CF14" s="225" t="s">
        <v>115</v>
      </c>
      <c r="CG14" s="226"/>
      <c r="CH14" s="227"/>
      <c r="CI14" s="18" t="s">
        <v>155</v>
      </c>
      <c r="CJ14" s="241"/>
      <c r="CK14" s="231" t="s">
        <v>173</v>
      </c>
      <c r="CL14" s="18" t="s">
        <v>115</v>
      </c>
      <c r="CM14" s="19"/>
      <c r="CN14" s="19"/>
      <c r="CO14" s="19"/>
      <c r="CP14" s="19"/>
      <c r="CQ14" s="18"/>
      <c r="CR14" s="18"/>
      <c r="CS14" s="18"/>
      <c r="CT14" s="241"/>
      <c r="CU14" s="231" t="s">
        <v>173</v>
      </c>
      <c r="CV14" s="225" t="s">
        <v>115</v>
      </c>
      <c r="CW14" s="227"/>
      <c r="CX14" s="19"/>
      <c r="CY14" s="19"/>
      <c r="CZ14" s="19"/>
      <c r="DA14" s="18"/>
      <c r="DB14" s="18"/>
      <c r="DC14" s="18"/>
      <c r="DD14" s="18"/>
      <c r="DE14" s="18"/>
      <c r="DF14" s="18"/>
      <c r="DG14" s="18"/>
      <c r="DH14" s="18"/>
      <c r="DI14" s="18"/>
      <c r="DJ14" s="241"/>
      <c r="DK14" s="231" t="s">
        <v>173</v>
      </c>
      <c r="DL14" s="34" t="s">
        <v>379</v>
      </c>
      <c r="DM14" s="239" t="s">
        <v>378</v>
      </c>
      <c r="DN14" s="239"/>
      <c r="DO14" s="239"/>
      <c r="DP14" s="104" t="s">
        <v>155</v>
      </c>
      <c r="DQ14" s="62"/>
      <c r="DR14" s="31"/>
      <c r="DS14" s="62"/>
      <c r="DT14" s="31"/>
      <c r="DU14" s="31"/>
      <c r="DV14" s="31"/>
      <c r="DW14" s="31"/>
      <c r="DX14" s="31"/>
      <c r="DY14" s="104"/>
      <c r="DZ14" s="104"/>
      <c r="EA14" s="104"/>
      <c r="EB14" s="104"/>
      <c r="EC14" s="241"/>
      <c r="ED14" s="231" t="s">
        <v>173</v>
      </c>
      <c r="EE14" s="18" t="s">
        <v>379</v>
      </c>
      <c r="EF14" s="18"/>
      <c r="EG14" s="18"/>
      <c r="EH14" s="18"/>
      <c r="EI14" s="18"/>
      <c r="EJ14" s="241"/>
      <c r="EK14" s="231" t="s">
        <v>173</v>
      </c>
      <c r="EL14" s="225" t="s">
        <v>115</v>
      </c>
      <c r="EM14" s="227"/>
      <c r="EN14" s="19"/>
      <c r="EO14" s="19"/>
      <c r="EP14" s="19"/>
      <c r="EQ14" s="18"/>
      <c r="ER14" s="18"/>
      <c r="ES14" s="18"/>
      <c r="ET14" s="19"/>
      <c r="EU14" s="19"/>
      <c r="EV14" s="241"/>
      <c r="EW14" s="231" t="s">
        <v>173</v>
      </c>
      <c r="EX14" s="34" t="s">
        <v>379</v>
      </c>
      <c r="EY14" s="31" t="s">
        <v>418</v>
      </c>
      <c r="EZ14" s="31"/>
      <c r="FA14" s="31"/>
      <c r="FB14" s="31"/>
      <c r="FC14" s="104"/>
      <c r="FD14" s="104"/>
      <c r="FE14" s="104"/>
      <c r="FF14" s="104"/>
      <c r="FG14" s="104"/>
      <c r="FH14" s="104"/>
      <c r="FI14" s="104"/>
      <c r="FJ14" s="241"/>
      <c r="FK14" s="231" t="s">
        <v>173</v>
      </c>
      <c r="FL14" s="18" t="s">
        <v>558</v>
      </c>
      <c r="FM14" s="18" t="s">
        <v>378</v>
      </c>
      <c r="FN14" s="19"/>
      <c r="FO14" s="19"/>
      <c r="FP14" s="19"/>
      <c r="FQ14" s="19"/>
      <c r="FR14" s="19"/>
      <c r="FS14" s="19"/>
      <c r="FT14" s="18"/>
      <c r="FU14" s="18"/>
      <c r="FV14" s="18"/>
      <c r="FW14" s="18"/>
      <c r="FX14" s="18"/>
      <c r="FY14" s="18"/>
      <c r="FZ14" s="18"/>
      <c r="GA14" s="18"/>
      <c r="GB14" s="241"/>
      <c r="GC14" s="231" t="s">
        <v>173</v>
      </c>
      <c r="GD14" s="18" t="s">
        <v>558</v>
      </c>
      <c r="GE14" s="18" t="s">
        <v>115</v>
      </c>
      <c r="GF14" s="19"/>
      <c r="GG14" s="19"/>
      <c r="GH14" s="18"/>
      <c r="GI14" s="18"/>
      <c r="GJ14" s="18"/>
      <c r="GK14" s="18"/>
      <c r="GL14" s="18"/>
      <c r="GM14" s="18"/>
      <c r="GN14" s="18"/>
      <c r="GO14" s="241"/>
      <c r="GP14" s="231" t="s">
        <v>173</v>
      </c>
      <c r="GQ14" s="225" t="s">
        <v>115</v>
      </c>
      <c r="GR14" s="226"/>
      <c r="GS14" s="227"/>
      <c r="GT14" s="19"/>
      <c r="GU14" s="19"/>
      <c r="GV14" s="19"/>
      <c r="GW14" s="18"/>
      <c r="GX14" s="18"/>
      <c r="GY14" s="18"/>
      <c r="GZ14" s="18"/>
      <c r="HA14" s="18"/>
      <c r="HB14" s="18"/>
      <c r="HC14" s="18"/>
      <c r="HD14" s="18"/>
      <c r="HE14" s="19"/>
      <c r="HF14" s="19"/>
      <c r="HG14" s="19"/>
      <c r="HH14" s="19"/>
      <c r="HI14" s="19"/>
      <c r="HJ14" s="19"/>
      <c r="HK14" s="19"/>
      <c r="HL14" s="19"/>
      <c r="HM14" s="19"/>
      <c r="HN14" s="241"/>
      <c r="HO14" s="231" t="s">
        <v>173</v>
      </c>
      <c r="HP14" s="18" t="s">
        <v>558</v>
      </c>
      <c r="HQ14" s="18"/>
      <c r="HR14" s="19"/>
      <c r="HS14" s="19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9"/>
      <c r="IE14" s="241"/>
      <c r="IF14" s="231" t="s">
        <v>173</v>
      </c>
      <c r="IG14" s="19" t="s">
        <v>558</v>
      </c>
      <c r="IH14" s="18"/>
      <c r="II14" s="18"/>
      <c r="IJ14" s="18"/>
      <c r="IK14" s="18"/>
      <c r="IL14" s="241"/>
      <c r="IM14" s="231" t="s">
        <v>173</v>
      </c>
      <c r="IN14" s="225" t="s">
        <v>115</v>
      </c>
      <c r="IO14" s="227"/>
      <c r="IP14" s="19"/>
      <c r="IQ14" s="19"/>
      <c r="IR14" s="19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241"/>
      <c r="JJ14" s="231" t="s">
        <v>173</v>
      </c>
      <c r="JK14" s="31"/>
      <c r="JL14" s="31"/>
      <c r="JM14" s="31"/>
      <c r="JN14" s="31"/>
      <c r="JO14" s="29"/>
      <c r="JP14" s="29"/>
      <c r="JQ14" s="29"/>
      <c r="JR14" s="29"/>
      <c r="JS14" s="29"/>
      <c r="JT14" s="29"/>
      <c r="JU14" s="241"/>
      <c r="JV14" s="231" t="s">
        <v>173</v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241"/>
      <c r="KN14" s="231" t="s">
        <v>173</v>
      </c>
      <c r="KO14" s="18" t="s">
        <v>155</v>
      </c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241"/>
      <c r="LE14" s="231" t="s">
        <v>173</v>
      </c>
      <c r="LF14" s="18" t="s">
        <v>558</v>
      </c>
      <c r="LG14" s="18" t="s">
        <v>166</v>
      </c>
      <c r="LH14" s="238" t="s">
        <v>159</v>
      </c>
      <c r="LI14" s="229"/>
      <c r="LJ14" s="229"/>
      <c r="LK14" s="230"/>
      <c r="LL14" s="18" t="s">
        <v>167</v>
      </c>
      <c r="LM14" s="18" t="s">
        <v>155</v>
      </c>
      <c r="LN14" s="18"/>
      <c r="LO14" s="19"/>
      <c r="LP14" s="19"/>
      <c r="LQ14" s="19"/>
      <c r="LR14" s="19"/>
      <c r="LS14" s="19"/>
      <c r="LT14" s="18"/>
      <c r="LU14" s="18"/>
      <c r="LV14" s="18"/>
      <c r="LW14" s="18"/>
      <c r="LX14" s="18"/>
      <c r="LY14" s="242"/>
      <c r="LZ14" s="231" t="s">
        <v>173</v>
      </c>
      <c r="MA14" s="18" t="s">
        <v>558</v>
      </c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</row>
    <row r="15" spans="1:352" ht="24.95" customHeight="1" thickTop="1" thickBot="1" x14ac:dyDescent="0.3">
      <c r="A15" s="221"/>
      <c r="B15" s="243"/>
      <c r="C15" s="198" t="s">
        <v>173</v>
      </c>
      <c r="D15" s="30"/>
      <c r="E15" s="30"/>
      <c r="F15" s="30"/>
      <c r="G15" s="30"/>
      <c r="H15" s="30"/>
      <c r="I15" s="30"/>
      <c r="J15" s="30"/>
      <c r="K15" s="30"/>
      <c r="L15" s="30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241"/>
      <c r="AH15" s="231" t="s">
        <v>1451</v>
      </c>
      <c r="AI15" s="17" t="s">
        <v>380</v>
      </c>
      <c r="AJ15" s="17" t="s">
        <v>381</v>
      </c>
      <c r="AK15" s="17"/>
      <c r="AL15" s="17"/>
      <c r="AM15" s="17"/>
      <c r="AN15" s="17"/>
      <c r="AO15" s="241"/>
      <c r="AP15" s="231" t="s">
        <v>1451</v>
      </c>
      <c r="AQ15" s="17" t="s">
        <v>455</v>
      </c>
      <c r="AR15" s="17" t="s">
        <v>456</v>
      </c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244"/>
      <c r="BH15" s="231" t="s">
        <v>1451</v>
      </c>
      <c r="BI15" s="17" t="s">
        <v>451</v>
      </c>
      <c r="BJ15" s="17"/>
      <c r="BK15" s="17"/>
      <c r="BL15" s="17"/>
      <c r="BM15" s="17"/>
      <c r="BN15" s="17"/>
      <c r="BO15" s="17"/>
      <c r="BP15" s="241"/>
      <c r="BQ15" s="231" t="s">
        <v>1451</v>
      </c>
      <c r="BR15" s="17" t="s">
        <v>430</v>
      </c>
      <c r="BS15" s="17"/>
      <c r="BT15" s="17"/>
      <c r="BU15" s="17"/>
      <c r="BV15" s="17"/>
      <c r="BW15" s="241"/>
      <c r="BX15" s="231" t="s">
        <v>1451</v>
      </c>
      <c r="BY15" s="17" t="s">
        <v>382</v>
      </c>
      <c r="BZ15" s="17"/>
      <c r="CA15" s="17"/>
      <c r="CB15" s="17"/>
      <c r="CC15" s="17"/>
      <c r="CD15" s="241"/>
      <c r="CE15" s="231" t="s">
        <v>1451</v>
      </c>
      <c r="CF15" s="17" t="s">
        <v>437</v>
      </c>
      <c r="CG15" s="17" t="s">
        <v>436</v>
      </c>
      <c r="CH15" s="17" t="s">
        <v>445</v>
      </c>
      <c r="CI15" s="17"/>
      <c r="CJ15" s="241"/>
      <c r="CK15" s="231" t="s">
        <v>1451</v>
      </c>
      <c r="CL15" s="17" t="s">
        <v>450</v>
      </c>
      <c r="CM15" s="17"/>
      <c r="CN15" s="17"/>
      <c r="CO15" s="17"/>
      <c r="CP15" s="17"/>
      <c r="CQ15" s="17"/>
      <c r="CR15" s="17"/>
      <c r="CS15" s="17"/>
      <c r="CT15" s="241"/>
      <c r="CU15" s="231" t="s">
        <v>1451</v>
      </c>
      <c r="CV15" s="17" t="s">
        <v>123</v>
      </c>
      <c r="CW15" s="17" t="s">
        <v>119</v>
      </c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241"/>
      <c r="DK15" s="231" t="s">
        <v>1451</v>
      </c>
      <c r="DL15" s="30" t="s">
        <v>431</v>
      </c>
      <c r="DM15" s="30" t="s">
        <v>449</v>
      </c>
      <c r="DN15" s="30" t="s">
        <v>462</v>
      </c>
      <c r="DO15" s="30" t="s">
        <v>128</v>
      </c>
      <c r="DP15" s="30"/>
      <c r="DQ15" s="30"/>
      <c r="DR15" s="30"/>
      <c r="DS15" s="30"/>
      <c r="DT15" s="30"/>
      <c r="DU15" s="30"/>
      <c r="DV15" s="30"/>
      <c r="DW15" s="30"/>
      <c r="DX15" s="30"/>
      <c r="DY15" s="30"/>
      <c r="DZ15" s="30"/>
      <c r="EA15" s="30"/>
      <c r="EB15" s="30"/>
      <c r="EC15" s="241"/>
      <c r="ED15" s="231" t="s">
        <v>1451</v>
      </c>
      <c r="EE15" s="17" t="s">
        <v>383</v>
      </c>
      <c r="EF15" s="17"/>
      <c r="EG15" s="17"/>
      <c r="EH15" s="17"/>
      <c r="EI15" s="17"/>
      <c r="EJ15" s="241"/>
      <c r="EK15" s="231" t="s">
        <v>1451</v>
      </c>
      <c r="EL15" s="20" t="s">
        <v>121</v>
      </c>
      <c r="EM15" s="20" t="s">
        <v>119</v>
      </c>
      <c r="EN15" s="20"/>
      <c r="EO15" s="20"/>
      <c r="EP15" s="20"/>
      <c r="EQ15" s="20"/>
      <c r="ER15" s="20"/>
      <c r="ES15" s="20"/>
      <c r="ET15" s="20"/>
      <c r="EU15" s="20"/>
      <c r="EV15" s="241"/>
      <c r="EW15" s="231" t="s">
        <v>1451</v>
      </c>
      <c r="EX15" s="30" t="s">
        <v>111</v>
      </c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241"/>
      <c r="FK15" s="231" t="s">
        <v>1451</v>
      </c>
      <c r="FL15" s="17" t="s">
        <v>384</v>
      </c>
      <c r="FM15" s="17" t="s">
        <v>396</v>
      </c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241"/>
      <c r="GC15" s="231" t="s">
        <v>1451</v>
      </c>
      <c r="GD15" s="17" t="s">
        <v>570</v>
      </c>
      <c r="GE15" s="17" t="s">
        <v>540</v>
      </c>
      <c r="GF15" s="17"/>
      <c r="GG15" s="17"/>
      <c r="GH15" s="17"/>
      <c r="GI15" s="17"/>
      <c r="GJ15" s="17"/>
      <c r="GK15" s="17"/>
      <c r="GL15" s="17"/>
      <c r="GM15" s="17"/>
      <c r="GN15" s="17"/>
      <c r="GO15" s="241"/>
      <c r="GP15" s="231" t="s">
        <v>1451</v>
      </c>
      <c r="GQ15" s="17" t="s">
        <v>140</v>
      </c>
      <c r="GR15" s="17" t="s">
        <v>119</v>
      </c>
      <c r="GS15" s="17" t="s">
        <v>138</v>
      </c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20"/>
      <c r="HF15" s="20"/>
      <c r="HG15" s="20"/>
      <c r="HH15" s="20"/>
      <c r="HI15" s="20"/>
      <c r="HJ15" s="20"/>
      <c r="HK15" s="20"/>
      <c r="HL15" s="20"/>
      <c r="HM15" s="20"/>
      <c r="HN15" s="241"/>
      <c r="HO15" s="231" t="s">
        <v>1451</v>
      </c>
      <c r="HP15" s="17" t="s">
        <v>573</v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20"/>
      <c r="IE15" s="241"/>
      <c r="IF15" s="231" t="s">
        <v>1451</v>
      </c>
      <c r="IG15" s="17" t="s">
        <v>387</v>
      </c>
      <c r="IH15" s="17"/>
      <c r="II15" s="17"/>
      <c r="IJ15" s="17"/>
      <c r="IK15" s="17"/>
      <c r="IL15" s="241"/>
      <c r="IM15" s="231" t="s">
        <v>1451</v>
      </c>
      <c r="IN15" s="17" t="s">
        <v>141</v>
      </c>
      <c r="IO15" s="17" t="s">
        <v>142</v>
      </c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241"/>
      <c r="JJ15" s="231" t="s">
        <v>1451</v>
      </c>
      <c r="JK15" s="30"/>
      <c r="JL15" s="30"/>
      <c r="JM15" s="30"/>
      <c r="JN15" s="30"/>
      <c r="JO15" s="30"/>
      <c r="JP15" s="30"/>
      <c r="JQ15" s="30"/>
      <c r="JR15" s="30"/>
      <c r="JS15" s="30"/>
      <c r="JT15" s="30"/>
      <c r="JU15" s="241"/>
      <c r="JV15" s="231" t="s">
        <v>1451</v>
      </c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241"/>
      <c r="KN15" s="231" t="s">
        <v>1451</v>
      </c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241"/>
      <c r="LE15" s="231" t="s">
        <v>1451</v>
      </c>
      <c r="LF15" s="17" t="s">
        <v>571</v>
      </c>
      <c r="LG15" s="17"/>
      <c r="LH15" s="30" t="s">
        <v>423</v>
      </c>
      <c r="LI15" s="30" t="s">
        <v>420</v>
      </c>
      <c r="LJ15" s="30" t="s">
        <v>425</v>
      </c>
      <c r="LK15" s="30" t="s">
        <v>579</v>
      </c>
      <c r="LL15" s="35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242"/>
      <c r="LZ15" s="231" t="s">
        <v>1451</v>
      </c>
      <c r="MA15" s="17" t="s">
        <v>208</v>
      </c>
      <c r="MB15" s="20"/>
      <c r="MC15" s="20"/>
      <c r="MD15" s="20"/>
      <c r="ME15" s="20"/>
      <c r="MF15" s="20"/>
      <c r="MG15" s="20"/>
      <c r="MH15" s="20"/>
      <c r="MI15" s="20"/>
      <c r="MJ15" s="20"/>
      <c r="MK15" s="20"/>
      <c r="ML15" s="20"/>
      <c r="MM15" s="20"/>
      <c r="MN15" s="20"/>
    </row>
    <row r="16" spans="1:352" ht="24.95" customHeight="1" thickTop="1" thickBot="1" x14ac:dyDescent="0.3">
      <c r="A16" s="221"/>
      <c r="B16" s="243"/>
      <c r="C16" s="198" t="s">
        <v>715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241"/>
      <c r="AH16" s="231" t="s">
        <v>715</v>
      </c>
      <c r="AI16" s="18"/>
      <c r="AJ16" s="18"/>
      <c r="AK16" s="18"/>
      <c r="AL16" s="18"/>
      <c r="AM16" s="18"/>
      <c r="AN16" s="18"/>
      <c r="AO16" s="241"/>
      <c r="AP16" s="231" t="s">
        <v>715</v>
      </c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244"/>
      <c r="BH16" s="231" t="s">
        <v>715</v>
      </c>
      <c r="BI16" s="225" t="s">
        <v>378</v>
      </c>
      <c r="BJ16" s="226"/>
      <c r="BK16" s="226"/>
      <c r="BL16" s="227"/>
      <c r="BM16" s="18"/>
      <c r="BN16" s="18"/>
      <c r="BO16" s="18"/>
      <c r="BP16" s="241"/>
      <c r="BQ16" s="231" t="s">
        <v>715</v>
      </c>
      <c r="BR16" s="225" t="s">
        <v>378</v>
      </c>
      <c r="BS16" s="227"/>
      <c r="BT16" s="18"/>
      <c r="BU16" s="18"/>
      <c r="BV16" s="18"/>
      <c r="BW16" s="241"/>
      <c r="BX16" s="231" t="s">
        <v>715</v>
      </c>
      <c r="BY16" s="18"/>
      <c r="BZ16" s="18"/>
      <c r="CA16" s="18"/>
      <c r="CB16" s="18"/>
      <c r="CC16" s="18"/>
      <c r="CD16" s="241"/>
      <c r="CE16" s="231" t="s">
        <v>715</v>
      </c>
      <c r="CF16" s="225" t="s">
        <v>379</v>
      </c>
      <c r="CG16" s="227"/>
      <c r="CH16" s="18"/>
      <c r="CI16" s="18"/>
      <c r="CJ16" s="241"/>
      <c r="CK16" s="231" t="s">
        <v>715</v>
      </c>
      <c r="CL16" s="225" t="s">
        <v>378</v>
      </c>
      <c r="CM16" s="226"/>
      <c r="CN16" s="226"/>
      <c r="CO16" s="227"/>
      <c r="CP16" s="18"/>
      <c r="CQ16" s="18"/>
      <c r="CR16" s="18"/>
      <c r="CS16" s="18"/>
      <c r="CT16" s="241"/>
      <c r="CU16" s="231" t="s">
        <v>715</v>
      </c>
      <c r="CV16" s="225" t="s">
        <v>378</v>
      </c>
      <c r="CW16" s="226"/>
      <c r="CX16" s="227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241"/>
      <c r="DK16" s="231" t="s">
        <v>715</v>
      </c>
      <c r="DL16" s="238" t="s">
        <v>379</v>
      </c>
      <c r="DM16" s="230"/>
      <c r="DN16" s="238" t="s">
        <v>378</v>
      </c>
      <c r="DO16" s="229"/>
      <c r="DP16" s="229"/>
      <c r="DQ16" s="229"/>
      <c r="DR16" s="229"/>
      <c r="DS16" s="230"/>
      <c r="DT16" s="18"/>
      <c r="DU16" s="18"/>
      <c r="DV16" s="18"/>
      <c r="DW16" s="18"/>
      <c r="DX16" s="18"/>
      <c r="DY16" s="18"/>
      <c r="DZ16" s="18"/>
      <c r="EA16" s="18"/>
      <c r="EB16" s="18"/>
      <c r="EC16" s="241"/>
      <c r="ED16" s="231" t="s">
        <v>715</v>
      </c>
      <c r="EE16" s="18"/>
      <c r="EF16" s="18"/>
      <c r="EG16" s="18"/>
      <c r="EH16" s="18"/>
      <c r="EI16" s="18"/>
      <c r="EJ16" s="241"/>
      <c r="EK16" s="231" t="s">
        <v>715</v>
      </c>
      <c r="EL16" s="225" t="s">
        <v>378</v>
      </c>
      <c r="EM16" s="226"/>
      <c r="EN16" s="227"/>
      <c r="EO16" s="19"/>
      <c r="EP16" s="19"/>
      <c r="EQ16" s="19"/>
      <c r="ER16" s="19"/>
      <c r="ES16" s="19"/>
      <c r="ET16" s="19"/>
      <c r="EU16" s="19"/>
      <c r="EV16" s="241"/>
      <c r="EW16" s="231" t="s">
        <v>715</v>
      </c>
      <c r="EX16" s="228" t="s">
        <v>378</v>
      </c>
      <c r="EY16" s="229"/>
      <c r="EZ16" s="230"/>
      <c r="FA16" s="18"/>
      <c r="FB16" s="18"/>
      <c r="FC16" s="18"/>
      <c r="FD16" s="18"/>
      <c r="FE16" s="18"/>
      <c r="FF16" s="18"/>
      <c r="FG16" s="18"/>
      <c r="FH16" s="18"/>
      <c r="FI16" s="18"/>
      <c r="FJ16" s="241"/>
      <c r="FK16" s="231" t="s">
        <v>715</v>
      </c>
      <c r="FL16" s="225" t="s">
        <v>379</v>
      </c>
      <c r="FM16" s="227"/>
      <c r="FN16" s="225" t="s">
        <v>378</v>
      </c>
      <c r="FO16" s="226"/>
      <c r="FP16" s="226"/>
      <c r="FQ16" s="227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241"/>
      <c r="GC16" s="231" t="s">
        <v>715</v>
      </c>
      <c r="GD16" s="225" t="s">
        <v>378</v>
      </c>
      <c r="GE16" s="227"/>
      <c r="GF16" s="18"/>
      <c r="GG16" s="18"/>
      <c r="GH16" s="18"/>
      <c r="GI16" s="18"/>
      <c r="GJ16" s="18"/>
      <c r="GK16" s="18"/>
      <c r="GL16" s="18"/>
      <c r="GM16" s="18"/>
      <c r="GN16" s="18"/>
      <c r="GO16" s="241"/>
      <c r="GP16" s="231" t="s">
        <v>715</v>
      </c>
      <c r="GQ16" s="225" t="s">
        <v>378</v>
      </c>
      <c r="GR16" s="226"/>
      <c r="GS16" s="227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9"/>
      <c r="HF16" s="19"/>
      <c r="HG16" s="19"/>
      <c r="HH16" s="19"/>
      <c r="HI16" s="19"/>
      <c r="HJ16" s="19"/>
      <c r="HK16" s="19"/>
      <c r="HL16" s="19"/>
      <c r="HM16" s="19"/>
      <c r="HN16" s="241"/>
      <c r="HO16" s="231" t="s">
        <v>715</v>
      </c>
      <c r="HP16" s="18" t="s">
        <v>379</v>
      </c>
      <c r="HQ16" s="225" t="s">
        <v>378</v>
      </c>
      <c r="HR16" s="227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241"/>
      <c r="IF16" s="231" t="s">
        <v>715</v>
      </c>
      <c r="IG16" s="18"/>
      <c r="IH16" s="18"/>
      <c r="II16" s="18"/>
      <c r="IJ16" s="18"/>
      <c r="IK16" s="18"/>
      <c r="IL16" s="241"/>
      <c r="IM16" s="231" t="s">
        <v>715</v>
      </c>
      <c r="IN16" s="225" t="s">
        <v>378</v>
      </c>
      <c r="IO16" s="226"/>
      <c r="IP16" s="227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241"/>
      <c r="JJ16" s="231" t="s">
        <v>715</v>
      </c>
      <c r="JK16" s="228" t="s">
        <v>378</v>
      </c>
      <c r="JL16" s="229"/>
      <c r="JM16" s="229"/>
      <c r="JN16" s="230"/>
      <c r="JO16" s="18"/>
      <c r="JP16" s="18"/>
      <c r="JQ16" s="18"/>
      <c r="JR16" s="18"/>
      <c r="JS16" s="18"/>
      <c r="JT16" s="18"/>
      <c r="JU16" s="241"/>
      <c r="JV16" s="231" t="s">
        <v>715</v>
      </c>
      <c r="JW16" s="18" t="s">
        <v>378</v>
      </c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241"/>
      <c r="KN16" s="231" t="s">
        <v>715</v>
      </c>
      <c r="KO16" s="225" t="s">
        <v>379</v>
      </c>
      <c r="KP16" s="226"/>
      <c r="KQ16" s="226"/>
      <c r="KR16" s="226"/>
      <c r="KS16" s="226"/>
      <c r="KT16" s="226"/>
      <c r="KU16" s="226"/>
      <c r="KV16" s="227"/>
      <c r="KW16" s="225" t="s">
        <v>378</v>
      </c>
      <c r="KX16" s="226"/>
      <c r="KY16" s="226"/>
      <c r="KZ16" s="226"/>
      <c r="LA16" s="226"/>
      <c r="LB16" s="226"/>
      <c r="LC16" s="227"/>
      <c r="LD16" s="241"/>
      <c r="LE16" s="231" t="s">
        <v>715</v>
      </c>
      <c r="LF16" s="225" t="s">
        <v>378</v>
      </c>
      <c r="LG16" s="226"/>
      <c r="LH16" s="226"/>
      <c r="LI16" s="226"/>
      <c r="LJ16" s="226"/>
      <c r="LK16" s="227"/>
      <c r="LL16" s="18" t="s">
        <v>150</v>
      </c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242"/>
      <c r="LZ16" s="231" t="s">
        <v>715</v>
      </c>
      <c r="MA16" s="18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</row>
    <row r="17" spans="1:352" ht="24.95" customHeight="1" thickTop="1" thickBot="1" x14ac:dyDescent="0.3">
      <c r="A17" s="221"/>
      <c r="B17" s="243"/>
      <c r="C17" s="198" t="s">
        <v>715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241"/>
      <c r="AH17" s="231" t="s">
        <v>1447</v>
      </c>
      <c r="AI17" s="17"/>
      <c r="AJ17" s="17"/>
      <c r="AK17" s="17"/>
      <c r="AL17" s="17"/>
      <c r="AM17" s="17"/>
      <c r="AN17" s="17"/>
      <c r="AO17" s="241"/>
      <c r="AP17" s="231" t="s">
        <v>1447</v>
      </c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244"/>
      <c r="BH17" s="231" t="s">
        <v>1447</v>
      </c>
      <c r="BI17" s="17" t="s">
        <v>118</v>
      </c>
      <c r="BJ17" s="17" t="s">
        <v>136</v>
      </c>
      <c r="BK17" s="17" t="s">
        <v>137</v>
      </c>
      <c r="BL17" s="17" t="s">
        <v>145</v>
      </c>
      <c r="BM17" s="17"/>
      <c r="BN17" s="17"/>
      <c r="BO17" s="17"/>
      <c r="BP17" s="241"/>
      <c r="BQ17" s="231" t="s">
        <v>1447</v>
      </c>
      <c r="BR17" s="17" t="s">
        <v>118</v>
      </c>
      <c r="BS17" s="17" t="s">
        <v>136</v>
      </c>
      <c r="BT17" s="17"/>
      <c r="BU17" s="17"/>
      <c r="BV17" s="17"/>
      <c r="BW17" s="241"/>
      <c r="BX17" s="231" t="s">
        <v>1447</v>
      </c>
      <c r="BY17" s="17"/>
      <c r="BZ17" s="17"/>
      <c r="CA17" s="17"/>
      <c r="CB17" s="17"/>
      <c r="CC17" s="17"/>
      <c r="CD17" s="241"/>
      <c r="CE17" s="231" t="s">
        <v>1447</v>
      </c>
      <c r="CF17" s="17" t="s">
        <v>110</v>
      </c>
      <c r="CG17" s="17" t="s">
        <v>111</v>
      </c>
      <c r="CH17" s="17"/>
      <c r="CI17" s="17"/>
      <c r="CJ17" s="241"/>
      <c r="CK17" s="231" t="s">
        <v>1447</v>
      </c>
      <c r="CL17" s="17" t="s">
        <v>116</v>
      </c>
      <c r="CM17" s="17" t="s">
        <v>117</v>
      </c>
      <c r="CN17" s="17" t="s">
        <v>118</v>
      </c>
      <c r="CO17" s="17" t="s">
        <v>126</v>
      </c>
      <c r="CP17" s="17"/>
      <c r="CQ17" s="17"/>
      <c r="CR17" s="17"/>
      <c r="CS17" s="17"/>
      <c r="CT17" s="241"/>
      <c r="CU17" s="231" t="s">
        <v>1447</v>
      </c>
      <c r="CV17" s="17" t="s">
        <v>116</v>
      </c>
      <c r="CW17" s="17" t="s">
        <v>118</v>
      </c>
      <c r="CX17" s="17" t="s">
        <v>125</v>
      </c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241"/>
      <c r="DK17" s="231" t="s">
        <v>1447</v>
      </c>
      <c r="DL17" s="30" t="s">
        <v>382</v>
      </c>
      <c r="DM17" s="30" t="s">
        <v>111</v>
      </c>
      <c r="DN17" s="30" t="s">
        <v>116</v>
      </c>
      <c r="DO17" s="30" t="s">
        <v>118</v>
      </c>
      <c r="DP17" s="30" t="s">
        <v>123</v>
      </c>
      <c r="DQ17" s="30" t="s">
        <v>125</v>
      </c>
      <c r="DR17" s="30" t="s">
        <v>140</v>
      </c>
      <c r="DS17" s="30" t="s">
        <v>141</v>
      </c>
      <c r="DT17" s="17"/>
      <c r="DU17" s="17"/>
      <c r="DV17" s="17"/>
      <c r="DW17" s="17"/>
      <c r="DX17" s="17"/>
      <c r="DY17" s="17"/>
      <c r="DZ17" s="17"/>
      <c r="EA17" s="17"/>
      <c r="EB17" s="17"/>
      <c r="EC17" s="241"/>
      <c r="ED17" s="231" t="s">
        <v>1447</v>
      </c>
      <c r="EE17" s="17"/>
      <c r="EF17" s="17"/>
      <c r="EG17" s="17"/>
      <c r="EH17" s="17"/>
      <c r="EI17" s="17"/>
      <c r="EJ17" s="241"/>
      <c r="EK17" s="231" t="s">
        <v>1447</v>
      </c>
      <c r="EL17" s="20" t="s">
        <v>118</v>
      </c>
      <c r="EM17" s="20" t="s">
        <v>125</v>
      </c>
      <c r="EN17" s="20" t="s">
        <v>141</v>
      </c>
      <c r="EO17" s="20"/>
      <c r="EP17" s="20"/>
      <c r="EQ17" s="20"/>
      <c r="ER17" s="20"/>
      <c r="ES17" s="20"/>
      <c r="ET17" s="20"/>
      <c r="EU17" s="20"/>
      <c r="EV17" s="241"/>
      <c r="EW17" s="231" t="s">
        <v>1447</v>
      </c>
      <c r="EX17" s="30" t="s">
        <v>121</v>
      </c>
      <c r="EY17" s="30" t="s">
        <v>130</v>
      </c>
      <c r="EZ17" s="30" t="s">
        <v>141</v>
      </c>
      <c r="FA17" s="17"/>
      <c r="FB17" s="17"/>
      <c r="FC17" s="17"/>
      <c r="FD17" s="17"/>
      <c r="FE17" s="17"/>
      <c r="FF17" s="17"/>
      <c r="FG17" s="17"/>
      <c r="FH17" s="17"/>
      <c r="FI17" s="17"/>
      <c r="FJ17" s="241"/>
      <c r="FK17" s="231" t="s">
        <v>1447</v>
      </c>
      <c r="FL17" s="17" t="s">
        <v>566</v>
      </c>
      <c r="FM17" s="17" t="s">
        <v>109</v>
      </c>
      <c r="FN17" s="17" t="s">
        <v>125</v>
      </c>
      <c r="FO17" s="17" t="s">
        <v>137</v>
      </c>
      <c r="FP17" s="17" t="s">
        <v>141</v>
      </c>
      <c r="FQ17" s="17" t="s">
        <v>145</v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241"/>
      <c r="GC17" s="231" t="s">
        <v>1447</v>
      </c>
      <c r="GD17" s="17" t="s">
        <v>118</v>
      </c>
      <c r="GE17" s="17" t="s">
        <v>141</v>
      </c>
      <c r="GF17" s="17"/>
      <c r="GG17" s="17"/>
      <c r="GH17" s="17"/>
      <c r="GI17" s="17"/>
      <c r="GJ17" s="17"/>
      <c r="GK17" s="17"/>
      <c r="GL17" s="17"/>
      <c r="GM17" s="17"/>
      <c r="GN17" s="17"/>
      <c r="GO17" s="241"/>
      <c r="GP17" s="231" t="s">
        <v>1447</v>
      </c>
      <c r="GQ17" s="17" t="s">
        <v>116</v>
      </c>
      <c r="GR17" s="17" t="s">
        <v>118</v>
      </c>
      <c r="GS17" s="17" t="s">
        <v>125</v>
      </c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20"/>
      <c r="HF17" s="20"/>
      <c r="HG17" s="20"/>
      <c r="HH17" s="20"/>
      <c r="HI17" s="20"/>
      <c r="HJ17" s="20"/>
      <c r="HK17" s="20"/>
      <c r="HL17" s="20"/>
      <c r="HM17" s="20"/>
      <c r="HN17" s="241"/>
      <c r="HO17" s="231" t="s">
        <v>1447</v>
      </c>
      <c r="HP17" s="17" t="s">
        <v>208</v>
      </c>
      <c r="HQ17" s="17" t="s">
        <v>130</v>
      </c>
      <c r="HR17" s="17" t="s">
        <v>145</v>
      </c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41"/>
      <c r="IF17" s="231" t="s">
        <v>1447</v>
      </c>
      <c r="IG17" s="17"/>
      <c r="IH17" s="17"/>
      <c r="II17" s="17"/>
      <c r="IJ17" s="17"/>
      <c r="IK17" s="17"/>
      <c r="IL17" s="241"/>
      <c r="IM17" s="231" t="s">
        <v>1447</v>
      </c>
      <c r="IN17" s="17" t="s">
        <v>118</v>
      </c>
      <c r="IO17" s="17" t="s">
        <v>124</v>
      </c>
      <c r="IP17" s="17" t="s">
        <v>125</v>
      </c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241"/>
      <c r="JJ17" s="231" t="s">
        <v>1447</v>
      </c>
      <c r="JK17" s="30" t="s">
        <v>118</v>
      </c>
      <c r="JL17" s="30" t="s">
        <v>124</v>
      </c>
      <c r="JM17" s="30" t="s">
        <v>141</v>
      </c>
      <c r="JN17" s="30" t="s">
        <v>142</v>
      </c>
      <c r="JO17" s="17"/>
      <c r="JP17" s="17"/>
      <c r="JQ17" s="17"/>
      <c r="JR17" s="17"/>
      <c r="JS17" s="17"/>
      <c r="JT17" s="17"/>
      <c r="JU17" s="241"/>
      <c r="JV17" s="231" t="s">
        <v>1447</v>
      </c>
      <c r="JW17" s="17" t="s">
        <v>142</v>
      </c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241"/>
      <c r="KN17" s="231" t="s">
        <v>1447</v>
      </c>
      <c r="KO17" s="17" t="s">
        <v>382</v>
      </c>
      <c r="KP17" s="17" t="s">
        <v>383</v>
      </c>
      <c r="KQ17" s="17" t="s">
        <v>384</v>
      </c>
      <c r="KR17" s="17" t="s">
        <v>385</v>
      </c>
      <c r="KS17" s="17" t="s">
        <v>571</v>
      </c>
      <c r="KT17" s="17" t="s">
        <v>109</v>
      </c>
      <c r="KU17" s="17" t="s">
        <v>110</v>
      </c>
      <c r="KV17" s="17" t="s">
        <v>111</v>
      </c>
      <c r="KW17" s="17" t="s">
        <v>118</v>
      </c>
      <c r="KX17" s="17" t="s">
        <v>122</v>
      </c>
      <c r="KY17" s="17" t="s">
        <v>125</v>
      </c>
      <c r="KZ17" s="17" t="s">
        <v>130</v>
      </c>
      <c r="LA17" s="17" t="s">
        <v>133</v>
      </c>
      <c r="LB17" s="17" t="s">
        <v>141</v>
      </c>
      <c r="LC17" s="17" t="s">
        <v>142</v>
      </c>
      <c r="LD17" s="241"/>
      <c r="LE17" s="231" t="s">
        <v>1447</v>
      </c>
      <c r="LF17" s="17" t="s">
        <v>125</v>
      </c>
      <c r="LG17" s="17" t="s">
        <v>126</v>
      </c>
      <c r="LH17" s="17" t="s">
        <v>136</v>
      </c>
      <c r="LI17" s="17" t="s">
        <v>137</v>
      </c>
      <c r="LJ17" s="17" t="s">
        <v>141</v>
      </c>
      <c r="LK17" s="17" t="s">
        <v>145</v>
      </c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242"/>
      <c r="LZ17" s="231" t="s">
        <v>1447</v>
      </c>
      <c r="MA17" s="17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</row>
    <row r="18" spans="1:352" ht="24.95" customHeight="1" thickTop="1" thickBot="1" x14ac:dyDescent="0.3">
      <c r="A18" s="221" t="s">
        <v>4</v>
      </c>
      <c r="B18" s="242" t="s">
        <v>89</v>
      </c>
      <c r="C18" s="198" t="s">
        <v>172</v>
      </c>
      <c r="D18" s="18" t="s">
        <v>379</v>
      </c>
      <c r="E18" s="225" t="s">
        <v>115</v>
      </c>
      <c r="F18" s="226"/>
      <c r="G18" s="226"/>
      <c r="H18" s="226"/>
      <c r="I18" s="226"/>
      <c r="J18" s="226"/>
      <c r="K18" s="226"/>
      <c r="L18" s="227"/>
      <c r="M18" s="18" t="s">
        <v>152</v>
      </c>
      <c r="N18" s="18" t="s">
        <v>149</v>
      </c>
      <c r="O18" s="18" t="s">
        <v>150</v>
      </c>
      <c r="P18" s="241" t="s">
        <v>90</v>
      </c>
      <c r="Q18" s="223" t="s">
        <v>172</v>
      </c>
      <c r="R18" s="29" t="s">
        <v>379</v>
      </c>
      <c r="S18" s="228" t="s">
        <v>115</v>
      </c>
      <c r="T18" s="229"/>
      <c r="U18" s="229"/>
      <c r="V18" s="229"/>
      <c r="W18" s="29" t="s">
        <v>153</v>
      </c>
      <c r="X18" s="29" t="s">
        <v>149</v>
      </c>
      <c r="Y18" s="29" t="s">
        <v>150</v>
      </c>
      <c r="Z18" s="104" t="s">
        <v>159</v>
      </c>
      <c r="AA18" s="18"/>
      <c r="AB18" s="18"/>
      <c r="AC18" s="18"/>
      <c r="AD18" s="18"/>
      <c r="AE18" s="18"/>
      <c r="AF18" s="18"/>
      <c r="AG18" s="100"/>
      <c r="AH18" s="100"/>
      <c r="AI18" s="18"/>
      <c r="AJ18" s="18"/>
      <c r="AK18" s="18"/>
      <c r="AL18" s="18"/>
      <c r="AM18" s="18"/>
      <c r="AN18" s="18"/>
      <c r="AO18" s="100"/>
      <c r="AP18" s="100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00"/>
      <c r="BH18" s="100"/>
      <c r="BI18" s="18"/>
      <c r="BJ18" s="18"/>
      <c r="BK18" s="18"/>
      <c r="BL18" s="18"/>
      <c r="BM18" s="18"/>
      <c r="BN18" s="18"/>
      <c r="BO18" s="18"/>
      <c r="BP18" s="100"/>
      <c r="BQ18" s="100"/>
      <c r="BR18" s="18"/>
      <c r="BS18" s="18"/>
      <c r="BT18" s="18"/>
      <c r="BU18" s="18"/>
      <c r="BV18" s="18"/>
      <c r="BW18" s="100"/>
      <c r="BX18" s="100"/>
      <c r="BY18" s="18"/>
      <c r="BZ18" s="18"/>
      <c r="CA18" s="18"/>
      <c r="CB18" s="18"/>
      <c r="CC18" s="18"/>
      <c r="CD18" s="100"/>
      <c r="CE18" s="100"/>
      <c r="CF18" s="18"/>
      <c r="CG18" s="18"/>
      <c r="CH18" s="18"/>
      <c r="CI18" s="18"/>
      <c r="CJ18" s="100"/>
      <c r="CK18" s="100"/>
      <c r="CL18" s="18"/>
      <c r="CM18" s="18"/>
      <c r="CN18" s="18"/>
      <c r="CO18" s="18"/>
      <c r="CP18" s="18"/>
      <c r="CQ18" s="18"/>
      <c r="CR18" s="18"/>
      <c r="CS18" s="18"/>
      <c r="CT18" s="100"/>
      <c r="CU18" s="100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00"/>
      <c r="DK18" s="100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82"/>
      <c r="ED18" s="100"/>
      <c r="EE18" s="18"/>
      <c r="EF18" s="18"/>
      <c r="EG18" s="18"/>
      <c r="EH18" s="18"/>
      <c r="EI18" s="18"/>
      <c r="EJ18" s="100"/>
      <c r="EK18" s="100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00"/>
      <c r="EW18" s="100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241" t="s">
        <v>91</v>
      </c>
      <c r="FK18" s="231" t="s">
        <v>172</v>
      </c>
      <c r="FL18" s="18" t="s">
        <v>379</v>
      </c>
      <c r="FM18" s="225" t="s">
        <v>115</v>
      </c>
      <c r="FN18" s="226"/>
      <c r="FO18" s="226"/>
      <c r="FP18" s="227"/>
      <c r="FQ18" s="18" t="s">
        <v>150</v>
      </c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241" t="s">
        <v>92</v>
      </c>
      <c r="GC18" s="231" t="s">
        <v>172</v>
      </c>
      <c r="GD18" s="225" t="s">
        <v>558</v>
      </c>
      <c r="GE18" s="226"/>
      <c r="GF18" s="227"/>
      <c r="GG18" s="225" t="s">
        <v>115</v>
      </c>
      <c r="GH18" s="226"/>
      <c r="GI18" s="226"/>
      <c r="GJ18" s="227"/>
      <c r="GK18" s="18" t="s">
        <v>149</v>
      </c>
      <c r="GL18" s="18" t="s">
        <v>150</v>
      </c>
      <c r="GM18" s="18"/>
      <c r="GN18" s="18"/>
      <c r="GO18" s="241" t="s">
        <v>93</v>
      </c>
      <c r="GP18" s="231" t="s">
        <v>172</v>
      </c>
      <c r="GQ18" s="18" t="s">
        <v>558</v>
      </c>
      <c r="GR18" s="225" t="s">
        <v>115</v>
      </c>
      <c r="GS18" s="226"/>
      <c r="GT18" s="226"/>
      <c r="GU18" s="226"/>
      <c r="GV18" s="227"/>
      <c r="GW18" s="18" t="s">
        <v>149</v>
      </c>
      <c r="GX18" s="18" t="s">
        <v>150</v>
      </c>
      <c r="GY18" s="18"/>
      <c r="GZ18" s="18"/>
      <c r="HA18" s="18"/>
      <c r="HB18" s="18"/>
      <c r="HC18" s="241" t="s">
        <v>94</v>
      </c>
      <c r="HD18" s="231" t="s">
        <v>172</v>
      </c>
      <c r="HE18" s="18" t="s">
        <v>558</v>
      </c>
      <c r="HF18" s="225" t="s">
        <v>115</v>
      </c>
      <c r="HG18" s="226"/>
      <c r="HH18" s="226"/>
      <c r="HI18" s="227"/>
      <c r="HJ18" s="18" t="s">
        <v>157</v>
      </c>
      <c r="HK18" s="18" t="s">
        <v>165</v>
      </c>
      <c r="HL18" s="19" t="s">
        <v>149</v>
      </c>
      <c r="HM18" s="19" t="s">
        <v>150</v>
      </c>
      <c r="HN18" s="241" t="s">
        <v>95</v>
      </c>
      <c r="HO18" s="231" t="s">
        <v>172</v>
      </c>
      <c r="HP18" s="225" t="s">
        <v>558</v>
      </c>
      <c r="HQ18" s="226"/>
      <c r="HR18" s="227"/>
      <c r="HS18" s="225" t="s">
        <v>115</v>
      </c>
      <c r="HT18" s="226"/>
      <c r="HU18" s="226"/>
      <c r="HV18" s="226"/>
      <c r="HW18" s="226"/>
      <c r="HX18" s="227"/>
      <c r="HY18" s="18" t="s">
        <v>157</v>
      </c>
      <c r="HZ18" s="18" t="s">
        <v>149</v>
      </c>
      <c r="IA18" s="18" t="s">
        <v>150</v>
      </c>
      <c r="IB18" s="18"/>
      <c r="IC18" s="18"/>
      <c r="ID18" s="19"/>
      <c r="IE18" s="241" t="s">
        <v>96</v>
      </c>
      <c r="IF18" s="231" t="s">
        <v>172</v>
      </c>
      <c r="IG18" s="19" t="s">
        <v>558</v>
      </c>
      <c r="IH18" s="225" t="s">
        <v>115</v>
      </c>
      <c r="II18" s="226"/>
      <c r="IJ18" s="227"/>
      <c r="IK18" s="18" t="s">
        <v>150</v>
      </c>
      <c r="IL18" s="18"/>
      <c r="IM18" s="100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00"/>
      <c r="JJ18" s="100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00"/>
      <c r="JV18" s="100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00"/>
      <c r="KN18" s="100"/>
      <c r="KO18" s="18"/>
      <c r="KP18" s="18"/>
      <c r="KQ18" s="18"/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241" t="s">
        <v>97</v>
      </c>
      <c r="LE18" s="231" t="s">
        <v>172</v>
      </c>
      <c r="LF18" s="225" t="s">
        <v>558</v>
      </c>
      <c r="LG18" s="226"/>
      <c r="LH18" s="226"/>
      <c r="LI18" s="226"/>
      <c r="LJ18" s="226"/>
      <c r="LK18" s="226"/>
      <c r="LL18" s="227"/>
      <c r="LM18" s="225" t="s">
        <v>115</v>
      </c>
      <c r="LN18" s="226"/>
      <c r="LO18" s="226"/>
      <c r="LP18" s="226"/>
      <c r="LQ18" s="227"/>
      <c r="LR18" s="18" t="s">
        <v>159</v>
      </c>
      <c r="LS18" s="18" t="s">
        <v>168</v>
      </c>
      <c r="LT18" s="18" t="s">
        <v>149</v>
      </c>
      <c r="LU18" s="18" t="s">
        <v>150</v>
      </c>
      <c r="LV18" s="18"/>
      <c r="LW18" s="18"/>
      <c r="LX18" s="18"/>
      <c r="LY18" s="242" t="s">
        <v>175</v>
      </c>
      <c r="LZ18" s="231" t="s">
        <v>172</v>
      </c>
      <c r="MA18" s="225" t="s">
        <v>558</v>
      </c>
      <c r="MB18" s="226"/>
      <c r="MC18" s="226"/>
      <c r="MD18" s="227"/>
      <c r="ME18" s="225" t="s">
        <v>115</v>
      </c>
      <c r="MF18" s="226"/>
      <c r="MG18" s="226"/>
      <c r="MH18" s="227"/>
      <c r="MI18" s="18" t="s">
        <v>149</v>
      </c>
      <c r="MJ18" s="18" t="s">
        <v>150</v>
      </c>
      <c r="MK18" s="19"/>
      <c r="ML18" s="19"/>
      <c r="MM18" s="19"/>
      <c r="MN18" s="19"/>
    </row>
    <row r="19" spans="1:352" ht="24.95" customHeight="1" thickTop="1" thickBot="1" x14ac:dyDescent="0.3">
      <c r="A19" s="221"/>
      <c r="B19" s="243"/>
      <c r="C19" s="198" t="s">
        <v>172</v>
      </c>
      <c r="D19" s="17" t="s">
        <v>574</v>
      </c>
      <c r="E19" s="17" t="s">
        <v>120</v>
      </c>
      <c r="F19" s="17" t="s">
        <v>125</v>
      </c>
      <c r="G19" s="17" t="s">
        <v>126</v>
      </c>
      <c r="H19" s="17" t="s">
        <v>129</v>
      </c>
      <c r="I19" s="17" t="s">
        <v>130</v>
      </c>
      <c r="J19" s="17" t="s">
        <v>137</v>
      </c>
      <c r="K19" s="17" t="s">
        <v>141</v>
      </c>
      <c r="L19" s="17" t="s">
        <v>142</v>
      </c>
      <c r="M19" s="17"/>
      <c r="N19" s="17"/>
      <c r="O19" s="17"/>
      <c r="P19" s="241"/>
      <c r="Q19" s="224" t="s">
        <v>172</v>
      </c>
      <c r="R19" s="30" t="s">
        <v>192</v>
      </c>
      <c r="S19" s="30" t="s">
        <v>125</v>
      </c>
      <c r="T19" s="30" t="s">
        <v>133</v>
      </c>
      <c r="U19" s="30" t="s">
        <v>138</v>
      </c>
      <c r="V19" s="30" t="s">
        <v>145</v>
      </c>
      <c r="W19" s="30"/>
      <c r="X19" s="30"/>
      <c r="Y19" s="30"/>
      <c r="Z19" s="30" t="s">
        <v>425</v>
      </c>
      <c r="AA19" s="17"/>
      <c r="AB19" s="17"/>
      <c r="AC19" s="17"/>
      <c r="AD19" s="17"/>
      <c r="AE19" s="17"/>
      <c r="AF19" s="17"/>
      <c r="AG19" s="21"/>
      <c r="AH19" s="21"/>
      <c r="AI19" s="17"/>
      <c r="AJ19" s="17"/>
      <c r="AK19" s="17"/>
      <c r="AL19" s="17"/>
      <c r="AM19" s="17"/>
      <c r="AN19" s="17"/>
      <c r="AO19" s="21"/>
      <c r="AP19" s="21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21"/>
      <c r="BH19" s="21"/>
      <c r="BI19" s="17"/>
      <c r="BJ19" s="17"/>
      <c r="BK19" s="17"/>
      <c r="BL19" s="17"/>
      <c r="BM19" s="17"/>
      <c r="BN19" s="17"/>
      <c r="BO19" s="17"/>
      <c r="BP19" s="21"/>
      <c r="BQ19" s="21"/>
      <c r="BR19" s="17"/>
      <c r="BS19" s="17"/>
      <c r="BT19" s="17"/>
      <c r="BU19" s="17"/>
      <c r="BV19" s="17"/>
      <c r="BW19" s="21"/>
      <c r="BX19" s="21"/>
      <c r="BY19" s="17"/>
      <c r="BZ19" s="17"/>
      <c r="CA19" s="17"/>
      <c r="CB19" s="17"/>
      <c r="CC19" s="17"/>
      <c r="CD19" s="21"/>
      <c r="CE19" s="21"/>
      <c r="CF19" s="17"/>
      <c r="CG19" s="17"/>
      <c r="CH19" s="17"/>
      <c r="CI19" s="17"/>
      <c r="CJ19" s="21"/>
      <c r="CK19" s="21"/>
      <c r="CL19" s="17"/>
      <c r="CM19" s="17"/>
      <c r="CN19" s="17"/>
      <c r="CO19" s="17"/>
      <c r="CP19" s="17"/>
      <c r="CQ19" s="17"/>
      <c r="CR19" s="17"/>
      <c r="CS19" s="17"/>
      <c r="CT19" s="21"/>
      <c r="CU19" s="21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21"/>
      <c r="DK19" s="21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21"/>
      <c r="ED19" s="21"/>
      <c r="EE19" s="17"/>
      <c r="EF19" s="17"/>
      <c r="EG19" s="17"/>
      <c r="EH19" s="17"/>
      <c r="EI19" s="17"/>
      <c r="EJ19" s="21"/>
      <c r="EK19" s="21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1"/>
      <c r="EW19" s="21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241"/>
      <c r="FK19" s="231" t="s">
        <v>1446</v>
      </c>
      <c r="FL19" s="17" t="s">
        <v>384</v>
      </c>
      <c r="FM19" s="17" t="s">
        <v>125</v>
      </c>
      <c r="FN19" s="17" t="s">
        <v>134</v>
      </c>
      <c r="FO19" s="17" t="s">
        <v>163</v>
      </c>
      <c r="FP19" s="17" t="s">
        <v>142</v>
      </c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241"/>
      <c r="GC19" s="231" t="s">
        <v>1446</v>
      </c>
      <c r="GD19" s="17" t="s">
        <v>570</v>
      </c>
      <c r="GE19" s="17" t="s">
        <v>571</v>
      </c>
      <c r="GF19" s="17" t="s">
        <v>111</v>
      </c>
      <c r="GG19" s="17" t="s">
        <v>130</v>
      </c>
      <c r="GH19" s="17" t="s">
        <v>139</v>
      </c>
      <c r="GI19" s="17" t="s">
        <v>140</v>
      </c>
      <c r="GJ19" s="17" t="s">
        <v>145</v>
      </c>
      <c r="GK19" s="17"/>
      <c r="GL19" s="17"/>
      <c r="GM19" s="17"/>
      <c r="GN19" s="17"/>
      <c r="GO19" s="241"/>
      <c r="GP19" s="231" t="s">
        <v>1446</v>
      </c>
      <c r="GQ19" s="17" t="s">
        <v>570</v>
      </c>
      <c r="GR19" s="17" t="s">
        <v>125</v>
      </c>
      <c r="GS19" s="17" t="s">
        <v>130</v>
      </c>
      <c r="GT19" s="17" t="s">
        <v>133</v>
      </c>
      <c r="GU19" s="17" t="s">
        <v>139</v>
      </c>
      <c r="GV19" s="17" t="s">
        <v>540</v>
      </c>
      <c r="GW19" s="17"/>
      <c r="GX19" s="17"/>
      <c r="GY19" s="17"/>
      <c r="GZ19" s="17"/>
      <c r="HA19" s="17"/>
      <c r="HB19" s="17"/>
      <c r="HC19" s="241"/>
      <c r="HD19" s="231" t="s">
        <v>1446</v>
      </c>
      <c r="HE19" s="17" t="s">
        <v>570</v>
      </c>
      <c r="HF19" s="17" t="s">
        <v>124</v>
      </c>
      <c r="HG19" s="17" t="s">
        <v>125</v>
      </c>
      <c r="HH19" s="17" t="s">
        <v>133</v>
      </c>
      <c r="HI19" s="17" t="s">
        <v>540</v>
      </c>
      <c r="HJ19" s="17"/>
      <c r="HK19" s="17"/>
      <c r="HL19" s="20"/>
      <c r="HM19" s="20"/>
      <c r="HN19" s="241"/>
      <c r="HO19" s="231" t="s">
        <v>1446</v>
      </c>
      <c r="HP19" s="17" t="s">
        <v>570</v>
      </c>
      <c r="HQ19" s="17" t="s">
        <v>573</v>
      </c>
      <c r="HR19" s="17" t="s">
        <v>208</v>
      </c>
      <c r="HS19" s="17" t="s">
        <v>120</v>
      </c>
      <c r="HT19" s="17" t="s">
        <v>124</v>
      </c>
      <c r="HU19" s="17" t="s">
        <v>125</v>
      </c>
      <c r="HV19" s="17" t="s">
        <v>135</v>
      </c>
      <c r="HW19" s="17" t="s">
        <v>142</v>
      </c>
      <c r="HX19" s="17" t="s">
        <v>145</v>
      </c>
      <c r="HY19" s="17"/>
      <c r="HZ19" s="17"/>
      <c r="IA19" s="17"/>
      <c r="IB19" s="17"/>
      <c r="IC19" s="17"/>
      <c r="ID19" s="20"/>
      <c r="IE19" s="241"/>
      <c r="IF19" s="231" t="s">
        <v>1446</v>
      </c>
      <c r="IG19" s="17" t="s">
        <v>387</v>
      </c>
      <c r="IH19" s="17" t="s">
        <v>125</v>
      </c>
      <c r="II19" s="17" t="s">
        <v>141</v>
      </c>
      <c r="IJ19" s="17" t="s">
        <v>142</v>
      </c>
      <c r="IK19" s="17"/>
      <c r="IL19" s="17"/>
      <c r="IM19" s="21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21"/>
      <c r="JJ19" s="21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21"/>
      <c r="JV19" s="21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21"/>
      <c r="KN19" s="21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241"/>
      <c r="LE19" s="231" t="s">
        <v>1446</v>
      </c>
      <c r="LF19" s="17" t="s">
        <v>576</v>
      </c>
      <c r="LG19" s="17" t="s">
        <v>580</v>
      </c>
      <c r="LH19" s="17" t="s">
        <v>573</v>
      </c>
      <c r="LI19" s="17" t="s">
        <v>566</v>
      </c>
      <c r="LJ19" s="17" t="s">
        <v>571</v>
      </c>
      <c r="LK19" s="17" t="s">
        <v>581</v>
      </c>
      <c r="LL19" s="17" t="s">
        <v>111</v>
      </c>
      <c r="LM19" s="17" t="s">
        <v>125</v>
      </c>
      <c r="LN19" s="17" t="s">
        <v>130</v>
      </c>
      <c r="LO19" s="17" t="s">
        <v>136</v>
      </c>
      <c r="LP19" s="17" t="s">
        <v>141</v>
      </c>
      <c r="LQ19" s="17" t="s">
        <v>145</v>
      </c>
      <c r="LR19" s="17"/>
      <c r="LS19" s="17"/>
      <c r="LT19" s="17"/>
      <c r="LU19" s="17"/>
      <c r="LV19" s="17"/>
      <c r="LW19" s="17"/>
      <c r="LX19" s="17"/>
      <c r="LY19" s="242"/>
      <c r="LZ19" s="231" t="s">
        <v>1446</v>
      </c>
      <c r="MA19" s="17" t="s">
        <v>573</v>
      </c>
      <c r="MB19" s="17" t="s">
        <v>566</v>
      </c>
      <c r="MC19" s="17" t="s">
        <v>208</v>
      </c>
      <c r="MD19" s="17" t="s">
        <v>582</v>
      </c>
      <c r="ME19" s="17" t="s">
        <v>120</v>
      </c>
      <c r="MF19" s="17" t="s">
        <v>124</v>
      </c>
      <c r="MG19" s="17" t="s">
        <v>125</v>
      </c>
      <c r="MH19" s="17" t="s">
        <v>145</v>
      </c>
      <c r="MI19" s="20"/>
      <c r="MJ19" s="20"/>
      <c r="MK19" s="20"/>
      <c r="ML19" s="20"/>
      <c r="MM19" s="20"/>
      <c r="MN19" s="20"/>
    </row>
    <row r="20" spans="1:352" ht="24.95" customHeight="1" thickTop="1" thickBot="1" x14ac:dyDescent="0.3">
      <c r="A20" s="221"/>
      <c r="B20" s="243"/>
      <c r="C20" s="198" t="s">
        <v>171</v>
      </c>
      <c r="D20" s="18" t="s">
        <v>182</v>
      </c>
      <c r="E20" s="18" t="s">
        <v>191</v>
      </c>
      <c r="F20" s="18" t="s">
        <v>190</v>
      </c>
      <c r="G20" s="18"/>
      <c r="H20" s="18"/>
      <c r="I20" s="18"/>
      <c r="J20" s="18"/>
      <c r="K20" s="18"/>
      <c r="L20" s="18"/>
      <c r="M20" s="18"/>
      <c r="N20" s="18"/>
      <c r="O20" s="18"/>
      <c r="P20" s="241"/>
      <c r="Q20" s="231" t="s">
        <v>171</v>
      </c>
      <c r="R20" s="29" t="s">
        <v>182</v>
      </c>
      <c r="S20" s="29" t="s">
        <v>547</v>
      </c>
      <c r="T20" s="29" t="s">
        <v>193</v>
      </c>
      <c r="U20" s="228" t="s">
        <v>186</v>
      </c>
      <c r="V20" s="229"/>
      <c r="W20" s="229"/>
      <c r="X20" s="229"/>
      <c r="Y20" s="230"/>
      <c r="Z20" s="29"/>
      <c r="AA20" s="18"/>
      <c r="AB20" s="18"/>
      <c r="AC20" s="18"/>
      <c r="AD20" s="18"/>
      <c r="AE20" s="18"/>
      <c r="AF20" s="18"/>
      <c r="AG20" s="100"/>
      <c r="AH20" s="100"/>
      <c r="AI20" s="18"/>
      <c r="AJ20" s="18"/>
      <c r="AK20" s="18"/>
      <c r="AL20" s="18"/>
      <c r="AM20" s="18"/>
      <c r="AN20" s="18"/>
      <c r="AO20" s="100"/>
      <c r="AP20" s="100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00"/>
      <c r="BH20" s="100"/>
      <c r="BI20" s="18"/>
      <c r="BJ20" s="18"/>
      <c r="BK20" s="18"/>
      <c r="BL20" s="18"/>
      <c r="BM20" s="18"/>
      <c r="BN20" s="18"/>
      <c r="BO20" s="18"/>
      <c r="BP20" s="100"/>
      <c r="BQ20" s="100"/>
      <c r="BR20" s="18"/>
      <c r="BS20" s="18"/>
      <c r="BT20" s="18"/>
      <c r="BU20" s="18"/>
      <c r="BV20" s="18"/>
      <c r="BW20" s="100"/>
      <c r="BX20" s="100"/>
      <c r="BY20" s="18"/>
      <c r="BZ20" s="18"/>
      <c r="CA20" s="18"/>
      <c r="CB20" s="18"/>
      <c r="CC20" s="18"/>
      <c r="CD20" s="100"/>
      <c r="CE20" s="100"/>
      <c r="CF20" s="18"/>
      <c r="CG20" s="18"/>
      <c r="CH20" s="18"/>
      <c r="CI20" s="18"/>
      <c r="CJ20" s="100"/>
      <c r="CK20" s="100"/>
      <c r="CL20" s="18"/>
      <c r="CM20" s="18"/>
      <c r="CN20" s="18"/>
      <c r="CO20" s="18"/>
      <c r="CP20" s="18"/>
      <c r="CQ20" s="18"/>
      <c r="CR20" s="18"/>
      <c r="CS20" s="18"/>
      <c r="CT20" s="100"/>
      <c r="CU20" s="100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00"/>
      <c r="DK20" s="100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00"/>
      <c r="ED20" s="100"/>
      <c r="EE20" s="18"/>
      <c r="EF20" s="18"/>
      <c r="EG20" s="18"/>
      <c r="EH20" s="18"/>
      <c r="EI20" s="18"/>
      <c r="EJ20" s="100"/>
      <c r="EK20" s="100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00"/>
      <c r="EW20" s="100"/>
      <c r="EX20" s="18"/>
      <c r="EY20" s="18"/>
      <c r="EZ20" s="18"/>
      <c r="FA20" s="18"/>
      <c r="FB20" s="18"/>
      <c r="FC20" s="18"/>
      <c r="FD20" s="18"/>
      <c r="FE20" s="18"/>
      <c r="FF20" s="18"/>
      <c r="FG20" s="18"/>
      <c r="FH20" s="18"/>
      <c r="FI20" s="18"/>
      <c r="FJ20" s="241"/>
      <c r="FK20" s="231" t="s">
        <v>171</v>
      </c>
      <c r="FL20" s="18" t="s">
        <v>702</v>
      </c>
      <c r="FM20" s="225" t="s">
        <v>703</v>
      </c>
      <c r="FN20" s="226"/>
      <c r="FO20" s="226"/>
      <c r="FP20" s="227"/>
      <c r="FQ20" s="18" t="s">
        <v>706</v>
      </c>
      <c r="FR20" s="225" t="s">
        <v>704</v>
      </c>
      <c r="FS20" s="226"/>
      <c r="FT20" s="226"/>
      <c r="FU20" s="226"/>
      <c r="FV20" s="226"/>
      <c r="FW20" s="227"/>
      <c r="FX20" s="18" t="s">
        <v>361</v>
      </c>
      <c r="FY20" s="18" t="s">
        <v>567</v>
      </c>
      <c r="FZ20" s="18" t="s">
        <v>550</v>
      </c>
      <c r="GA20" s="18" t="s">
        <v>264</v>
      </c>
      <c r="GB20" s="241"/>
      <c r="GC20" s="231" t="s">
        <v>171</v>
      </c>
      <c r="GD20" s="18" t="s">
        <v>706</v>
      </c>
      <c r="GE20" s="18" t="s">
        <v>186</v>
      </c>
      <c r="GF20" s="18" t="s">
        <v>549</v>
      </c>
      <c r="GG20" s="18" t="s">
        <v>553</v>
      </c>
      <c r="GH20" s="18"/>
      <c r="GI20" s="18"/>
      <c r="GJ20" s="18"/>
      <c r="GK20" s="18"/>
      <c r="GL20" s="18"/>
      <c r="GM20" s="18"/>
      <c r="GN20" s="18"/>
      <c r="GO20" s="241"/>
      <c r="GP20" s="231" t="s">
        <v>171</v>
      </c>
      <c r="GQ20" s="18" t="s">
        <v>572</v>
      </c>
      <c r="GR20" s="18" t="s">
        <v>553</v>
      </c>
      <c r="GS20" s="18" t="s">
        <v>545</v>
      </c>
      <c r="GT20" s="225" t="s">
        <v>186</v>
      </c>
      <c r="GU20" s="226"/>
      <c r="GV20" s="226"/>
      <c r="GW20" s="226"/>
      <c r="GX20" s="227"/>
      <c r="GY20" s="18" t="s">
        <v>551</v>
      </c>
      <c r="GZ20" s="18" t="s">
        <v>552</v>
      </c>
      <c r="HA20" s="18" t="s">
        <v>267</v>
      </c>
      <c r="HB20" s="18" t="s">
        <v>190</v>
      </c>
      <c r="HC20" s="241"/>
      <c r="HD20" s="231" t="s">
        <v>171</v>
      </c>
      <c r="HE20" s="225" t="s">
        <v>186</v>
      </c>
      <c r="HF20" s="226"/>
      <c r="HG20" s="226"/>
      <c r="HH20" s="226"/>
      <c r="HI20" s="227"/>
      <c r="HJ20" s="18" t="s">
        <v>191</v>
      </c>
      <c r="HK20" s="18"/>
      <c r="HL20" s="19"/>
      <c r="HM20" s="19"/>
      <c r="HN20" s="241"/>
      <c r="HO20" s="231" t="s">
        <v>171</v>
      </c>
      <c r="HP20" s="18" t="s">
        <v>545</v>
      </c>
      <c r="HQ20" s="18" t="s">
        <v>544</v>
      </c>
      <c r="HR20" s="225" t="s">
        <v>707</v>
      </c>
      <c r="HS20" s="226"/>
      <c r="HT20" s="226"/>
      <c r="HU20" s="227"/>
      <c r="HV20" s="18" t="s">
        <v>191</v>
      </c>
      <c r="HW20" s="18" t="s">
        <v>262</v>
      </c>
      <c r="HX20" s="225" t="s">
        <v>186</v>
      </c>
      <c r="HY20" s="226"/>
      <c r="HZ20" s="226"/>
      <c r="IA20" s="226"/>
      <c r="IB20" s="226"/>
      <c r="IC20" s="227"/>
      <c r="ID20" s="19" t="s">
        <v>190</v>
      </c>
      <c r="IE20" s="241"/>
      <c r="IF20" s="231" t="s">
        <v>171</v>
      </c>
      <c r="IG20" s="18" t="s">
        <v>182</v>
      </c>
      <c r="IH20" s="18" t="s">
        <v>186</v>
      </c>
      <c r="II20" s="18" t="s">
        <v>191</v>
      </c>
      <c r="IJ20" s="18"/>
      <c r="IK20" s="18"/>
      <c r="IL20" s="18"/>
      <c r="IM20" s="100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00"/>
      <c r="JJ20" s="100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00"/>
      <c r="JV20" s="100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00"/>
      <c r="KN20" s="100"/>
      <c r="KO20" s="18"/>
      <c r="KP20" s="18"/>
      <c r="KQ20" s="18"/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241"/>
      <c r="LE20" s="231" t="s">
        <v>171</v>
      </c>
      <c r="LF20" s="18" t="s">
        <v>182</v>
      </c>
      <c r="LG20" s="18" t="s">
        <v>541</v>
      </c>
      <c r="LH20" s="18" t="s">
        <v>543</v>
      </c>
      <c r="LI20" s="18" t="s">
        <v>703</v>
      </c>
      <c r="LJ20" s="18" t="s">
        <v>186</v>
      </c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242"/>
      <c r="LZ20" s="231" t="s">
        <v>171</v>
      </c>
      <c r="MA20" s="18" t="s">
        <v>182</v>
      </c>
      <c r="MB20" s="18" t="s">
        <v>707</v>
      </c>
      <c r="MC20" s="225" t="s">
        <v>186</v>
      </c>
      <c r="MD20" s="226"/>
      <c r="ME20" s="226"/>
      <c r="MF20" s="226"/>
      <c r="MG20" s="227"/>
      <c r="MH20" s="18" t="s">
        <v>546</v>
      </c>
      <c r="MI20" s="19" t="s">
        <v>190</v>
      </c>
      <c r="MJ20" s="19"/>
      <c r="MK20" s="19"/>
      <c r="ML20" s="19"/>
      <c r="MM20" s="19"/>
      <c r="MN20" s="19"/>
    </row>
    <row r="21" spans="1:352" ht="24.95" customHeight="1" thickTop="1" thickBot="1" x14ac:dyDescent="0.3">
      <c r="A21" s="221"/>
      <c r="B21" s="243"/>
      <c r="C21" s="198" t="s">
        <v>171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241"/>
      <c r="Q21" s="231" t="s">
        <v>1449</v>
      </c>
      <c r="R21" s="30"/>
      <c r="S21" s="30"/>
      <c r="T21" s="30"/>
      <c r="U21" s="30" t="s">
        <v>194</v>
      </c>
      <c r="V21" s="30" t="s">
        <v>188</v>
      </c>
      <c r="W21" s="30" t="s">
        <v>195</v>
      </c>
      <c r="X21" s="30" t="s">
        <v>349</v>
      </c>
      <c r="Y21" s="30" t="s">
        <v>196</v>
      </c>
      <c r="Z21" s="30"/>
      <c r="AA21" s="17"/>
      <c r="AB21" s="17"/>
      <c r="AC21" s="17"/>
      <c r="AD21" s="17"/>
      <c r="AE21" s="17"/>
      <c r="AF21" s="17"/>
      <c r="AG21" s="21"/>
      <c r="AH21" s="21"/>
      <c r="AI21" s="17"/>
      <c r="AJ21" s="17"/>
      <c r="AK21" s="17"/>
      <c r="AL21" s="17"/>
      <c r="AM21" s="17"/>
      <c r="AN21" s="17"/>
      <c r="AO21" s="21"/>
      <c r="AP21" s="21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21"/>
      <c r="BH21" s="21"/>
      <c r="BI21" s="17"/>
      <c r="BJ21" s="17"/>
      <c r="BK21" s="17"/>
      <c r="BL21" s="17"/>
      <c r="BM21" s="17"/>
      <c r="BN21" s="17"/>
      <c r="BO21" s="17"/>
      <c r="BP21" s="21"/>
      <c r="BQ21" s="21"/>
      <c r="BR21" s="17"/>
      <c r="BS21" s="17"/>
      <c r="BT21" s="17"/>
      <c r="BU21" s="17"/>
      <c r="BV21" s="17"/>
      <c r="BW21" s="21"/>
      <c r="BX21" s="21"/>
      <c r="BY21" s="17"/>
      <c r="BZ21" s="17"/>
      <c r="CA21" s="17"/>
      <c r="CB21" s="17"/>
      <c r="CC21" s="17"/>
      <c r="CD21" s="21"/>
      <c r="CE21" s="21"/>
      <c r="CF21" s="17"/>
      <c r="CG21" s="17"/>
      <c r="CH21" s="17"/>
      <c r="CI21" s="17"/>
      <c r="CJ21" s="21"/>
      <c r="CK21" s="21"/>
      <c r="CL21" s="17"/>
      <c r="CM21" s="17"/>
      <c r="CN21" s="17"/>
      <c r="CO21" s="17"/>
      <c r="CP21" s="17"/>
      <c r="CQ21" s="17"/>
      <c r="CR21" s="17"/>
      <c r="CS21" s="17"/>
      <c r="CT21" s="21"/>
      <c r="CU21" s="21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21"/>
      <c r="DK21" s="21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21"/>
      <c r="ED21" s="21"/>
      <c r="EE21" s="17"/>
      <c r="EF21" s="17"/>
      <c r="EG21" s="17"/>
      <c r="EH21" s="17"/>
      <c r="EI21" s="17"/>
      <c r="EJ21" s="21"/>
      <c r="EK21" s="21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1"/>
      <c r="EW21" s="21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241"/>
      <c r="FK21" s="231" t="s">
        <v>1449</v>
      </c>
      <c r="FL21" s="17" t="s">
        <v>555</v>
      </c>
      <c r="FM21" s="17" t="s">
        <v>197</v>
      </c>
      <c r="FN21" s="17" t="s">
        <v>249</v>
      </c>
      <c r="FO21" s="17" t="s">
        <v>252</v>
      </c>
      <c r="FP21" s="17" t="s">
        <v>200</v>
      </c>
      <c r="FQ21" s="17" t="s">
        <v>210</v>
      </c>
      <c r="FR21" s="17" t="s">
        <v>302</v>
      </c>
      <c r="FS21" s="17" t="s">
        <v>304</v>
      </c>
      <c r="FT21" s="17" t="s">
        <v>565</v>
      </c>
      <c r="FU21" s="17" t="s">
        <v>310</v>
      </c>
      <c r="FV21" s="17" t="s">
        <v>313</v>
      </c>
      <c r="FW21" s="17" t="s">
        <v>318</v>
      </c>
      <c r="FX21" s="17"/>
      <c r="FY21" s="17"/>
      <c r="FZ21" s="17"/>
      <c r="GA21" s="17"/>
      <c r="GB21" s="241"/>
      <c r="GC21" s="231" t="s">
        <v>1449</v>
      </c>
      <c r="GD21" s="17" t="s">
        <v>210</v>
      </c>
      <c r="GE21" s="17" t="s">
        <v>348</v>
      </c>
      <c r="GF21" s="17"/>
      <c r="GG21" s="17"/>
      <c r="GH21" s="17"/>
      <c r="GI21" s="17"/>
      <c r="GJ21" s="17"/>
      <c r="GK21" s="17"/>
      <c r="GL21" s="17"/>
      <c r="GM21" s="17"/>
      <c r="GN21" s="17"/>
      <c r="GO21" s="241"/>
      <c r="GP21" s="231" t="s">
        <v>1449</v>
      </c>
      <c r="GQ21" s="17"/>
      <c r="GR21" s="17"/>
      <c r="GS21" s="17"/>
      <c r="GT21" s="17" t="s">
        <v>187</v>
      </c>
      <c r="GU21" s="17" t="s">
        <v>342</v>
      </c>
      <c r="GV21" s="17" t="s">
        <v>346</v>
      </c>
      <c r="GW21" s="17" t="s">
        <v>348</v>
      </c>
      <c r="GX21" s="17" t="s">
        <v>356</v>
      </c>
      <c r="GY21" s="17"/>
      <c r="GZ21" s="17"/>
      <c r="HA21" s="17"/>
      <c r="HB21" s="17"/>
      <c r="HC21" s="241"/>
      <c r="HD21" s="231" t="s">
        <v>1449</v>
      </c>
      <c r="HE21" s="17" t="s">
        <v>187</v>
      </c>
      <c r="HF21" s="17" t="s">
        <v>203</v>
      </c>
      <c r="HG21" s="17" t="s">
        <v>339</v>
      </c>
      <c r="HH21" s="17" t="s">
        <v>342</v>
      </c>
      <c r="HI21" s="17" t="s">
        <v>195</v>
      </c>
      <c r="HJ21" s="17"/>
      <c r="HK21" s="17"/>
      <c r="HL21" s="20"/>
      <c r="HM21" s="20"/>
      <c r="HN21" s="241"/>
      <c r="HO21" s="231" t="s">
        <v>1449</v>
      </c>
      <c r="HP21" s="17"/>
      <c r="HQ21" s="17"/>
      <c r="HR21" s="17" t="s">
        <v>584</v>
      </c>
      <c r="HS21" s="17" t="s">
        <v>329</v>
      </c>
      <c r="HT21" s="17" t="s">
        <v>585</v>
      </c>
      <c r="HU21" s="17" t="s">
        <v>331</v>
      </c>
      <c r="HV21" s="17"/>
      <c r="HW21" s="17"/>
      <c r="HX21" s="17" t="s">
        <v>194</v>
      </c>
      <c r="HY21" s="17" t="s">
        <v>187</v>
      </c>
      <c r="HZ21" s="17" t="s">
        <v>337</v>
      </c>
      <c r="IA21" s="17" t="s">
        <v>189</v>
      </c>
      <c r="IB21" s="17" t="s">
        <v>350</v>
      </c>
      <c r="IC21" s="17" t="s">
        <v>196</v>
      </c>
      <c r="ID21" s="20"/>
      <c r="IE21" s="241"/>
      <c r="IF21" s="231" t="s">
        <v>1449</v>
      </c>
      <c r="IG21" s="17"/>
      <c r="IH21" s="17" t="s">
        <v>342</v>
      </c>
      <c r="II21" s="17"/>
      <c r="IJ21" s="17"/>
      <c r="IK21" s="17"/>
      <c r="IL21" s="17"/>
      <c r="IM21" s="21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21"/>
      <c r="JJ21" s="21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21"/>
      <c r="JV21" s="21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21"/>
      <c r="KN21" s="21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241"/>
      <c r="LE21" s="231" t="s">
        <v>1449</v>
      </c>
      <c r="LF21" s="17"/>
      <c r="LG21" s="17"/>
      <c r="LH21" s="17"/>
      <c r="LI21" s="17" t="s">
        <v>253</v>
      </c>
      <c r="LJ21" s="17" t="s">
        <v>348</v>
      </c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242"/>
      <c r="LZ21" s="231" t="s">
        <v>1449</v>
      </c>
      <c r="MA21" s="17"/>
      <c r="MB21" s="17" t="s">
        <v>329</v>
      </c>
      <c r="MC21" s="17" t="s">
        <v>187</v>
      </c>
      <c r="MD21" s="17" t="s">
        <v>337</v>
      </c>
      <c r="ME21" s="17" t="s">
        <v>348</v>
      </c>
      <c r="MF21" s="17" t="s">
        <v>353</v>
      </c>
      <c r="MG21" s="17" t="s">
        <v>196</v>
      </c>
      <c r="MH21" s="17"/>
      <c r="MI21" s="20"/>
      <c r="MJ21" s="20"/>
      <c r="MK21" s="20"/>
      <c r="ML21" s="20"/>
      <c r="MM21" s="20"/>
      <c r="MN21" s="20"/>
    </row>
    <row r="22" spans="1:352" ht="24.95" customHeight="1" thickTop="1" thickBot="1" x14ac:dyDescent="0.3">
      <c r="A22" s="221"/>
      <c r="B22" s="243"/>
      <c r="C22" s="198" t="s">
        <v>173</v>
      </c>
      <c r="D22" s="18" t="s">
        <v>153</v>
      </c>
      <c r="E22" s="18" t="s">
        <v>154</v>
      </c>
      <c r="F22" s="18" t="s">
        <v>115</v>
      </c>
      <c r="G22" s="18" t="s">
        <v>155</v>
      </c>
      <c r="H22" s="18"/>
      <c r="I22" s="19"/>
      <c r="J22" s="19"/>
      <c r="K22" s="19"/>
      <c r="L22" s="19"/>
      <c r="M22" s="19"/>
      <c r="N22" s="19"/>
      <c r="O22" s="18"/>
      <c r="P22" s="241"/>
      <c r="Q22" s="231" t="s">
        <v>173</v>
      </c>
      <c r="R22" s="29" t="s">
        <v>378</v>
      </c>
      <c r="S22" s="29"/>
      <c r="T22" s="29"/>
      <c r="U22" s="29"/>
      <c r="V22" s="29"/>
      <c r="W22" s="29"/>
      <c r="X22" s="29"/>
      <c r="Y22" s="29"/>
      <c r="Z22" s="29"/>
      <c r="AA22" s="18"/>
      <c r="AB22" s="18"/>
      <c r="AC22" s="18"/>
      <c r="AD22" s="18"/>
      <c r="AE22" s="18"/>
      <c r="AF22" s="18"/>
      <c r="AG22" s="100"/>
      <c r="AH22" s="100"/>
      <c r="AI22" s="18"/>
      <c r="AJ22" s="18"/>
      <c r="AK22" s="18"/>
      <c r="AL22" s="18"/>
      <c r="AM22" s="18"/>
      <c r="AN22" s="18"/>
      <c r="AO22" s="100"/>
      <c r="AP22" s="100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00"/>
      <c r="BH22" s="100"/>
      <c r="BI22" s="18"/>
      <c r="BJ22" s="18"/>
      <c r="BK22" s="18"/>
      <c r="BL22" s="18"/>
      <c r="BM22" s="18"/>
      <c r="BN22" s="18"/>
      <c r="BO22" s="18"/>
      <c r="BP22" s="100"/>
      <c r="BQ22" s="100"/>
      <c r="BR22" s="18"/>
      <c r="BS22" s="18"/>
      <c r="BT22" s="18"/>
      <c r="BU22" s="18"/>
      <c r="BV22" s="18"/>
      <c r="BW22" s="100"/>
      <c r="BX22" s="100"/>
      <c r="BY22" s="18"/>
      <c r="BZ22" s="18"/>
      <c r="CA22" s="18"/>
      <c r="CB22" s="18"/>
      <c r="CC22" s="18"/>
      <c r="CD22" s="100"/>
      <c r="CE22" s="100"/>
      <c r="CF22" s="18"/>
      <c r="CG22" s="18"/>
      <c r="CH22" s="18"/>
      <c r="CI22" s="18"/>
      <c r="CJ22" s="100"/>
      <c r="CK22" s="100"/>
      <c r="CL22" s="18"/>
      <c r="CM22" s="18"/>
      <c r="CN22" s="18"/>
      <c r="CO22" s="18"/>
      <c r="CP22" s="18"/>
      <c r="CQ22" s="18"/>
      <c r="CR22" s="18"/>
      <c r="CS22" s="18"/>
      <c r="CT22" s="100"/>
      <c r="CU22" s="100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00"/>
      <c r="DK22" s="100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00"/>
      <c r="ED22" s="100"/>
      <c r="EE22" s="18"/>
      <c r="EF22" s="18"/>
      <c r="EG22" s="18"/>
      <c r="EH22" s="18"/>
      <c r="EI22" s="18"/>
      <c r="EJ22" s="100"/>
      <c r="EK22" s="100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00"/>
      <c r="EW22" s="100"/>
      <c r="EX22" s="18"/>
      <c r="EY22" s="18"/>
      <c r="EZ22" s="18"/>
      <c r="FA22" s="18"/>
      <c r="FB22" s="18"/>
      <c r="FC22" s="18"/>
      <c r="FD22" s="18"/>
      <c r="FE22" s="18"/>
      <c r="FF22" s="18"/>
      <c r="FG22" s="18"/>
      <c r="FH22" s="18"/>
      <c r="FI22" s="18"/>
      <c r="FJ22" s="241"/>
      <c r="FK22" s="231" t="s">
        <v>173</v>
      </c>
      <c r="FL22" s="225" t="s">
        <v>115</v>
      </c>
      <c r="FM22" s="227"/>
      <c r="FN22" s="18" t="s">
        <v>155</v>
      </c>
      <c r="FO22" s="19"/>
      <c r="FP22" s="19"/>
      <c r="FQ22" s="19"/>
      <c r="FR22" s="19"/>
      <c r="FS22" s="19"/>
      <c r="FT22" s="19"/>
      <c r="FU22" s="19"/>
      <c r="FV22" s="18"/>
      <c r="FW22" s="18"/>
      <c r="FX22" s="18"/>
      <c r="FY22" s="18"/>
      <c r="FZ22" s="18"/>
      <c r="GA22" s="18"/>
      <c r="GB22" s="241"/>
      <c r="GC22" s="231" t="s">
        <v>173</v>
      </c>
      <c r="GD22" s="225" t="s">
        <v>115</v>
      </c>
      <c r="GE22" s="226"/>
      <c r="GF22" s="227"/>
      <c r="GG22" s="18" t="s">
        <v>155</v>
      </c>
      <c r="GH22" s="19"/>
      <c r="GI22" s="19"/>
      <c r="GJ22" s="19"/>
      <c r="GK22" s="19"/>
      <c r="GL22" s="19"/>
      <c r="GM22" s="19"/>
      <c r="GN22" s="19"/>
      <c r="GO22" s="241"/>
      <c r="GP22" s="231" t="s">
        <v>173</v>
      </c>
      <c r="GQ22" s="18" t="s">
        <v>165</v>
      </c>
      <c r="GR22" s="18" t="s">
        <v>155</v>
      </c>
      <c r="GS22" s="18"/>
      <c r="GT22" s="18"/>
      <c r="GU22" s="19"/>
      <c r="GV22" s="19"/>
      <c r="GW22" s="19"/>
      <c r="GX22" s="19"/>
      <c r="GY22" s="18"/>
      <c r="GZ22" s="18"/>
      <c r="HA22" s="18"/>
      <c r="HB22" s="18"/>
      <c r="HC22" s="241"/>
      <c r="HD22" s="231" t="s">
        <v>173</v>
      </c>
      <c r="HE22" s="18" t="s">
        <v>155</v>
      </c>
      <c r="HF22" s="19"/>
      <c r="HG22" s="19"/>
      <c r="HH22" s="19"/>
      <c r="HI22" s="19"/>
      <c r="HJ22" s="19"/>
      <c r="HK22" s="19"/>
      <c r="HL22" s="19"/>
      <c r="HM22" s="19"/>
      <c r="HN22" s="241"/>
      <c r="HO22" s="231" t="s">
        <v>173</v>
      </c>
      <c r="HP22" s="18" t="s">
        <v>115</v>
      </c>
      <c r="HQ22" s="18"/>
      <c r="HR22" s="19"/>
      <c r="HS22" s="19"/>
      <c r="HT22" s="19"/>
      <c r="HU22" s="19"/>
      <c r="HV22" s="19"/>
      <c r="HW22" s="19"/>
      <c r="HX22" s="18"/>
      <c r="HY22" s="18"/>
      <c r="HZ22" s="18"/>
      <c r="IA22" s="18"/>
      <c r="IB22" s="18"/>
      <c r="IC22" s="18"/>
      <c r="ID22" s="19"/>
      <c r="IE22" s="241"/>
      <c r="IF22" s="231" t="s">
        <v>173</v>
      </c>
      <c r="IG22" s="18" t="s">
        <v>155</v>
      </c>
      <c r="IH22" s="19"/>
      <c r="II22" s="19"/>
      <c r="IJ22" s="19"/>
      <c r="IK22" s="19"/>
      <c r="IL22" s="19"/>
      <c r="IM22" s="100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00"/>
      <c r="JJ22" s="100"/>
      <c r="JK22" s="18"/>
      <c r="JL22" s="18"/>
      <c r="JM22" s="18"/>
      <c r="JN22" s="18"/>
      <c r="JO22" s="18"/>
      <c r="JP22" s="18"/>
      <c r="JQ22" s="18"/>
      <c r="JR22" s="18"/>
      <c r="JS22" s="18"/>
      <c r="JT22" s="18"/>
      <c r="JU22" s="100"/>
      <c r="JV22" s="100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00"/>
      <c r="KN22" s="100"/>
      <c r="KO22" s="18"/>
      <c r="KP22" s="18"/>
      <c r="KQ22" s="18"/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241"/>
      <c r="LE22" s="231" t="s">
        <v>173</v>
      </c>
      <c r="LF22" s="18" t="s">
        <v>169</v>
      </c>
      <c r="LG22" s="18" t="s">
        <v>148</v>
      </c>
      <c r="LH22" s="18" t="s">
        <v>155</v>
      </c>
      <c r="LI22" s="18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8"/>
      <c r="LX22" s="18"/>
      <c r="LY22" s="242"/>
      <c r="LZ22" s="231" t="s">
        <v>173</v>
      </c>
      <c r="MA22" s="18" t="s">
        <v>155</v>
      </c>
      <c r="MB22" s="19"/>
      <c r="MC22" s="19"/>
      <c r="MD22" s="19"/>
      <c r="ME22" s="19"/>
      <c r="MF22" s="19"/>
      <c r="MG22" s="19"/>
      <c r="MH22" s="18"/>
      <c r="MI22" s="19"/>
      <c r="MJ22" s="19"/>
      <c r="MK22" s="19"/>
      <c r="ML22" s="19"/>
      <c r="MM22" s="19"/>
      <c r="MN22" s="19"/>
    </row>
    <row r="23" spans="1:352" ht="24.95" customHeight="1" thickTop="1" thickBot="1" x14ac:dyDescent="0.3">
      <c r="A23" s="221"/>
      <c r="B23" s="243"/>
      <c r="C23" s="198" t="s">
        <v>173</v>
      </c>
      <c r="D23" s="17"/>
      <c r="E23" s="17"/>
      <c r="F23" s="17" t="s">
        <v>124</v>
      </c>
      <c r="G23" s="17"/>
      <c r="H23" s="17"/>
      <c r="I23" s="17"/>
      <c r="J23" s="17"/>
      <c r="K23" s="17"/>
      <c r="L23" s="17"/>
      <c r="M23" s="17"/>
      <c r="N23" s="17"/>
      <c r="O23" s="17"/>
      <c r="P23" s="241"/>
      <c r="Q23" s="231" t="s">
        <v>1451</v>
      </c>
      <c r="R23" s="30" t="s">
        <v>444</v>
      </c>
      <c r="S23" s="30"/>
      <c r="T23" s="30"/>
      <c r="U23" s="30"/>
      <c r="V23" s="30"/>
      <c r="W23" s="30"/>
      <c r="X23" s="30"/>
      <c r="Y23" s="30"/>
      <c r="Z23" s="30"/>
      <c r="AA23" s="17"/>
      <c r="AB23" s="17"/>
      <c r="AC23" s="17"/>
      <c r="AD23" s="17"/>
      <c r="AE23" s="17"/>
      <c r="AF23" s="17"/>
      <c r="AG23" s="21"/>
      <c r="AH23" s="21"/>
      <c r="AI23" s="17"/>
      <c r="AJ23" s="17"/>
      <c r="AK23" s="17"/>
      <c r="AL23" s="17"/>
      <c r="AM23" s="17"/>
      <c r="AN23" s="17"/>
      <c r="AO23" s="21"/>
      <c r="AP23" s="21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21"/>
      <c r="BH23" s="21"/>
      <c r="BI23" s="17"/>
      <c r="BJ23" s="17"/>
      <c r="BK23" s="17"/>
      <c r="BL23" s="17"/>
      <c r="BM23" s="17"/>
      <c r="BN23" s="17"/>
      <c r="BO23" s="17"/>
      <c r="BP23" s="21"/>
      <c r="BQ23" s="21"/>
      <c r="BR23" s="17"/>
      <c r="BS23" s="17"/>
      <c r="BT23" s="17"/>
      <c r="BU23" s="17"/>
      <c r="BV23" s="17"/>
      <c r="BW23" s="21"/>
      <c r="BX23" s="21"/>
      <c r="BY23" s="17"/>
      <c r="BZ23" s="17"/>
      <c r="CA23" s="17"/>
      <c r="CB23" s="17"/>
      <c r="CC23" s="17"/>
      <c r="CD23" s="21"/>
      <c r="CE23" s="21"/>
      <c r="CF23" s="17"/>
      <c r="CG23" s="17"/>
      <c r="CH23" s="17"/>
      <c r="CI23" s="17"/>
      <c r="CJ23" s="21"/>
      <c r="CK23" s="21"/>
      <c r="CL23" s="17"/>
      <c r="CM23" s="17"/>
      <c r="CN23" s="17"/>
      <c r="CO23" s="17"/>
      <c r="CP23" s="17"/>
      <c r="CQ23" s="17"/>
      <c r="CR23" s="17"/>
      <c r="CS23" s="17"/>
      <c r="CT23" s="21"/>
      <c r="CU23" s="21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21"/>
      <c r="DK23" s="21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21"/>
      <c r="ED23" s="21"/>
      <c r="EE23" s="17"/>
      <c r="EF23" s="17"/>
      <c r="EG23" s="17"/>
      <c r="EH23" s="17"/>
      <c r="EI23" s="17"/>
      <c r="EJ23" s="21"/>
      <c r="EK23" s="21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1"/>
      <c r="EW23" s="21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241"/>
      <c r="FK23" s="231" t="s">
        <v>1451</v>
      </c>
      <c r="FL23" s="17" t="s">
        <v>135</v>
      </c>
      <c r="FM23" s="17" t="s">
        <v>146</v>
      </c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241"/>
      <c r="GC23" s="231" t="s">
        <v>1451</v>
      </c>
      <c r="GD23" s="17" t="s">
        <v>127</v>
      </c>
      <c r="GE23" s="17" t="s">
        <v>133</v>
      </c>
      <c r="GF23" s="17" t="s">
        <v>139</v>
      </c>
      <c r="GG23" s="18"/>
      <c r="GH23" s="18"/>
      <c r="GI23" s="17"/>
      <c r="GJ23" s="17"/>
      <c r="GK23" s="17"/>
      <c r="GL23" s="17"/>
      <c r="GM23" s="17"/>
      <c r="GN23" s="17"/>
      <c r="GO23" s="241"/>
      <c r="GP23" s="231" t="s">
        <v>1451</v>
      </c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241"/>
      <c r="HD23" s="231" t="s">
        <v>1451</v>
      </c>
      <c r="HE23" s="20"/>
      <c r="HF23" s="20"/>
      <c r="HG23" s="20"/>
      <c r="HH23" s="20"/>
      <c r="HI23" s="20"/>
      <c r="HJ23" s="20"/>
      <c r="HK23" s="20"/>
      <c r="HL23" s="20"/>
      <c r="HM23" s="20"/>
      <c r="HN23" s="241"/>
      <c r="HO23" s="231" t="s">
        <v>1451</v>
      </c>
      <c r="HP23" s="20" t="s">
        <v>129</v>
      </c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41"/>
      <c r="IF23" s="231" t="s">
        <v>1451</v>
      </c>
      <c r="IG23" s="17"/>
      <c r="IH23" s="17"/>
      <c r="II23" s="17"/>
      <c r="IJ23" s="17"/>
      <c r="IK23" s="17"/>
      <c r="IL23" s="17"/>
      <c r="IM23" s="21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21"/>
      <c r="JJ23" s="21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21"/>
      <c r="JV23" s="21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21"/>
      <c r="KN23" s="21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241"/>
      <c r="LE23" s="231" t="s">
        <v>1451</v>
      </c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242"/>
      <c r="LZ23" s="231" t="s">
        <v>1451</v>
      </c>
      <c r="MA23" s="17"/>
      <c r="MB23" s="17"/>
      <c r="MC23" s="17"/>
      <c r="MD23" s="17"/>
      <c r="ME23" s="17"/>
      <c r="MF23" s="17"/>
      <c r="MG23" s="17"/>
      <c r="MH23" s="20"/>
      <c r="MI23" s="20"/>
      <c r="MJ23" s="20"/>
      <c r="MK23" s="20"/>
      <c r="ML23" s="20"/>
      <c r="MM23" s="20"/>
      <c r="MN23" s="20"/>
    </row>
    <row r="24" spans="1:352" ht="24.95" customHeight="1" thickTop="1" thickBot="1" x14ac:dyDescent="0.3">
      <c r="A24" s="221"/>
      <c r="B24" s="243"/>
      <c r="C24" s="198" t="s">
        <v>715</v>
      </c>
      <c r="D24" s="18" t="s">
        <v>379</v>
      </c>
      <c r="E24" s="225" t="s">
        <v>378</v>
      </c>
      <c r="F24" s="226"/>
      <c r="G24" s="226"/>
      <c r="H24" s="226"/>
      <c r="I24" s="226"/>
      <c r="J24" s="227"/>
      <c r="K24" s="18" t="s">
        <v>150</v>
      </c>
      <c r="L24" s="18"/>
      <c r="M24" s="18"/>
      <c r="N24" s="18"/>
      <c r="O24" s="18"/>
      <c r="P24" s="241"/>
      <c r="Q24" s="231" t="s">
        <v>715</v>
      </c>
      <c r="R24" s="29" t="s">
        <v>379</v>
      </c>
      <c r="S24" s="29" t="s">
        <v>150</v>
      </c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00"/>
      <c r="AH24" s="100"/>
      <c r="AI24" s="18"/>
      <c r="AJ24" s="18"/>
      <c r="AK24" s="18"/>
      <c r="AL24" s="18"/>
      <c r="AM24" s="18"/>
      <c r="AN24" s="18"/>
      <c r="AO24" s="100"/>
      <c r="AP24" s="100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00"/>
      <c r="BH24" s="100"/>
      <c r="BI24" s="18"/>
      <c r="BJ24" s="18"/>
      <c r="BK24" s="18"/>
      <c r="BL24" s="18"/>
      <c r="BM24" s="18"/>
      <c r="BN24" s="18"/>
      <c r="BO24" s="18"/>
      <c r="BP24" s="100"/>
      <c r="BQ24" s="100"/>
      <c r="BR24" s="18"/>
      <c r="BS24" s="18"/>
      <c r="BT24" s="18"/>
      <c r="BU24" s="18"/>
      <c r="BV24" s="18"/>
      <c r="BW24" s="100"/>
      <c r="BX24" s="100"/>
      <c r="BY24" s="18"/>
      <c r="BZ24" s="18"/>
      <c r="CA24" s="18"/>
      <c r="CB24" s="18"/>
      <c r="CC24" s="18"/>
      <c r="CD24" s="100"/>
      <c r="CE24" s="100"/>
      <c r="CF24" s="18"/>
      <c r="CG24" s="18"/>
      <c r="CH24" s="18"/>
      <c r="CI24" s="18"/>
      <c r="CJ24" s="100"/>
      <c r="CK24" s="100"/>
      <c r="CL24" s="18"/>
      <c r="CM24" s="18"/>
      <c r="CN24" s="18"/>
      <c r="CO24" s="18"/>
      <c r="CP24" s="18"/>
      <c r="CQ24" s="18"/>
      <c r="CR24" s="18"/>
      <c r="CS24" s="18"/>
      <c r="CT24" s="100"/>
      <c r="CU24" s="100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00"/>
      <c r="DK24" s="100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00"/>
      <c r="ED24" s="100"/>
      <c r="EE24" s="18"/>
      <c r="EF24" s="18"/>
      <c r="EG24" s="18"/>
      <c r="EH24" s="18"/>
      <c r="EI24" s="18"/>
      <c r="EJ24" s="100"/>
      <c r="EK24" s="100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00"/>
      <c r="EW24" s="100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241"/>
      <c r="FK24" s="231" t="s">
        <v>715</v>
      </c>
      <c r="FL24" s="225" t="s">
        <v>379</v>
      </c>
      <c r="FM24" s="226"/>
      <c r="FN24" s="226"/>
      <c r="FO24" s="227"/>
      <c r="FP24" s="225" t="s">
        <v>378</v>
      </c>
      <c r="FQ24" s="226"/>
      <c r="FR24" s="227"/>
      <c r="FS24" s="18"/>
      <c r="FT24" s="18"/>
      <c r="FU24" s="18"/>
      <c r="FV24" s="18"/>
      <c r="FW24" s="18"/>
      <c r="FX24" s="18"/>
      <c r="FY24" s="18"/>
      <c r="FZ24" s="18"/>
      <c r="GA24" s="18"/>
      <c r="GB24" s="241"/>
      <c r="GC24" s="231" t="s">
        <v>715</v>
      </c>
      <c r="GD24" s="225" t="s">
        <v>379</v>
      </c>
      <c r="GE24" s="227"/>
      <c r="GF24" s="225" t="s">
        <v>378</v>
      </c>
      <c r="GG24" s="226"/>
      <c r="GH24" s="226"/>
      <c r="GI24" s="226"/>
      <c r="GJ24" s="226"/>
      <c r="GK24" s="227"/>
      <c r="GL24" s="18" t="s">
        <v>149</v>
      </c>
      <c r="GM24" s="18" t="s">
        <v>150</v>
      </c>
      <c r="GN24" s="18"/>
      <c r="GO24" s="241"/>
      <c r="GP24" s="231" t="s">
        <v>715</v>
      </c>
      <c r="GQ24" s="18" t="s">
        <v>379</v>
      </c>
      <c r="GR24" s="225" t="s">
        <v>378</v>
      </c>
      <c r="GS24" s="226"/>
      <c r="GT24" s="226"/>
      <c r="GU24" s="226"/>
      <c r="GV24" s="227"/>
      <c r="GW24" s="18" t="s">
        <v>149</v>
      </c>
      <c r="GX24" s="18" t="s">
        <v>150</v>
      </c>
      <c r="GY24" s="18"/>
      <c r="GZ24" s="18"/>
      <c r="HA24" s="18"/>
      <c r="HB24" s="18"/>
      <c r="HC24" s="241"/>
      <c r="HD24" s="231" t="s">
        <v>715</v>
      </c>
      <c r="HE24" s="225" t="s">
        <v>379</v>
      </c>
      <c r="HF24" s="226"/>
      <c r="HG24" s="227"/>
      <c r="HH24" s="225" t="s">
        <v>378</v>
      </c>
      <c r="HI24" s="226"/>
      <c r="HJ24" s="227"/>
      <c r="HK24" s="19" t="s">
        <v>149</v>
      </c>
      <c r="HL24" s="19"/>
      <c r="HM24" s="19"/>
      <c r="HN24" s="241"/>
      <c r="HO24" s="231" t="s">
        <v>715</v>
      </c>
      <c r="HP24" s="225" t="s">
        <v>379</v>
      </c>
      <c r="HQ24" s="227"/>
      <c r="HR24" s="225" t="s">
        <v>378</v>
      </c>
      <c r="HS24" s="226"/>
      <c r="HT24" s="226"/>
      <c r="HU24" s="226"/>
      <c r="HV24" s="227"/>
      <c r="HW24" s="18" t="s">
        <v>150</v>
      </c>
      <c r="HX24" s="19"/>
      <c r="HY24" s="19"/>
      <c r="HZ24" s="19"/>
      <c r="IA24" s="19"/>
      <c r="IB24" s="19"/>
      <c r="IC24" s="19"/>
      <c r="ID24" s="19"/>
      <c r="IE24" s="241"/>
      <c r="IF24" s="231" t="s">
        <v>715</v>
      </c>
      <c r="IG24" s="225" t="s">
        <v>378</v>
      </c>
      <c r="IH24" s="226"/>
      <c r="II24" s="226"/>
      <c r="IJ24" s="226"/>
      <c r="IK24" s="227"/>
      <c r="IL24" s="100"/>
      <c r="IM24" s="100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00"/>
      <c r="JJ24" s="100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00"/>
      <c r="JV24" s="100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00"/>
      <c r="KN24" s="100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241"/>
      <c r="LE24" s="231" t="s">
        <v>715</v>
      </c>
      <c r="LF24" s="225" t="s">
        <v>379</v>
      </c>
      <c r="LG24" s="226"/>
      <c r="LH24" s="226"/>
      <c r="LI24" s="226"/>
      <c r="LJ24" s="226"/>
      <c r="LK24" s="226"/>
      <c r="LL24" s="226"/>
      <c r="LM24" s="227"/>
      <c r="LN24" s="225" t="s">
        <v>378</v>
      </c>
      <c r="LO24" s="226"/>
      <c r="LP24" s="226"/>
      <c r="LQ24" s="226"/>
      <c r="LR24" s="226"/>
      <c r="LS24" s="227"/>
      <c r="LT24" s="18" t="s">
        <v>150</v>
      </c>
      <c r="LU24" s="18"/>
      <c r="LV24" s="18"/>
      <c r="LW24" s="18"/>
      <c r="LX24" s="18"/>
      <c r="LY24" s="242"/>
      <c r="LZ24" s="231" t="s">
        <v>715</v>
      </c>
      <c r="MA24" s="225" t="s">
        <v>379</v>
      </c>
      <c r="MB24" s="227"/>
      <c r="MC24" s="225" t="s">
        <v>378</v>
      </c>
      <c r="MD24" s="226"/>
      <c r="ME24" s="226"/>
      <c r="MF24" s="227"/>
      <c r="MG24" s="19"/>
      <c r="MH24" s="19"/>
      <c r="MI24" s="19"/>
      <c r="MJ24" s="19"/>
      <c r="MK24" s="19"/>
      <c r="ML24" s="19"/>
      <c r="MM24" s="19"/>
      <c r="MN24" s="19"/>
    </row>
    <row r="25" spans="1:352" ht="24.95" customHeight="1" thickTop="1" thickBot="1" x14ac:dyDescent="0.3">
      <c r="A25" s="221"/>
      <c r="B25" s="243"/>
      <c r="C25" s="198" t="s">
        <v>715</v>
      </c>
      <c r="D25" s="17" t="s">
        <v>574</v>
      </c>
      <c r="E25" s="17" t="s">
        <v>117</v>
      </c>
      <c r="F25" s="17" t="s">
        <v>118</v>
      </c>
      <c r="G25" s="17" t="s">
        <v>125</v>
      </c>
      <c r="H25" s="17" t="s">
        <v>136</v>
      </c>
      <c r="I25" s="17" t="s">
        <v>141</v>
      </c>
      <c r="J25" s="17" t="s">
        <v>145</v>
      </c>
      <c r="K25" s="17"/>
      <c r="L25" s="17"/>
      <c r="M25" s="17"/>
      <c r="N25" s="17"/>
      <c r="O25" s="17"/>
      <c r="P25" s="241"/>
      <c r="Q25" s="231" t="s">
        <v>1447</v>
      </c>
      <c r="R25" s="30" t="s">
        <v>574</v>
      </c>
      <c r="S25" s="30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21"/>
      <c r="AH25" s="21"/>
      <c r="AI25" s="17"/>
      <c r="AJ25" s="17"/>
      <c r="AK25" s="17"/>
      <c r="AL25" s="17"/>
      <c r="AM25" s="17"/>
      <c r="AN25" s="17"/>
      <c r="AO25" s="21"/>
      <c r="AP25" s="21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21"/>
      <c r="BH25" s="21"/>
      <c r="BI25" s="17"/>
      <c r="BJ25" s="17"/>
      <c r="BK25" s="17"/>
      <c r="BL25" s="17"/>
      <c r="BM25" s="17"/>
      <c r="BN25" s="17"/>
      <c r="BO25" s="17"/>
      <c r="BP25" s="21"/>
      <c r="BQ25" s="21"/>
      <c r="BR25" s="17"/>
      <c r="BS25" s="17"/>
      <c r="BT25" s="17"/>
      <c r="BU25" s="17"/>
      <c r="BV25" s="17"/>
      <c r="BW25" s="21"/>
      <c r="BX25" s="21"/>
      <c r="BY25" s="17"/>
      <c r="BZ25" s="17"/>
      <c r="CA25" s="17"/>
      <c r="CB25" s="17"/>
      <c r="CC25" s="17"/>
      <c r="CD25" s="21"/>
      <c r="CE25" s="21"/>
      <c r="CF25" s="17"/>
      <c r="CG25" s="17"/>
      <c r="CH25" s="17"/>
      <c r="CI25" s="17"/>
      <c r="CJ25" s="21"/>
      <c r="CK25" s="21"/>
      <c r="CL25" s="17"/>
      <c r="CM25" s="17"/>
      <c r="CN25" s="17"/>
      <c r="CO25" s="17"/>
      <c r="CP25" s="17"/>
      <c r="CQ25" s="17"/>
      <c r="CR25" s="17"/>
      <c r="CS25" s="17"/>
      <c r="CT25" s="21"/>
      <c r="CU25" s="21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21"/>
      <c r="DK25" s="21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21"/>
      <c r="ED25" s="21"/>
      <c r="EE25" s="17"/>
      <c r="EF25" s="17"/>
      <c r="EG25" s="17"/>
      <c r="EH25" s="17"/>
      <c r="EI25" s="17"/>
      <c r="EJ25" s="21"/>
      <c r="EK25" s="21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1"/>
      <c r="EW25" s="21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241"/>
      <c r="FK25" s="231" t="s">
        <v>1447</v>
      </c>
      <c r="FL25" s="17" t="s">
        <v>568</v>
      </c>
      <c r="FM25" s="17" t="s">
        <v>109</v>
      </c>
      <c r="FN25" s="17" t="s">
        <v>110</v>
      </c>
      <c r="FO25" s="17" t="s">
        <v>111</v>
      </c>
      <c r="FP25" s="17" t="s">
        <v>124</v>
      </c>
      <c r="FQ25" s="17" t="s">
        <v>125</v>
      </c>
      <c r="FR25" s="17" t="s">
        <v>141</v>
      </c>
      <c r="FS25" s="17"/>
      <c r="FT25" s="17"/>
      <c r="FU25" s="17"/>
      <c r="FV25" s="17"/>
      <c r="FW25" s="17"/>
      <c r="FX25" s="17"/>
      <c r="FY25" s="17"/>
      <c r="FZ25" s="17"/>
      <c r="GA25" s="17"/>
      <c r="GB25" s="241"/>
      <c r="GC25" s="231" t="s">
        <v>1447</v>
      </c>
      <c r="GD25" s="17" t="s">
        <v>570</v>
      </c>
      <c r="GE25" s="17" t="s">
        <v>111</v>
      </c>
      <c r="GF25" s="17" t="s">
        <v>125</v>
      </c>
      <c r="GG25" s="17" t="s">
        <v>130</v>
      </c>
      <c r="GH25" s="17" t="s">
        <v>138</v>
      </c>
      <c r="GI25" s="17" t="s">
        <v>140</v>
      </c>
      <c r="GJ25" s="17" t="s">
        <v>141</v>
      </c>
      <c r="GK25" s="17" t="s">
        <v>145</v>
      </c>
      <c r="GL25" s="17"/>
      <c r="GM25" s="17"/>
      <c r="GN25" s="17"/>
      <c r="GO25" s="241"/>
      <c r="GP25" s="231" t="s">
        <v>1447</v>
      </c>
      <c r="GQ25" s="17" t="s">
        <v>570</v>
      </c>
      <c r="GR25" s="17" t="s">
        <v>125</v>
      </c>
      <c r="GS25" s="17" t="s">
        <v>130</v>
      </c>
      <c r="GT25" s="17" t="s">
        <v>133</v>
      </c>
      <c r="GU25" s="17" t="s">
        <v>139</v>
      </c>
      <c r="GV25" s="17" t="s">
        <v>540</v>
      </c>
      <c r="GW25" s="17"/>
      <c r="GX25" s="17"/>
      <c r="GY25" s="17"/>
      <c r="GZ25" s="17"/>
      <c r="HA25" s="17"/>
      <c r="HB25" s="17"/>
      <c r="HC25" s="241"/>
      <c r="HD25" s="231" t="s">
        <v>1447</v>
      </c>
      <c r="HE25" s="20" t="s">
        <v>570</v>
      </c>
      <c r="HF25" s="20" t="s">
        <v>110</v>
      </c>
      <c r="HG25" s="20" t="s">
        <v>111</v>
      </c>
      <c r="HH25" s="20" t="s">
        <v>124</v>
      </c>
      <c r="HI25" s="20" t="s">
        <v>125</v>
      </c>
      <c r="HJ25" s="20" t="s">
        <v>133</v>
      </c>
      <c r="HK25" s="20"/>
      <c r="HL25" s="20"/>
      <c r="HM25" s="20"/>
      <c r="HN25" s="241"/>
      <c r="HO25" s="231" t="s">
        <v>1447</v>
      </c>
      <c r="HP25" s="20" t="s">
        <v>573</v>
      </c>
      <c r="HQ25" s="20" t="s">
        <v>208</v>
      </c>
      <c r="HR25" s="20" t="s">
        <v>124</v>
      </c>
      <c r="HS25" s="20" t="s">
        <v>125</v>
      </c>
      <c r="HT25" s="20" t="s">
        <v>130</v>
      </c>
      <c r="HU25" s="20" t="s">
        <v>141</v>
      </c>
      <c r="HV25" s="20" t="s">
        <v>145</v>
      </c>
      <c r="HW25" s="20"/>
      <c r="HX25" s="20"/>
      <c r="HY25" s="20"/>
      <c r="HZ25" s="20"/>
      <c r="IA25" s="20"/>
      <c r="IB25" s="20"/>
      <c r="IC25" s="20"/>
      <c r="ID25" s="20"/>
      <c r="IE25" s="241"/>
      <c r="IF25" s="231" t="s">
        <v>1447</v>
      </c>
      <c r="IG25" s="17" t="s">
        <v>124</v>
      </c>
      <c r="IH25" s="17" t="s">
        <v>125</v>
      </c>
      <c r="II25" s="17" t="s">
        <v>133</v>
      </c>
      <c r="IJ25" s="17" t="s">
        <v>141</v>
      </c>
      <c r="IK25" s="17" t="s">
        <v>142</v>
      </c>
      <c r="IL25" s="21"/>
      <c r="IM25" s="21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21"/>
      <c r="JJ25" s="21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21"/>
      <c r="JV25" s="21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21"/>
      <c r="KN25" s="21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241"/>
      <c r="LE25" s="231" t="s">
        <v>1447</v>
      </c>
      <c r="LF25" s="17" t="s">
        <v>580</v>
      </c>
      <c r="LG25" s="17" t="s">
        <v>568</v>
      </c>
      <c r="LH25" s="17" t="s">
        <v>573</v>
      </c>
      <c r="LI25" s="17" t="s">
        <v>566</v>
      </c>
      <c r="LJ25" s="17" t="s">
        <v>571</v>
      </c>
      <c r="LK25" s="17" t="s">
        <v>109</v>
      </c>
      <c r="LL25" s="17" t="s">
        <v>110</v>
      </c>
      <c r="LM25" s="17" t="s">
        <v>111</v>
      </c>
      <c r="LN25" s="17" t="s">
        <v>125</v>
      </c>
      <c r="LO25" s="17" t="s">
        <v>136</v>
      </c>
      <c r="LP25" s="17" t="s">
        <v>137</v>
      </c>
      <c r="LQ25" s="17" t="s">
        <v>139</v>
      </c>
      <c r="LR25" s="17" t="s">
        <v>141</v>
      </c>
      <c r="LS25" s="17" t="s">
        <v>145</v>
      </c>
      <c r="LT25" s="17"/>
      <c r="LU25" s="17"/>
      <c r="LV25" s="17"/>
      <c r="LW25" s="17"/>
      <c r="LX25" s="17"/>
      <c r="LY25" s="242"/>
      <c r="LZ25" s="231" t="s">
        <v>1447</v>
      </c>
      <c r="MA25" s="17" t="s">
        <v>573</v>
      </c>
      <c r="MB25" s="17" t="s">
        <v>208</v>
      </c>
      <c r="MC25" s="17" t="s">
        <v>120</v>
      </c>
      <c r="MD25" s="17" t="s">
        <v>124</v>
      </c>
      <c r="ME25" s="17" t="s">
        <v>125</v>
      </c>
      <c r="MF25" s="17" t="s">
        <v>145</v>
      </c>
      <c r="MG25" s="20"/>
      <c r="MH25" s="20"/>
      <c r="MI25" s="20"/>
      <c r="MJ25" s="20"/>
      <c r="MK25" s="20"/>
      <c r="ML25" s="20"/>
      <c r="MM25" s="20"/>
      <c r="MN25" s="20"/>
    </row>
    <row r="26" spans="1:352" ht="24.95" customHeight="1" thickTop="1" thickBot="1" x14ac:dyDescent="0.3">
      <c r="A26" s="245" t="s">
        <v>296</v>
      </c>
      <c r="B26" s="242" t="s">
        <v>98</v>
      </c>
      <c r="C26" s="198" t="s">
        <v>172</v>
      </c>
      <c r="D26" s="18" t="s">
        <v>558</v>
      </c>
      <c r="E26" s="225" t="s">
        <v>115</v>
      </c>
      <c r="F26" s="226"/>
      <c r="G26" s="226"/>
      <c r="H26" s="226"/>
      <c r="I26" s="226"/>
      <c r="J26" s="226"/>
      <c r="K26" s="226"/>
      <c r="L26" s="226"/>
      <c r="M26" s="226"/>
      <c r="N26" s="227"/>
      <c r="O26" s="18" t="s">
        <v>156</v>
      </c>
      <c r="P26" s="18" t="s">
        <v>148</v>
      </c>
      <c r="Q26" s="18" t="s">
        <v>149</v>
      </c>
      <c r="R26" s="18" t="s">
        <v>150</v>
      </c>
      <c r="S26" s="241" t="s">
        <v>99</v>
      </c>
      <c r="T26" s="231" t="s">
        <v>172</v>
      </c>
      <c r="U26" s="232" t="s">
        <v>379</v>
      </c>
      <c r="V26" s="233"/>
      <c r="W26" s="233"/>
      <c r="X26" s="233"/>
      <c r="Y26" s="234"/>
      <c r="Z26" s="232" t="s">
        <v>115</v>
      </c>
      <c r="AA26" s="233"/>
      <c r="AB26" s="234"/>
      <c r="AC26" s="18" t="s">
        <v>157</v>
      </c>
      <c r="AD26" s="18" t="s">
        <v>155</v>
      </c>
      <c r="AE26" s="18" t="s">
        <v>149</v>
      </c>
      <c r="AF26" s="18" t="s">
        <v>150</v>
      </c>
      <c r="AG26" s="241" t="s">
        <v>100</v>
      </c>
      <c r="AH26" s="231" t="s">
        <v>172</v>
      </c>
      <c r="AI26" s="225" t="s">
        <v>379</v>
      </c>
      <c r="AJ26" s="226"/>
      <c r="AK26" s="227"/>
      <c r="AL26" s="225" t="s">
        <v>115</v>
      </c>
      <c r="AM26" s="226"/>
      <c r="AN26" s="226"/>
      <c r="AO26" s="227"/>
      <c r="AP26" s="18" t="s">
        <v>164</v>
      </c>
      <c r="AQ26" s="18" t="s">
        <v>154</v>
      </c>
      <c r="AR26" s="241" t="s">
        <v>101</v>
      </c>
      <c r="AS26" s="231" t="s">
        <v>172</v>
      </c>
      <c r="AT26" s="225" t="s">
        <v>379</v>
      </c>
      <c r="AU26" s="226"/>
      <c r="AV26" s="226"/>
      <c r="AW26" s="226"/>
      <c r="AX26" s="226"/>
      <c r="AY26" s="227"/>
      <c r="AZ26" s="225" t="s">
        <v>115</v>
      </c>
      <c r="BA26" s="226"/>
      <c r="BB26" s="227"/>
      <c r="BC26" s="18" t="s">
        <v>154</v>
      </c>
      <c r="BD26" s="18" t="s">
        <v>150</v>
      </c>
      <c r="BE26" s="18"/>
      <c r="BF26" s="18"/>
      <c r="BG26" s="100"/>
      <c r="BH26" s="100"/>
      <c r="BI26" s="18"/>
      <c r="BJ26" s="18"/>
      <c r="BK26" s="18"/>
      <c r="BL26" s="18"/>
      <c r="BM26" s="18"/>
      <c r="BN26" s="18"/>
      <c r="BO26" s="18"/>
      <c r="BP26" s="100"/>
      <c r="BQ26" s="100"/>
      <c r="BR26" s="18"/>
      <c r="BS26" s="18"/>
      <c r="BT26" s="18"/>
      <c r="BU26" s="18"/>
      <c r="BV26" s="18"/>
      <c r="BW26" s="241" t="s">
        <v>102</v>
      </c>
      <c r="BX26" s="231" t="s">
        <v>172</v>
      </c>
      <c r="BY26" s="225" t="s">
        <v>379</v>
      </c>
      <c r="BZ26" s="226"/>
      <c r="CA26" s="226"/>
      <c r="CB26" s="227"/>
      <c r="CC26" s="225" t="s">
        <v>115</v>
      </c>
      <c r="CD26" s="226"/>
      <c r="CE26" s="226"/>
      <c r="CF26" s="226"/>
      <c r="CG26" s="227"/>
      <c r="CH26" s="18" t="s">
        <v>154</v>
      </c>
      <c r="CI26" s="18" t="s">
        <v>150</v>
      </c>
      <c r="CJ26" s="18"/>
      <c r="CK26" s="100"/>
      <c r="CL26" s="18"/>
      <c r="CM26" s="18"/>
      <c r="CN26" s="18"/>
      <c r="CO26" s="18"/>
      <c r="CP26" s="18"/>
      <c r="CQ26" s="18"/>
      <c r="CR26" s="18"/>
      <c r="CS26" s="18"/>
      <c r="CT26" s="100"/>
      <c r="CU26" s="100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00"/>
      <c r="DK26" s="100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241" t="s">
        <v>103</v>
      </c>
      <c r="ED26" s="231" t="s">
        <v>172</v>
      </c>
      <c r="EE26" s="225" t="s">
        <v>379</v>
      </c>
      <c r="EF26" s="226"/>
      <c r="EG26" s="227"/>
      <c r="EH26" s="18" t="s">
        <v>115</v>
      </c>
      <c r="EI26" s="18" t="s">
        <v>162</v>
      </c>
      <c r="EJ26" s="18" t="s">
        <v>154</v>
      </c>
      <c r="EK26" s="18" t="s">
        <v>150</v>
      </c>
      <c r="EL26" s="18"/>
      <c r="EM26" s="18"/>
      <c r="EN26" s="18"/>
      <c r="EO26" s="18"/>
      <c r="EP26" s="19"/>
      <c r="EQ26" s="19"/>
      <c r="ER26" s="19"/>
      <c r="ES26" s="19"/>
      <c r="ET26" s="19"/>
      <c r="EU26" s="19"/>
      <c r="EV26" s="100"/>
      <c r="EW26" s="100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241" t="s">
        <v>178</v>
      </c>
      <c r="FK26" s="231" t="s">
        <v>172</v>
      </c>
      <c r="FL26" s="18" t="s">
        <v>379</v>
      </c>
      <c r="FM26" s="225" t="s">
        <v>115</v>
      </c>
      <c r="FN26" s="226"/>
      <c r="FO26" s="227"/>
      <c r="FP26" s="18" t="s">
        <v>152</v>
      </c>
      <c r="FQ26" s="18" t="s">
        <v>153</v>
      </c>
      <c r="FR26" s="18" t="s">
        <v>154</v>
      </c>
      <c r="FS26" s="18" t="s">
        <v>149</v>
      </c>
      <c r="FT26" s="18" t="s">
        <v>150</v>
      </c>
      <c r="FU26" s="18"/>
      <c r="FV26" s="18"/>
      <c r="FW26" s="18"/>
      <c r="FX26" s="18"/>
      <c r="FY26" s="18"/>
      <c r="FZ26" s="18"/>
      <c r="GA26" s="18"/>
      <c r="GB26" s="241" t="s">
        <v>104</v>
      </c>
      <c r="GC26" s="231" t="s">
        <v>172</v>
      </c>
      <c r="GD26" s="18" t="s">
        <v>558</v>
      </c>
      <c r="GE26" s="225" t="s">
        <v>115</v>
      </c>
      <c r="GF26" s="226"/>
      <c r="GG26" s="226"/>
      <c r="GH26" s="226"/>
      <c r="GI26" s="226"/>
      <c r="GJ26" s="226"/>
      <c r="GK26" s="227"/>
      <c r="GL26" s="18" t="s">
        <v>154</v>
      </c>
      <c r="GM26" s="18" t="s">
        <v>148</v>
      </c>
      <c r="GN26" s="18" t="s">
        <v>150</v>
      </c>
      <c r="GO26" s="82"/>
      <c r="GP26" s="100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9"/>
      <c r="HF26" s="19"/>
      <c r="HG26" s="19"/>
      <c r="HH26" s="19"/>
      <c r="HI26" s="19"/>
      <c r="HJ26" s="19"/>
      <c r="HK26" s="19"/>
      <c r="HL26" s="19"/>
      <c r="HM26" s="19"/>
      <c r="HN26" s="241" t="s">
        <v>105</v>
      </c>
      <c r="HO26" s="231" t="s">
        <v>172</v>
      </c>
      <c r="HP26" s="225" t="s">
        <v>558</v>
      </c>
      <c r="HQ26" s="226"/>
      <c r="HR26" s="227"/>
      <c r="HS26" s="225" t="s">
        <v>115</v>
      </c>
      <c r="HT26" s="226"/>
      <c r="HU26" s="227"/>
      <c r="HV26" s="18" t="s">
        <v>154</v>
      </c>
      <c r="HW26" s="19" t="s">
        <v>149</v>
      </c>
      <c r="HX26" s="19" t="s">
        <v>150</v>
      </c>
      <c r="HY26" s="19"/>
      <c r="HZ26" s="19"/>
      <c r="IA26" s="19"/>
      <c r="IB26" s="19"/>
      <c r="IC26" s="19"/>
      <c r="ID26" s="19"/>
      <c r="IE26" s="241" t="s">
        <v>106</v>
      </c>
      <c r="IF26" s="231" t="s">
        <v>172</v>
      </c>
      <c r="IG26" s="18" t="s">
        <v>558</v>
      </c>
      <c r="IH26" s="225" t="s">
        <v>115</v>
      </c>
      <c r="II26" s="226"/>
      <c r="IJ26" s="226"/>
      <c r="IK26" s="227"/>
      <c r="IL26" s="18" t="s">
        <v>154</v>
      </c>
      <c r="IM26" s="18" t="s">
        <v>157</v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00"/>
      <c r="JJ26" s="100"/>
      <c r="JK26" s="18"/>
      <c r="JL26" s="18"/>
      <c r="JM26" s="18"/>
      <c r="JN26" s="18"/>
      <c r="JO26" s="18"/>
      <c r="JP26" s="18"/>
      <c r="JQ26" s="18"/>
      <c r="JR26" s="18"/>
      <c r="JS26" s="18"/>
      <c r="JT26" s="18"/>
      <c r="JU26" s="100"/>
      <c r="JV26" s="100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00"/>
      <c r="KN26" s="100"/>
      <c r="KO26" s="18"/>
      <c r="KP26" s="18"/>
      <c r="KQ26" s="18"/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241" t="s">
        <v>107</v>
      </c>
      <c r="LE26" s="231" t="s">
        <v>172</v>
      </c>
      <c r="LF26" s="225" t="s">
        <v>558</v>
      </c>
      <c r="LG26" s="226"/>
      <c r="LH26" s="226"/>
      <c r="LI26" s="226"/>
      <c r="LJ26" s="227"/>
      <c r="LK26" s="225" t="s">
        <v>115</v>
      </c>
      <c r="LL26" s="226"/>
      <c r="LM26" s="226"/>
      <c r="LN26" s="226"/>
      <c r="LO26" s="226"/>
      <c r="LP26" s="226"/>
      <c r="LQ26" s="226"/>
      <c r="LR26" s="227"/>
      <c r="LS26" s="18" t="s">
        <v>148</v>
      </c>
      <c r="LT26" s="18" t="s">
        <v>159</v>
      </c>
      <c r="LU26" s="18" t="s">
        <v>152</v>
      </c>
      <c r="LV26" s="18" t="s">
        <v>154</v>
      </c>
      <c r="LW26" s="18" t="s">
        <v>149</v>
      </c>
      <c r="LX26" s="18" t="s">
        <v>150</v>
      </c>
      <c r="LY26" s="242" t="s">
        <v>176</v>
      </c>
      <c r="LZ26" s="231" t="s">
        <v>172</v>
      </c>
      <c r="MA26" s="225" t="s">
        <v>558</v>
      </c>
      <c r="MB26" s="226"/>
      <c r="MC26" s="227"/>
      <c r="MD26" s="225" t="s">
        <v>115</v>
      </c>
      <c r="ME26" s="226"/>
      <c r="MF26" s="226"/>
      <c r="MG26" s="226"/>
      <c r="MH26" s="227"/>
      <c r="MI26" s="18" t="s">
        <v>154</v>
      </c>
      <c r="MJ26" s="18" t="s">
        <v>149</v>
      </c>
      <c r="MK26" s="18" t="s">
        <v>150</v>
      </c>
      <c r="ML26" s="18"/>
      <c r="MM26" s="18"/>
      <c r="MN26" s="19"/>
    </row>
    <row r="27" spans="1:352" ht="24.95" customHeight="1" thickTop="1" thickBot="1" x14ac:dyDescent="0.3">
      <c r="A27" s="245"/>
      <c r="B27" s="243"/>
      <c r="C27" s="198" t="s">
        <v>172</v>
      </c>
      <c r="D27" s="17" t="s">
        <v>574</v>
      </c>
      <c r="E27" s="17" t="s">
        <v>118</v>
      </c>
      <c r="F27" s="17" t="s">
        <v>119</v>
      </c>
      <c r="G27" s="17" t="s">
        <v>122</v>
      </c>
      <c r="H27" s="17" t="s">
        <v>124</v>
      </c>
      <c r="I27" s="17" t="s">
        <v>125</v>
      </c>
      <c r="J27" s="17" t="s">
        <v>126</v>
      </c>
      <c r="K27" s="17" t="s">
        <v>135</v>
      </c>
      <c r="L27" s="17" t="s">
        <v>141</v>
      </c>
      <c r="M27" s="17" t="s">
        <v>142</v>
      </c>
      <c r="N27" s="17" t="s">
        <v>144</v>
      </c>
      <c r="O27" s="17"/>
      <c r="P27" s="17"/>
      <c r="Q27" s="17"/>
      <c r="R27" s="17"/>
      <c r="S27" s="241"/>
      <c r="T27" s="231" t="s">
        <v>1446</v>
      </c>
      <c r="U27" s="20" t="s">
        <v>390</v>
      </c>
      <c r="V27" s="20" t="s">
        <v>391</v>
      </c>
      <c r="W27" s="20" t="s">
        <v>109</v>
      </c>
      <c r="X27" s="20" t="s">
        <v>110</v>
      </c>
      <c r="Y27" s="20" t="s">
        <v>111</v>
      </c>
      <c r="Z27" s="20" t="s">
        <v>119</v>
      </c>
      <c r="AA27" s="20" t="s">
        <v>137</v>
      </c>
      <c r="AB27" s="20" t="s">
        <v>142</v>
      </c>
      <c r="AC27" s="17"/>
      <c r="AD27" s="17"/>
      <c r="AE27" s="17"/>
      <c r="AF27" s="17"/>
      <c r="AG27" s="241"/>
      <c r="AH27" s="231" t="s">
        <v>1446</v>
      </c>
      <c r="AI27" s="17" t="s">
        <v>380</v>
      </c>
      <c r="AJ27" s="17" t="s">
        <v>381</v>
      </c>
      <c r="AK27" s="17" t="s">
        <v>109</v>
      </c>
      <c r="AL27" s="17" t="s">
        <v>125</v>
      </c>
      <c r="AM27" s="17" t="s">
        <v>135</v>
      </c>
      <c r="AN27" s="17" t="s">
        <v>136</v>
      </c>
      <c r="AO27" s="17" t="s">
        <v>137</v>
      </c>
      <c r="AP27" s="17"/>
      <c r="AQ27" s="17"/>
      <c r="AR27" s="241"/>
      <c r="AS27" s="231" t="s">
        <v>1446</v>
      </c>
      <c r="AT27" s="17" t="s">
        <v>380</v>
      </c>
      <c r="AU27" s="17" t="s">
        <v>381</v>
      </c>
      <c r="AV27" s="17" t="s">
        <v>390</v>
      </c>
      <c r="AW27" s="17" t="s">
        <v>391</v>
      </c>
      <c r="AX27" s="17" t="s">
        <v>109</v>
      </c>
      <c r="AY27" s="17" t="s">
        <v>112</v>
      </c>
      <c r="AZ27" s="17" t="s">
        <v>125</v>
      </c>
      <c r="BA27" s="17" t="s">
        <v>136</v>
      </c>
      <c r="BB27" s="17" t="s">
        <v>137</v>
      </c>
      <c r="BC27" s="17"/>
      <c r="BD27" s="17"/>
      <c r="BE27" s="17"/>
      <c r="BF27" s="17"/>
      <c r="BG27" s="21"/>
      <c r="BH27" s="21"/>
      <c r="BI27" s="17"/>
      <c r="BJ27" s="17"/>
      <c r="BK27" s="17"/>
      <c r="BL27" s="17"/>
      <c r="BM27" s="17"/>
      <c r="BN27" s="17"/>
      <c r="BO27" s="17"/>
      <c r="BP27" s="21"/>
      <c r="BQ27" s="21"/>
      <c r="BR27" s="17"/>
      <c r="BS27" s="17"/>
      <c r="BT27" s="17"/>
      <c r="BU27" s="17"/>
      <c r="BV27" s="17"/>
      <c r="BW27" s="241"/>
      <c r="BX27" s="231" t="s">
        <v>1446</v>
      </c>
      <c r="BY27" s="17" t="s">
        <v>382</v>
      </c>
      <c r="BZ27" s="17" t="s">
        <v>110</v>
      </c>
      <c r="CA27" s="17" t="s">
        <v>109</v>
      </c>
      <c r="CB27" s="17" t="s">
        <v>112</v>
      </c>
      <c r="CC27" s="17" t="s">
        <v>125</v>
      </c>
      <c r="CD27" s="17" t="s">
        <v>128</v>
      </c>
      <c r="CE27" s="17" t="s">
        <v>130</v>
      </c>
      <c r="CF27" s="17" t="s">
        <v>139</v>
      </c>
      <c r="CG27" s="17" t="s">
        <v>143</v>
      </c>
      <c r="CH27" s="17"/>
      <c r="CI27" s="17"/>
      <c r="CJ27" s="17"/>
      <c r="CK27" s="21"/>
      <c r="CL27" s="17"/>
      <c r="CM27" s="17"/>
      <c r="CN27" s="17"/>
      <c r="CO27" s="17"/>
      <c r="CP27" s="17"/>
      <c r="CQ27" s="17"/>
      <c r="CR27" s="17"/>
      <c r="CS27" s="17"/>
      <c r="CT27" s="21"/>
      <c r="CU27" s="21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21"/>
      <c r="DK27" s="21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241"/>
      <c r="ED27" s="231" t="s">
        <v>1446</v>
      </c>
      <c r="EE27" s="17" t="s">
        <v>383</v>
      </c>
      <c r="EF27" s="17" t="s">
        <v>111</v>
      </c>
      <c r="EG27" s="17" t="s">
        <v>112</v>
      </c>
      <c r="EH27" s="17" t="s">
        <v>125</v>
      </c>
      <c r="EI27" s="17"/>
      <c r="EJ27" s="17"/>
      <c r="EK27" s="17"/>
      <c r="EL27" s="17"/>
      <c r="EM27" s="17"/>
      <c r="EN27" s="17"/>
      <c r="EO27" s="17"/>
      <c r="EP27" s="20"/>
      <c r="EQ27" s="20"/>
      <c r="ER27" s="20"/>
      <c r="ES27" s="20"/>
      <c r="ET27" s="20"/>
      <c r="EU27" s="20"/>
      <c r="EV27" s="21"/>
      <c r="EW27" s="21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241"/>
      <c r="FK27" s="231" t="s">
        <v>1446</v>
      </c>
      <c r="FL27" s="17" t="s">
        <v>384</v>
      </c>
      <c r="FM27" s="17" t="s">
        <v>125</v>
      </c>
      <c r="FN27" s="17" t="s">
        <v>163</v>
      </c>
      <c r="FO27" s="17" t="s">
        <v>146</v>
      </c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241"/>
      <c r="GC27" s="231" t="s">
        <v>1446</v>
      </c>
      <c r="GD27" s="17" t="s">
        <v>570</v>
      </c>
      <c r="GE27" s="17" t="s">
        <v>124</v>
      </c>
      <c r="GF27" s="17" t="s">
        <v>125</v>
      </c>
      <c r="GG27" s="17" t="s">
        <v>127</v>
      </c>
      <c r="GH27" s="17" t="s">
        <v>130</v>
      </c>
      <c r="GI27" s="17" t="s">
        <v>138</v>
      </c>
      <c r="GJ27" s="17" t="s">
        <v>140</v>
      </c>
      <c r="GK27" s="17" t="s">
        <v>141</v>
      </c>
      <c r="GL27" s="17"/>
      <c r="GM27" s="17"/>
      <c r="GN27" s="17"/>
      <c r="GO27" s="21"/>
      <c r="GP27" s="21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20"/>
      <c r="HF27" s="20"/>
      <c r="HG27" s="20"/>
      <c r="HH27" s="20"/>
      <c r="HI27" s="20"/>
      <c r="HJ27" s="20"/>
      <c r="HK27" s="20"/>
      <c r="HL27" s="20"/>
      <c r="HM27" s="20"/>
      <c r="HN27" s="241"/>
      <c r="HO27" s="231" t="s">
        <v>1446</v>
      </c>
      <c r="HP27" s="17" t="s">
        <v>570</v>
      </c>
      <c r="HQ27" s="17" t="s">
        <v>573</v>
      </c>
      <c r="HR27" s="17" t="s">
        <v>208</v>
      </c>
      <c r="HS27" s="17" t="s">
        <v>124</v>
      </c>
      <c r="HT27" s="17" t="s">
        <v>125</v>
      </c>
      <c r="HU27" s="17" t="s">
        <v>129</v>
      </c>
      <c r="HV27" s="17"/>
      <c r="HW27" s="20"/>
      <c r="HX27" s="20"/>
      <c r="HY27" s="20"/>
      <c r="HZ27" s="20"/>
      <c r="IA27" s="20"/>
      <c r="IB27" s="20"/>
      <c r="IC27" s="20"/>
      <c r="ID27" s="20"/>
      <c r="IE27" s="241"/>
      <c r="IF27" s="231" t="s">
        <v>1446</v>
      </c>
      <c r="IG27" s="17" t="s">
        <v>387</v>
      </c>
      <c r="IH27" s="17" t="s">
        <v>124</v>
      </c>
      <c r="II27" s="17" t="s">
        <v>125</v>
      </c>
      <c r="IJ27" s="17" t="s">
        <v>141</v>
      </c>
      <c r="IK27" s="17" t="s">
        <v>142</v>
      </c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21"/>
      <c r="JJ27" s="21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21"/>
      <c r="JV27" s="21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21"/>
      <c r="KN27" s="21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241"/>
      <c r="LE27" s="231" t="s">
        <v>1446</v>
      </c>
      <c r="LF27" s="17" t="s">
        <v>580</v>
      </c>
      <c r="LG27" s="17" t="s">
        <v>566</v>
      </c>
      <c r="LH27" s="17" t="s">
        <v>571</v>
      </c>
      <c r="LI27" s="17" t="s">
        <v>582</v>
      </c>
      <c r="LJ27" s="17" t="s">
        <v>110</v>
      </c>
      <c r="LK27" s="17" t="s">
        <v>118</v>
      </c>
      <c r="LL27" s="17" t="s">
        <v>125</v>
      </c>
      <c r="LM27" s="17" t="s">
        <v>126</v>
      </c>
      <c r="LN27" s="17" t="s">
        <v>135</v>
      </c>
      <c r="LO27" s="17" t="s">
        <v>136</v>
      </c>
      <c r="LP27" s="17" t="s">
        <v>137</v>
      </c>
      <c r="LQ27" s="17" t="s">
        <v>141</v>
      </c>
      <c r="LR27" s="17" t="s">
        <v>145</v>
      </c>
      <c r="LS27" s="17"/>
      <c r="LT27" s="17"/>
      <c r="LU27" s="17"/>
      <c r="LV27" s="17"/>
      <c r="LW27" s="17"/>
      <c r="LX27" s="17"/>
      <c r="LY27" s="242"/>
      <c r="LZ27" s="231" t="s">
        <v>1446</v>
      </c>
      <c r="MA27" s="17" t="s">
        <v>570</v>
      </c>
      <c r="MB27" s="17" t="s">
        <v>573</v>
      </c>
      <c r="MC27" s="17" t="s">
        <v>208</v>
      </c>
      <c r="MD27" s="17" t="s">
        <v>124</v>
      </c>
      <c r="ME27" s="17" t="s">
        <v>125</v>
      </c>
      <c r="MF27" s="17" t="s">
        <v>129</v>
      </c>
      <c r="MG27" s="17" t="s">
        <v>141</v>
      </c>
      <c r="MH27" s="17" t="s">
        <v>145</v>
      </c>
      <c r="MI27" s="17"/>
      <c r="MJ27" s="17"/>
      <c r="MK27" s="17"/>
      <c r="ML27" s="17"/>
      <c r="MM27" s="17"/>
      <c r="MN27" s="20"/>
    </row>
    <row r="28" spans="1:352" ht="24.95" customHeight="1" thickTop="1" thickBot="1" x14ac:dyDescent="0.3">
      <c r="A28" s="245"/>
      <c r="B28" s="243"/>
      <c r="C28" s="198" t="s">
        <v>171</v>
      </c>
      <c r="D28" s="18" t="s">
        <v>182</v>
      </c>
      <c r="E28" s="225" t="s">
        <v>703</v>
      </c>
      <c r="F28" s="226"/>
      <c r="G28" s="226"/>
      <c r="H28" s="226"/>
      <c r="I28" s="226"/>
      <c r="J28" s="227"/>
      <c r="K28" s="18" t="s">
        <v>706</v>
      </c>
      <c r="L28" s="18" t="s">
        <v>190</v>
      </c>
      <c r="M28" s="18"/>
      <c r="N28" s="18"/>
      <c r="O28" s="18"/>
      <c r="P28" s="18"/>
      <c r="Q28" s="18"/>
      <c r="R28" s="18"/>
      <c r="S28" s="241"/>
      <c r="T28" s="231" t="s">
        <v>171</v>
      </c>
      <c r="U28" s="19" t="s">
        <v>182</v>
      </c>
      <c r="V28" s="19" t="s">
        <v>204</v>
      </c>
      <c r="W28" s="232" t="s">
        <v>703</v>
      </c>
      <c r="X28" s="234"/>
      <c r="Y28" s="232" t="s">
        <v>706</v>
      </c>
      <c r="Z28" s="233"/>
      <c r="AA28" s="234"/>
      <c r="AB28" s="19" t="s">
        <v>190</v>
      </c>
      <c r="AC28" s="18"/>
      <c r="AD28" s="18"/>
      <c r="AE28" s="18"/>
      <c r="AF28" s="18"/>
      <c r="AG28" s="241"/>
      <c r="AH28" s="231" t="s">
        <v>171</v>
      </c>
      <c r="AI28" s="18" t="s">
        <v>217</v>
      </c>
      <c r="AJ28" s="18" t="s">
        <v>706</v>
      </c>
      <c r="AK28" s="18"/>
      <c r="AL28" s="18"/>
      <c r="AM28" s="18"/>
      <c r="AN28" s="18"/>
      <c r="AO28" s="18"/>
      <c r="AP28" s="18"/>
      <c r="AQ28" s="18"/>
      <c r="AR28" s="241"/>
      <c r="AS28" s="231" t="s">
        <v>171</v>
      </c>
      <c r="AT28" s="225" t="s">
        <v>703</v>
      </c>
      <c r="AU28" s="227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00"/>
      <c r="BH28" s="100"/>
      <c r="BI28" s="18"/>
      <c r="BJ28" s="18"/>
      <c r="BK28" s="18"/>
      <c r="BL28" s="18"/>
      <c r="BM28" s="18"/>
      <c r="BN28" s="18"/>
      <c r="BO28" s="18"/>
      <c r="BP28" s="100"/>
      <c r="BQ28" s="100"/>
      <c r="BR28" s="18"/>
      <c r="BS28" s="18"/>
      <c r="BT28" s="18"/>
      <c r="BU28" s="18"/>
      <c r="BV28" s="18"/>
      <c r="BW28" s="241"/>
      <c r="BX28" s="231" t="s">
        <v>171</v>
      </c>
      <c r="BY28" s="225" t="s">
        <v>703</v>
      </c>
      <c r="BZ28" s="226"/>
      <c r="CA28" s="226"/>
      <c r="CB28" s="226"/>
      <c r="CC28" s="226"/>
      <c r="CD28" s="227"/>
      <c r="CE28" s="18" t="s">
        <v>228</v>
      </c>
      <c r="CF28" s="18" t="s">
        <v>191</v>
      </c>
      <c r="CG28" s="18" t="s">
        <v>224</v>
      </c>
      <c r="CH28" s="18" t="s">
        <v>548</v>
      </c>
      <c r="CI28" s="18" t="s">
        <v>227</v>
      </c>
      <c r="CJ28" s="18"/>
      <c r="CK28" s="100"/>
      <c r="CL28" s="18"/>
      <c r="CM28" s="18"/>
      <c r="CN28" s="18"/>
      <c r="CO28" s="18"/>
      <c r="CP28" s="18"/>
      <c r="CQ28" s="18"/>
      <c r="CR28" s="18"/>
      <c r="CS28" s="18"/>
      <c r="CT28" s="100"/>
      <c r="CU28" s="100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00"/>
      <c r="DK28" s="100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241"/>
      <c r="ED28" s="231" t="s">
        <v>171</v>
      </c>
      <c r="EE28" s="18" t="s">
        <v>182</v>
      </c>
      <c r="EF28" s="225" t="s">
        <v>703</v>
      </c>
      <c r="EG28" s="226"/>
      <c r="EH28" s="226"/>
      <c r="EI28" s="227"/>
      <c r="EJ28" s="18" t="s">
        <v>235</v>
      </c>
      <c r="EK28" s="18" t="s">
        <v>191</v>
      </c>
      <c r="EL28" s="18"/>
      <c r="EM28" s="18"/>
      <c r="EN28" s="18"/>
      <c r="EO28" s="18"/>
      <c r="EP28" s="19"/>
      <c r="EQ28" s="19"/>
      <c r="ER28" s="19"/>
      <c r="ES28" s="19"/>
      <c r="ET28" s="19"/>
      <c r="EU28" s="19"/>
      <c r="EV28" s="100"/>
      <c r="EW28" s="100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241"/>
      <c r="FK28" s="231" t="s">
        <v>171</v>
      </c>
      <c r="FL28" s="225" t="s">
        <v>702</v>
      </c>
      <c r="FM28" s="226"/>
      <c r="FN28" s="226"/>
      <c r="FO28" s="227"/>
      <c r="FP28" s="225" t="s">
        <v>703</v>
      </c>
      <c r="FQ28" s="227"/>
      <c r="FR28" s="18" t="s">
        <v>217</v>
      </c>
      <c r="FS28" s="18" t="s">
        <v>268</v>
      </c>
      <c r="FT28" s="225" t="s">
        <v>704</v>
      </c>
      <c r="FU28" s="226"/>
      <c r="FV28" s="226"/>
      <c r="FW28" s="227"/>
      <c r="FX28" s="18" t="s">
        <v>190</v>
      </c>
      <c r="FY28" s="18"/>
      <c r="FZ28" s="18"/>
      <c r="GA28" s="18"/>
      <c r="GB28" s="241"/>
      <c r="GC28" s="231" t="s">
        <v>171</v>
      </c>
      <c r="GD28" s="225" t="s">
        <v>703</v>
      </c>
      <c r="GE28" s="226"/>
      <c r="GF28" s="226"/>
      <c r="GG28" s="227"/>
      <c r="GH28" s="18" t="s">
        <v>550</v>
      </c>
      <c r="GI28" s="225" t="s">
        <v>186</v>
      </c>
      <c r="GJ28" s="227"/>
      <c r="GK28" s="18" t="s">
        <v>191</v>
      </c>
      <c r="GL28" s="18"/>
      <c r="GM28" s="18"/>
      <c r="GN28" s="18"/>
      <c r="GO28" s="100"/>
      <c r="GP28" s="100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9"/>
      <c r="HF28" s="19"/>
      <c r="HG28" s="19"/>
      <c r="HH28" s="19"/>
      <c r="HI28" s="19"/>
      <c r="HJ28" s="19"/>
      <c r="HK28" s="19"/>
      <c r="HL28" s="19"/>
      <c r="HM28" s="19"/>
      <c r="HN28" s="241"/>
      <c r="HO28" s="231" t="s">
        <v>171</v>
      </c>
      <c r="HP28" s="18" t="s">
        <v>182</v>
      </c>
      <c r="HQ28" s="18" t="s">
        <v>191</v>
      </c>
      <c r="HR28" s="18" t="s">
        <v>1906</v>
      </c>
      <c r="HS28" s="18" t="s">
        <v>186</v>
      </c>
      <c r="HT28" s="18" t="s">
        <v>190</v>
      </c>
      <c r="HU28" s="18"/>
      <c r="HV28" s="18"/>
      <c r="HW28" s="19"/>
      <c r="HX28" s="19"/>
      <c r="HY28" s="19"/>
      <c r="HZ28" s="19"/>
      <c r="IA28" s="19"/>
      <c r="IB28" s="19"/>
      <c r="IC28" s="19"/>
      <c r="ID28" s="19"/>
      <c r="IE28" s="241"/>
      <c r="IF28" s="231" t="s">
        <v>171</v>
      </c>
      <c r="IG28" s="232" t="s">
        <v>703</v>
      </c>
      <c r="IH28" s="234"/>
      <c r="II28" s="18" t="s">
        <v>361</v>
      </c>
      <c r="IJ28" s="18" t="s">
        <v>190</v>
      </c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00"/>
      <c r="JJ28" s="100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00"/>
      <c r="JV28" s="100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00"/>
      <c r="KN28" s="100"/>
      <c r="KO28" s="18"/>
      <c r="KP28" s="18"/>
      <c r="KQ28" s="18"/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241"/>
      <c r="LE28" s="231" t="s">
        <v>171</v>
      </c>
      <c r="LF28" s="18" t="s">
        <v>182</v>
      </c>
      <c r="LG28" s="18" t="s">
        <v>365</v>
      </c>
      <c r="LH28" s="225" t="s">
        <v>703</v>
      </c>
      <c r="LI28" s="226"/>
      <c r="LJ28" s="227"/>
      <c r="LK28" s="18" t="s">
        <v>217</v>
      </c>
      <c r="LL28" s="18" t="s">
        <v>361</v>
      </c>
      <c r="LM28" s="18"/>
      <c r="LN28" s="18"/>
      <c r="LO28" s="18"/>
      <c r="LP28" s="18"/>
      <c r="LQ28" s="18"/>
      <c r="LR28" s="18"/>
      <c r="LS28" s="18"/>
      <c r="LT28" s="18"/>
      <c r="LU28" s="18"/>
      <c r="LV28" s="18"/>
      <c r="LW28" s="18"/>
      <c r="LX28" s="18"/>
      <c r="LY28" s="242"/>
      <c r="LZ28" s="231" t="s">
        <v>171</v>
      </c>
      <c r="MA28" s="225" t="s">
        <v>703</v>
      </c>
      <c r="MB28" s="226"/>
      <c r="MC28" s="227"/>
      <c r="MD28" s="225" t="s">
        <v>706</v>
      </c>
      <c r="ME28" s="227"/>
      <c r="MF28" s="18" t="s">
        <v>704</v>
      </c>
      <c r="MG28" s="225" t="s">
        <v>707</v>
      </c>
      <c r="MH28" s="227"/>
      <c r="MI28" s="225" t="s">
        <v>186</v>
      </c>
      <c r="MJ28" s="226"/>
      <c r="MK28" s="226"/>
      <c r="ML28" s="226"/>
      <c r="MM28" s="227"/>
      <c r="MN28" s="19" t="s">
        <v>190</v>
      </c>
    </row>
    <row r="29" spans="1:352" ht="24.95" customHeight="1" thickTop="1" thickBot="1" x14ac:dyDescent="0.3">
      <c r="A29" s="245"/>
      <c r="B29" s="243"/>
      <c r="C29" s="198" t="s">
        <v>171</v>
      </c>
      <c r="D29" s="17"/>
      <c r="E29" s="17" t="s">
        <v>197</v>
      </c>
      <c r="F29" s="17" t="s">
        <v>198</v>
      </c>
      <c r="G29" s="17" t="s">
        <v>199</v>
      </c>
      <c r="H29" s="17" t="s">
        <v>200</v>
      </c>
      <c r="I29" s="17" t="s">
        <v>201</v>
      </c>
      <c r="J29" s="17" t="s">
        <v>202</v>
      </c>
      <c r="K29" s="17"/>
      <c r="L29" s="17"/>
      <c r="M29" s="17"/>
      <c r="N29" s="17"/>
      <c r="O29" s="17"/>
      <c r="P29" s="17"/>
      <c r="Q29" s="17"/>
      <c r="R29" s="17"/>
      <c r="S29" s="241"/>
      <c r="T29" s="231" t="s">
        <v>1449</v>
      </c>
      <c r="U29" s="20"/>
      <c r="V29" s="20"/>
      <c r="W29" s="20" t="s">
        <v>197</v>
      </c>
      <c r="X29" s="20" t="s">
        <v>198</v>
      </c>
      <c r="Y29" s="20" t="s">
        <v>205</v>
      </c>
      <c r="Z29" s="20" t="s">
        <v>206</v>
      </c>
      <c r="AA29" s="20" t="s">
        <v>210</v>
      </c>
      <c r="AB29" s="20"/>
      <c r="AC29" s="17"/>
      <c r="AD29" s="17"/>
      <c r="AE29" s="17"/>
      <c r="AF29" s="17"/>
      <c r="AG29" s="241"/>
      <c r="AH29" s="231" t="s">
        <v>1449</v>
      </c>
      <c r="AI29" s="17"/>
      <c r="AJ29" s="17" t="s">
        <v>205</v>
      </c>
      <c r="AK29" s="17"/>
      <c r="AL29" s="17"/>
      <c r="AM29" s="17"/>
      <c r="AN29" s="17"/>
      <c r="AO29" s="17"/>
      <c r="AP29" s="17"/>
      <c r="AQ29" s="17"/>
      <c r="AR29" s="241"/>
      <c r="AS29" s="231" t="s">
        <v>1449</v>
      </c>
      <c r="AT29" s="17" t="s">
        <v>202</v>
      </c>
      <c r="AU29" s="17" t="s">
        <v>201</v>
      </c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21"/>
      <c r="BH29" s="21"/>
      <c r="BI29" s="17"/>
      <c r="BJ29" s="17"/>
      <c r="BK29" s="17"/>
      <c r="BL29" s="17"/>
      <c r="BM29" s="17"/>
      <c r="BN29" s="17"/>
      <c r="BO29" s="17"/>
      <c r="BP29" s="21"/>
      <c r="BQ29" s="21"/>
      <c r="BR29" s="17"/>
      <c r="BS29" s="17"/>
      <c r="BT29" s="17"/>
      <c r="BU29" s="17"/>
      <c r="BV29" s="17"/>
      <c r="BW29" s="241"/>
      <c r="BX29" s="231" t="s">
        <v>1449</v>
      </c>
      <c r="BY29" s="17" t="s">
        <v>199</v>
      </c>
      <c r="BZ29" s="17" t="s">
        <v>229</v>
      </c>
      <c r="CA29" s="17" t="s">
        <v>230</v>
      </c>
      <c r="CB29" s="17" t="s">
        <v>201</v>
      </c>
      <c r="CC29" s="17" t="s">
        <v>202</v>
      </c>
      <c r="CD29" s="17" t="s">
        <v>225</v>
      </c>
      <c r="CE29" s="17"/>
      <c r="CF29" s="17"/>
      <c r="CG29" s="17"/>
      <c r="CH29" s="17"/>
      <c r="CI29" s="17"/>
      <c r="CJ29" s="17"/>
      <c r="CK29" s="21"/>
      <c r="CL29" s="17"/>
      <c r="CM29" s="17"/>
      <c r="CN29" s="17"/>
      <c r="CO29" s="17"/>
      <c r="CP29" s="17"/>
      <c r="CQ29" s="17"/>
      <c r="CR29" s="17"/>
      <c r="CS29" s="17"/>
      <c r="CT29" s="21"/>
      <c r="CU29" s="21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21"/>
      <c r="DK29" s="21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241"/>
      <c r="ED29" s="231" t="s">
        <v>1449</v>
      </c>
      <c r="EE29" s="17"/>
      <c r="EF29" s="17" t="s">
        <v>199</v>
      </c>
      <c r="EG29" s="17" t="s">
        <v>202</v>
      </c>
      <c r="EH29" s="17" t="s">
        <v>201</v>
      </c>
      <c r="EI29" s="17" t="s">
        <v>222</v>
      </c>
      <c r="EJ29" s="17"/>
      <c r="EK29" s="17"/>
      <c r="EL29" s="17"/>
      <c r="EM29" s="17"/>
      <c r="EN29" s="17"/>
      <c r="EO29" s="17"/>
      <c r="EP29" s="20"/>
      <c r="EQ29" s="20"/>
      <c r="ER29" s="20"/>
      <c r="ES29" s="20"/>
      <c r="ET29" s="20"/>
      <c r="EU29" s="20"/>
      <c r="EV29" s="21"/>
      <c r="EW29" s="21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241"/>
      <c r="FK29" s="231" t="s">
        <v>1449</v>
      </c>
      <c r="FL29" s="17" t="s">
        <v>555</v>
      </c>
      <c r="FM29" s="17" t="s">
        <v>554</v>
      </c>
      <c r="FN29" s="17" t="s">
        <v>557</v>
      </c>
      <c r="FO29" s="17" t="s">
        <v>564</v>
      </c>
      <c r="FP29" s="17" t="s">
        <v>230</v>
      </c>
      <c r="FQ29" s="17" t="s">
        <v>200</v>
      </c>
      <c r="FR29" s="17"/>
      <c r="FS29" s="17"/>
      <c r="FT29" s="17" t="s">
        <v>304</v>
      </c>
      <c r="FU29" s="17" t="s">
        <v>306</v>
      </c>
      <c r="FV29" s="17" t="s">
        <v>310</v>
      </c>
      <c r="FW29" s="17" t="s">
        <v>318</v>
      </c>
      <c r="FX29" s="17"/>
      <c r="FY29" s="17"/>
      <c r="FZ29" s="17"/>
      <c r="GA29" s="17"/>
      <c r="GB29" s="241"/>
      <c r="GC29" s="231" t="s">
        <v>1449</v>
      </c>
      <c r="GD29" s="17" t="s">
        <v>197</v>
      </c>
      <c r="GE29" s="17" t="s">
        <v>198</v>
      </c>
      <c r="GF29" s="17" t="s">
        <v>230</v>
      </c>
      <c r="GG29" s="17" t="s">
        <v>201</v>
      </c>
      <c r="GH29" s="17"/>
      <c r="GI29" s="17" t="s">
        <v>348</v>
      </c>
      <c r="GJ29" s="17" t="s">
        <v>342</v>
      </c>
      <c r="GK29" s="17"/>
      <c r="GL29" s="17"/>
      <c r="GM29" s="17"/>
      <c r="GN29" s="17"/>
      <c r="GO29" s="21"/>
      <c r="GP29" s="21"/>
      <c r="GQ29" s="17"/>
      <c r="GR29" s="17"/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20"/>
      <c r="HF29" s="20"/>
      <c r="HG29" s="20"/>
      <c r="HH29" s="20"/>
      <c r="HI29" s="20"/>
      <c r="HJ29" s="20"/>
      <c r="HK29" s="20"/>
      <c r="HL29" s="20"/>
      <c r="HM29" s="20"/>
      <c r="HN29" s="241"/>
      <c r="HO29" s="231" t="s">
        <v>1449</v>
      </c>
      <c r="HP29" s="17"/>
      <c r="HQ29" s="17"/>
      <c r="HR29" s="17" t="s">
        <v>320</v>
      </c>
      <c r="HS29" s="17" t="s">
        <v>353</v>
      </c>
      <c r="HT29" s="17"/>
      <c r="HU29" s="17"/>
      <c r="HV29" s="17"/>
      <c r="HW29" s="20"/>
      <c r="HX29" s="20"/>
      <c r="HY29" s="20"/>
      <c r="HZ29" s="20"/>
      <c r="IA29" s="20"/>
      <c r="IB29" s="20"/>
      <c r="IC29" s="20"/>
      <c r="ID29" s="20"/>
      <c r="IE29" s="241"/>
      <c r="IF29" s="231" t="s">
        <v>1449</v>
      </c>
      <c r="IG29" s="17" t="s">
        <v>259</v>
      </c>
      <c r="IH29" s="28" t="s">
        <v>222</v>
      </c>
      <c r="II29" s="20"/>
      <c r="IJ29" s="20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21"/>
      <c r="JJ29" s="21"/>
      <c r="JK29" s="17"/>
      <c r="JL29" s="17"/>
      <c r="JM29" s="17"/>
      <c r="JN29" s="17"/>
      <c r="JO29" s="17"/>
      <c r="JP29" s="17"/>
      <c r="JQ29" s="17"/>
      <c r="JR29" s="17"/>
      <c r="JS29" s="17"/>
      <c r="JT29" s="17"/>
      <c r="JU29" s="21"/>
      <c r="JV29" s="21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21"/>
      <c r="KN29" s="21"/>
      <c r="KO29" s="17"/>
      <c r="KP29" s="17"/>
      <c r="KQ29" s="17"/>
      <c r="KR29" s="17"/>
      <c r="KS29" s="17"/>
      <c r="KT29" s="17"/>
      <c r="KU29" s="17"/>
      <c r="KV29" s="17"/>
      <c r="KW29" s="17"/>
      <c r="KX29" s="17"/>
      <c r="KY29" s="17"/>
      <c r="KZ29" s="17"/>
      <c r="LA29" s="17"/>
      <c r="LB29" s="17"/>
      <c r="LC29" s="17"/>
      <c r="LD29" s="241"/>
      <c r="LE29" s="231" t="s">
        <v>1449</v>
      </c>
      <c r="LF29" s="17"/>
      <c r="LG29" s="17"/>
      <c r="LH29" s="17" t="s">
        <v>230</v>
      </c>
      <c r="LI29" s="17" t="s">
        <v>199</v>
      </c>
      <c r="LJ29" s="17" t="s">
        <v>201</v>
      </c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17"/>
      <c r="LV29" s="17"/>
      <c r="LW29" s="17"/>
      <c r="LX29" s="17"/>
      <c r="LY29" s="242"/>
      <c r="LZ29" s="231" t="s">
        <v>1449</v>
      </c>
      <c r="MA29" s="17" t="s">
        <v>514</v>
      </c>
      <c r="MB29" s="17" t="s">
        <v>200</v>
      </c>
      <c r="MC29" s="17" t="s">
        <v>257</v>
      </c>
      <c r="MD29" s="17" t="s">
        <v>210</v>
      </c>
      <c r="ME29" s="17" t="s">
        <v>205</v>
      </c>
      <c r="MF29" s="17" t="s">
        <v>319</v>
      </c>
      <c r="MG29" s="17" t="s">
        <v>329</v>
      </c>
      <c r="MH29" s="17" t="s">
        <v>331</v>
      </c>
      <c r="MI29" s="17" t="s">
        <v>194</v>
      </c>
      <c r="MJ29" s="17" t="s">
        <v>337</v>
      </c>
      <c r="MK29" s="17" t="s">
        <v>195</v>
      </c>
      <c r="ML29" s="17" t="s">
        <v>350</v>
      </c>
      <c r="MM29" s="17" t="s">
        <v>196</v>
      </c>
      <c r="MN29" s="20"/>
    </row>
    <row r="30" spans="1:352" ht="24.95" customHeight="1" thickTop="1" thickBot="1" x14ac:dyDescent="0.3">
      <c r="A30" s="245"/>
      <c r="B30" s="243"/>
      <c r="C30" s="198" t="s">
        <v>173</v>
      </c>
      <c r="D30" s="18" t="s">
        <v>157</v>
      </c>
      <c r="E30" s="18" t="s">
        <v>155</v>
      </c>
      <c r="F30" s="18"/>
      <c r="G30" s="19"/>
      <c r="H30" s="19"/>
      <c r="I30" s="19"/>
      <c r="J30" s="19"/>
      <c r="K30" s="19"/>
      <c r="L30" s="18"/>
      <c r="M30" s="18"/>
      <c r="N30" s="18"/>
      <c r="O30" s="18"/>
      <c r="P30" s="18"/>
      <c r="Q30" s="18"/>
      <c r="R30" s="18"/>
      <c r="S30" s="241"/>
      <c r="T30" s="231" t="s">
        <v>173</v>
      </c>
      <c r="U30" s="19" t="s">
        <v>152</v>
      </c>
      <c r="V30" s="19"/>
      <c r="W30" s="19"/>
      <c r="X30" s="19"/>
      <c r="Y30" s="19"/>
      <c r="Z30" s="19"/>
      <c r="AA30" s="19"/>
      <c r="AB30" s="19"/>
      <c r="AC30" s="18"/>
      <c r="AD30" s="18"/>
      <c r="AE30" s="18"/>
      <c r="AF30" s="18"/>
      <c r="AG30" s="241"/>
      <c r="AH30" s="231" t="s">
        <v>173</v>
      </c>
      <c r="AI30" s="18" t="s">
        <v>158</v>
      </c>
      <c r="AJ30" s="18" t="s">
        <v>156</v>
      </c>
      <c r="AK30" s="18" t="s">
        <v>155</v>
      </c>
      <c r="AL30" s="19"/>
      <c r="AM30" s="19"/>
      <c r="AN30" s="19"/>
      <c r="AO30" s="18"/>
      <c r="AP30" s="18"/>
      <c r="AQ30" s="18"/>
      <c r="AR30" s="241"/>
      <c r="AS30" s="231" t="s">
        <v>173</v>
      </c>
      <c r="AT30" s="18" t="s">
        <v>156</v>
      </c>
      <c r="AU30" s="18" t="s">
        <v>155</v>
      </c>
      <c r="AV30" s="19"/>
      <c r="AW30" s="19"/>
      <c r="AX30" s="19"/>
      <c r="AY30" s="19"/>
      <c r="AZ30" s="19"/>
      <c r="BA30" s="19"/>
      <c r="BB30" s="19"/>
      <c r="BC30" s="19"/>
      <c r="BD30" s="18"/>
      <c r="BE30" s="18"/>
      <c r="BF30" s="18"/>
      <c r="BG30" s="100"/>
      <c r="BH30" s="100"/>
      <c r="BI30" s="18"/>
      <c r="BJ30" s="18"/>
      <c r="BK30" s="18"/>
      <c r="BL30" s="18"/>
      <c r="BM30" s="18"/>
      <c r="BN30" s="18"/>
      <c r="BO30" s="18"/>
      <c r="BP30" s="100"/>
      <c r="BQ30" s="100"/>
      <c r="BR30" s="18"/>
      <c r="BS30" s="18"/>
      <c r="BT30" s="18"/>
      <c r="BU30" s="18"/>
      <c r="BV30" s="18"/>
      <c r="BW30" s="241"/>
      <c r="BX30" s="231" t="s">
        <v>173</v>
      </c>
      <c r="BY30" s="18" t="s">
        <v>156</v>
      </c>
      <c r="BZ30" s="18" t="s">
        <v>115</v>
      </c>
      <c r="CA30" s="18" t="s">
        <v>155</v>
      </c>
      <c r="CB30" s="19"/>
      <c r="CC30" s="19"/>
      <c r="CD30" s="19"/>
      <c r="CE30" s="19"/>
      <c r="CF30" s="19"/>
      <c r="CG30" s="19"/>
      <c r="CH30" s="19"/>
      <c r="CI30" s="19"/>
      <c r="CJ30" s="19"/>
      <c r="CK30" s="100"/>
      <c r="CL30" s="18"/>
      <c r="CM30" s="18"/>
      <c r="CN30" s="18"/>
      <c r="CO30" s="18"/>
      <c r="CP30" s="18"/>
      <c r="CQ30" s="18"/>
      <c r="CR30" s="18"/>
      <c r="CS30" s="18"/>
      <c r="CT30" s="100"/>
      <c r="CU30" s="100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00"/>
      <c r="DK30" s="100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241"/>
      <c r="ED30" s="231" t="s">
        <v>173</v>
      </c>
      <c r="EE30" s="18" t="s">
        <v>156</v>
      </c>
      <c r="EF30" s="18" t="s">
        <v>115</v>
      </c>
      <c r="EG30" s="18" t="s">
        <v>155</v>
      </c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00"/>
      <c r="EW30" s="100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241"/>
      <c r="FK30" s="231" t="s">
        <v>173</v>
      </c>
      <c r="FL30" s="18" t="s">
        <v>115</v>
      </c>
      <c r="FM30" s="18" t="s">
        <v>164</v>
      </c>
      <c r="FN30" s="18" t="s">
        <v>156</v>
      </c>
      <c r="FO30" s="18" t="s">
        <v>155</v>
      </c>
      <c r="FP30" s="18"/>
      <c r="FQ30" s="19"/>
      <c r="FR30" s="19"/>
      <c r="FS30" s="19"/>
      <c r="FT30" s="19"/>
      <c r="FU30" s="18"/>
      <c r="FV30" s="18"/>
      <c r="FW30" s="18"/>
      <c r="FX30" s="18"/>
      <c r="FY30" s="18"/>
      <c r="FZ30" s="18"/>
      <c r="GA30" s="18"/>
      <c r="GB30" s="241"/>
      <c r="GC30" s="231" t="s">
        <v>173</v>
      </c>
      <c r="GD30" s="18" t="s">
        <v>156</v>
      </c>
      <c r="GE30" s="18" t="s">
        <v>155</v>
      </c>
      <c r="GF30" s="19"/>
      <c r="GG30" s="19"/>
      <c r="GH30" s="19"/>
      <c r="GI30" s="19"/>
      <c r="GJ30" s="19"/>
      <c r="GK30" s="19"/>
      <c r="GL30" s="19"/>
      <c r="GM30" s="19"/>
      <c r="GN30" s="19"/>
      <c r="GO30" s="100"/>
      <c r="GP30" s="100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9"/>
      <c r="HF30" s="19"/>
      <c r="HG30" s="19"/>
      <c r="HH30" s="19"/>
      <c r="HI30" s="19"/>
      <c r="HJ30" s="19"/>
      <c r="HK30" s="19"/>
      <c r="HL30" s="19"/>
      <c r="HM30" s="19"/>
      <c r="HN30" s="241"/>
      <c r="HO30" s="231" t="s">
        <v>173</v>
      </c>
      <c r="HP30" s="18" t="s">
        <v>156</v>
      </c>
      <c r="HQ30" s="18" t="s">
        <v>155</v>
      </c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241"/>
      <c r="IF30" s="231" t="s">
        <v>173</v>
      </c>
      <c r="IG30" s="18" t="s">
        <v>156</v>
      </c>
      <c r="IH30" s="18" t="s">
        <v>155</v>
      </c>
      <c r="II30" s="18"/>
      <c r="IJ30" s="19"/>
      <c r="IK30" s="19"/>
      <c r="IL30" s="19"/>
      <c r="IM30" s="19"/>
      <c r="IN30" s="19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00"/>
      <c r="JJ30" s="100"/>
      <c r="JK30" s="18"/>
      <c r="JL30" s="18"/>
      <c r="JM30" s="18"/>
      <c r="JN30" s="18"/>
      <c r="JO30" s="18"/>
      <c r="JP30" s="18"/>
      <c r="JQ30" s="18"/>
      <c r="JR30" s="18"/>
      <c r="JS30" s="18"/>
      <c r="JT30" s="18"/>
      <c r="JU30" s="100"/>
      <c r="JV30" s="100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00"/>
      <c r="KN30" s="100"/>
      <c r="KO30" s="18"/>
      <c r="KP30" s="18"/>
      <c r="KQ30" s="18"/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241"/>
      <c r="LE30" s="231" t="s">
        <v>173</v>
      </c>
      <c r="LF30" s="18" t="s">
        <v>170</v>
      </c>
      <c r="LG30" s="18" t="s">
        <v>156</v>
      </c>
      <c r="LH30" s="18" t="s">
        <v>155</v>
      </c>
      <c r="LI30" s="18"/>
      <c r="LJ30" s="18"/>
      <c r="LK30" s="19"/>
      <c r="LL30" s="19"/>
      <c r="LM30" s="19"/>
      <c r="LN30" s="19"/>
      <c r="LO30" s="19"/>
      <c r="LP30" s="19"/>
      <c r="LQ30" s="19"/>
      <c r="LR30" s="19"/>
      <c r="LS30" s="18"/>
      <c r="LT30" s="18"/>
      <c r="LU30" s="18"/>
      <c r="LV30" s="18"/>
      <c r="LW30" s="18"/>
      <c r="LX30" s="18"/>
      <c r="LY30" s="242"/>
      <c r="LZ30" s="231" t="s">
        <v>173</v>
      </c>
      <c r="MA30" s="18" t="s">
        <v>156</v>
      </c>
      <c r="MB30" s="18" t="s">
        <v>155</v>
      </c>
      <c r="MC30" s="19"/>
      <c r="MD30" s="19"/>
      <c r="ME30" s="19"/>
      <c r="MF30" s="19"/>
      <c r="MG30" s="19"/>
      <c r="MH30" s="19"/>
      <c r="MI30" s="19"/>
      <c r="MJ30" s="18"/>
      <c r="MK30" s="18"/>
      <c r="ML30" s="18"/>
      <c r="MM30" s="18"/>
      <c r="MN30" s="19"/>
    </row>
    <row r="31" spans="1:352" ht="24.95" customHeight="1" thickTop="1" thickBot="1" x14ac:dyDescent="0.3">
      <c r="A31" s="245"/>
      <c r="B31" s="243"/>
      <c r="C31" s="198" t="s">
        <v>173</v>
      </c>
      <c r="D31" s="17"/>
      <c r="E31" s="17"/>
      <c r="F31" s="17"/>
      <c r="G31" s="17"/>
      <c r="H31" s="17"/>
      <c r="I31" s="17"/>
      <c r="J31" s="17"/>
      <c r="K31" s="17"/>
      <c r="L31" s="20"/>
      <c r="M31" s="17"/>
      <c r="N31" s="17"/>
      <c r="O31" s="17"/>
      <c r="P31" s="17"/>
      <c r="Q31" s="17"/>
      <c r="R31" s="17"/>
      <c r="S31" s="241"/>
      <c r="T31" s="231" t="s">
        <v>1451</v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241"/>
      <c r="AH31" s="231" t="s">
        <v>1451</v>
      </c>
      <c r="AI31" s="17"/>
      <c r="AJ31" s="17"/>
      <c r="AK31" s="17"/>
      <c r="AL31" s="17"/>
      <c r="AM31" s="17"/>
      <c r="AN31" s="17"/>
      <c r="AO31" s="17"/>
      <c r="AP31" s="17"/>
      <c r="AQ31" s="17"/>
      <c r="AR31" s="241"/>
      <c r="AS31" s="231" t="s">
        <v>1451</v>
      </c>
      <c r="AT31" s="17"/>
      <c r="AU31" s="17"/>
      <c r="AV31" s="20"/>
      <c r="AW31" s="17"/>
      <c r="AX31" s="17"/>
      <c r="AY31" s="17"/>
      <c r="AZ31" s="20"/>
      <c r="BA31" s="17"/>
      <c r="BB31" s="17"/>
      <c r="BC31" s="17"/>
      <c r="BD31" s="17"/>
      <c r="BE31" s="17"/>
      <c r="BF31" s="17"/>
      <c r="BG31" s="21"/>
      <c r="BH31" s="21"/>
      <c r="BI31" s="17"/>
      <c r="BJ31" s="17"/>
      <c r="BK31" s="17"/>
      <c r="BL31" s="17"/>
      <c r="BM31" s="17"/>
      <c r="BN31" s="17"/>
      <c r="BO31" s="17"/>
      <c r="BP31" s="21"/>
      <c r="BQ31" s="21"/>
      <c r="BR31" s="17"/>
      <c r="BS31" s="17"/>
      <c r="BT31" s="17"/>
      <c r="BU31" s="17"/>
      <c r="BV31" s="17"/>
      <c r="BW31" s="241"/>
      <c r="BX31" s="231" t="s">
        <v>1451</v>
      </c>
      <c r="BY31" s="20"/>
      <c r="BZ31" s="20" t="s">
        <v>463</v>
      </c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1"/>
      <c r="CL31" s="17"/>
      <c r="CM31" s="17"/>
      <c r="CN31" s="17"/>
      <c r="CO31" s="17"/>
      <c r="CP31" s="17"/>
      <c r="CQ31" s="17"/>
      <c r="CR31" s="17"/>
      <c r="CS31" s="17"/>
      <c r="CT31" s="21"/>
      <c r="CU31" s="21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21"/>
      <c r="DK31" s="21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241"/>
      <c r="ED31" s="231" t="s">
        <v>1451</v>
      </c>
      <c r="EE31" s="17"/>
      <c r="EF31" s="17" t="s">
        <v>441</v>
      </c>
      <c r="EG31" s="17"/>
      <c r="EH31" s="20"/>
      <c r="EI31" s="20"/>
      <c r="EJ31" s="17"/>
      <c r="EK31" s="17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1"/>
      <c r="EW31" s="21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17"/>
      <c r="FJ31" s="241"/>
      <c r="FK31" s="231" t="s">
        <v>1451</v>
      </c>
      <c r="FL31" s="17" t="s">
        <v>134</v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241"/>
      <c r="GC31" s="231" t="s">
        <v>1451</v>
      </c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17"/>
      <c r="GO31" s="21"/>
      <c r="GP31" s="21"/>
      <c r="GQ31" s="17"/>
      <c r="GR31" s="17"/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20"/>
      <c r="HF31" s="20"/>
      <c r="HG31" s="20"/>
      <c r="HH31" s="20"/>
      <c r="HI31" s="20"/>
      <c r="HJ31" s="20"/>
      <c r="HK31" s="20"/>
      <c r="HL31" s="20"/>
      <c r="HM31" s="20"/>
      <c r="HN31" s="241"/>
      <c r="HO31" s="231" t="s">
        <v>1451</v>
      </c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41"/>
      <c r="IF31" s="231" t="s">
        <v>1451</v>
      </c>
      <c r="IG31" s="17"/>
      <c r="IH31" s="17"/>
      <c r="II31" s="17"/>
      <c r="IJ31" s="17"/>
      <c r="IK31" s="17"/>
      <c r="IL31" s="17"/>
      <c r="IM31" s="17"/>
      <c r="IN31" s="17"/>
      <c r="IO31" s="21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21"/>
      <c r="JJ31" s="21"/>
      <c r="JK31" s="17"/>
      <c r="JL31" s="17"/>
      <c r="JM31" s="17"/>
      <c r="JN31" s="17"/>
      <c r="JO31" s="17"/>
      <c r="JP31" s="17"/>
      <c r="JQ31" s="17"/>
      <c r="JR31" s="17"/>
      <c r="JS31" s="17"/>
      <c r="JT31" s="17"/>
      <c r="JU31" s="21"/>
      <c r="JV31" s="21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21"/>
      <c r="KN31" s="21"/>
      <c r="KO31" s="17"/>
      <c r="KP31" s="17"/>
      <c r="KQ31" s="17"/>
      <c r="KR31" s="17"/>
      <c r="KS31" s="17"/>
      <c r="KT31" s="17"/>
      <c r="KU31" s="17"/>
      <c r="KV31" s="17"/>
      <c r="KW31" s="17"/>
      <c r="KX31" s="17"/>
      <c r="KY31" s="17"/>
      <c r="KZ31" s="17"/>
      <c r="LA31" s="17"/>
      <c r="LB31" s="17"/>
      <c r="LC31" s="17"/>
      <c r="LD31" s="241"/>
      <c r="LE31" s="231" t="s">
        <v>1451</v>
      </c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17"/>
      <c r="LV31" s="17"/>
      <c r="LW31" s="17"/>
      <c r="LX31" s="17"/>
      <c r="LY31" s="242"/>
      <c r="LZ31" s="231" t="s">
        <v>1451</v>
      </c>
      <c r="MA31" s="17"/>
      <c r="MB31" s="20"/>
      <c r="MC31" s="17"/>
      <c r="MD31" s="17"/>
      <c r="ME31" s="17"/>
      <c r="MF31" s="17"/>
      <c r="MG31" s="17"/>
      <c r="MH31" s="17"/>
      <c r="MI31" s="17"/>
      <c r="MJ31" s="20"/>
      <c r="MK31" s="20"/>
      <c r="ML31" s="20"/>
      <c r="MM31" s="20"/>
      <c r="MN31" s="20"/>
    </row>
    <row r="32" spans="1:352" ht="24.95" customHeight="1" thickTop="1" thickBot="1" x14ac:dyDescent="0.3">
      <c r="A32" s="245"/>
      <c r="B32" s="243"/>
      <c r="C32" s="198" t="s">
        <v>715</v>
      </c>
      <c r="D32" s="18" t="s">
        <v>379</v>
      </c>
      <c r="E32" s="225" t="s">
        <v>378</v>
      </c>
      <c r="F32" s="226"/>
      <c r="G32" s="226"/>
      <c r="H32" s="226"/>
      <c r="I32" s="227"/>
      <c r="J32" s="18"/>
      <c r="K32" s="18"/>
      <c r="L32" s="18"/>
      <c r="M32" s="18"/>
      <c r="N32" s="18"/>
      <c r="O32" s="18"/>
      <c r="P32" s="18"/>
      <c r="Q32" s="18"/>
      <c r="R32" s="18"/>
      <c r="S32" s="241"/>
      <c r="T32" s="231" t="s">
        <v>715</v>
      </c>
      <c r="U32" s="19" t="s">
        <v>379</v>
      </c>
      <c r="V32" s="19" t="s">
        <v>378</v>
      </c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241"/>
      <c r="AH32" s="231" t="s">
        <v>715</v>
      </c>
      <c r="AI32" s="225" t="s">
        <v>378</v>
      </c>
      <c r="AJ32" s="226"/>
      <c r="AK32" s="227"/>
      <c r="AL32" s="18"/>
      <c r="AM32" s="18"/>
      <c r="AN32" s="18"/>
      <c r="AO32" s="100"/>
      <c r="AP32" s="100"/>
      <c r="AQ32" s="18"/>
      <c r="AR32" s="241"/>
      <c r="AS32" s="231" t="s">
        <v>715</v>
      </c>
      <c r="AT32" s="225" t="s">
        <v>379</v>
      </c>
      <c r="AU32" s="226"/>
      <c r="AV32" s="226"/>
      <c r="AW32" s="226"/>
      <c r="AX32" s="227"/>
      <c r="AY32" s="225" t="s">
        <v>378</v>
      </c>
      <c r="AZ32" s="226"/>
      <c r="BA32" s="227"/>
      <c r="BB32" s="18"/>
      <c r="BC32" s="18"/>
      <c r="BD32" s="18"/>
      <c r="BE32" s="18"/>
      <c r="BF32" s="18"/>
      <c r="BG32" s="100"/>
      <c r="BH32" s="100"/>
      <c r="BI32" s="18"/>
      <c r="BJ32" s="18"/>
      <c r="BK32" s="18"/>
      <c r="BL32" s="18"/>
      <c r="BM32" s="18"/>
      <c r="BN32" s="18"/>
      <c r="BO32" s="18"/>
      <c r="BP32" s="100"/>
      <c r="BQ32" s="100"/>
      <c r="BR32" s="18"/>
      <c r="BS32" s="18"/>
      <c r="BT32" s="18"/>
      <c r="BU32" s="18"/>
      <c r="BV32" s="18"/>
      <c r="BW32" s="241"/>
      <c r="BX32" s="231" t="s">
        <v>715</v>
      </c>
      <c r="BY32" s="225" t="s">
        <v>379</v>
      </c>
      <c r="BZ32" s="226"/>
      <c r="CA32" s="226"/>
      <c r="CB32" s="227"/>
      <c r="CC32" s="225" t="s">
        <v>378</v>
      </c>
      <c r="CD32" s="226"/>
      <c r="CE32" s="226"/>
      <c r="CF32" s="226"/>
      <c r="CG32" s="226"/>
      <c r="CH32" s="226"/>
      <c r="CI32" s="227"/>
      <c r="CJ32" s="100"/>
      <c r="CK32" s="100"/>
      <c r="CL32" s="18"/>
      <c r="CM32" s="18"/>
      <c r="CN32" s="18"/>
      <c r="CO32" s="18"/>
      <c r="CP32" s="18"/>
      <c r="CQ32" s="18"/>
      <c r="CR32" s="18"/>
      <c r="CS32" s="18"/>
      <c r="CT32" s="100"/>
      <c r="CU32" s="100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00"/>
      <c r="DK32" s="100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241"/>
      <c r="ED32" s="231" t="s">
        <v>715</v>
      </c>
      <c r="EE32" s="225" t="s">
        <v>379</v>
      </c>
      <c r="EF32" s="226"/>
      <c r="EG32" s="227"/>
      <c r="EH32" s="225" t="s">
        <v>378</v>
      </c>
      <c r="EI32" s="226"/>
      <c r="EJ32" s="226"/>
      <c r="EK32" s="226"/>
      <c r="EL32" s="227"/>
      <c r="EM32" s="19"/>
      <c r="EN32" s="19"/>
      <c r="EO32" s="19"/>
      <c r="EP32" s="19"/>
      <c r="EQ32" s="19"/>
      <c r="ER32" s="19"/>
      <c r="ES32" s="19"/>
      <c r="ET32" s="19"/>
      <c r="EU32" s="19"/>
      <c r="EV32" s="100"/>
      <c r="EW32" s="100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241"/>
      <c r="FK32" s="231" t="s">
        <v>715</v>
      </c>
      <c r="FL32" s="18" t="s">
        <v>379</v>
      </c>
      <c r="FM32" s="225" t="s">
        <v>378</v>
      </c>
      <c r="FN32" s="226"/>
      <c r="FO32" s="226"/>
      <c r="FP32" s="227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241"/>
      <c r="GC32" s="231" t="s">
        <v>715</v>
      </c>
      <c r="GD32" s="225" t="s">
        <v>379</v>
      </c>
      <c r="GE32" s="226"/>
      <c r="GF32" s="227"/>
      <c r="GG32" s="225" t="s">
        <v>378</v>
      </c>
      <c r="GH32" s="226"/>
      <c r="GI32" s="226"/>
      <c r="GJ32" s="226"/>
      <c r="GK32" s="226"/>
      <c r="GL32" s="227"/>
      <c r="GM32" s="18"/>
      <c r="GN32" s="18"/>
      <c r="GO32" s="100"/>
      <c r="GP32" s="100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9"/>
      <c r="HF32" s="19"/>
      <c r="HG32" s="19"/>
      <c r="HH32" s="19"/>
      <c r="HI32" s="19"/>
      <c r="HJ32" s="19"/>
      <c r="HK32" s="19"/>
      <c r="HL32" s="19"/>
      <c r="HM32" s="19"/>
      <c r="HN32" s="241"/>
      <c r="HO32" s="231" t="s">
        <v>715</v>
      </c>
      <c r="HP32" s="225" t="s">
        <v>379</v>
      </c>
      <c r="HQ32" s="227"/>
      <c r="HR32" s="225" t="s">
        <v>378</v>
      </c>
      <c r="HS32" s="226"/>
      <c r="HT32" s="227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241"/>
      <c r="IF32" s="231" t="s">
        <v>715</v>
      </c>
      <c r="IG32" s="18" t="s">
        <v>379</v>
      </c>
      <c r="IH32" s="225" t="s">
        <v>378</v>
      </c>
      <c r="II32" s="226"/>
      <c r="IJ32" s="226"/>
      <c r="IK32" s="226"/>
      <c r="IL32" s="227"/>
      <c r="IM32" s="100"/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00"/>
      <c r="JJ32" s="100"/>
      <c r="JK32" s="18"/>
      <c r="JL32" s="18"/>
      <c r="JM32" s="18"/>
      <c r="JN32" s="18"/>
      <c r="JO32" s="18"/>
      <c r="JP32" s="18"/>
      <c r="JQ32" s="18"/>
      <c r="JR32" s="18"/>
      <c r="JS32" s="18"/>
      <c r="JT32" s="18"/>
      <c r="JU32" s="100"/>
      <c r="JV32" s="100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00"/>
      <c r="KN32" s="100"/>
      <c r="KO32" s="18"/>
      <c r="KP32" s="18"/>
      <c r="KQ32" s="18"/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241"/>
      <c r="LE32" s="231" t="s">
        <v>715</v>
      </c>
      <c r="LF32" s="225" t="s">
        <v>379</v>
      </c>
      <c r="LG32" s="226"/>
      <c r="LH32" s="226"/>
      <c r="LI32" s="227"/>
      <c r="LJ32" s="225" t="s">
        <v>378</v>
      </c>
      <c r="LK32" s="226"/>
      <c r="LL32" s="226"/>
      <c r="LM32" s="226"/>
      <c r="LN32" s="227"/>
      <c r="LO32" s="18" t="s">
        <v>159</v>
      </c>
      <c r="LP32" s="18" t="s">
        <v>1907</v>
      </c>
      <c r="LQ32" s="18"/>
      <c r="LR32" s="18"/>
      <c r="LS32" s="18"/>
      <c r="LT32" s="18"/>
      <c r="LU32" s="18"/>
      <c r="LV32" s="18"/>
      <c r="LW32" s="18"/>
      <c r="LX32" s="18"/>
      <c r="LY32" s="242"/>
      <c r="LZ32" s="231" t="s">
        <v>715</v>
      </c>
      <c r="MA32" s="225" t="s">
        <v>379</v>
      </c>
      <c r="MB32" s="226"/>
      <c r="MC32" s="227"/>
      <c r="MD32" s="225" t="s">
        <v>378</v>
      </c>
      <c r="ME32" s="226"/>
      <c r="MF32" s="226"/>
      <c r="MG32" s="227"/>
      <c r="MH32" s="19"/>
      <c r="MI32" s="19"/>
      <c r="MJ32" s="19"/>
      <c r="MK32" s="19"/>
      <c r="ML32" s="19"/>
      <c r="MM32" s="19"/>
      <c r="MN32" s="19"/>
    </row>
    <row r="33" spans="1:352" ht="24.95" customHeight="1" thickTop="1" thickBot="1" x14ac:dyDescent="0.3">
      <c r="A33" s="245"/>
      <c r="B33" s="243"/>
      <c r="C33" s="198" t="s">
        <v>715</v>
      </c>
      <c r="D33" s="17" t="s">
        <v>574</v>
      </c>
      <c r="E33" s="17" t="s">
        <v>122</v>
      </c>
      <c r="F33" s="17" t="s">
        <v>124</v>
      </c>
      <c r="G33" s="17" t="s">
        <v>125</v>
      </c>
      <c r="H33" s="17" t="s">
        <v>141</v>
      </c>
      <c r="I33" s="17" t="s">
        <v>144</v>
      </c>
      <c r="J33" s="17"/>
      <c r="K33" s="17"/>
      <c r="L33" s="17"/>
      <c r="M33" s="17"/>
      <c r="N33" s="17"/>
      <c r="O33" s="17"/>
      <c r="P33" s="17"/>
      <c r="Q33" s="17"/>
      <c r="R33" s="17"/>
      <c r="S33" s="241"/>
      <c r="T33" s="231" t="s">
        <v>1447</v>
      </c>
      <c r="U33" s="17" t="s">
        <v>574</v>
      </c>
      <c r="V33" s="17" t="s">
        <v>120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241"/>
      <c r="AH33" s="231" t="s">
        <v>1447</v>
      </c>
      <c r="AI33" s="17" t="s">
        <v>125</v>
      </c>
      <c r="AJ33" s="17" t="s">
        <v>136</v>
      </c>
      <c r="AK33" s="17" t="s">
        <v>137</v>
      </c>
      <c r="AL33" s="17"/>
      <c r="AM33" s="17"/>
      <c r="AN33" s="17"/>
      <c r="AO33" s="21"/>
      <c r="AP33" s="21"/>
      <c r="AQ33" s="17"/>
      <c r="AR33" s="241"/>
      <c r="AS33" s="231" t="s">
        <v>1447</v>
      </c>
      <c r="AT33" s="20" t="s">
        <v>380</v>
      </c>
      <c r="AU33" s="17" t="s">
        <v>109</v>
      </c>
      <c r="AV33" s="17" t="s">
        <v>110</v>
      </c>
      <c r="AW33" s="17" t="s">
        <v>111</v>
      </c>
      <c r="AX33" s="20" t="s">
        <v>112</v>
      </c>
      <c r="AY33" s="17" t="s">
        <v>125</v>
      </c>
      <c r="AZ33" s="17" t="s">
        <v>136</v>
      </c>
      <c r="BA33" s="17" t="s">
        <v>137</v>
      </c>
      <c r="BB33" s="17"/>
      <c r="BC33" s="17"/>
      <c r="BD33" s="17"/>
      <c r="BE33" s="17"/>
      <c r="BF33" s="17"/>
      <c r="BG33" s="21"/>
      <c r="BH33" s="21"/>
      <c r="BI33" s="17"/>
      <c r="BJ33" s="17"/>
      <c r="BK33" s="17"/>
      <c r="BL33" s="17"/>
      <c r="BM33" s="17"/>
      <c r="BN33" s="17"/>
      <c r="BO33" s="17"/>
      <c r="BP33" s="21"/>
      <c r="BQ33" s="21"/>
      <c r="BR33" s="17"/>
      <c r="BS33" s="17"/>
      <c r="BT33" s="17"/>
      <c r="BU33" s="17"/>
      <c r="BV33" s="17"/>
      <c r="BW33" s="241"/>
      <c r="BX33" s="231" t="s">
        <v>1447</v>
      </c>
      <c r="BY33" s="20" t="s">
        <v>382</v>
      </c>
      <c r="BZ33" s="20" t="s">
        <v>110</v>
      </c>
      <c r="CA33" s="20" t="s">
        <v>111</v>
      </c>
      <c r="CB33" s="20" t="s">
        <v>112</v>
      </c>
      <c r="CC33" s="20" t="s">
        <v>118</v>
      </c>
      <c r="CD33" s="20" t="s">
        <v>119</v>
      </c>
      <c r="CE33" s="20" t="s">
        <v>125</v>
      </c>
      <c r="CF33" s="20" t="s">
        <v>130</v>
      </c>
      <c r="CG33" s="20" t="s">
        <v>139</v>
      </c>
      <c r="CH33" s="20" t="s">
        <v>141</v>
      </c>
      <c r="CI33" s="20" t="s">
        <v>143</v>
      </c>
      <c r="CJ33" s="21"/>
      <c r="CK33" s="21"/>
      <c r="CL33" s="17"/>
      <c r="CM33" s="17"/>
      <c r="CN33" s="17"/>
      <c r="CO33" s="17"/>
      <c r="CP33" s="17"/>
      <c r="CQ33" s="17"/>
      <c r="CR33" s="17"/>
      <c r="CS33" s="17"/>
      <c r="CT33" s="21"/>
      <c r="CU33" s="21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21"/>
      <c r="DK33" s="21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241"/>
      <c r="ED33" s="231" t="s">
        <v>1447</v>
      </c>
      <c r="EE33" s="20" t="s">
        <v>383</v>
      </c>
      <c r="EF33" s="20" t="s">
        <v>111</v>
      </c>
      <c r="EG33" s="17" t="s">
        <v>112</v>
      </c>
      <c r="EH33" s="17" t="s">
        <v>118</v>
      </c>
      <c r="EI33" s="20" t="s">
        <v>119</v>
      </c>
      <c r="EJ33" s="20" t="s">
        <v>121</v>
      </c>
      <c r="EK33" s="20" t="s">
        <v>125</v>
      </c>
      <c r="EL33" s="20" t="s">
        <v>141</v>
      </c>
      <c r="EM33" s="20"/>
      <c r="EN33" s="20"/>
      <c r="EO33" s="20"/>
      <c r="EP33" s="20"/>
      <c r="EQ33" s="20"/>
      <c r="ER33" s="20"/>
      <c r="ES33" s="20"/>
      <c r="ET33" s="20"/>
      <c r="EU33" s="20"/>
      <c r="EV33" s="21"/>
      <c r="EW33" s="21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241"/>
      <c r="FK33" s="231" t="s">
        <v>1447</v>
      </c>
      <c r="FL33" s="17" t="s">
        <v>384</v>
      </c>
      <c r="FM33" s="17" t="s">
        <v>124</v>
      </c>
      <c r="FN33" s="17" t="s">
        <v>125</v>
      </c>
      <c r="FO33" s="17" t="s">
        <v>141</v>
      </c>
      <c r="FP33" s="17" t="s">
        <v>146</v>
      </c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241"/>
      <c r="GC33" s="231" t="s">
        <v>1447</v>
      </c>
      <c r="GD33" s="17" t="s">
        <v>570</v>
      </c>
      <c r="GE33" s="17" t="s">
        <v>110</v>
      </c>
      <c r="GF33" s="17" t="s">
        <v>111</v>
      </c>
      <c r="GG33" s="17" t="s">
        <v>118</v>
      </c>
      <c r="GH33" s="17" t="s">
        <v>124</v>
      </c>
      <c r="GI33" s="17" t="s">
        <v>125</v>
      </c>
      <c r="GJ33" s="17" t="s">
        <v>127</v>
      </c>
      <c r="GK33" s="17" t="s">
        <v>138</v>
      </c>
      <c r="GL33" s="17" t="s">
        <v>141</v>
      </c>
      <c r="GM33" s="17"/>
      <c r="GN33" s="17"/>
      <c r="GO33" s="21"/>
      <c r="GP33" s="21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20"/>
      <c r="HF33" s="20"/>
      <c r="HG33" s="20"/>
      <c r="HH33" s="20"/>
      <c r="HI33" s="20"/>
      <c r="HJ33" s="20"/>
      <c r="HK33" s="20"/>
      <c r="HL33" s="20"/>
      <c r="HM33" s="20"/>
      <c r="HN33" s="241"/>
      <c r="HO33" s="231" t="s">
        <v>1447</v>
      </c>
      <c r="HP33" s="20" t="s">
        <v>573</v>
      </c>
      <c r="HQ33" s="20" t="s">
        <v>208</v>
      </c>
      <c r="HR33" s="20" t="s">
        <v>124</v>
      </c>
      <c r="HS33" s="20" t="s">
        <v>125</v>
      </c>
      <c r="HT33" s="20" t="s">
        <v>145</v>
      </c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41"/>
      <c r="IF33" s="231" t="s">
        <v>1447</v>
      </c>
      <c r="IG33" s="17" t="s">
        <v>192</v>
      </c>
      <c r="IH33" s="17" t="s">
        <v>118</v>
      </c>
      <c r="II33" s="17" t="s">
        <v>124</v>
      </c>
      <c r="IJ33" s="17" t="s">
        <v>125</v>
      </c>
      <c r="IK33" s="17" t="s">
        <v>141</v>
      </c>
      <c r="IL33" s="17" t="s">
        <v>142</v>
      </c>
      <c r="IM33" s="21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21"/>
      <c r="JJ33" s="21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21"/>
      <c r="JV33" s="21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21"/>
      <c r="KN33" s="21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241"/>
      <c r="LE33" s="231" t="s">
        <v>1447</v>
      </c>
      <c r="LF33" s="17" t="s">
        <v>566</v>
      </c>
      <c r="LG33" s="17" t="s">
        <v>571</v>
      </c>
      <c r="LH33" s="17" t="s">
        <v>110</v>
      </c>
      <c r="LI33" s="17" t="s">
        <v>111</v>
      </c>
      <c r="LJ33" s="17" t="s">
        <v>125</v>
      </c>
      <c r="LK33" s="17" t="s">
        <v>140</v>
      </c>
      <c r="LL33" s="17" t="s">
        <v>137</v>
      </c>
      <c r="LM33" s="17" t="s">
        <v>141</v>
      </c>
      <c r="LN33" s="17" t="s">
        <v>145</v>
      </c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242"/>
      <c r="LZ33" s="231" t="s">
        <v>1447</v>
      </c>
      <c r="MA33" s="17" t="s">
        <v>570</v>
      </c>
      <c r="MB33" s="17" t="s">
        <v>573</v>
      </c>
      <c r="MC33" s="17" t="s">
        <v>208</v>
      </c>
      <c r="MD33" s="17" t="s">
        <v>124</v>
      </c>
      <c r="ME33" s="17" t="s">
        <v>125</v>
      </c>
      <c r="MF33" s="17" t="s">
        <v>141</v>
      </c>
      <c r="MG33" s="17" t="s">
        <v>145</v>
      </c>
      <c r="MH33" s="20"/>
      <c r="MI33" s="20"/>
      <c r="MJ33" s="20"/>
      <c r="MK33" s="20"/>
      <c r="ML33" s="20"/>
      <c r="MM33" s="20"/>
      <c r="MN33" s="20"/>
    </row>
    <row r="34" spans="1:352" ht="24.95" customHeight="1" thickTop="1" thickBot="1" x14ac:dyDescent="0.3">
      <c r="A34" s="221" t="s">
        <v>6</v>
      </c>
      <c r="B34" s="241" t="s">
        <v>108</v>
      </c>
      <c r="C34" s="198" t="s">
        <v>172</v>
      </c>
      <c r="D34" s="29" t="s">
        <v>151</v>
      </c>
      <c r="E34" s="29" t="s">
        <v>558</v>
      </c>
      <c r="F34" s="235" t="s">
        <v>115</v>
      </c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7"/>
      <c r="R34" s="29" t="s">
        <v>158</v>
      </c>
      <c r="S34" s="228" t="s">
        <v>147</v>
      </c>
      <c r="T34" s="230"/>
      <c r="U34" s="29" t="s">
        <v>148</v>
      </c>
      <c r="V34" s="29" t="s">
        <v>159</v>
      </c>
      <c r="W34" s="29" t="s">
        <v>150</v>
      </c>
      <c r="X34" s="19"/>
      <c r="Y34" s="19"/>
      <c r="Z34" s="18"/>
      <c r="AA34" s="18"/>
      <c r="AB34" s="18"/>
      <c r="AC34" s="18"/>
      <c r="AD34" s="18"/>
      <c r="AE34" s="18"/>
      <c r="AF34" s="18"/>
      <c r="AG34" s="18"/>
      <c r="AH34" s="100"/>
      <c r="AI34" s="18"/>
      <c r="AJ34" s="18"/>
      <c r="AK34" s="18"/>
      <c r="AL34" s="18"/>
      <c r="AM34" s="18"/>
      <c r="AN34" s="18"/>
      <c r="AO34" s="100"/>
      <c r="AP34" s="100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00"/>
      <c r="BH34" s="100"/>
      <c r="BI34" s="18"/>
      <c r="BJ34" s="18"/>
      <c r="BK34" s="18"/>
      <c r="BL34" s="18"/>
      <c r="BM34" s="18"/>
      <c r="BN34" s="18"/>
      <c r="BO34" s="18"/>
      <c r="BP34" s="100"/>
      <c r="BQ34" s="100"/>
      <c r="BR34" s="18"/>
      <c r="BS34" s="18"/>
      <c r="BT34" s="18"/>
      <c r="BU34" s="18"/>
      <c r="BV34" s="18"/>
      <c r="BW34" s="100"/>
      <c r="BX34" s="100"/>
      <c r="BY34" s="18"/>
      <c r="BZ34" s="18"/>
      <c r="CA34" s="18"/>
      <c r="CB34" s="18"/>
      <c r="CC34" s="18"/>
      <c r="CD34" s="100"/>
      <c r="CE34" s="100"/>
      <c r="CF34" s="18"/>
      <c r="CG34" s="18"/>
      <c r="CH34" s="18"/>
      <c r="CI34" s="18"/>
      <c r="CJ34" s="100"/>
      <c r="CK34" s="100"/>
      <c r="CL34" s="18"/>
      <c r="CM34" s="18"/>
      <c r="CN34" s="18"/>
      <c r="CO34" s="18"/>
      <c r="CP34" s="18"/>
      <c r="CQ34" s="18"/>
      <c r="CR34" s="18"/>
      <c r="CS34" s="18"/>
      <c r="CT34" s="100"/>
      <c r="CU34" s="100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00"/>
      <c r="DK34" s="100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00"/>
      <c r="ED34" s="100"/>
      <c r="EE34" s="18"/>
      <c r="EF34" s="18"/>
      <c r="EG34" s="18"/>
      <c r="EH34" s="18"/>
      <c r="EI34" s="18"/>
      <c r="EJ34" s="100"/>
      <c r="EK34" s="100"/>
      <c r="EL34" s="19"/>
      <c r="EM34" s="19"/>
      <c r="EN34" s="19"/>
      <c r="EO34" s="19"/>
      <c r="EP34" s="19"/>
      <c r="EQ34" s="19"/>
      <c r="ER34" s="19"/>
      <c r="ES34" s="19"/>
      <c r="ET34" s="19"/>
      <c r="EU34" s="19"/>
      <c r="EV34" s="100"/>
      <c r="EW34" s="100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00"/>
      <c r="FK34" s="100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00"/>
      <c r="GC34" s="100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00"/>
      <c r="GP34" s="100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9"/>
      <c r="HF34" s="19"/>
      <c r="HG34" s="19"/>
      <c r="HH34" s="19"/>
      <c r="HI34" s="19"/>
      <c r="HJ34" s="19"/>
      <c r="HK34" s="19"/>
      <c r="HL34" s="19"/>
      <c r="HM34" s="19"/>
      <c r="HN34" s="100"/>
      <c r="HO34" s="100"/>
      <c r="HP34" s="19"/>
      <c r="HQ34" s="19"/>
      <c r="HR34" s="19"/>
      <c r="HS34" s="19"/>
      <c r="HT34" s="19"/>
      <c r="HU34" s="19"/>
      <c r="HV34" s="19"/>
      <c r="HW34" s="19"/>
      <c r="HX34" s="19"/>
      <c r="HY34" s="19"/>
      <c r="HZ34" s="19"/>
      <c r="IA34" s="19"/>
      <c r="IB34" s="19"/>
      <c r="IC34" s="19"/>
      <c r="ID34" s="19"/>
      <c r="IE34" s="100"/>
      <c r="IF34" s="100"/>
      <c r="IG34" s="18"/>
      <c r="IH34" s="18"/>
      <c r="II34" s="18"/>
      <c r="IJ34" s="18"/>
      <c r="IK34" s="18"/>
      <c r="IL34" s="100"/>
      <c r="IM34" s="100"/>
      <c r="IN34" s="18"/>
      <c r="IO34" s="18"/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00"/>
      <c r="JJ34" s="100"/>
      <c r="JK34" s="18"/>
      <c r="JL34" s="18"/>
      <c r="JM34" s="18"/>
      <c r="JN34" s="18"/>
      <c r="JO34" s="18"/>
      <c r="JP34" s="18"/>
      <c r="JQ34" s="18"/>
      <c r="JR34" s="18"/>
      <c r="JS34" s="18"/>
      <c r="JT34" s="18"/>
      <c r="JU34" s="100"/>
      <c r="JV34" s="100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00"/>
      <c r="KN34" s="100"/>
      <c r="KO34" s="18"/>
      <c r="KP34" s="18"/>
      <c r="KQ34" s="18"/>
      <c r="KR34" s="18"/>
      <c r="KS34" s="18"/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00"/>
      <c r="LE34" s="100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8"/>
      <c r="LR34" s="18"/>
      <c r="LS34" s="18"/>
      <c r="LT34" s="18"/>
      <c r="LU34" s="18"/>
      <c r="LV34" s="18"/>
      <c r="LW34" s="18"/>
      <c r="LX34" s="18"/>
      <c r="LY34" s="100"/>
      <c r="LZ34" s="100"/>
      <c r="MA34" s="18"/>
      <c r="MB34" s="19"/>
      <c r="MC34" s="19"/>
      <c r="MD34" s="19"/>
      <c r="ME34" s="19"/>
      <c r="MF34" s="19"/>
      <c r="MG34" s="19"/>
      <c r="MH34" s="19"/>
      <c r="MI34" s="19"/>
      <c r="MJ34" s="19"/>
      <c r="MK34" s="19"/>
      <c r="ML34" s="19"/>
      <c r="MM34" s="19"/>
      <c r="MN34" s="19"/>
    </row>
    <row r="35" spans="1:352" ht="24.95" customHeight="1" thickTop="1" thickBot="1" x14ac:dyDescent="0.3">
      <c r="A35" s="221"/>
      <c r="B35" s="241"/>
      <c r="C35" s="198" t="s">
        <v>172</v>
      </c>
      <c r="D35" s="30"/>
      <c r="E35" s="30" t="s">
        <v>574</v>
      </c>
      <c r="F35" s="30" t="s">
        <v>118</v>
      </c>
      <c r="G35" s="30" t="s">
        <v>119</v>
      </c>
      <c r="H35" s="30" t="s">
        <v>120</v>
      </c>
      <c r="I35" s="30" t="s">
        <v>124</v>
      </c>
      <c r="J35" s="30" t="s">
        <v>125</v>
      </c>
      <c r="K35" s="30" t="s">
        <v>126</v>
      </c>
      <c r="L35" s="30" t="s">
        <v>129</v>
      </c>
      <c r="M35" s="30" t="s">
        <v>134</v>
      </c>
      <c r="N35" s="30" t="s">
        <v>135</v>
      </c>
      <c r="O35" s="30" t="s">
        <v>136</v>
      </c>
      <c r="P35" s="30" t="s">
        <v>141</v>
      </c>
      <c r="Q35" s="30" t="s">
        <v>142</v>
      </c>
      <c r="R35" s="32"/>
      <c r="S35" s="30" t="s">
        <v>180</v>
      </c>
      <c r="T35" s="30" t="s">
        <v>181</v>
      </c>
      <c r="U35" s="32"/>
      <c r="V35" s="32"/>
      <c r="W35" s="30"/>
      <c r="X35" s="17"/>
      <c r="Y35" s="17"/>
      <c r="Z35" s="20"/>
      <c r="AA35" s="20"/>
      <c r="AB35" s="17"/>
      <c r="AC35" s="17"/>
      <c r="AD35" s="17"/>
      <c r="AE35" s="17"/>
      <c r="AF35" s="17"/>
      <c r="AG35" s="17"/>
      <c r="AH35" s="21"/>
      <c r="AI35" s="17"/>
      <c r="AJ35" s="17"/>
      <c r="AK35" s="17"/>
      <c r="AL35" s="17"/>
      <c r="AM35" s="17"/>
      <c r="AN35" s="17"/>
      <c r="AO35" s="21"/>
      <c r="AP35" s="21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21"/>
      <c r="BH35" s="21"/>
      <c r="BI35" s="17"/>
      <c r="BJ35" s="17"/>
      <c r="BK35" s="17"/>
      <c r="BL35" s="17"/>
      <c r="BM35" s="17"/>
      <c r="BN35" s="17"/>
      <c r="BO35" s="17"/>
      <c r="BP35" s="21"/>
      <c r="BQ35" s="21"/>
      <c r="BR35" s="17"/>
      <c r="BS35" s="17"/>
      <c r="BT35" s="17"/>
      <c r="BU35" s="17"/>
      <c r="BV35" s="17"/>
      <c r="BW35" s="21"/>
      <c r="BX35" s="21"/>
      <c r="BY35" s="17"/>
      <c r="BZ35" s="17"/>
      <c r="CA35" s="17"/>
      <c r="CB35" s="17"/>
      <c r="CC35" s="17"/>
      <c r="CD35" s="21"/>
      <c r="CE35" s="21"/>
      <c r="CF35" s="17"/>
      <c r="CG35" s="17"/>
      <c r="CH35" s="17"/>
      <c r="CI35" s="17"/>
      <c r="CJ35" s="21"/>
      <c r="CK35" s="21"/>
      <c r="CL35" s="17"/>
      <c r="CM35" s="17"/>
      <c r="CN35" s="17"/>
      <c r="CO35" s="17"/>
      <c r="CP35" s="17"/>
      <c r="CQ35" s="17"/>
      <c r="CR35" s="17"/>
      <c r="CS35" s="17"/>
      <c r="CT35" s="21"/>
      <c r="CU35" s="21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21"/>
      <c r="DK35" s="21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21"/>
      <c r="ED35" s="21"/>
      <c r="EE35" s="17"/>
      <c r="EF35" s="17"/>
      <c r="EG35" s="17"/>
      <c r="EH35" s="17"/>
      <c r="EI35" s="17"/>
      <c r="EJ35" s="21"/>
      <c r="EK35" s="21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1"/>
      <c r="EW35" s="21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21"/>
      <c r="FK35" s="21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21"/>
      <c r="GC35" s="21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21"/>
      <c r="GP35" s="21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20"/>
      <c r="HF35" s="20"/>
      <c r="HG35" s="20"/>
      <c r="HH35" s="20"/>
      <c r="HI35" s="20"/>
      <c r="HJ35" s="20"/>
      <c r="HK35" s="20"/>
      <c r="HL35" s="20"/>
      <c r="HM35" s="20"/>
      <c r="HN35" s="21"/>
      <c r="HO35" s="21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1"/>
      <c r="IF35" s="21"/>
      <c r="IG35" s="17"/>
      <c r="IH35" s="17"/>
      <c r="II35" s="17"/>
      <c r="IJ35" s="17"/>
      <c r="IK35" s="17"/>
      <c r="IL35" s="21"/>
      <c r="IM35" s="21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21"/>
      <c r="JJ35" s="21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21"/>
      <c r="JV35" s="21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21"/>
      <c r="KN35" s="21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21"/>
      <c r="LE35" s="21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21"/>
      <c r="LZ35" s="21"/>
      <c r="MA35" s="17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</row>
    <row r="36" spans="1:352" ht="24.95" customHeight="1" thickTop="1" thickBot="1" x14ac:dyDescent="0.3">
      <c r="A36" s="221"/>
      <c r="B36" s="241"/>
      <c r="C36" s="198" t="s">
        <v>171</v>
      </c>
      <c r="D36" s="29" t="s">
        <v>182</v>
      </c>
      <c r="E36" s="228" t="s">
        <v>703</v>
      </c>
      <c r="F36" s="229"/>
      <c r="G36" s="229"/>
      <c r="H36" s="230"/>
      <c r="I36" s="29" t="s">
        <v>190</v>
      </c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00"/>
      <c r="AI36" s="18"/>
      <c r="AJ36" s="18"/>
      <c r="AK36" s="18"/>
      <c r="AL36" s="18"/>
      <c r="AM36" s="18"/>
      <c r="AN36" s="18"/>
      <c r="AO36" s="100"/>
      <c r="AP36" s="100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00"/>
      <c r="BH36" s="100"/>
      <c r="BI36" s="18"/>
      <c r="BJ36" s="18"/>
      <c r="BK36" s="18"/>
      <c r="BL36" s="18"/>
      <c r="BM36" s="18"/>
      <c r="BN36" s="18"/>
      <c r="BO36" s="18"/>
      <c r="BP36" s="100"/>
      <c r="BQ36" s="100"/>
      <c r="BR36" s="18"/>
      <c r="BS36" s="18"/>
      <c r="BT36" s="18"/>
      <c r="BU36" s="18"/>
      <c r="BV36" s="18"/>
      <c r="BW36" s="100"/>
      <c r="BX36" s="100"/>
      <c r="BY36" s="18"/>
      <c r="BZ36" s="18"/>
      <c r="CA36" s="18"/>
      <c r="CB36" s="18"/>
      <c r="CC36" s="18"/>
      <c r="CD36" s="100"/>
      <c r="CE36" s="100"/>
      <c r="CF36" s="18"/>
      <c r="CG36" s="18"/>
      <c r="CH36" s="18"/>
      <c r="CI36" s="18"/>
      <c r="CJ36" s="100"/>
      <c r="CK36" s="100"/>
      <c r="CL36" s="18"/>
      <c r="CM36" s="18"/>
      <c r="CN36" s="18"/>
      <c r="CO36" s="18"/>
      <c r="CP36" s="18"/>
      <c r="CQ36" s="18"/>
      <c r="CR36" s="18"/>
      <c r="CS36" s="18"/>
      <c r="CT36" s="100"/>
      <c r="CU36" s="100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00"/>
      <c r="DK36" s="100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00"/>
      <c r="ED36" s="100"/>
      <c r="EE36" s="18"/>
      <c r="EF36" s="18"/>
      <c r="EG36" s="18"/>
      <c r="EH36" s="18"/>
      <c r="EI36" s="18"/>
      <c r="EJ36" s="100"/>
      <c r="EK36" s="100"/>
      <c r="EL36" s="19"/>
      <c r="EM36" s="19"/>
      <c r="EN36" s="19"/>
      <c r="EO36" s="19"/>
      <c r="EP36" s="19"/>
      <c r="EQ36" s="19"/>
      <c r="ER36" s="19"/>
      <c r="ES36" s="19"/>
      <c r="ET36" s="19"/>
      <c r="EU36" s="19"/>
      <c r="EV36" s="100"/>
      <c r="EW36" s="100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00"/>
      <c r="FK36" s="100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00"/>
      <c r="GC36" s="100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00"/>
      <c r="GP36" s="100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9"/>
      <c r="HF36" s="19"/>
      <c r="HG36" s="19"/>
      <c r="HH36" s="19"/>
      <c r="HI36" s="19"/>
      <c r="HJ36" s="19"/>
      <c r="HK36" s="19"/>
      <c r="HL36" s="19"/>
      <c r="HM36" s="19"/>
      <c r="HN36" s="100"/>
      <c r="HO36" s="100"/>
      <c r="HP36" s="19"/>
      <c r="HQ36" s="19"/>
      <c r="HR36" s="19"/>
      <c r="HS36" s="19"/>
      <c r="HT36" s="19"/>
      <c r="HU36" s="19"/>
      <c r="HV36" s="19"/>
      <c r="HW36" s="19"/>
      <c r="HX36" s="19"/>
      <c r="HY36" s="19"/>
      <c r="HZ36" s="19"/>
      <c r="IA36" s="19"/>
      <c r="IB36" s="19"/>
      <c r="IC36" s="19"/>
      <c r="ID36" s="19"/>
      <c r="IE36" s="100"/>
      <c r="IF36" s="100"/>
      <c r="IG36" s="18"/>
      <c r="IH36" s="18"/>
      <c r="II36" s="18"/>
      <c r="IJ36" s="18"/>
      <c r="IK36" s="18"/>
      <c r="IL36" s="100"/>
      <c r="IM36" s="100"/>
      <c r="IN36" s="18"/>
      <c r="IO36" s="18"/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00"/>
      <c r="JJ36" s="100"/>
      <c r="JK36" s="18"/>
      <c r="JL36" s="18"/>
      <c r="JM36" s="18"/>
      <c r="JN36" s="18"/>
      <c r="JO36" s="18"/>
      <c r="JP36" s="18"/>
      <c r="JQ36" s="18"/>
      <c r="JR36" s="18"/>
      <c r="JS36" s="18"/>
      <c r="JT36" s="18"/>
      <c r="JU36" s="100"/>
      <c r="JV36" s="100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8"/>
      <c r="KM36" s="100"/>
      <c r="KN36" s="100"/>
      <c r="KO36" s="18"/>
      <c r="KP36" s="18"/>
      <c r="KQ36" s="18"/>
      <c r="KR36" s="18"/>
      <c r="KS36" s="18"/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00"/>
      <c r="LE36" s="100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8"/>
      <c r="LR36" s="18"/>
      <c r="LS36" s="18"/>
      <c r="LT36" s="18"/>
      <c r="LU36" s="18"/>
      <c r="LV36" s="18"/>
      <c r="LW36" s="18"/>
      <c r="LX36" s="18"/>
      <c r="LY36" s="100"/>
      <c r="LZ36" s="100"/>
      <c r="MA36" s="18"/>
      <c r="MB36" s="19"/>
      <c r="MC36" s="19"/>
      <c r="MD36" s="19"/>
      <c r="ME36" s="19"/>
      <c r="MF36" s="19"/>
      <c r="MG36" s="19"/>
      <c r="MH36" s="19"/>
      <c r="MI36" s="19"/>
      <c r="MJ36" s="19"/>
      <c r="MK36" s="19"/>
      <c r="ML36" s="19"/>
      <c r="MM36" s="19"/>
      <c r="MN36" s="19"/>
    </row>
    <row r="37" spans="1:352" ht="24.95" customHeight="1" thickTop="1" thickBot="1" x14ac:dyDescent="0.3">
      <c r="A37" s="221"/>
      <c r="B37" s="241"/>
      <c r="C37" s="198" t="s">
        <v>171</v>
      </c>
      <c r="D37" s="30"/>
      <c r="E37" s="30" t="s">
        <v>249</v>
      </c>
      <c r="F37" s="30" t="s">
        <v>207</v>
      </c>
      <c r="G37" s="30" t="s">
        <v>201</v>
      </c>
      <c r="H37" s="30" t="s">
        <v>202</v>
      </c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21"/>
      <c r="AI37" s="17"/>
      <c r="AJ37" s="17"/>
      <c r="AK37" s="17"/>
      <c r="AL37" s="17"/>
      <c r="AM37" s="17"/>
      <c r="AN37" s="17"/>
      <c r="AO37" s="21"/>
      <c r="AP37" s="21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21"/>
      <c r="BH37" s="21"/>
      <c r="BI37" s="17"/>
      <c r="BJ37" s="17"/>
      <c r="BK37" s="17"/>
      <c r="BL37" s="17"/>
      <c r="BM37" s="17"/>
      <c r="BN37" s="17"/>
      <c r="BO37" s="17"/>
      <c r="BP37" s="21"/>
      <c r="BQ37" s="21"/>
      <c r="BR37" s="17"/>
      <c r="BS37" s="17"/>
      <c r="BT37" s="17"/>
      <c r="BU37" s="17"/>
      <c r="BV37" s="17"/>
      <c r="BW37" s="21"/>
      <c r="BX37" s="21"/>
      <c r="BY37" s="17"/>
      <c r="BZ37" s="17"/>
      <c r="CA37" s="17"/>
      <c r="CB37" s="17"/>
      <c r="CC37" s="17"/>
      <c r="CD37" s="21"/>
      <c r="CE37" s="21"/>
      <c r="CF37" s="17"/>
      <c r="CG37" s="17"/>
      <c r="CH37" s="17"/>
      <c r="CI37" s="17"/>
      <c r="CJ37" s="21"/>
      <c r="CK37" s="21"/>
      <c r="CL37" s="17"/>
      <c r="CM37" s="17"/>
      <c r="CN37" s="17"/>
      <c r="CO37" s="17"/>
      <c r="CP37" s="17"/>
      <c r="CQ37" s="17"/>
      <c r="CR37" s="17"/>
      <c r="CS37" s="17"/>
      <c r="CT37" s="21"/>
      <c r="CU37" s="21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21"/>
      <c r="DK37" s="21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21"/>
      <c r="ED37" s="21"/>
      <c r="EE37" s="17"/>
      <c r="EF37" s="17"/>
      <c r="EG37" s="17"/>
      <c r="EH37" s="17"/>
      <c r="EI37" s="17"/>
      <c r="EJ37" s="21"/>
      <c r="EK37" s="21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1"/>
      <c r="EW37" s="21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21"/>
      <c r="FK37" s="21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21"/>
      <c r="GC37" s="21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21"/>
      <c r="GP37" s="21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20"/>
      <c r="HF37" s="20"/>
      <c r="HG37" s="20"/>
      <c r="HH37" s="20"/>
      <c r="HI37" s="20"/>
      <c r="HJ37" s="20"/>
      <c r="HK37" s="20"/>
      <c r="HL37" s="20"/>
      <c r="HM37" s="20"/>
      <c r="HN37" s="21"/>
      <c r="HO37" s="21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1"/>
      <c r="IF37" s="21"/>
      <c r="IG37" s="17"/>
      <c r="IH37" s="17"/>
      <c r="II37" s="17"/>
      <c r="IJ37" s="17"/>
      <c r="IK37" s="17"/>
      <c r="IL37" s="21"/>
      <c r="IM37" s="21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21"/>
      <c r="JJ37" s="21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21"/>
      <c r="JV37" s="21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21"/>
      <c r="KN37" s="21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21"/>
      <c r="LE37" s="21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21"/>
      <c r="LZ37" s="21"/>
      <c r="MA37" s="17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</row>
    <row r="38" spans="1:352" ht="24.95" customHeight="1" thickTop="1" thickBot="1" x14ac:dyDescent="0.3">
      <c r="A38" s="221"/>
      <c r="B38" s="241"/>
      <c r="C38" s="198" t="s">
        <v>173</v>
      </c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31"/>
      <c r="Q38" s="29"/>
      <c r="R38" s="29"/>
      <c r="S38" s="29"/>
      <c r="T38" s="29"/>
      <c r="U38" s="29"/>
      <c r="V38" s="29"/>
      <c r="W38" s="29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00"/>
      <c r="AI38" s="18"/>
      <c r="AJ38" s="18"/>
      <c r="AK38" s="18"/>
      <c r="AL38" s="18"/>
      <c r="AM38" s="18"/>
      <c r="AN38" s="18"/>
      <c r="AO38" s="100"/>
      <c r="AP38" s="100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00"/>
      <c r="BH38" s="100"/>
      <c r="BI38" s="18"/>
      <c r="BJ38" s="18"/>
      <c r="BK38" s="18"/>
      <c r="BL38" s="18"/>
      <c r="BM38" s="18"/>
      <c r="BN38" s="18"/>
      <c r="BO38" s="18"/>
      <c r="BP38" s="100"/>
      <c r="BQ38" s="100"/>
      <c r="BR38" s="18"/>
      <c r="BS38" s="18"/>
      <c r="BT38" s="18"/>
      <c r="BU38" s="18"/>
      <c r="BV38" s="18"/>
      <c r="BW38" s="100"/>
      <c r="BX38" s="100"/>
      <c r="BY38" s="18"/>
      <c r="BZ38" s="18"/>
      <c r="CA38" s="18"/>
      <c r="CB38" s="18"/>
      <c r="CC38" s="18"/>
      <c r="CD38" s="100"/>
      <c r="CE38" s="100"/>
      <c r="CF38" s="18"/>
      <c r="CG38" s="18"/>
      <c r="CH38" s="18"/>
      <c r="CI38" s="18"/>
      <c r="CJ38" s="100"/>
      <c r="CK38" s="100"/>
      <c r="CL38" s="18"/>
      <c r="CM38" s="18"/>
      <c r="CN38" s="18"/>
      <c r="CO38" s="18"/>
      <c r="CP38" s="18"/>
      <c r="CQ38" s="18"/>
      <c r="CR38" s="18"/>
      <c r="CS38" s="18"/>
      <c r="CT38" s="100"/>
      <c r="CU38" s="100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00"/>
      <c r="DK38" s="100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00"/>
      <c r="ED38" s="100"/>
      <c r="EE38" s="18"/>
      <c r="EF38" s="18"/>
      <c r="EG38" s="18"/>
      <c r="EH38" s="18"/>
      <c r="EI38" s="18"/>
      <c r="EJ38" s="100"/>
      <c r="EK38" s="100"/>
      <c r="EL38" s="19"/>
      <c r="EM38" s="19"/>
      <c r="EN38" s="19"/>
      <c r="EO38" s="19"/>
      <c r="EP38" s="19"/>
      <c r="EQ38" s="19"/>
      <c r="ER38" s="19"/>
      <c r="ES38" s="19"/>
      <c r="ET38" s="19"/>
      <c r="EU38" s="19"/>
      <c r="EV38" s="100"/>
      <c r="EW38" s="100"/>
      <c r="EX38" s="18"/>
      <c r="EY38" s="18"/>
      <c r="EZ38" s="18"/>
      <c r="FA38" s="18"/>
      <c r="FB38" s="18"/>
      <c r="FC38" s="18"/>
      <c r="FD38" s="18"/>
      <c r="FE38" s="18"/>
      <c r="FF38" s="18"/>
      <c r="FG38" s="18"/>
      <c r="FH38" s="18"/>
      <c r="FI38" s="18"/>
      <c r="FJ38" s="100"/>
      <c r="FK38" s="100"/>
      <c r="FL38" s="18"/>
      <c r="FM38" s="18"/>
      <c r="FN38" s="18"/>
      <c r="FO38" s="18"/>
      <c r="FP38" s="18"/>
      <c r="FQ38" s="18"/>
      <c r="FR38" s="18"/>
      <c r="FS38" s="18"/>
      <c r="FT38" s="18"/>
      <c r="FU38" s="18"/>
      <c r="FV38" s="18"/>
      <c r="FW38" s="18"/>
      <c r="FX38" s="18"/>
      <c r="FY38" s="18"/>
      <c r="FZ38" s="18"/>
      <c r="GA38" s="18"/>
      <c r="GB38" s="100"/>
      <c r="GC38" s="100"/>
      <c r="GD38" s="18"/>
      <c r="GE38" s="18"/>
      <c r="GF38" s="18"/>
      <c r="GG38" s="18"/>
      <c r="GH38" s="18"/>
      <c r="GI38" s="18"/>
      <c r="GJ38" s="18"/>
      <c r="GK38" s="18"/>
      <c r="GL38" s="18"/>
      <c r="GM38" s="18"/>
      <c r="GN38" s="18"/>
      <c r="GO38" s="100"/>
      <c r="GP38" s="100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9"/>
      <c r="HF38" s="19"/>
      <c r="HG38" s="19"/>
      <c r="HH38" s="19"/>
      <c r="HI38" s="19"/>
      <c r="HJ38" s="19"/>
      <c r="HK38" s="19"/>
      <c r="HL38" s="19"/>
      <c r="HM38" s="19"/>
      <c r="HN38" s="100"/>
      <c r="HO38" s="100"/>
      <c r="HP38" s="19"/>
      <c r="HQ38" s="19"/>
      <c r="HR38" s="19"/>
      <c r="HS38" s="19"/>
      <c r="HT38" s="19"/>
      <c r="HU38" s="19"/>
      <c r="HV38" s="19"/>
      <c r="HW38" s="19"/>
      <c r="HX38" s="19"/>
      <c r="HY38" s="19"/>
      <c r="HZ38" s="19"/>
      <c r="IA38" s="19"/>
      <c r="IB38" s="19"/>
      <c r="IC38" s="19"/>
      <c r="ID38" s="19"/>
      <c r="IE38" s="100"/>
      <c r="IF38" s="100"/>
      <c r="IG38" s="18"/>
      <c r="IH38" s="18"/>
      <c r="II38" s="18"/>
      <c r="IJ38" s="18"/>
      <c r="IK38" s="18"/>
      <c r="IL38" s="100"/>
      <c r="IM38" s="100"/>
      <c r="IN38" s="18"/>
      <c r="IO38" s="18"/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00"/>
      <c r="JJ38" s="100"/>
      <c r="JK38" s="18"/>
      <c r="JL38" s="18"/>
      <c r="JM38" s="18"/>
      <c r="JN38" s="18"/>
      <c r="JO38" s="18"/>
      <c r="JP38" s="18"/>
      <c r="JQ38" s="18"/>
      <c r="JR38" s="18"/>
      <c r="JS38" s="18"/>
      <c r="JT38" s="18"/>
      <c r="JU38" s="100"/>
      <c r="JV38" s="100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8"/>
      <c r="KM38" s="100"/>
      <c r="KN38" s="100"/>
      <c r="KO38" s="18"/>
      <c r="KP38" s="18"/>
      <c r="KQ38" s="18"/>
      <c r="KR38" s="18"/>
      <c r="KS38" s="18"/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00"/>
      <c r="LE38" s="100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8"/>
      <c r="LR38" s="18"/>
      <c r="LS38" s="18"/>
      <c r="LT38" s="18"/>
      <c r="LU38" s="18"/>
      <c r="LV38" s="18"/>
      <c r="LW38" s="18"/>
      <c r="LX38" s="18"/>
      <c r="LY38" s="100"/>
      <c r="LZ38" s="100"/>
      <c r="MA38" s="18"/>
      <c r="MB38" s="19"/>
      <c r="MC38" s="19"/>
      <c r="MD38" s="19"/>
      <c r="ME38" s="19"/>
      <c r="MF38" s="19"/>
      <c r="MG38" s="19"/>
      <c r="MH38" s="19"/>
      <c r="MI38" s="19"/>
      <c r="MJ38" s="19"/>
      <c r="MK38" s="19"/>
      <c r="ML38" s="19"/>
      <c r="MM38" s="19"/>
      <c r="MN38" s="19"/>
    </row>
    <row r="39" spans="1:352" ht="24.95" customHeight="1" thickTop="1" thickBot="1" x14ac:dyDescent="0.3">
      <c r="A39" s="221"/>
      <c r="B39" s="241"/>
      <c r="C39" s="198" t="s">
        <v>173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2"/>
      <c r="Q39" s="30"/>
      <c r="R39" s="30"/>
      <c r="S39" s="30"/>
      <c r="T39" s="30"/>
      <c r="U39" s="30"/>
      <c r="V39" s="30"/>
      <c r="W39" s="30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21"/>
      <c r="AI39" s="17"/>
      <c r="AJ39" s="17"/>
      <c r="AK39" s="17"/>
      <c r="AL39" s="17"/>
      <c r="AM39" s="17"/>
      <c r="AN39" s="17"/>
      <c r="AO39" s="21"/>
      <c r="AP39" s="21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21"/>
      <c r="BH39" s="21"/>
      <c r="BI39" s="17"/>
      <c r="BJ39" s="17"/>
      <c r="BK39" s="17"/>
      <c r="BL39" s="17"/>
      <c r="BM39" s="17"/>
      <c r="BN39" s="17"/>
      <c r="BO39" s="17"/>
      <c r="BP39" s="21"/>
      <c r="BQ39" s="21"/>
      <c r="BR39" s="17"/>
      <c r="BS39" s="17"/>
      <c r="BT39" s="17"/>
      <c r="BU39" s="17"/>
      <c r="BV39" s="17"/>
      <c r="BW39" s="21"/>
      <c r="BX39" s="21"/>
      <c r="BY39" s="17"/>
      <c r="BZ39" s="17"/>
      <c r="CA39" s="17"/>
      <c r="CB39" s="17"/>
      <c r="CC39" s="17"/>
      <c r="CD39" s="21"/>
      <c r="CE39" s="21"/>
      <c r="CF39" s="17"/>
      <c r="CG39" s="17"/>
      <c r="CH39" s="17"/>
      <c r="CI39" s="17"/>
      <c r="CJ39" s="21"/>
      <c r="CK39" s="21"/>
      <c r="CL39" s="17"/>
      <c r="CM39" s="17"/>
      <c r="CN39" s="17"/>
      <c r="CO39" s="17"/>
      <c r="CP39" s="17"/>
      <c r="CQ39" s="17"/>
      <c r="CR39" s="17"/>
      <c r="CS39" s="17"/>
      <c r="CT39" s="21"/>
      <c r="CU39" s="21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21"/>
      <c r="DK39" s="21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21"/>
      <c r="ED39" s="21"/>
      <c r="EE39" s="17"/>
      <c r="EF39" s="17"/>
      <c r="EG39" s="17"/>
      <c r="EH39" s="17"/>
      <c r="EI39" s="17"/>
      <c r="EJ39" s="21"/>
      <c r="EK39" s="21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1"/>
      <c r="EW39" s="21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21"/>
      <c r="FK39" s="21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21"/>
      <c r="GC39" s="21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21"/>
      <c r="GP39" s="21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20"/>
      <c r="HF39" s="20"/>
      <c r="HG39" s="20"/>
      <c r="HH39" s="20"/>
      <c r="HI39" s="20"/>
      <c r="HJ39" s="20"/>
      <c r="HK39" s="20"/>
      <c r="HL39" s="20"/>
      <c r="HM39" s="20"/>
      <c r="HN39" s="21"/>
      <c r="HO39" s="21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1"/>
      <c r="IF39" s="21"/>
      <c r="IG39" s="17"/>
      <c r="IH39" s="17"/>
      <c r="II39" s="17"/>
      <c r="IJ39" s="17"/>
      <c r="IK39" s="17"/>
      <c r="IL39" s="21"/>
      <c r="IM39" s="21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17"/>
      <c r="JE39" s="17"/>
      <c r="JF39" s="17"/>
      <c r="JG39" s="17"/>
      <c r="JH39" s="17"/>
      <c r="JI39" s="21"/>
      <c r="JJ39" s="21"/>
      <c r="JK39" s="17"/>
      <c r="JL39" s="17"/>
      <c r="JM39" s="17"/>
      <c r="JN39" s="17"/>
      <c r="JO39" s="17"/>
      <c r="JP39" s="17"/>
      <c r="JQ39" s="17"/>
      <c r="JR39" s="17"/>
      <c r="JS39" s="17"/>
      <c r="JT39" s="17"/>
      <c r="JU39" s="21"/>
      <c r="JV39" s="21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21"/>
      <c r="KN39" s="21"/>
      <c r="KO39" s="17"/>
      <c r="KP39" s="17"/>
      <c r="KQ39" s="17"/>
      <c r="KR39" s="17"/>
      <c r="KS39" s="17"/>
      <c r="KT39" s="17"/>
      <c r="KU39" s="17"/>
      <c r="KV39" s="17"/>
      <c r="KW39" s="17"/>
      <c r="KX39" s="17"/>
      <c r="KY39" s="17"/>
      <c r="KZ39" s="17"/>
      <c r="LA39" s="17"/>
      <c r="LB39" s="17"/>
      <c r="LC39" s="17"/>
      <c r="LD39" s="21"/>
      <c r="LE39" s="21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17"/>
      <c r="LU39" s="17"/>
      <c r="LV39" s="17"/>
      <c r="LW39" s="17"/>
      <c r="LX39" s="17"/>
      <c r="LY39" s="21"/>
      <c r="LZ39" s="21"/>
      <c r="MA39" s="17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</row>
    <row r="40" spans="1:352" ht="24.95" customHeight="1" thickTop="1" thickBot="1" x14ac:dyDescent="0.3">
      <c r="A40" s="221"/>
      <c r="B40" s="241"/>
      <c r="C40" s="198" t="s">
        <v>715</v>
      </c>
      <c r="D40" s="29" t="s">
        <v>378</v>
      </c>
      <c r="E40" s="29" t="s">
        <v>160</v>
      </c>
      <c r="F40" s="29" t="s">
        <v>161</v>
      </c>
      <c r="G40" s="18" t="s">
        <v>150</v>
      </c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00"/>
      <c r="AH40" s="100"/>
      <c r="AI40" s="18"/>
      <c r="AJ40" s="18"/>
      <c r="AK40" s="18"/>
      <c r="AL40" s="18"/>
      <c r="AM40" s="18"/>
      <c r="AN40" s="18"/>
      <c r="AO40" s="100"/>
      <c r="AP40" s="100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00"/>
      <c r="BH40" s="100"/>
      <c r="BI40" s="18"/>
      <c r="BJ40" s="18"/>
      <c r="BK40" s="18"/>
      <c r="BL40" s="18"/>
      <c r="BM40" s="18"/>
      <c r="BN40" s="18"/>
      <c r="BO40" s="18"/>
      <c r="BP40" s="100"/>
      <c r="BQ40" s="100"/>
      <c r="BR40" s="18"/>
      <c r="BS40" s="18"/>
      <c r="BT40" s="18"/>
      <c r="BU40" s="18"/>
      <c r="BV40" s="18"/>
      <c r="BW40" s="100"/>
      <c r="BX40" s="100"/>
      <c r="BY40" s="18"/>
      <c r="BZ40" s="18"/>
      <c r="CA40" s="18"/>
      <c r="CB40" s="18"/>
      <c r="CC40" s="18"/>
      <c r="CD40" s="100"/>
      <c r="CE40" s="100"/>
      <c r="CF40" s="18"/>
      <c r="CG40" s="18"/>
      <c r="CH40" s="18"/>
      <c r="CI40" s="18"/>
      <c r="CJ40" s="100"/>
      <c r="CK40" s="100"/>
      <c r="CL40" s="18"/>
      <c r="CM40" s="18"/>
      <c r="CN40" s="18"/>
      <c r="CO40" s="18"/>
      <c r="CP40" s="18"/>
      <c r="CQ40" s="18"/>
      <c r="CR40" s="18"/>
      <c r="CS40" s="18"/>
      <c r="CT40" s="100"/>
      <c r="CU40" s="100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00"/>
      <c r="DK40" s="100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00"/>
      <c r="ED40" s="100"/>
      <c r="EE40" s="18"/>
      <c r="EF40" s="18"/>
      <c r="EG40" s="18"/>
      <c r="EH40" s="18"/>
      <c r="EI40" s="18"/>
      <c r="EJ40" s="100"/>
      <c r="EK40" s="100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00"/>
      <c r="EW40" s="100"/>
      <c r="EX40" s="18"/>
      <c r="EY40" s="18"/>
      <c r="EZ40" s="18"/>
      <c r="FA40" s="18"/>
      <c r="FB40" s="18"/>
      <c r="FC40" s="18"/>
      <c r="FD40" s="18"/>
      <c r="FE40" s="18"/>
      <c r="FF40" s="18"/>
      <c r="FG40" s="18"/>
      <c r="FH40" s="18"/>
      <c r="FI40" s="18"/>
      <c r="FJ40" s="100"/>
      <c r="FK40" s="100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00"/>
      <c r="GC40" s="100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00"/>
      <c r="GP40" s="100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9"/>
      <c r="HF40" s="19"/>
      <c r="HG40" s="19"/>
      <c r="HH40" s="19"/>
      <c r="HI40" s="19"/>
      <c r="HJ40" s="19"/>
      <c r="HK40" s="19"/>
      <c r="HL40" s="19"/>
      <c r="HM40" s="19"/>
      <c r="HN40" s="100"/>
      <c r="HO40" s="100"/>
      <c r="HP40" s="19"/>
      <c r="HQ40" s="19"/>
      <c r="HR40" s="19"/>
      <c r="HS40" s="19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00"/>
      <c r="IF40" s="100"/>
      <c r="IG40" s="18"/>
      <c r="IH40" s="18"/>
      <c r="II40" s="18"/>
      <c r="IJ40" s="18"/>
      <c r="IK40" s="18"/>
      <c r="IL40" s="100"/>
      <c r="IM40" s="100"/>
      <c r="IN40" s="18"/>
      <c r="IO40" s="18"/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00"/>
      <c r="JJ40" s="100"/>
      <c r="JK40" s="18"/>
      <c r="JL40" s="18"/>
      <c r="JM40" s="18"/>
      <c r="JN40" s="18"/>
      <c r="JO40" s="18"/>
      <c r="JP40" s="18"/>
      <c r="JQ40" s="18"/>
      <c r="JR40" s="18"/>
      <c r="JS40" s="18"/>
      <c r="JT40" s="18"/>
      <c r="JU40" s="100"/>
      <c r="JV40" s="100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8"/>
      <c r="KM40" s="100"/>
      <c r="KN40" s="100"/>
      <c r="KO40" s="18"/>
      <c r="KP40" s="18"/>
      <c r="KQ40" s="18"/>
      <c r="KR40" s="18"/>
      <c r="KS40" s="18"/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00"/>
      <c r="LE40" s="100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8"/>
      <c r="LR40" s="18"/>
      <c r="LS40" s="18"/>
      <c r="LT40" s="18"/>
      <c r="LU40" s="18"/>
      <c r="LV40" s="18"/>
      <c r="LW40" s="18"/>
      <c r="LX40" s="18"/>
      <c r="LY40" s="99"/>
      <c r="LZ40" s="19"/>
      <c r="MA40" s="18"/>
      <c r="MB40" s="19"/>
      <c r="MC40" s="19"/>
      <c r="MD40" s="19"/>
      <c r="ME40" s="19"/>
      <c r="MF40" s="19"/>
      <c r="MG40" s="19"/>
      <c r="MH40" s="19"/>
      <c r="MI40" s="19"/>
      <c r="MJ40" s="19"/>
      <c r="MK40" s="19"/>
      <c r="ML40" s="19"/>
      <c r="MM40" s="19"/>
      <c r="MN40" s="19"/>
    </row>
    <row r="41" spans="1:352" ht="24.95" customHeight="1" thickTop="1" thickBot="1" x14ac:dyDescent="0.3">
      <c r="A41" s="221"/>
      <c r="B41" s="241"/>
      <c r="C41" s="198" t="s">
        <v>715</v>
      </c>
      <c r="D41" s="30" t="s">
        <v>125</v>
      </c>
      <c r="E41" s="30"/>
      <c r="F41" s="30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21"/>
      <c r="AH41" s="21"/>
      <c r="AI41" s="17"/>
      <c r="AJ41" s="17"/>
      <c r="AK41" s="17"/>
      <c r="AL41" s="17"/>
      <c r="AM41" s="17"/>
      <c r="AN41" s="17"/>
      <c r="AO41" s="21"/>
      <c r="AP41" s="21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21"/>
      <c r="BH41" s="21"/>
      <c r="BI41" s="17"/>
      <c r="BJ41" s="17"/>
      <c r="BK41" s="17"/>
      <c r="BL41" s="17"/>
      <c r="BM41" s="17"/>
      <c r="BN41" s="17"/>
      <c r="BO41" s="17"/>
      <c r="BP41" s="21"/>
      <c r="BQ41" s="21"/>
      <c r="BR41" s="17"/>
      <c r="BS41" s="17"/>
      <c r="BT41" s="17"/>
      <c r="BU41" s="17"/>
      <c r="BV41" s="17"/>
      <c r="BW41" s="21"/>
      <c r="BX41" s="21"/>
      <c r="BY41" s="17"/>
      <c r="BZ41" s="17"/>
      <c r="CA41" s="17"/>
      <c r="CB41" s="17"/>
      <c r="CC41" s="17"/>
      <c r="CD41" s="21"/>
      <c r="CE41" s="21"/>
      <c r="CF41" s="17"/>
      <c r="CG41" s="17"/>
      <c r="CH41" s="17"/>
      <c r="CI41" s="17"/>
      <c r="CJ41" s="21"/>
      <c r="CK41" s="21"/>
      <c r="CL41" s="17"/>
      <c r="CM41" s="17"/>
      <c r="CN41" s="17"/>
      <c r="CO41" s="17"/>
      <c r="CP41" s="17"/>
      <c r="CQ41" s="17"/>
      <c r="CR41" s="17"/>
      <c r="CS41" s="17"/>
      <c r="CT41" s="21"/>
      <c r="CU41" s="21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21"/>
      <c r="DK41" s="21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21"/>
      <c r="ED41" s="21"/>
      <c r="EE41" s="17"/>
      <c r="EF41" s="17"/>
      <c r="EG41" s="17"/>
      <c r="EH41" s="17"/>
      <c r="EI41" s="17"/>
      <c r="EJ41" s="21"/>
      <c r="EK41" s="21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1"/>
      <c r="EW41" s="21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21"/>
      <c r="FK41" s="21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21"/>
      <c r="GC41" s="21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21"/>
      <c r="GP41" s="21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20"/>
      <c r="HF41" s="20"/>
      <c r="HG41" s="20"/>
      <c r="HH41" s="20"/>
      <c r="HI41" s="20"/>
      <c r="HJ41" s="20"/>
      <c r="HK41" s="20"/>
      <c r="HL41" s="20"/>
      <c r="HM41" s="20"/>
      <c r="HN41" s="21"/>
      <c r="HO41" s="21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1"/>
      <c r="IF41" s="21"/>
      <c r="IG41" s="17"/>
      <c r="IH41" s="17"/>
      <c r="II41" s="17"/>
      <c r="IJ41" s="17"/>
      <c r="IK41" s="17"/>
      <c r="IL41" s="21"/>
      <c r="IM41" s="21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  <c r="JG41" s="17"/>
      <c r="JH41" s="17"/>
      <c r="JI41" s="21"/>
      <c r="JJ41" s="21"/>
      <c r="JK41" s="17"/>
      <c r="JL41" s="17"/>
      <c r="JM41" s="17"/>
      <c r="JN41" s="17"/>
      <c r="JO41" s="17"/>
      <c r="JP41" s="17"/>
      <c r="JQ41" s="17"/>
      <c r="JR41" s="17"/>
      <c r="JS41" s="17"/>
      <c r="JT41" s="17"/>
      <c r="JU41" s="21"/>
      <c r="JV41" s="21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21"/>
      <c r="KN41" s="21"/>
      <c r="KO41" s="17"/>
      <c r="KP41" s="17"/>
      <c r="KQ41" s="17"/>
      <c r="KR41" s="17"/>
      <c r="KS41" s="17"/>
      <c r="KT41" s="17"/>
      <c r="KU41" s="17"/>
      <c r="KV41" s="17"/>
      <c r="KW41" s="17"/>
      <c r="KX41" s="17"/>
      <c r="KY41" s="17"/>
      <c r="KZ41" s="17"/>
      <c r="LA41" s="17"/>
      <c r="LB41" s="17"/>
      <c r="LC41" s="17"/>
      <c r="LD41" s="21"/>
      <c r="LE41" s="21"/>
      <c r="LF41" s="17"/>
      <c r="LG41" s="17"/>
      <c r="LH41" s="17"/>
      <c r="LI41" s="17"/>
      <c r="LJ41" s="17"/>
      <c r="LK41" s="17"/>
      <c r="LL41" s="17"/>
      <c r="LM41" s="17"/>
      <c r="LN41" s="17"/>
      <c r="LO41" s="17"/>
      <c r="LP41" s="17"/>
      <c r="LQ41" s="17"/>
      <c r="LR41" s="17"/>
      <c r="LS41" s="17"/>
      <c r="LT41" s="17"/>
      <c r="LU41" s="17"/>
      <c r="LV41" s="17"/>
      <c r="LW41" s="17"/>
      <c r="LX41" s="17"/>
      <c r="LY41" s="99"/>
      <c r="LZ41" s="19"/>
      <c r="MA41" s="17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</row>
    <row r="42" spans="1:352" ht="37.5" thickTop="1" x14ac:dyDescent="0.25"/>
  </sheetData>
  <mergeCells count="454">
    <mergeCell ref="C40:C41"/>
    <mergeCell ref="LZ16:LZ17"/>
    <mergeCell ref="LJ32:LN32"/>
    <mergeCell ref="LZ32:LZ33"/>
    <mergeCell ref="MA32:MC32"/>
    <mergeCell ref="MD32:MG32"/>
    <mergeCell ref="A34:A41"/>
    <mergeCell ref="B34:B41"/>
    <mergeCell ref="C34:C35"/>
    <mergeCell ref="F34:Q34"/>
    <mergeCell ref="S34:T34"/>
    <mergeCell ref="C36:C37"/>
    <mergeCell ref="HP32:HQ32"/>
    <mergeCell ref="HR32:HT32"/>
    <mergeCell ref="IF32:IF33"/>
    <mergeCell ref="IH32:IL32"/>
    <mergeCell ref="LE32:LE33"/>
    <mergeCell ref="LF32:LI32"/>
    <mergeCell ref="ED32:ED33"/>
    <mergeCell ref="EE32:EG32"/>
    <mergeCell ref="EH32:EL32"/>
    <mergeCell ref="FK32:FK33"/>
    <mergeCell ref="C32:C33"/>
    <mergeCell ref="E32:I32"/>
    <mergeCell ref="T32:T33"/>
    <mergeCell ref="AH32:AH33"/>
    <mergeCell ref="AI32:AK32"/>
    <mergeCell ref="AS32:AS33"/>
    <mergeCell ref="MD28:ME28"/>
    <mergeCell ref="E36:H36"/>
    <mergeCell ref="C38:C39"/>
    <mergeCell ref="T30:T31"/>
    <mergeCell ref="AH30:AH31"/>
    <mergeCell ref="AS30:AS31"/>
    <mergeCell ref="BX30:BX31"/>
    <mergeCell ref="ED30:ED31"/>
    <mergeCell ref="FK30:FK31"/>
    <mergeCell ref="GC30:GC31"/>
    <mergeCell ref="FP28:FQ28"/>
    <mergeCell ref="FT28:FW28"/>
    <mergeCell ref="GC28:GC29"/>
    <mergeCell ref="LH28:LJ28"/>
    <mergeCell ref="LZ28:LZ29"/>
    <mergeCell ref="MA28:MC28"/>
    <mergeCell ref="E28:J28"/>
    <mergeCell ref="T28:T29"/>
    <mergeCell ref="W28:X28"/>
    <mergeCell ref="Y28:AA28"/>
    <mergeCell ref="GC26:GC27"/>
    <mergeCell ref="GE26:GK26"/>
    <mergeCell ref="HN26:HN33"/>
    <mergeCell ref="HO26:HO27"/>
    <mergeCell ref="MG28:MH28"/>
    <mergeCell ref="MI28:MM28"/>
    <mergeCell ref="GD28:GG28"/>
    <mergeCell ref="GI28:GJ28"/>
    <mergeCell ref="HO28:HO29"/>
    <mergeCell ref="GC32:GC33"/>
    <mergeCell ref="HP26:HR26"/>
    <mergeCell ref="HS26:HU26"/>
    <mergeCell ref="HO30:HO31"/>
    <mergeCell ref="GD32:GF32"/>
    <mergeCell ref="GG32:GL32"/>
    <mergeCell ref="HO32:HO33"/>
    <mergeCell ref="AH28:AH29"/>
    <mergeCell ref="AS28:AS29"/>
    <mergeCell ref="AT28:AU28"/>
    <mergeCell ref="BX28:BX29"/>
    <mergeCell ref="BY28:CD28"/>
    <mergeCell ref="CC26:CG26"/>
    <mergeCell ref="EC26:EC33"/>
    <mergeCell ref="AY32:BA32"/>
    <mergeCell ref="BX32:BX33"/>
    <mergeCell ref="BY32:CB32"/>
    <mergeCell ref="CC32:CI32"/>
    <mergeCell ref="ED26:ED27"/>
    <mergeCell ref="EE26:EG26"/>
    <mergeCell ref="FJ26:FJ33"/>
    <mergeCell ref="FK26:FK27"/>
    <mergeCell ref="FM26:FO26"/>
    <mergeCell ref="GB26:GB33"/>
    <mergeCell ref="ED28:ED29"/>
    <mergeCell ref="EF28:EI28"/>
    <mergeCell ref="FK28:FK29"/>
    <mergeCell ref="FL28:FO28"/>
    <mergeCell ref="FM32:FP32"/>
    <mergeCell ref="MA24:MB24"/>
    <mergeCell ref="MC24:MF24"/>
    <mergeCell ref="HR24:HV24"/>
    <mergeCell ref="IF24:IF25"/>
    <mergeCell ref="IG24:IK24"/>
    <mergeCell ref="LE24:LE25"/>
    <mergeCell ref="LF24:LM24"/>
    <mergeCell ref="IE26:IE33"/>
    <mergeCell ref="IF26:IF27"/>
    <mergeCell ref="IH26:IK26"/>
    <mergeCell ref="LD26:LD33"/>
    <mergeCell ref="IF30:IF31"/>
    <mergeCell ref="IF28:IF29"/>
    <mergeCell ref="IG28:IH28"/>
    <mergeCell ref="LE30:LE31"/>
    <mergeCell ref="LZ30:LZ31"/>
    <mergeCell ref="MD26:MH26"/>
    <mergeCell ref="LE26:LE27"/>
    <mergeCell ref="LF26:LJ26"/>
    <mergeCell ref="LK26:LR26"/>
    <mergeCell ref="LY26:LY33"/>
    <mergeCell ref="LZ26:LZ27"/>
    <mergeCell ref="MA26:MC26"/>
    <mergeCell ref="LE28:LE29"/>
    <mergeCell ref="A26:A33"/>
    <mergeCell ref="B26:B33"/>
    <mergeCell ref="E26:N26"/>
    <mergeCell ref="S26:S33"/>
    <mergeCell ref="T26:T27"/>
    <mergeCell ref="U26:Y26"/>
    <mergeCell ref="Z26:AB26"/>
    <mergeCell ref="AG26:AG33"/>
    <mergeCell ref="HP24:HQ24"/>
    <mergeCell ref="C28:C29"/>
    <mergeCell ref="C30:C31"/>
    <mergeCell ref="C26:C27"/>
    <mergeCell ref="C24:C25"/>
    <mergeCell ref="AH26:AH27"/>
    <mergeCell ref="AI26:AK26"/>
    <mergeCell ref="AL26:AO26"/>
    <mergeCell ref="AR26:AR33"/>
    <mergeCell ref="AS26:AS27"/>
    <mergeCell ref="AT26:AY26"/>
    <mergeCell ref="AT32:AX32"/>
    <mergeCell ref="AZ26:BB26"/>
    <mergeCell ref="BW26:BW33"/>
    <mergeCell ref="BX26:BX27"/>
    <mergeCell ref="BY26:CB26"/>
    <mergeCell ref="GR24:GV24"/>
    <mergeCell ref="LZ24:LZ25"/>
    <mergeCell ref="HD24:HD25"/>
    <mergeCell ref="HE24:HG24"/>
    <mergeCell ref="HH24:HJ24"/>
    <mergeCell ref="HO24:HO25"/>
    <mergeCell ref="IE18:IE25"/>
    <mergeCell ref="IF18:IF19"/>
    <mergeCell ref="GG18:GJ18"/>
    <mergeCell ref="GO18:GO25"/>
    <mergeCell ref="GP18:GP19"/>
    <mergeCell ref="GR18:GV18"/>
    <mergeCell ref="HC18:HC25"/>
    <mergeCell ref="LZ20:LZ21"/>
    <mergeCell ref="E24:J24"/>
    <mergeCell ref="Q24:Q25"/>
    <mergeCell ref="FK24:FK25"/>
    <mergeCell ref="FL24:FO24"/>
    <mergeCell ref="FP24:FR24"/>
    <mergeCell ref="GC24:GC25"/>
    <mergeCell ref="GD24:GE24"/>
    <mergeCell ref="GF24:GK24"/>
    <mergeCell ref="GP24:GP25"/>
    <mergeCell ref="MC20:MG20"/>
    <mergeCell ref="Q22:Q23"/>
    <mergeCell ref="FK22:FK23"/>
    <mergeCell ref="FL22:FM22"/>
    <mergeCell ref="GC22:GC23"/>
    <mergeCell ref="GD22:GF22"/>
    <mergeCell ref="GP22:GP23"/>
    <mergeCell ref="HD22:HD23"/>
    <mergeCell ref="HO22:HO23"/>
    <mergeCell ref="HD20:HD21"/>
    <mergeCell ref="HE20:HI20"/>
    <mergeCell ref="HO20:HO21"/>
    <mergeCell ref="HR20:HU20"/>
    <mergeCell ref="HX20:IC20"/>
    <mergeCell ref="IF20:IF21"/>
    <mergeCell ref="GB18:GB25"/>
    <mergeCell ref="HN18:HN25"/>
    <mergeCell ref="HO18:HO19"/>
    <mergeCell ref="HP18:HR18"/>
    <mergeCell ref="HS18:HX18"/>
    <mergeCell ref="FJ18:FJ25"/>
    <mergeCell ref="FK18:FK19"/>
    <mergeCell ref="FM18:FP18"/>
    <mergeCell ref="LZ22:LZ23"/>
    <mergeCell ref="CF16:CG16"/>
    <mergeCell ref="CK16:CK17"/>
    <mergeCell ref="IF22:IF23"/>
    <mergeCell ref="LE22:LE23"/>
    <mergeCell ref="CL16:CO16"/>
    <mergeCell ref="LZ18:LZ19"/>
    <mergeCell ref="MA18:MD18"/>
    <mergeCell ref="ME18:MH18"/>
    <mergeCell ref="Q20:Q21"/>
    <mergeCell ref="FK20:FK21"/>
    <mergeCell ref="FM20:FP20"/>
    <mergeCell ref="FR20:FW20"/>
    <mergeCell ref="GC20:GC21"/>
    <mergeCell ref="GP20:GP21"/>
    <mergeCell ref="GT20:GX20"/>
    <mergeCell ref="IH18:IJ18"/>
    <mergeCell ref="LD18:LD25"/>
    <mergeCell ref="LE18:LE19"/>
    <mergeCell ref="LF18:LL18"/>
    <mergeCell ref="LM18:LQ18"/>
    <mergeCell ref="LY18:LY25"/>
    <mergeCell ref="LE20:LE21"/>
    <mergeCell ref="LN24:LS24"/>
    <mergeCell ref="GD18:GF18"/>
    <mergeCell ref="BH16:BH17"/>
    <mergeCell ref="BI16:BL16"/>
    <mergeCell ref="BQ16:BQ17"/>
    <mergeCell ref="BR16:BS16"/>
    <mergeCell ref="BX16:BX17"/>
    <mergeCell ref="CE16:CE17"/>
    <mergeCell ref="LE16:LE17"/>
    <mergeCell ref="LF16:LK16"/>
    <mergeCell ref="A18:A25"/>
    <mergeCell ref="B18:B25"/>
    <mergeCell ref="E18:L18"/>
    <mergeCell ref="P18:P25"/>
    <mergeCell ref="S18:V18"/>
    <mergeCell ref="GP16:GP17"/>
    <mergeCell ref="GQ16:GS16"/>
    <mergeCell ref="HO16:HO17"/>
    <mergeCell ref="HQ16:HR16"/>
    <mergeCell ref="IF16:IF17"/>
    <mergeCell ref="IM16:IM17"/>
    <mergeCell ref="DN16:DS16"/>
    <mergeCell ref="ED16:ED17"/>
    <mergeCell ref="EK16:EK17"/>
    <mergeCell ref="EL16:EN16"/>
    <mergeCell ref="EW16:EW17"/>
    <mergeCell ref="CL10:CM10"/>
    <mergeCell ref="CN10:CQ10"/>
    <mergeCell ref="CT10:CT17"/>
    <mergeCell ref="CU10:CU11"/>
    <mergeCell ref="CV10:CW10"/>
    <mergeCell ref="LE14:LE15"/>
    <mergeCell ref="LH14:LK14"/>
    <mergeCell ref="LZ14:LZ15"/>
    <mergeCell ref="GP14:GP15"/>
    <mergeCell ref="GQ14:GS14"/>
    <mergeCell ref="HO14:HO15"/>
    <mergeCell ref="IF14:IF15"/>
    <mergeCell ref="IM14:IM15"/>
    <mergeCell ref="IN14:IO14"/>
    <mergeCell ref="CU16:CU17"/>
    <mergeCell ref="CV16:CX16"/>
    <mergeCell ref="DK16:DK17"/>
    <mergeCell ref="EX16:EZ16"/>
    <mergeCell ref="IM10:IM11"/>
    <mergeCell ref="IN10:IV10"/>
    <mergeCell ref="IW10:JD10"/>
    <mergeCell ref="JJ16:JJ17"/>
    <mergeCell ref="JK16:JN16"/>
    <mergeCell ref="JV16:JV17"/>
    <mergeCell ref="MC12:MD12"/>
    <mergeCell ref="DJ10:DJ17"/>
    <mergeCell ref="DK10:DK11"/>
    <mergeCell ref="DL10:DM10"/>
    <mergeCell ref="DN10:DY10"/>
    <mergeCell ref="EC10:EC17"/>
    <mergeCell ref="ED10:ED11"/>
    <mergeCell ref="DK12:DK13"/>
    <mergeCell ref="DO12:DP12"/>
    <mergeCell ref="ED12:ED13"/>
    <mergeCell ref="DL16:DM16"/>
    <mergeCell ref="EL10:EN10"/>
    <mergeCell ref="EO10:ER10"/>
    <mergeCell ref="EV10:EV17"/>
    <mergeCell ref="EK12:EK13"/>
    <mergeCell ref="EQ12:ES12"/>
    <mergeCell ref="EK14:EK15"/>
    <mergeCell ref="EL14:EM14"/>
    <mergeCell ref="JJ12:JJ13"/>
    <mergeCell ref="JM12:JO12"/>
    <mergeCell ref="JR12:JS12"/>
    <mergeCell ref="JV12:JV13"/>
    <mergeCell ref="IF10:IF11"/>
    <mergeCell ref="IL10:IL17"/>
    <mergeCell ref="AH14:AH15"/>
    <mergeCell ref="AI14:AJ14"/>
    <mergeCell ref="AP14:AP15"/>
    <mergeCell ref="AQ14:AR14"/>
    <mergeCell ref="BH14:BH15"/>
    <mergeCell ref="BQ14:BQ15"/>
    <mergeCell ref="HO12:HO13"/>
    <mergeCell ref="HU12:HW12"/>
    <mergeCell ref="IF12:IF13"/>
    <mergeCell ref="EW12:EW13"/>
    <mergeCell ref="FK12:FK13"/>
    <mergeCell ref="FM12:FO12"/>
    <mergeCell ref="FS12:FV12"/>
    <mergeCell ref="GC12:GC13"/>
    <mergeCell ref="GE12:GG12"/>
    <mergeCell ref="CK14:CK15"/>
    <mergeCell ref="CU14:CU15"/>
    <mergeCell ref="CV14:CW14"/>
    <mergeCell ref="DK14:DK15"/>
    <mergeCell ref="DM14:DO14"/>
    <mergeCell ref="ED14:ED15"/>
    <mergeCell ref="FP12:FQ12"/>
    <mergeCell ref="EJ10:EJ17"/>
    <mergeCell ref="EK10:EK11"/>
    <mergeCell ref="E12:H12"/>
    <mergeCell ref="I12:K12"/>
    <mergeCell ref="AR12:AV12"/>
    <mergeCell ref="AX12:AY12"/>
    <mergeCell ref="AZ12:BA12"/>
    <mergeCell ref="BB12:BD12"/>
    <mergeCell ref="JJ10:JJ11"/>
    <mergeCell ref="JL10:JN10"/>
    <mergeCell ref="FQ10:FU10"/>
    <mergeCell ref="GB10:GB17"/>
    <mergeCell ref="GC10:GC11"/>
    <mergeCell ref="GE10:GF10"/>
    <mergeCell ref="GG10:GJ10"/>
    <mergeCell ref="GO10:GO17"/>
    <mergeCell ref="GC14:GC15"/>
    <mergeCell ref="FN16:FQ16"/>
    <mergeCell ref="GC16:GC17"/>
    <mergeCell ref="GD16:GE16"/>
    <mergeCell ref="EX10:EZ10"/>
    <mergeCell ref="FA10:FD10"/>
    <mergeCell ref="FE10:FF10"/>
    <mergeCell ref="FJ10:FJ17"/>
    <mergeCell ref="FK10:FK11"/>
    <mergeCell ref="EF10:EG10"/>
    <mergeCell ref="A10:A17"/>
    <mergeCell ref="B10:B17"/>
    <mergeCell ref="AG10:AG17"/>
    <mergeCell ref="AJ10:AL10"/>
    <mergeCell ref="AO10:AO17"/>
    <mergeCell ref="AR10:AT10"/>
    <mergeCell ref="AH16:AH17"/>
    <mergeCell ref="AP16:AP17"/>
    <mergeCell ref="MB4:MC4"/>
    <mergeCell ref="AU10:AW10"/>
    <mergeCell ref="BG10:BG17"/>
    <mergeCell ref="BK10:BM10"/>
    <mergeCell ref="BP10:BP17"/>
    <mergeCell ref="LD10:LD17"/>
    <mergeCell ref="EW14:EW15"/>
    <mergeCell ref="BS10:BT10"/>
    <mergeCell ref="LE10:LE11"/>
    <mergeCell ref="LG10:LH10"/>
    <mergeCell ref="LI10:LL10"/>
    <mergeCell ref="LM10:LS10"/>
    <mergeCell ref="C10:C11"/>
    <mergeCell ref="AH10:AH11"/>
    <mergeCell ref="AP10:AP11"/>
    <mergeCell ref="BH10:BH11"/>
    <mergeCell ref="IE1:LC1"/>
    <mergeCell ref="LD1:LX1"/>
    <mergeCell ref="LY1:MN1"/>
    <mergeCell ref="A2:A9"/>
    <mergeCell ref="B2:B9"/>
    <mergeCell ref="LY2:LY9"/>
    <mergeCell ref="LZ2:LZ3"/>
    <mergeCell ref="MB2:MC2"/>
    <mergeCell ref="MD2:ME2"/>
    <mergeCell ref="MF2:MH2"/>
    <mergeCell ref="BW1:EB1"/>
    <mergeCell ref="EC1:FI1"/>
    <mergeCell ref="C6:C7"/>
    <mergeCell ref="C8:C9"/>
    <mergeCell ref="C4:C5"/>
    <mergeCell ref="E4:G4"/>
    <mergeCell ref="H4:J4"/>
    <mergeCell ref="LZ4:LZ5"/>
    <mergeCell ref="C2:C3"/>
    <mergeCell ref="D2:E2"/>
    <mergeCell ref="B1:AF1"/>
    <mergeCell ref="AG1:BV1"/>
    <mergeCell ref="FJ1:GA1"/>
    <mergeCell ref="GB1:HM1"/>
    <mergeCell ref="MD4:ME4"/>
    <mergeCell ref="LZ6:LZ7"/>
    <mergeCell ref="LZ8:LZ9"/>
    <mergeCell ref="MA8:MD8"/>
    <mergeCell ref="ME8:MG8"/>
    <mergeCell ref="JW10:JZ10"/>
    <mergeCell ref="KA10:KJ10"/>
    <mergeCell ref="KM10:KM17"/>
    <mergeCell ref="KN10:KN11"/>
    <mergeCell ref="KO10:KQ10"/>
    <mergeCell ref="KR10:KX10"/>
    <mergeCell ref="KN14:KN15"/>
    <mergeCell ref="KN16:KN17"/>
    <mergeCell ref="KO16:KV16"/>
    <mergeCell ref="KW16:LC16"/>
    <mergeCell ref="KA12:KD12"/>
    <mergeCell ref="KN12:KN13"/>
    <mergeCell ref="MF12:MG12"/>
    <mergeCell ref="LY10:LY17"/>
    <mergeCell ref="LZ10:LZ11"/>
    <mergeCell ref="MB10:MD10"/>
    <mergeCell ref="ME10:MJ10"/>
    <mergeCell ref="LE12:LE13"/>
    <mergeCell ref="LZ12:LZ13"/>
    <mergeCell ref="JI10:JI17"/>
    <mergeCell ref="IN16:IP16"/>
    <mergeCell ref="JJ14:JJ15"/>
    <mergeCell ref="JV14:JV15"/>
    <mergeCell ref="JU10:JU17"/>
    <mergeCell ref="IM12:IM13"/>
    <mergeCell ref="IO12:IQ12"/>
    <mergeCell ref="IR12:IU12"/>
    <mergeCell ref="JV10:JV11"/>
    <mergeCell ref="IE10:IE17"/>
    <mergeCell ref="HS10:HT10"/>
    <mergeCell ref="EW10:EW11"/>
    <mergeCell ref="CE10:CE11"/>
    <mergeCell ref="CE12:CE13"/>
    <mergeCell ref="BQ10:BQ11"/>
    <mergeCell ref="BX10:BX11"/>
    <mergeCell ref="BX12:BX13"/>
    <mergeCell ref="HN10:HN17"/>
    <mergeCell ref="HO10:HO11"/>
    <mergeCell ref="CX10:DG10"/>
    <mergeCell ref="CU12:CU13"/>
    <mergeCell ref="DA12:DB12"/>
    <mergeCell ref="BW10:BW17"/>
    <mergeCell ref="BZ10:CA10"/>
    <mergeCell ref="GP10:GP11"/>
    <mergeCell ref="GQ10:GR10"/>
    <mergeCell ref="GS10:GX10"/>
    <mergeCell ref="HQ10:HR10"/>
    <mergeCell ref="GP12:GP13"/>
    <mergeCell ref="FM10:FP10"/>
    <mergeCell ref="FK14:FK15"/>
    <mergeCell ref="FK16:FK17"/>
    <mergeCell ref="FL16:FM16"/>
    <mergeCell ref="HN1:ID1"/>
    <mergeCell ref="C22:C23"/>
    <mergeCell ref="C20:C21"/>
    <mergeCell ref="U20:Y20"/>
    <mergeCell ref="C18:C19"/>
    <mergeCell ref="Q18:Q19"/>
    <mergeCell ref="C16:C17"/>
    <mergeCell ref="C14:C15"/>
    <mergeCell ref="GC18:GC19"/>
    <mergeCell ref="HD18:HD19"/>
    <mergeCell ref="HF18:HI18"/>
    <mergeCell ref="CD10:CD17"/>
    <mergeCell ref="CF10:CG10"/>
    <mergeCell ref="CJ10:CJ17"/>
    <mergeCell ref="CK10:CK11"/>
    <mergeCell ref="CK12:CK13"/>
    <mergeCell ref="BX14:BX15"/>
    <mergeCell ref="CE14:CE15"/>
    <mergeCell ref="CF14:CH14"/>
    <mergeCell ref="C12:C13"/>
    <mergeCell ref="AH12:AH13"/>
    <mergeCell ref="AP12:AP13"/>
    <mergeCell ref="BH12:BH13"/>
    <mergeCell ref="BQ12:BQ13"/>
  </mergeCells>
  <phoneticPr fontId="3" type="noConversion"/>
  <conditionalFormatting sqref="B2:MN41">
    <cfRule type="expression" dxfId="40" priority="5">
      <formula>IF(B2&lt;&gt;"",FIND(B2,s01d_查找全)*COUNTIF(i01_清單過程組,B2),)</formula>
    </cfRule>
    <cfRule type="expression" dxfId="39" priority="7">
      <formula>IF(B2&lt;&gt;"",(B2=s01d_查找)*($C2="更新"),)</formula>
    </cfRule>
    <cfRule type="expression" dxfId="38" priority="9">
      <formula>IF(B2&lt;&gt;"",(B2=s01d_查找)*($C2="產出"),)</formula>
    </cfRule>
    <cfRule type="expression" dxfId="37" priority="11">
      <formula>IF(B2&lt;&gt;"",(B2=s01d_工具),)</formula>
    </cfRule>
    <cfRule type="expression" dxfId="36" priority="13">
      <formula>IF(B2&lt;&gt;"",(B2=s01d_查找)*($C2="投入"),)</formula>
    </cfRule>
  </conditionalFormatting>
  <conditionalFormatting sqref="C2:MN41">
    <cfRule type="expression" dxfId="35" priority="4">
      <formula>IF(B2&lt;&gt;"",FIND(B2,s01d_查找_投入)*COUNTIF(i01_清單過程組,B2),)</formula>
    </cfRule>
  </conditionalFormatting>
  <conditionalFormatting sqref="C6:MN41">
    <cfRule type="expression" dxfId="34" priority="2">
      <formula>IF(B2&lt;&gt;"",FIND(B2,s01d_查找_產出)*COUNTIF(i01_清單過程組,B2),)</formula>
    </cfRule>
  </conditionalFormatting>
  <conditionalFormatting sqref="C8:MN41">
    <cfRule type="expression" dxfId="33" priority="1">
      <formula>IF(B2&lt;&gt;"",FIND(B2,s01d_查找_更新)*COUNTIF(i01_清單過程組,B2),)</formula>
    </cfRule>
  </conditionalFormatting>
  <conditionalFormatting sqref="C4:MN41">
    <cfRule type="expression" dxfId="32" priority="3">
      <formula>IF(B2&lt;&gt;"",FIND(B2,s01_工具_組件)*COUNTIF(i01_清單過程組,B2),)</formula>
    </cfRule>
  </conditionalFormatting>
  <conditionalFormatting sqref="B2:MM41">
    <cfRule type="expression" dxfId="31" priority="6">
      <formula>IF(B2&lt;&gt;"",(B2=s01_查找1)*($C2="更新"),)*COUNTIF(a03_子清單範圍,s01d_查找)</formula>
    </cfRule>
    <cfRule type="expression" dxfId="30" priority="8">
      <formula>IF(B2&lt;&gt;"",(B2=s01_查找1)*($C2="產出"),)*COUNTIF(a03_子清單範圍,s01d_查找)</formula>
    </cfRule>
    <cfRule type="expression" dxfId="29" priority="10">
      <formula>IF(B2&lt;&gt;"",(B2=s01_工具1)*COUNTIF(a03_子清單範圍,s01d_工具))</formula>
    </cfRule>
    <cfRule type="expression" dxfId="28" priority="12">
      <formula>IF(B2&lt;&gt;"",(B2=s01_查找1)*($C2="投入"),)*COUNTIF(a03_子清單範圍,s01d_查找)</formula>
    </cfRule>
  </conditionalFormatting>
  <dataValidations count="5">
    <dataValidation type="list" allowBlank="1" showInputMessage="1" showErrorMessage="1" sqref="A1:A41">
      <formula1>i01_清單知識領域</formula1>
    </dataValidation>
    <dataValidation type="list" allowBlank="1" showInputMessage="1" showErrorMessage="1" sqref="MF4:MN4 HP12:HU12 MH20:MN20 R20:U20 D4:E4 H4 MD4 MH12:MN12 ME12:MF12 JW12:KA12 JK12:JM12 JP12:JR12 IN12:IO12 IR12 IG28 GD28 FP12 FR12:FS12 EL12:EQ12 DL12:DO12 CV12:DA12 AW12:AX12 AZ12 BB12 B4 FQ20:FR20 GQ20:GT20 HV20:HX20 MN28 MD28 MF28:MG28 MI28 L12 GH28:GI28 LF28:LH28 FP28 FR28:FT28 FL20:FM20 BY28 AQ12:AR12 Y28 B28 B20 D12:E12 I12 N12:AF12 U28:W28 EE28:EF28 FL12:FM12 AT28 HE20 FL28 GD12:GE12 MA28 HP20:HR20 KO12:KV12 MA4:MB4 I36:MN36 MA20:MC20 D36:E36 D28:E28 B36 D20:P20 K28:S28 AB28:AG28 AI12:AO12 AI28:AR28 BE12:BG12 BI12:BP12 BR12:BW12 AV28:BW28 BY12:CD12 CF12:CJ12 CL12:CT12 DC12:DJ12 DQ12:EC12 CE28:EC28 EE12:EJ12 ET12:EV12 EX12:FJ12 Z20:FJ20 EJ28:FJ28 FX20:GB20 FX28:GB28 FW12:GB12 GH12:GO12 GD20:GO20 GY20:HC20 GK28:HN28 GQ12:HN12 HJ20:HN20 ID20:IE20 HP28:IE28 HX12:IE12 IG12:IL12 IV12:JI12 JT12:JU12 KE12:KM12 KX12:LD12 II28:LD28 IG20:LD20 LF20:LY20 K4:LY4 LK28:LY28 LF12:LY12 MA12:MC12">
      <formula1>i01_清單工具與技術</formula1>
    </dataValidation>
    <dataValidation type="list" allowBlank="1" showInputMessage="1" showErrorMessage="1" sqref="KO11:KR11 KG11 D11:AF11 MA9:MN9 JZ15:KA15 D15:AF15 MA23:MN23 MA25:MN25 GQ23 MA33:MN33 MA11:MN11 IN11:IW11 MA19:MN19 JW15:JX15 MA7:MN7 D35:MN35 D41:MN41 JW11:KA11 MA31:MN31 MA17:MN17 MA3:MN3 MA15:MN15 D17:AF17 GD23:GF23 R19:DK19 D39:MN39 B3 B7 B9 B25 B19 B23 B33 B31 B27 B41 B35 B39 D23:P23 D25:P25 D19:P19 D27:S27 D33:S33 D31:S31 U27:AG27 U31:AG31 U33:AG33 AI11:AO11 AI17:AO17 AI15:AO15 AI33:AR33 AI27:AR27 AI31:AR31 AQ15:BG15 AQ11:BG11 AQ17:BG17 BI17:BP17 BI15:BP15 BI11:BP11 BR11:BW11 BR17:BW17 BR15:BW15 AT31:BW31 AT33:BW33 AT27:BW27 BY15:CD15 BY11:CD11 BY17:CD17 CF17:CJ17 CF15:CJ15 CF11:CJ11 CL11:CT11 CL17:CT17 CL15:CT15 CV15:DJ15 CV11:DJ11 CV17:DJ17 DL17:EC17 DL15:EC15 DL11:EC11 BY27:EC27 BY31:EC31 BY33:EC33 EE11:EJ11 EE17:EJ17 EE15:EJ15 EL15:EV15 EL11:EV11 EL17:EV17 EX17:FJ17 EE33:FJ33 DM19:FJ19 EE27:FJ27 EE31:FJ31 EX15:FJ15 EX11:FJ11 R23:FJ23 R25:FJ25 FL25:GB25 FL17:GB17 FL33:GB33 FL19:GB19 FL27:GB27 FL31:GB31 FL15:GB15 FL11:GB11 FL23:GB23 GD25:GO25 GD17:GO17 GD19:GO19 GI23:GO23 GD15:GO15 GD11:GO11 GQ25:HC25 GS23:HC23 GQ19:HC19 HE19:HN19 GQ11:HN11 GD33:HN33 GQ17:HN17 HE25:HN25 HE23:HN23 GD27:HN27 GD31:HN31 GQ15:HN15 HP15:IE15 HP19:IE19 HP11:IE11 HP33:IE33 HP17:IE17 HP25:IE25 HP23:IE23 HP27:IE27 HP31:IE31 IG15:IL15 IG11:IL11 IG17:IL17 IN17:JI17 IN15:JI15 JA11:JI11 JK11:JU11 JK17:JU17 JK15:JU15 KC15:KM15 KI11:KM11 JW17:KM17 KO17:LD17 IG31:LD31 IG19:LD19 KX11:LD11 IG33:LD33 IG25:LD25 IG23:LD23 IG27:LD27 KO15:LD15 LF15:LY15 D3:LY3 LF17:LY17 LF31:LY31 D7:LY7 LF19:LY19 LF11:LY11 LF33:LY33 LF25:LY25 LF23:LY23 D9:LY9 LF27:LY27 MA27:MN27">
      <formula1>i01_清單投入與產出元件</formula1>
    </dataValidation>
    <dataValidation type="list" allowBlank="1" showInputMessage="1" showErrorMessage="1" sqref="R34:S34 AQ10:AR10 IN14 FL10:FM10 MI2:MN2 MH22:MN22 HP10:HQ10 MJ8:MN8 U26 MI26:MN26 D16:AF16 MD2 MF2 MC24 MK10:MN10 ME10 LM18 LI10 LM10 KR10 MI18:MN18 JW10 IW10 KX14 KO16 KA10 KO14:KP14 JK14 DS14 IN16 IP14 IG18:IH18 HS10 HP14:HR14 HP22:HQ22 GS10 GG10 GT14 FQ10 GD14:GF14 U34:X34 GD18 FP14 EX14 FL24 FA10 FE10 EX16 EO10 DN10 EN14 LQ22 EL16 DL10 EL10 EZ14 DL16 CX14 CV10 CX10 CN10 CV16 CF10 CL16 CF16 BR10:BS10 BY26 BI14:BJ14 BR16 BI16 AU10 AT30:AV30 D14:AF14 AI32 FL26:FM26 EE30:EH30 FN22:FO22 FS22 GD22 GG18 GD26:GE26 GG22:GH23 GJ22 HE22:HF22 HH24 HI22 HS18 HR24 HS22 IG22:IH22 IG26:IH26 ME18 MD22 MJ30:MN30 MD26 LK26 MF30 LN30 LJ32 IG24 HS26 HT30 GD30:GF30 GI30 GD16 FL30:FQ30 CF30 FL16 EK30 EE32 BY30:CB30 CC26 AT26 AZ26 BY32 BA30 AI26 AT32 AL26 AI30:AL30 Z26 LN24 DP14:DQ14 JK16 LF32 MJ6:MN6 MG6 MJ16:MN16 MG40 MG16 MJ24:MN24 B8 MG24 MJ32:MN32 B2 MJ40:MN40 B40 MA16:MC16 AQ14 FL32:FM32 R18:S18 AY32 ME8 AI10:AJ10 BI10:BK10 BR14:BS14 CL14:CM14 DN16 CV14 EH32 CC32 BY10:BZ10 FN16 FL22 EL14 FP24 GD24 GF24 GS22:GT22 GD32 GG32 FL14:FN14 HP16:HQ16 MA2:MB2 HE24 LL14:LN14 DL14:DM14 HP24 HP32 HR32 IG32:IH32 IG30:IJ30 HP18 IN10 KW16 JK10:JL10 MD32 FL18:FM18 EE26 CL10 EE10:EF10 EX10 B6 CF14 HP30:HR30 GQ16 HP26 HE18:HF18 GQ18:GR18 GQ14 GQ10 GQ22 GD10:GE10 LF24 GQ24:GR24 LF16 LF22:LI22 LF26 LF10:LG10 LF18 LF30:LJ30 MA6:MC6 MA32 Z34:MN34 D34:F34 B30 MA24 MA14:MN14 MA22:MB22 MA30:MC30 MA26 MA18 MA10:MB10 LF14:LH14 KO10 B22 B24 B10 AI14 D24:E24 D22:I22 B32 B18 D18:E18 D32:E32 D30:G30 B38 B26 D26:E26 D38:MN38 D40:MC40 D2 B34 O22:P22 K24:P24 M18:P18 J32:S32 O26:S26 L30:S30 D10:AG10 U30:AG30 AC26:AG26 U32:AG32 AI16:AO16 AM10:AO10 AK14:AO14 AL32:AR32 AP26:AR26 AO30:AR30 AQ16:BG16 AS14:BG14 AX10:BG10 BM16:BP16 BN10:BP10 BN14:BP14 BT16:BW16 BU14:BW14 BU10:BW10 BB32:BW32 BD30:BW30 BC26:BW26 BY16:CD16 CB10:CD10 BY14:CD14 CH10:CJ10 CH16:CJ16 CI14:CJ14 CP16:CT16 CR10:CT10 CQ14:CT14 CY16:DJ16 DH10:DJ10 DA14:DJ14 DT16:EC16 DY14:EC14 DZ10:EC10 CH26:EC26 CJ32:EC32 CK30:EC30 EH10:EJ10 EE16:EJ16 EE14:EJ14 EO16:EV16 EQ14:EV14 ES10:EV10 W18:FJ18 R22:FJ22 EM32:FJ32 FA16:FJ16 EP30:FJ30 EH26:FJ26 R24:FJ24 FG10:FJ10 FC14:FJ14 FQ32:GB32 FS24:GB24 FR16:GB16 FU30:GB30 FP26:GB26 FV22:GB22 FQ18:GB18 FT14:GB14 FV10:GB10 GO22 GK10:GO10 GH14:GO14 GK18:GO18 GF16:GO16 GL24:GO24 GW24:HC24 GY22:HC22 GW18:HC18 GL26:HN26 GO30:HN30 GM32:HN32 HK24:HN24 GT16:HN16 HL22:HN22 GW14:HN14 GY10:HN10 HJ18:HN18 HS16:IE16 HU32:IE32 HW24:IE24 HV26:IE26 HX22:IE22 HY18:IE18 HT14:IE14 HU10:IE10 HW30:IE30 IG16:IL16 IG14:IL14 IG10:IL10 IQ16:JI16 IS14:JI14 JE10:JI10 JO16:JU16 JO10:JU10 JO14:JU14 JW14:KM14 JW16:KM16 KK10:KM10 IO30:LD30 IK18:LD18 KY10:LD10 IL26:LD26 IM22:LD22 LD16 IL24:LD24 IM32:LD32 LD14 LT10:LY10 LR18:LY18 LS26:LY26 LS30:LY30 LW22:LY22 LT14:LY14 LT24:LY24 LO32:LY32 D6:LY6 F2:LY2 LL16:LY16 D8:LY8 MA8">
      <formula1>i01_清單投入與產出</formula1>
    </dataValidation>
    <dataValidation type="list" allowBlank="1" showInputMessage="1" showErrorMessage="1" sqref="MA5:MN5 D5:JZ5 D13:AF13 GQ21 D37:MN37 MA13:MN13 IG29:IH29 MA21:MN21 HP21:HR21 B5 B21 B29 B37 D21:P21 D29:S29 U29:AG29 AI13:AO13 AI29:AR29 AQ13:BG13 BI13:BP13 BR13:BW13 AT29:BW29 BY13:CD13 CF13:CJ13 CL13:CT13 CV13:DJ13 DL13:EC13 BY29:EC29 EE13:EJ13 EL13:EV13 EX13:FJ13 R21:FJ21 EE29:FJ29 FL29:GB29 FL13:GB13 FL21:GB21 GD21:GO21 GD13:GO13 GT21:HC21 HE21:HN21 GD29:HN29 GQ13:HN13 HP13:IE13 HV21:IE21 HP29:IE29 IG13:IL13 IN13:JI13 JK13:JU13 JW13:KM13 KO13:LD13 IK29:LD29 IG21:LD21 LF21:LY21 LF13:LY13 KH5:LY5 LF29:LY29 MA29:MN29">
      <formula1>i01_清單工具與技術元件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Z393"/>
  <sheetViews>
    <sheetView zoomScale="70" zoomScaleNormal="70" workbookViewId="0">
      <pane xSplit="5" ySplit="1" topLeftCell="F2" activePane="bottomRight" state="frozen"/>
      <selection activeCell="HR29" sqref="HR29"/>
      <selection pane="topRight" activeCell="HR29" sqref="HR29"/>
      <selection pane="bottomLeft" activeCell="HR29" sqref="HR29"/>
      <selection pane="bottomRight" activeCell="S28" sqref="S28"/>
    </sheetView>
  </sheetViews>
  <sheetFormatPr defaultRowHeight="16.5" x14ac:dyDescent="0.25"/>
  <cols>
    <col min="1" max="1" width="10.375" customWidth="1"/>
    <col min="2" max="4" width="9.5" customWidth="1"/>
    <col min="5" max="5" width="13.5" customWidth="1"/>
    <col min="17" max="17" width="9.625" bestFit="1" customWidth="1"/>
  </cols>
  <sheetData>
    <row r="1" spans="1:16" s="11" customFormat="1" ht="53.25" customHeight="1" x14ac:dyDescent="0.25">
      <c r="A1" s="105" t="s">
        <v>711</v>
      </c>
      <c r="B1" s="105" t="s">
        <v>65</v>
      </c>
      <c r="C1" s="105" t="s">
        <v>66</v>
      </c>
      <c r="D1" s="120" t="s">
        <v>1675</v>
      </c>
      <c r="E1" s="105" t="s">
        <v>712</v>
      </c>
    </row>
    <row r="2" spans="1:16" x14ac:dyDescent="0.25">
      <c r="A2" s="246" t="s">
        <v>67</v>
      </c>
      <c r="B2" s="246" t="s">
        <v>293</v>
      </c>
      <c r="C2" s="246" t="s">
        <v>274</v>
      </c>
      <c r="D2" s="246">
        <v>8</v>
      </c>
      <c r="E2" s="198" t="s">
        <v>1159</v>
      </c>
      <c r="F2" s="252" t="s">
        <v>147</v>
      </c>
      <c r="G2" s="249"/>
      <c r="H2" s="18" t="s">
        <v>148</v>
      </c>
      <c r="I2" s="18" t="s">
        <v>149</v>
      </c>
      <c r="J2" s="18" t="s">
        <v>405</v>
      </c>
      <c r="K2" s="18"/>
      <c r="L2" s="18"/>
      <c r="M2" s="18"/>
    </row>
    <row r="3" spans="1:16" x14ac:dyDescent="0.25">
      <c r="A3" s="246" t="s">
        <v>603</v>
      </c>
      <c r="B3" s="246" t="s">
        <v>2</v>
      </c>
      <c r="C3" s="246" t="s">
        <v>273</v>
      </c>
      <c r="D3" s="246">
        <v>8</v>
      </c>
      <c r="E3" s="198" t="s">
        <v>172</v>
      </c>
      <c r="F3" s="108" t="s">
        <v>180</v>
      </c>
      <c r="G3" s="17" t="s">
        <v>181</v>
      </c>
      <c r="H3" s="17"/>
      <c r="I3" s="17"/>
      <c r="J3" s="17"/>
      <c r="K3" s="17"/>
      <c r="L3" s="17"/>
      <c r="M3" s="17"/>
    </row>
    <row r="4" spans="1:16" ht="15" customHeight="1" x14ac:dyDescent="0.25">
      <c r="A4" s="246" t="s">
        <v>603</v>
      </c>
      <c r="B4" s="246" t="s">
        <v>2</v>
      </c>
      <c r="C4" s="246" t="s">
        <v>273</v>
      </c>
      <c r="D4" s="246">
        <v>8</v>
      </c>
      <c r="E4" s="198" t="s">
        <v>1161</v>
      </c>
      <c r="F4" s="109" t="s">
        <v>182</v>
      </c>
      <c r="G4" s="225" t="s">
        <v>702</v>
      </c>
      <c r="H4" s="226"/>
      <c r="I4" s="227"/>
      <c r="J4" s="225" t="s">
        <v>186</v>
      </c>
      <c r="K4" s="226"/>
      <c r="L4" s="227"/>
      <c r="M4" s="18" t="s">
        <v>190</v>
      </c>
    </row>
    <row r="5" spans="1:16" ht="15" customHeight="1" x14ac:dyDescent="0.25">
      <c r="A5" s="246" t="s">
        <v>603</v>
      </c>
      <c r="B5" s="246" t="s">
        <v>2</v>
      </c>
      <c r="C5" s="246" t="s">
        <v>273</v>
      </c>
      <c r="D5" s="246">
        <v>8</v>
      </c>
      <c r="E5" s="198" t="s">
        <v>171</v>
      </c>
      <c r="F5" s="108"/>
      <c r="G5" s="17" t="s">
        <v>183</v>
      </c>
      <c r="H5" s="17" t="s">
        <v>184</v>
      </c>
      <c r="I5" s="17" t="s">
        <v>185</v>
      </c>
      <c r="J5" s="17" t="s">
        <v>187</v>
      </c>
      <c r="K5" s="17" t="s">
        <v>188</v>
      </c>
      <c r="L5" s="17" t="s">
        <v>189</v>
      </c>
      <c r="M5" s="20"/>
    </row>
    <row r="6" spans="1:16" x14ac:dyDescent="0.25">
      <c r="A6" s="246" t="s">
        <v>603</v>
      </c>
      <c r="B6" s="246" t="s">
        <v>2</v>
      </c>
      <c r="C6" s="246" t="s">
        <v>273</v>
      </c>
      <c r="D6" s="246">
        <v>8</v>
      </c>
      <c r="E6" s="198" t="s">
        <v>1160</v>
      </c>
      <c r="F6" s="109" t="s">
        <v>151</v>
      </c>
      <c r="G6" s="18" t="s">
        <v>115</v>
      </c>
      <c r="H6" s="18"/>
      <c r="I6" s="18"/>
      <c r="J6" s="18"/>
      <c r="K6" s="18"/>
      <c r="L6" s="18"/>
      <c r="M6" s="18"/>
    </row>
    <row r="7" spans="1:16" x14ac:dyDescent="0.25">
      <c r="A7" s="246" t="s">
        <v>603</v>
      </c>
      <c r="B7" s="246" t="s">
        <v>2</v>
      </c>
      <c r="C7" s="246" t="s">
        <v>273</v>
      </c>
      <c r="D7" s="246">
        <v>8</v>
      </c>
      <c r="E7" s="198" t="s">
        <v>173</v>
      </c>
      <c r="F7" s="108"/>
      <c r="G7" s="17" t="s">
        <v>397</v>
      </c>
      <c r="H7" s="17"/>
      <c r="I7" s="17"/>
      <c r="J7" s="17"/>
      <c r="K7" s="17"/>
      <c r="L7" s="17"/>
      <c r="M7" s="17"/>
    </row>
    <row r="8" spans="1:16" x14ac:dyDescent="0.25">
      <c r="A8" s="246" t="s">
        <v>603</v>
      </c>
      <c r="B8" s="246" t="s">
        <v>2</v>
      </c>
      <c r="C8" s="246" t="s">
        <v>273</v>
      </c>
      <c r="D8" s="246">
        <v>8</v>
      </c>
      <c r="E8" s="198" t="s">
        <v>1674</v>
      </c>
      <c r="F8" s="109"/>
      <c r="G8" s="18"/>
      <c r="H8" s="18"/>
      <c r="I8" s="18"/>
      <c r="J8" s="18"/>
      <c r="K8" s="18"/>
      <c r="L8" s="18"/>
      <c r="M8" s="18"/>
    </row>
    <row r="9" spans="1:16" x14ac:dyDescent="0.25">
      <c r="A9" s="246" t="s">
        <v>603</v>
      </c>
      <c r="B9" s="246" t="s">
        <v>2</v>
      </c>
      <c r="C9" s="246" t="s">
        <v>273</v>
      </c>
      <c r="D9" s="246">
        <v>8</v>
      </c>
      <c r="E9" s="198" t="s">
        <v>715</v>
      </c>
      <c r="F9" s="108"/>
      <c r="G9" s="17"/>
      <c r="H9" s="17"/>
      <c r="I9" s="17"/>
      <c r="J9" s="17"/>
      <c r="K9" s="17"/>
      <c r="L9" s="17"/>
      <c r="M9" s="17"/>
    </row>
    <row r="10" spans="1:16" x14ac:dyDescent="0.25">
      <c r="A10" s="246" t="s">
        <v>1139</v>
      </c>
      <c r="B10" s="246" t="s">
        <v>1154</v>
      </c>
      <c r="C10" s="246" t="s">
        <v>292</v>
      </c>
      <c r="D10" s="246">
        <v>11</v>
      </c>
      <c r="E10" s="198" t="s">
        <v>1159</v>
      </c>
      <c r="F10" s="109" t="s">
        <v>151</v>
      </c>
      <c r="G10" s="232" t="s">
        <v>147</v>
      </c>
      <c r="H10" s="234"/>
      <c r="I10" s="232" t="s">
        <v>558</v>
      </c>
      <c r="J10" s="234"/>
      <c r="K10" s="232" t="s">
        <v>115</v>
      </c>
      <c r="L10" s="233"/>
      <c r="M10" s="234"/>
      <c r="N10" s="19" t="s">
        <v>148</v>
      </c>
      <c r="O10" s="18" t="s">
        <v>149</v>
      </c>
      <c r="P10" s="18" t="s">
        <v>150</v>
      </c>
    </row>
    <row r="11" spans="1:16" x14ac:dyDescent="0.25">
      <c r="A11" s="246" t="s">
        <v>604</v>
      </c>
      <c r="B11" s="246" t="s">
        <v>2</v>
      </c>
      <c r="C11" s="246" t="s">
        <v>291</v>
      </c>
      <c r="D11" s="246">
        <v>11</v>
      </c>
      <c r="E11" s="198" t="s">
        <v>172</v>
      </c>
      <c r="F11" s="108"/>
      <c r="G11" s="20" t="s">
        <v>180</v>
      </c>
      <c r="H11" s="20" t="s">
        <v>181</v>
      </c>
      <c r="I11" s="20" t="s">
        <v>573</v>
      </c>
      <c r="J11" s="20" t="s">
        <v>208</v>
      </c>
      <c r="K11" s="20" t="s">
        <v>120</v>
      </c>
      <c r="L11" s="20" t="s">
        <v>124</v>
      </c>
      <c r="M11" s="20" t="s">
        <v>136</v>
      </c>
      <c r="N11" s="20"/>
      <c r="O11" s="20"/>
      <c r="P11" s="20"/>
    </row>
    <row r="12" spans="1:16" ht="15" customHeight="1" x14ac:dyDescent="0.25">
      <c r="A12" s="246" t="s">
        <v>604</v>
      </c>
      <c r="B12" s="246" t="s">
        <v>2</v>
      </c>
      <c r="C12" s="246" t="s">
        <v>291</v>
      </c>
      <c r="D12" s="246">
        <v>11</v>
      </c>
      <c r="E12" s="198" t="s">
        <v>1161</v>
      </c>
      <c r="F12" s="109" t="s">
        <v>182</v>
      </c>
      <c r="G12" s="232" t="s">
        <v>702</v>
      </c>
      <c r="H12" s="234"/>
      <c r="I12" s="232" t="s">
        <v>703</v>
      </c>
      <c r="J12" s="234"/>
      <c r="K12" s="19" t="s">
        <v>704</v>
      </c>
      <c r="L12" s="19" t="s">
        <v>190</v>
      </c>
      <c r="M12" s="19"/>
      <c r="N12" s="19"/>
      <c r="O12" s="19"/>
      <c r="P12" s="19"/>
    </row>
    <row r="13" spans="1:16" ht="15" customHeight="1" x14ac:dyDescent="0.25">
      <c r="A13" s="246" t="s">
        <v>604</v>
      </c>
      <c r="B13" s="246" t="s">
        <v>2</v>
      </c>
      <c r="C13" s="246" t="s">
        <v>291</v>
      </c>
      <c r="D13" s="246">
        <v>11</v>
      </c>
      <c r="E13" s="198" t="s">
        <v>171</v>
      </c>
      <c r="F13" s="108"/>
      <c r="G13" s="20" t="s">
        <v>564</v>
      </c>
      <c r="H13" s="20" t="s">
        <v>183</v>
      </c>
      <c r="I13" s="20" t="s">
        <v>257</v>
      </c>
      <c r="J13" s="20" t="s">
        <v>249</v>
      </c>
      <c r="K13" s="20" t="s">
        <v>322</v>
      </c>
      <c r="L13" s="20"/>
      <c r="M13" s="20"/>
      <c r="N13" s="20"/>
      <c r="O13" s="20"/>
      <c r="P13" s="20"/>
    </row>
    <row r="14" spans="1:16" x14ac:dyDescent="0.25">
      <c r="A14" s="246" t="s">
        <v>604</v>
      </c>
      <c r="B14" s="246" t="s">
        <v>2</v>
      </c>
      <c r="C14" s="246" t="s">
        <v>291</v>
      </c>
      <c r="D14" s="246">
        <v>11</v>
      </c>
      <c r="E14" s="198" t="s">
        <v>173</v>
      </c>
      <c r="F14" s="109" t="s">
        <v>115</v>
      </c>
      <c r="G14" s="19" t="s">
        <v>155</v>
      </c>
      <c r="H14" s="19"/>
      <c r="I14" s="19"/>
      <c r="J14" s="19"/>
      <c r="K14" s="19"/>
      <c r="L14" s="19"/>
      <c r="M14" s="19"/>
      <c r="N14" s="19"/>
      <c r="O14" s="19"/>
      <c r="P14" s="19"/>
    </row>
    <row r="15" spans="1:16" x14ac:dyDescent="0.25">
      <c r="A15" s="246" t="s">
        <v>604</v>
      </c>
      <c r="B15" s="246" t="s">
        <v>2</v>
      </c>
      <c r="C15" s="246" t="s">
        <v>291</v>
      </c>
      <c r="D15" s="246">
        <v>11</v>
      </c>
      <c r="E15" s="198" t="s">
        <v>173</v>
      </c>
      <c r="F15" s="108" t="s">
        <v>464</v>
      </c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x14ac:dyDescent="0.25">
      <c r="A16" s="246" t="s">
        <v>604</v>
      </c>
      <c r="B16" s="246" t="s">
        <v>2</v>
      </c>
      <c r="C16" s="246" t="s">
        <v>291</v>
      </c>
      <c r="D16" s="246">
        <v>11</v>
      </c>
      <c r="E16" s="198" t="s">
        <v>1674</v>
      </c>
      <c r="F16" s="248" t="s">
        <v>379</v>
      </c>
      <c r="G16" s="233"/>
      <c r="H16" s="233"/>
      <c r="I16" s="234"/>
      <c r="J16" s="232" t="s">
        <v>378</v>
      </c>
      <c r="K16" s="233"/>
      <c r="L16" s="234"/>
      <c r="M16" s="19"/>
      <c r="N16" s="19"/>
      <c r="O16" s="19"/>
      <c r="P16" s="19"/>
    </row>
    <row r="17" spans="1:16" x14ac:dyDescent="0.25">
      <c r="A17" s="246" t="s">
        <v>604</v>
      </c>
      <c r="B17" s="246" t="s">
        <v>2</v>
      </c>
      <c r="C17" s="246" t="s">
        <v>291</v>
      </c>
      <c r="D17" s="246">
        <v>11</v>
      </c>
      <c r="E17" s="198" t="s">
        <v>715</v>
      </c>
      <c r="F17" s="110" t="s">
        <v>580</v>
      </c>
      <c r="G17" s="20" t="s">
        <v>573</v>
      </c>
      <c r="H17" s="20" t="s">
        <v>566</v>
      </c>
      <c r="I17" s="20" t="s">
        <v>208</v>
      </c>
      <c r="J17" s="20" t="s">
        <v>118</v>
      </c>
      <c r="K17" s="20" t="s">
        <v>124</v>
      </c>
      <c r="L17" s="20" t="s">
        <v>141</v>
      </c>
      <c r="M17" s="20"/>
      <c r="N17" s="20"/>
      <c r="O17" s="20"/>
      <c r="P17" s="20"/>
    </row>
    <row r="18" spans="1:16" ht="16.5" customHeight="1" x14ac:dyDescent="0.25">
      <c r="A18" s="246" t="s">
        <v>1168</v>
      </c>
      <c r="B18" s="246" t="s">
        <v>294</v>
      </c>
      <c r="C18" s="246" t="s">
        <v>274</v>
      </c>
      <c r="D18" s="246">
        <v>9</v>
      </c>
      <c r="E18" s="198" t="s">
        <v>172</v>
      </c>
      <c r="F18" s="111" t="s">
        <v>151</v>
      </c>
      <c r="G18" s="29" t="s">
        <v>601</v>
      </c>
      <c r="H18" s="29" t="s">
        <v>149</v>
      </c>
      <c r="I18" s="29" t="s">
        <v>150</v>
      </c>
      <c r="J18" s="29"/>
      <c r="K18" s="29"/>
      <c r="L18" s="29"/>
      <c r="M18" s="29"/>
      <c r="N18" s="29"/>
    </row>
    <row r="19" spans="1:16" ht="16.5" customHeight="1" x14ac:dyDescent="0.25">
      <c r="A19" s="246" t="s">
        <v>392</v>
      </c>
      <c r="B19" s="246" t="s">
        <v>3</v>
      </c>
      <c r="C19" s="246" t="s">
        <v>273</v>
      </c>
      <c r="D19" s="246">
        <v>9</v>
      </c>
      <c r="E19" s="198" t="s">
        <v>172</v>
      </c>
      <c r="F19" s="112"/>
      <c r="G19" s="30"/>
      <c r="H19" s="30"/>
      <c r="I19" s="30"/>
      <c r="J19" s="30"/>
      <c r="K19" s="30"/>
      <c r="L19" s="30"/>
      <c r="M19" s="30"/>
      <c r="N19" s="30"/>
    </row>
    <row r="20" spans="1:16" ht="16.5" customHeight="1" x14ac:dyDescent="0.25">
      <c r="A20" s="246" t="s">
        <v>392</v>
      </c>
      <c r="B20" s="246" t="s">
        <v>3</v>
      </c>
      <c r="C20" s="246" t="s">
        <v>273</v>
      </c>
      <c r="D20" s="246">
        <v>9</v>
      </c>
      <c r="E20" s="198" t="s">
        <v>1161</v>
      </c>
      <c r="F20" s="111" t="s">
        <v>182</v>
      </c>
      <c r="G20" s="228" t="s">
        <v>709</v>
      </c>
      <c r="H20" s="229"/>
      <c r="I20" s="229"/>
      <c r="J20" s="229"/>
      <c r="K20" s="228" t="s">
        <v>186</v>
      </c>
      <c r="L20" s="229"/>
      <c r="M20" s="230"/>
      <c r="N20" s="29" t="s">
        <v>190</v>
      </c>
    </row>
    <row r="21" spans="1:16" ht="16.5" customHeight="1" x14ac:dyDescent="0.25">
      <c r="A21" s="246" t="s">
        <v>392</v>
      </c>
      <c r="B21" s="246" t="s">
        <v>3</v>
      </c>
      <c r="C21" s="246" t="s">
        <v>273</v>
      </c>
      <c r="D21" s="246">
        <v>9</v>
      </c>
      <c r="E21" s="198" t="s">
        <v>171</v>
      </c>
      <c r="F21" s="112"/>
      <c r="G21" s="30" t="s">
        <v>183</v>
      </c>
      <c r="H21" s="30" t="s">
        <v>555</v>
      </c>
      <c r="I21" s="30" t="s">
        <v>184</v>
      </c>
      <c r="J21" s="30" t="s">
        <v>185</v>
      </c>
      <c r="K21" s="30" t="s">
        <v>187</v>
      </c>
      <c r="L21" s="30" t="s">
        <v>188</v>
      </c>
      <c r="M21" s="30" t="s">
        <v>189</v>
      </c>
      <c r="N21" s="30"/>
    </row>
    <row r="22" spans="1:16" ht="16.5" customHeight="1" x14ac:dyDescent="0.25">
      <c r="A22" s="246" t="s">
        <v>392</v>
      </c>
      <c r="B22" s="246" t="s">
        <v>3</v>
      </c>
      <c r="C22" s="246" t="s">
        <v>273</v>
      </c>
      <c r="D22" s="246">
        <v>9</v>
      </c>
      <c r="E22" s="198" t="s">
        <v>1160</v>
      </c>
      <c r="F22" s="111" t="s">
        <v>558</v>
      </c>
      <c r="G22" s="29"/>
      <c r="H22" s="29"/>
      <c r="I22" s="29"/>
      <c r="J22" s="29"/>
      <c r="K22" s="29"/>
      <c r="L22" s="29"/>
      <c r="M22" s="29"/>
      <c r="N22" s="29"/>
    </row>
    <row r="23" spans="1:16" ht="16.5" customHeight="1" x14ac:dyDescent="0.25">
      <c r="A23" s="246" t="s">
        <v>392</v>
      </c>
      <c r="B23" s="246" t="s">
        <v>3</v>
      </c>
      <c r="C23" s="246" t="s">
        <v>273</v>
      </c>
      <c r="D23" s="246">
        <v>9</v>
      </c>
      <c r="E23" s="198" t="s">
        <v>173</v>
      </c>
      <c r="F23" s="112"/>
      <c r="G23" s="30"/>
      <c r="H23" s="30"/>
      <c r="I23" s="30"/>
      <c r="J23" s="30"/>
      <c r="K23" s="30"/>
      <c r="L23" s="30"/>
      <c r="M23" s="30"/>
      <c r="N23" s="30"/>
    </row>
    <row r="24" spans="1:16" ht="16.5" customHeight="1" x14ac:dyDescent="0.25">
      <c r="A24" s="246" t="s">
        <v>392</v>
      </c>
      <c r="B24" s="246" t="s">
        <v>3</v>
      </c>
      <c r="C24" s="246" t="s">
        <v>273</v>
      </c>
      <c r="D24" s="246">
        <v>9</v>
      </c>
      <c r="E24" s="198" t="s">
        <v>1674</v>
      </c>
      <c r="F24" s="109"/>
      <c r="G24" s="18"/>
      <c r="H24" s="18"/>
      <c r="I24" s="18"/>
      <c r="J24" s="18"/>
      <c r="K24" s="18"/>
      <c r="L24" s="18"/>
      <c r="M24" s="18"/>
      <c r="N24" s="18"/>
    </row>
    <row r="25" spans="1:16" ht="16.5" customHeight="1" x14ac:dyDescent="0.25">
      <c r="A25" s="246" t="s">
        <v>392</v>
      </c>
      <c r="B25" s="246" t="s">
        <v>3</v>
      </c>
      <c r="C25" s="246" t="s">
        <v>273</v>
      </c>
      <c r="D25" s="246">
        <v>9</v>
      </c>
      <c r="E25" s="198" t="s">
        <v>715</v>
      </c>
      <c r="F25" s="108"/>
      <c r="G25" s="17"/>
      <c r="H25" s="17"/>
      <c r="I25" s="17"/>
      <c r="J25" s="17"/>
      <c r="K25" s="17"/>
      <c r="L25" s="17"/>
      <c r="M25" s="17"/>
      <c r="N25" s="17"/>
    </row>
    <row r="26" spans="1:16" x14ac:dyDescent="0.25">
      <c r="A26" s="246" t="s">
        <v>1140</v>
      </c>
      <c r="B26" s="246" t="s">
        <v>294</v>
      </c>
      <c r="C26" s="246" t="s">
        <v>283</v>
      </c>
      <c r="D26" s="246">
        <v>6</v>
      </c>
      <c r="E26" s="198" t="s">
        <v>172</v>
      </c>
      <c r="F26" s="109" t="s">
        <v>151</v>
      </c>
      <c r="G26" s="225" t="s">
        <v>379</v>
      </c>
      <c r="H26" s="226"/>
      <c r="I26" s="227"/>
      <c r="J26" s="18" t="s">
        <v>149</v>
      </c>
      <c r="K26" s="18" t="s">
        <v>150</v>
      </c>
    </row>
    <row r="27" spans="1:16" x14ac:dyDescent="0.25">
      <c r="A27" s="246" t="s">
        <v>605</v>
      </c>
      <c r="B27" s="246" t="s">
        <v>3</v>
      </c>
      <c r="C27" s="246" t="s">
        <v>275</v>
      </c>
      <c r="D27" s="246">
        <v>6</v>
      </c>
      <c r="E27" s="198" t="s">
        <v>172</v>
      </c>
      <c r="F27" s="108"/>
      <c r="G27" s="17" t="s">
        <v>384</v>
      </c>
      <c r="H27" s="17" t="s">
        <v>113</v>
      </c>
      <c r="I27" s="17" t="s">
        <v>114</v>
      </c>
      <c r="J27" s="17"/>
      <c r="K27" s="17"/>
    </row>
    <row r="28" spans="1:16" x14ac:dyDescent="0.25">
      <c r="A28" s="246" t="s">
        <v>605</v>
      </c>
      <c r="B28" s="246" t="s">
        <v>3</v>
      </c>
      <c r="C28" s="246" t="s">
        <v>275</v>
      </c>
      <c r="D28" s="246">
        <v>6</v>
      </c>
      <c r="E28" s="198" t="s">
        <v>1161</v>
      </c>
      <c r="F28" s="109" t="s">
        <v>182</v>
      </c>
      <c r="G28" s="18" t="s">
        <v>703</v>
      </c>
      <c r="H28" s="18" t="s">
        <v>190</v>
      </c>
      <c r="I28" s="18"/>
      <c r="J28" s="18"/>
      <c r="K28" s="18"/>
    </row>
    <row r="29" spans="1:16" x14ac:dyDescent="0.25">
      <c r="A29" s="246" t="s">
        <v>605</v>
      </c>
      <c r="B29" s="246" t="s">
        <v>3</v>
      </c>
      <c r="C29" s="246" t="s">
        <v>275</v>
      </c>
      <c r="D29" s="246">
        <v>6</v>
      </c>
      <c r="E29" s="198" t="s">
        <v>171</v>
      </c>
      <c r="F29" s="108"/>
      <c r="G29" s="17" t="s">
        <v>197</v>
      </c>
      <c r="H29" s="17"/>
      <c r="I29" s="17"/>
      <c r="J29" s="17"/>
      <c r="K29" s="17"/>
    </row>
    <row r="30" spans="1:16" x14ac:dyDescent="0.25">
      <c r="A30" s="246" t="s">
        <v>605</v>
      </c>
      <c r="B30" s="246" t="s">
        <v>3</v>
      </c>
      <c r="C30" s="246" t="s">
        <v>275</v>
      </c>
      <c r="D30" s="246">
        <v>6</v>
      </c>
      <c r="E30" s="198" t="s">
        <v>1160</v>
      </c>
      <c r="F30" s="247" t="s">
        <v>558</v>
      </c>
      <c r="G30" s="227"/>
      <c r="H30" s="18"/>
      <c r="I30" s="18"/>
      <c r="J30" s="18"/>
      <c r="K30" s="18"/>
    </row>
    <row r="31" spans="1:16" x14ac:dyDescent="0.25">
      <c r="A31" s="246" t="s">
        <v>605</v>
      </c>
      <c r="B31" s="246" t="s">
        <v>3</v>
      </c>
      <c r="C31" s="246" t="s">
        <v>275</v>
      </c>
      <c r="D31" s="246">
        <v>6</v>
      </c>
      <c r="E31" s="198" t="s">
        <v>173</v>
      </c>
      <c r="F31" s="108" t="s">
        <v>380</v>
      </c>
      <c r="G31" s="17" t="s">
        <v>381</v>
      </c>
      <c r="H31" s="17"/>
      <c r="I31" s="17"/>
      <c r="J31" s="17"/>
      <c r="K31" s="17"/>
    </row>
    <row r="32" spans="1:16" x14ac:dyDescent="0.25">
      <c r="A32" s="246" t="s">
        <v>605</v>
      </c>
      <c r="B32" s="246" t="s">
        <v>3</v>
      </c>
      <c r="C32" s="246" t="s">
        <v>275</v>
      </c>
      <c r="D32" s="246">
        <v>6</v>
      </c>
      <c r="E32" s="198" t="s">
        <v>1674</v>
      </c>
      <c r="F32" s="109"/>
      <c r="G32" s="18"/>
      <c r="H32" s="18"/>
      <c r="I32" s="18"/>
      <c r="J32" s="18"/>
      <c r="K32" s="18"/>
    </row>
    <row r="33" spans="1:21" x14ac:dyDescent="0.25">
      <c r="A33" s="246" t="s">
        <v>605</v>
      </c>
      <c r="B33" s="246" t="s">
        <v>3</v>
      </c>
      <c r="C33" s="246" t="s">
        <v>275</v>
      </c>
      <c r="D33" s="246">
        <v>6</v>
      </c>
      <c r="E33" s="198" t="s">
        <v>715</v>
      </c>
      <c r="F33" s="108"/>
      <c r="G33" s="17"/>
      <c r="H33" s="17"/>
      <c r="I33" s="17"/>
      <c r="J33" s="106"/>
      <c r="K33" s="106"/>
    </row>
    <row r="34" spans="1:21" x14ac:dyDescent="0.25">
      <c r="A34" s="246" t="s">
        <v>1141</v>
      </c>
      <c r="B34" s="246" t="s">
        <v>294</v>
      </c>
      <c r="C34" s="246" t="s">
        <v>283</v>
      </c>
      <c r="D34" s="246">
        <v>16</v>
      </c>
      <c r="E34" s="198" t="s">
        <v>1159</v>
      </c>
      <c r="F34" s="109" t="s">
        <v>151</v>
      </c>
      <c r="G34" s="225" t="s">
        <v>379</v>
      </c>
      <c r="H34" s="226"/>
      <c r="I34" s="227"/>
      <c r="J34" s="249" t="s">
        <v>115</v>
      </c>
      <c r="K34" s="249"/>
      <c r="L34" s="249"/>
      <c r="M34" s="18" t="s">
        <v>147</v>
      </c>
      <c r="N34" s="18" t="s">
        <v>148</v>
      </c>
      <c r="O34" s="18" t="s">
        <v>149</v>
      </c>
      <c r="P34" s="18" t="s">
        <v>150</v>
      </c>
      <c r="Q34" s="18"/>
      <c r="R34" s="18"/>
      <c r="S34" s="18"/>
      <c r="T34" s="18"/>
      <c r="U34" s="18"/>
    </row>
    <row r="35" spans="1:21" x14ac:dyDescent="0.25">
      <c r="A35" s="246" t="s">
        <v>606</v>
      </c>
      <c r="B35" s="246" t="s">
        <v>3</v>
      </c>
      <c r="C35" s="246" t="s">
        <v>275</v>
      </c>
      <c r="D35" s="246">
        <v>16</v>
      </c>
      <c r="E35" s="198" t="s">
        <v>172</v>
      </c>
      <c r="F35" s="108"/>
      <c r="G35" s="17" t="s">
        <v>380</v>
      </c>
      <c r="H35" s="17" t="s">
        <v>381</v>
      </c>
      <c r="I35" s="17" t="s">
        <v>208</v>
      </c>
      <c r="J35" s="17" t="s">
        <v>118</v>
      </c>
      <c r="K35" s="17" t="s">
        <v>125</v>
      </c>
      <c r="L35" s="17" t="s">
        <v>145</v>
      </c>
      <c r="M35" s="17" t="s">
        <v>180</v>
      </c>
      <c r="N35" s="17"/>
      <c r="O35" s="17"/>
      <c r="P35" s="17"/>
      <c r="Q35" s="17"/>
      <c r="R35" s="17"/>
      <c r="S35" s="17"/>
      <c r="T35" s="17"/>
      <c r="U35" s="17"/>
    </row>
    <row r="36" spans="1:21" x14ac:dyDescent="0.25">
      <c r="A36" s="246" t="s">
        <v>606</v>
      </c>
      <c r="B36" s="246" t="s">
        <v>3</v>
      </c>
      <c r="C36" s="246" t="s">
        <v>275</v>
      </c>
      <c r="D36" s="246">
        <v>16</v>
      </c>
      <c r="E36" s="198" t="s">
        <v>1161</v>
      </c>
      <c r="F36" s="109" t="s">
        <v>182</v>
      </c>
      <c r="G36" s="225" t="s">
        <v>702</v>
      </c>
      <c r="H36" s="226"/>
      <c r="I36" s="226"/>
      <c r="J36" s="226"/>
      <c r="K36" s="227"/>
      <c r="L36" s="18" t="s">
        <v>703</v>
      </c>
      <c r="M36" s="225" t="s">
        <v>706</v>
      </c>
      <c r="N36" s="227"/>
      <c r="O36" s="225" t="s">
        <v>704</v>
      </c>
      <c r="P36" s="227"/>
      <c r="Q36" s="225" t="s">
        <v>186</v>
      </c>
      <c r="R36" s="226"/>
      <c r="S36" s="227"/>
      <c r="T36" s="18" t="s">
        <v>213</v>
      </c>
      <c r="U36" s="18" t="s">
        <v>214</v>
      </c>
    </row>
    <row r="37" spans="1:21" x14ac:dyDescent="0.25">
      <c r="A37" s="246" t="s">
        <v>606</v>
      </c>
      <c r="B37" s="246" t="s">
        <v>3</v>
      </c>
      <c r="C37" s="246" t="s">
        <v>275</v>
      </c>
      <c r="D37" s="246">
        <v>16</v>
      </c>
      <c r="E37" s="198" t="s">
        <v>171</v>
      </c>
      <c r="F37" s="108"/>
      <c r="G37" s="17" t="s">
        <v>183</v>
      </c>
      <c r="H37" s="17" t="s">
        <v>185</v>
      </c>
      <c r="I37" s="17" t="s">
        <v>184</v>
      </c>
      <c r="J37" s="17" t="s">
        <v>564</v>
      </c>
      <c r="K37" s="17" t="s">
        <v>209</v>
      </c>
      <c r="L37" s="17" t="s">
        <v>249</v>
      </c>
      <c r="M37" s="17" t="s">
        <v>205</v>
      </c>
      <c r="N37" s="17" t="s">
        <v>210</v>
      </c>
      <c r="O37" s="17" t="s">
        <v>302</v>
      </c>
      <c r="P37" s="17" t="s">
        <v>211</v>
      </c>
      <c r="Q37" s="17" t="s">
        <v>212</v>
      </c>
      <c r="R37" s="17" t="s">
        <v>353</v>
      </c>
      <c r="S37" s="17" t="s">
        <v>188</v>
      </c>
      <c r="T37" s="17"/>
      <c r="U37" s="17"/>
    </row>
    <row r="38" spans="1:21" x14ac:dyDescent="0.25">
      <c r="A38" s="246" t="s">
        <v>606</v>
      </c>
      <c r="B38" s="246" t="s">
        <v>3</v>
      </c>
      <c r="C38" s="246" t="s">
        <v>275</v>
      </c>
      <c r="D38" s="246">
        <v>16</v>
      </c>
      <c r="E38" s="198" t="s">
        <v>173</v>
      </c>
      <c r="F38" s="247" t="s">
        <v>115</v>
      </c>
      <c r="G38" s="227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246" t="s">
        <v>606</v>
      </c>
      <c r="B39" s="246" t="s">
        <v>3</v>
      </c>
      <c r="C39" s="246" t="s">
        <v>275</v>
      </c>
      <c r="D39" s="246">
        <v>16</v>
      </c>
      <c r="E39" s="198" t="s">
        <v>173</v>
      </c>
      <c r="F39" s="108" t="s">
        <v>455</v>
      </c>
      <c r="G39" s="17" t="s">
        <v>456</v>
      </c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A40" s="246" t="s">
        <v>606</v>
      </c>
      <c r="B40" s="246" t="s">
        <v>3</v>
      </c>
      <c r="C40" s="246" t="s">
        <v>275</v>
      </c>
      <c r="D40" s="246">
        <v>16</v>
      </c>
      <c r="E40" s="198" t="s">
        <v>1674</v>
      </c>
      <c r="F40" s="109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246" t="s">
        <v>606</v>
      </c>
      <c r="B41" s="246" t="s">
        <v>3</v>
      </c>
      <c r="C41" s="246" t="s">
        <v>275</v>
      </c>
      <c r="D41" s="246">
        <v>16</v>
      </c>
      <c r="E41" s="198" t="s">
        <v>715</v>
      </c>
      <c r="F41" s="108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2" spans="1:21" ht="15.75" customHeight="1" x14ac:dyDescent="0.25">
      <c r="A42" s="246" t="s">
        <v>1142</v>
      </c>
      <c r="B42" s="246" t="s">
        <v>294</v>
      </c>
      <c r="C42" s="246" t="s">
        <v>283</v>
      </c>
      <c r="D42" s="246">
        <v>7</v>
      </c>
      <c r="E42" s="198" t="s">
        <v>1159</v>
      </c>
      <c r="F42" s="109" t="s">
        <v>151</v>
      </c>
      <c r="G42" s="18" t="s">
        <v>379</v>
      </c>
      <c r="H42" s="225" t="s">
        <v>115</v>
      </c>
      <c r="I42" s="226"/>
      <c r="J42" s="227"/>
      <c r="K42" s="18" t="s">
        <v>149</v>
      </c>
      <c r="L42" s="18" t="s">
        <v>150</v>
      </c>
    </row>
    <row r="43" spans="1:21" ht="15.75" customHeight="1" x14ac:dyDescent="0.25">
      <c r="A43" s="246" t="s">
        <v>607</v>
      </c>
      <c r="B43" s="246" t="s">
        <v>3</v>
      </c>
      <c r="C43" s="246" t="s">
        <v>275</v>
      </c>
      <c r="D43" s="246">
        <v>7</v>
      </c>
      <c r="E43" s="198" t="s">
        <v>172</v>
      </c>
      <c r="F43" s="108"/>
      <c r="G43" s="17" t="s">
        <v>380</v>
      </c>
      <c r="H43" s="17" t="s">
        <v>118</v>
      </c>
      <c r="I43" s="17" t="s">
        <v>136</v>
      </c>
      <c r="J43" s="17" t="s">
        <v>141</v>
      </c>
      <c r="K43" s="17"/>
      <c r="L43" s="17"/>
    </row>
    <row r="44" spans="1:21" ht="15" customHeight="1" x14ac:dyDescent="0.25">
      <c r="A44" s="246" t="s">
        <v>607</v>
      </c>
      <c r="B44" s="246" t="s">
        <v>3</v>
      </c>
      <c r="C44" s="246" t="s">
        <v>275</v>
      </c>
      <c r="D44" s="246">
        <v>7</v>
      </c>
      <c r="E44" s="198" t="s">
        <v>1161</v>
      </c>
      <c r="F44" s="109" t="s">
        <v>182</v>
      </c>
      <c r="G44" s="18" t="s">
        <v>703</v>
      </c>
      <c r="H44" s="18" t="s">
        <v>706</v>
      </c>
      <c r="I44" s="18" t="s">
        <v>186</v>
      </c>
      <c r="J44" s="18" t="s">
        <v>215</v>
      </c>
      <c r="K44" s="18"/>
      <c r="L44" s="18"/>
    </row>
    <row r="45" spans="1:21" ht="15" customHeight="1" x14ac:dyDescent="0.25">
      <c r="A45" s="246" t="s">
        <v>607</v>
      </c>
      <c r="B45" s="246" t="s">
        <v>3</v>
      </c>
      <c r="C45" s="246" t="s">
        <v>275</v>
      </c>
      <c r="D45" s="246">
        <v>7</v>
      </c>
      <c r="E45" s="198" t="s">
        <v>171</v>
      </c>
      <c r="F45" s="108"/>
      <c r="G45" s="17" t="s">
        <v>197</v>
      </c>
      <c r="H45" s="17" t="s">
        <v>210</v>
      </c>
      <c r="I45" s="17" t="s">
        <v>188</v>
      </c>
      <c r="J45" s="17"/>
      <c r="K45" s="17"/>
      <c r="L45" s="17"/>
    </row>
    <row r="46" spans="1:21" x14ac:dyDescent="0.25">
      <c r="A46" s="246" t="s">
        <v>607</v>
      </c>
      <c r="B46" s="246" t="s">
        <v>3</v>
      </c>
      <c r="C46" s="246" t="s">
        <v>275</v>
      </c>
      <c r="D46" s="246">
        <v>7</v>
      </c>
      <c r="E46" s="198" t="s">
        <v>1160</v>
      </c>
      <c r="F46" s="109" t="s">
        <v>378</v>
      </c>
      <c r="G46" s="19"/>
      <c r="H46" s="19"/>
      <c r="I46" s="19"/>
      <c r="J46" s="19"/>
      <c r="K46" s="18"/>
      <c r="L46" s="18"/>
    </row>
    <row r="47" spans="1:21" x14ac:dyDescent="0.25">
      <c r="A47" s="246" t="s">
        <v>607</v>
      </c>
      <c r="B47" s="246" t="s">
        <v>3</v>
      </c>
      <c r="C47" s="246" t="s">
        <v>275</v>
      </c>
      <c r="D47" s="246">
        <v>7</v>
      </c>
      <c r="E47" s="198" t="s">
        <v>173</v>
      </c>
      <c r="F47" s="108" t="s">
        <v>451</v>
      </c>
      <c r="G47" s="17"/>
      <c r="H47" s="17"/>
      <c r="I47" s="17"/>
      <c r="J47" s="17"/>
      <c r="K47" s="17"/>
      <c r="L47" s="17"/>
    </row>
    <row r="48" spans="1:21" x14ac:dyDescent="0.25">
      <c r="A48" s="246" t="s">
        <v>607</v>
      </c>
      <c r="B48" s="246" t="s">
        <v>3</v>
      </c>
      <c r="C48" s="246" t="s">
        <v>275</v>
      </c>
      <c r="D48" s="246">
        <v>7</v>
      </c>
      <c r="E48" s="198" t="s">
        <v>1674</v>
      </c>
      <c r="F48" s="247" t="s">
        <v>378</v>
      </c>
      <c r="G48" s="226"/>
      <c r="H48" s="226"/>
      <c r="I48" s="227"/>
      <c r="J48" s="18"/>
      <c r="K48" s="18"/>
      <c r="L48" s="18"/>
    </row>
    <row r="49" spans="1:12" x14ac:dyDescent="0.25">
      <c r="A49" s="246" t="s">
        <v>607</v>
      </c>
      <c r="B49" s="246" t="s">
        <v>3</v>
      </c>
      <c r="C49" s="246" t="s">
        <v>275</v>
      </c>
      <c r="D49" s="246">
        <v>7</v>
      </c>
      <c r="E49" s="198" t="s">
        <v>715</v>
      </c>
      <c r="F49" s="108" t="s">
        <v>118</v>
      </c>
      <c r="G49" s="17" t="s">
        <v>136</v>
      </c>
      <c r="H49" s="17" t="s">
        <v>137</v>
      </c>
      <c r="I49" s="17" t="s">
        <v>145</v>
      </c>
      <c r="J49" s="17"/>
      <c r="K49" s="17"/>
      <c r="L49" s="17"/>
    </row>
    <row r="50" spans="1:12" x14ac:dyDescent="0.25">
      <c r="A50" s="246" t="s">
        <v>1143</v>
      </c>
      <c r="B50" s="246" t="s">
        <v>294</v>
      </c>
      <c r="C50" s="246" t="s">
        <v>283</v>
      </c>
      <c r="D50" s="246">
        <v>5</v>
      </c>
      <c r="E50" s="198" t="s">
        <v>1159</v>
      </c>
      <c r="F50" s="109" t="s">
        <v>379</v>
      </c>
      <c r="G50" s="225" t="s">
        <v>115</v>
      </c>
      <c r="H50" s="227"/>
      <c r="I50" s="18" t="s">
        <v>149</v>
      </c>
      <c r="J50" s="18" t="s">
        <v>150</v>
      </c>
    </row>
    <row r="51" spans="1:12" x14ac:dyDescent="0.25">
      <c r="A51" s="246" t="s">
        <v>608</v>
      </c>
      <c r="B51" s="246" t="s">
        <v>3</v>
      </c>
      <c r="C51" s="246" t="s">
        <v>275</v>
      </c>
      <c r="D51" s="246">
        <v>5</v>
      </c>
      <c r="E51" s="198" t="s">
        <v>172</v>
      </c>
      <c r="F51" s="108" t="s">
        <v>380</v>
      </c>
      <c r="G51" s="17" t="s">
        <v>132</v>
      </c>
      <c r="H51" s="17" t="s">
        <v>136</v>
      </c>
      <c r="I51" s="17"/>
      <c r="J51" s="17"/>
    </row>
    <row r="52" spans="1:12" ht="15" customHeight="1" x14ac:dyDescent="0.25">
      <c r="A52" s="246" t="s">
        <v>608</v>
      </c>
      <c r="B52" s="246" t="s">
        <v>3</v>
      </c>
      <c r="C52" s="246" t="s">
        <v>275</v>
      </c>
      <c r="D52" s="246">
        <v>5</v>
      </c>
      <c r="E52" s="198" t="s">
        <v>1161</v>
      </c>
      <c r="F52" s="109" t="s">
        <v>182</v>
      </c>
      <c r="G52" s="18" t="s">
        <v>216</v>
      </c>
      <c r="H52" s="18"/>
      <c r="I52" s="18"/>
      <c r="J52" s="18"/>
    </row>
    <row r="53" spans="1:12" ht="15" customHeight="1" x14ac:dyDescent="0.25">
      <c r="A53" s="246" t="s">
        <v>608</v>
      </c>
      <c r="B53" s="246" t="s">
        <v>3</v>
      </c>
      <c r="C53" s="246" t="s">
        <v>275</v>
      </c>
      <c r="D53" s="246">
        <v>5</v>
      </c>
      <c r="E53" s="198" t="s">
        <v>171</v>
      </c>
      <c r="F53" s="108"/>
      <c r="G53" s="17"/>
      <c r="H53" s="17"/>
      <c r="I53" s="17"/>
      <c r="J53" s="17"/>
    </row>
    <row r="54" spans="1:12" x14ac:dyDescent="0.25">
      <c r="A54" s="246" t="s">
        <v>608</v>
      </c>
      <c r="B54" s="246" t="s">
        <v>3</v>
      </c>
      <c r="C54" s="246" t="s">
        <v>275</v>
      </c>
      <c r="D54" s="246">
        <v>5</v>
      </c>
      <c r="E54" s="198" t="s">
        <v>173</v>
      </c>
      <c r="F54" s="109" t="s">
        <v>558</v>
      </c>
      <c r="G54" s="19"/>
      <c r="H54" s="19"/>
      <c r="I54" s="18"/>
      <c r="J54" s="18"/>
    </row>
    <row r="55" spans="1:12" x14ac:dyDescent="0.25">
      <c r="A55" s="246" t="s">
        <v>608</v>
      </c>
      <c r="B55" s="246" t="s">
        <v>3</v>
      </c>
      <c r="C55" s="246" t="s">
        <v>275</v>
      </c>
      <c r="D55" s="246">
        <v>5</v>
      </c>
      <c r="E55" s="198" t="s">
        <v>173</v>
      </c>
      <c r="F55" s="108" t="s">
        <v>430</v>
      </c>
      <c r="G55" s="17"/>
      <c r="H55" s="17"/>
      <c r="I55" s="17"/>
      <c r="J55" s="17"/>
    </row>
    <row r="56" spans="1:12" x14ac:dyDescent="0.25">
      <c r="A56" s="246" t="s">
        <v>608</v>
      </c>
      <c r="B56" s="246" t="s">
        <v>3</v>
      </c>
      <c r="C56" s="246" t="s">
        <v>275</v>
      </c>
      <c r="D56" s="246">
        <v>5</v>
      </c>
      <c r="E56" s="198" t="s">
        <v>1674</v>
      </c>
      <c r="F56" s="247" t="s">
        <v>378</v>
      </c>
      <c r="G56" s="227"/>
      <c r="H56" s="18"/>
      <c r="I56" s="18"/>
      <c r="J56" s="18"/>
    </row>
    <row r="57" spans="1:12" x14ac:dyDescent="0.25">
      <c r="A57" s="246" t="s">
        <v>608</v>
      </c>
      <c r="B57" s="246" t="s">
        <v>3</v>
      </c>
      <c r="C57" s="246" t="s">
        <v>275</v>
      </c>
      <c r="D57" s="246">
        <v>5</v>
      </c>
      <c r="E57" s="198" t="s">
        <v>715</v>
      </c>
      <c r="F57" s="108" t="s">
        <v>118</v>
      </c>
      <c r="G57" s="17" t="s">
        <v>136</v>
      </c>
      <c r="H57" s="17"/>
      <c r="I57" s="17"/>
      <c r="J57" s="17"/>
    </row>
    <row r="58" spans="1:12" x14ac:dyDescent="0.25">
      <c r="A58" s="246" t="s">
        <v>1144</v>
      </c>
      <c r="B58" s="246" t="s">
        <v>294</v>
      </c>
      <c r="C58" s="246" t="s">
        <v>284</v>
      </c>
      <c r="D58" s="246">
        <v>5</v>
      </c>
      <c r="E58" s="198" t="s">
        <v>172</v>
      </c>
      <c r="F58" s="109" t="s">
        <v>151</v>
      </c>
      <c r="G58" s="225" t="s">
        <v>379</v>
      </c>
      <c r="H58" s="227"/>
      <c r="I58" s="18" t="s">
        <v>149</v>
      </c>
      <c r="J58" s="18" t="s">
        <v>150</v>
      </c>
    </row>
    <row r="59" spans="1:12" x14ac:dyDescent="0.25">
      <c r="A59" s="246" t="s">
        <v>609</v>
      </c>
      <c r="B59" s="246" t="s">
        <v>3</v>
      </c>
      <c r="C59" s="246" t="s">
        <v>276</v>
      </c>
      <c r="D59" s="246">
        <v>5</v>
      </c>
      <c r="E59" s="198" t="s">
        <v>172</v>
      </c>
      <c r="F59" s="108"/>
      <c r="G59" s="17" t="s">
        <v>380</v>
      </c>
      <c r="H59" s="17" t="s">
        <v>114</v>
      </c>
      <c r="I59" s="17"/>
      <c r="J59" s="17"/>
    </row>
    <row r="60" spans="1:12" ht="15" customHeight="1" x14ac:dyDescent="0.25">
      <c r="A60" s="246" t="s">
        <v>609</v>
      </c>
      <c r="B60" s="246" t="s">
        <v>3</v>
      </c>
      <c r="C60" s="246" t="s">
        <v>276</v>
      </c>
      <c r="D60" s="246">
        <v>5</v>
      </c>
      <c r="E60" s="198" t="s">
        <v>171</v>
      </c>
      <c r="F60" s="109" t="s">
        <v>182</v>
      </c>
      <c r="G60" s="18" t="s">
        <v>703</v>
      </c>
      <c r="H60" s="18" t="s">
        <v>190</v>
      </c>
      <c r="I60" s="18"/>
      <c r="J60" s="18"/>
    </row>
    <row r="61" spans="1:12" ht="15" customHeight="1" x14ac:dyDescent="0.25">
      <c r="A61" s="246" t="s">
        <v>609</v>
      </c>
      <c r="B61" s="246" t="s">
        <v>3</v>
      </c>
      <c r="C61" s="246" t="s">
        <v>276</v>
      </c>
      <c r="D61" s="246">
        <v>5</v>
      </c>
      <c r="E61" s="198" t="s">
        <v>171</v>
      </c>
      <c r="F61" s="108"/>
      <c r="G61" s="17"/>
      <c r="H61" s="17"/>
      <c r="I61" s="17"/>
      <c r="J61" s="17"/>
    </row>
    <row r="62" spans="1:12" x14ac:dyDescent="0.25">
      <c r="A62" s="246" t="s">
        <v>609</v>
      </c>
      <c r="B62" s="246" t="s">
        <v>3</v>
      </c>
      <c r="C62" s="246" t="s">
        <v>276</v>
      </c>
      <c r="D62" s="246">
        <v>5</v>
      </c>
      <c r="E62" s="198" t="s">
        <v>173</v>
      </c>
      <c r="F62" s="109" t="s">
        <v>558</v>
      </c>
      <c r="G62" s="18"/>
      <c r="H62" s="18"/>
      <c r="I62" s="18"/>
      <c r="J62" s="18"/>
    </row>
    <row r="63" spans="1:12" x14ac:dyDescent="0.25">
      <c r="A63" s="246" t="s">
        <v>609</v>
      </c>
      <c r="B63" s="246" t="s">
        <v>3</v>
      </c>
      <c r="C63" s="246" t="s">
        <v>276</v>
      </c>
      <c r="D63" s="246">
        <v>5</v>
      </c>
      <c r="E63" s="198" t="s">
        <v>173</v>
      </c>
      <c r="F63" s="108" t="s">
        <v>382</v>
      </c>
      <c r="G63" s="17"/>
      <c r="H63" s="17"/>
      <c r="I63" s="17"/>
      <c r="J63" s="17"/>
    </row>
    <row r="64" spans="1:12" x14ac:dyDescent="0.25">
      <c r="A64" s="246" t="s">
        <v>609</v>
      </c>
      <c r="B64" s="246" t="s">
        <v>3</v>
      </c>
      <c r="C64" s="246" t="s">
        <v>276</v>
      </c>
      <c r="D64" s="246">
        <v>5</v>
      </c>
      <c r="E64" s="198" t="s">
        <v>1674</v>
      </c>
      <c r="F64" s="109"/>
      <c r="G64" s="18"/>
      <c r="H64" s="18"/>
      <c r="I64" s="18"/>
      <c r="J64" s="18"/>
    </row>
    <row r="65" spans="1:13" x14ac:dyDescent="0.25">
      <c r="A65" s="246" t="s">
        <v>609</v>
      </c>
      <c r="B65" s="246" t="s">
        <v>3</v>
      </c>
      <c r="C65" s="246" t="s">
        <v>276</v>
      </c>
      <c r="D65" s="246">
        <v>5</v>
      </c>
      <c r="E65" s="198" t="s">
        <v>715</v>
      </c>
      <c r="F65" s="108"/>
      <c r="G65" s="17"/>
      <c r="H65" s="17"/>
      <c r="I65" s="17"/>
      <c r="J65" s="17"/>
    </row>
    <row r="66" spans="1:13" x14ac:dyDescent="0.25">
      <c r="A66" s="246" t="s">
        <v>1145</v>
      </c>
      <c r="B66" s="246" t="s">
        <v>294</v>
      </c>
      <c r="C66" s="246" t="s">
        <v>284</v>
      </c>
      <c r="D66" s="246">
        <v>4</v>
      </c>
      <c r="E66" s="198" t="s">
        <v>172</v>
      </c>
      <c r="F66" s="247" t="s">
        <v>379</v>
      </c>
      <c r="G66" s="227"/>
      <c r="H66" s="18" t="s">
        <v>149</v>
      </c>
      <c r="I66" s="18" t="s">
        <v>150</v>
      </c>
    </row>
    <row r="67" spans="1:13" x14ac:dyDescent="0.25">
      <c r="A67" s="246" t="s">
        <v>610</v>
      </c>
      <c r="B67" s="246" t="s">
        <v>3</v>
      </c>
      <c r="C67" s="246" t="s">
        <v>276</v>
      </c>
      <c r="D67" s="246">
        <v>4</v>
      </c>
      <c r="E67" s="198" t="s">
        <v>172</v>
      </c>
      <c r="F67" s="108" t="s">
        <v>382</v>
      </c>
      <c r="G67" s="17" t="s">
        <v>109</v>
      </c>
      <c r="H67" s="17"/>
      <c r="I67" s="17"/>
    </row>
    <row r="68" spans="1:13" ht="15" customHeight="1" x14ac:dyDescent="0.25">
      <c r="A68" s="246" t="s">
        <v>610</v>
      </c>
      <c r="B68" s="246" t="s">
        <v>3</v>
      </c>
      <c r="C68" s="246" t="s">
        <v>276</v>
      </c>
      <c r="D68" s="246">
        <v>4</v>
      </c>
      <c r="E68" s="198" t="s">
        <v>1161</v>
      </c>
      <c r="F68" s="109" t="s">
        <v>182</v>
      </c>
      <c r="G68" s="18" t="s">
        <v>216</v>
      </c>
      <c r="H68" s="18" t="s">
        <v>218</v>
      </c>
      <c r="I68" s="18" t="s">
        <v>190</v>
      </c>
    </row>
    <row r="69" spans="1:13" ht="15" customHeight="1" x14ac:dyDescent="0.25">
      <c r="A69" s="246" t="s">
        <v>610</v>
      </c>
      <c r="B69" s="246" t="s">
        <v>3</v>
      </c>
      <c r="C69" s="246" t="s">
        <v>276</v>
      </c>
      <c r="D69" s="246">
        <v>4</v>
      </c>
      <c r="E69" s="198" t="s">
        <v>171</v>
      </c>
      <c r="F69" s="108"/>
      <c r="G69" s="17"/>
      <c r="H69" s="17"/>
      <c r="I69" s="17"/>
    </row>
    <row r="70" spans="1:13" x14ac:dyDescent="0.25">
      <c r="A70" s="246" t="s">
        <v>610</v>
      </c>
      <c r="B70" s="246" t="s">
        <v>3</v>
      </c>
      <c r="C70" s="246" t="s">
        <v>276</v>
      </c>
      <c r="D70" s="246">
        <v>4</v>
      </c>
      <c r="E70" s="198" t="s">
        <v>1160</v>
      </c>
      <c r="F70" s="247" t="s">
        <v>115</v>
      </c>
      <c r="G70" s="226"/>
      <c r="H70" s="227"/>
      <c r="I70" s="18" t="s">
        <v>155</v>
      </c>
    </row>
    <row r="71" spans="1:13" x14ac:dyDescent="0.25">
      <c r="A71" s="246" t="s">
        <v>610</v>
      </c>
      <c r="B71" s="246" t="s">
        <v>3</v>
      </c>
      <c r="C71" s="246" t="s">
        <v>276</v>
      </c>
      <c r="D71" s="246">
        <v>4</v>
      </c>
      <c r="E71" s="198" t="s">
        <v>173</v>
      </c>
      <c r="F71" s="108" t="s">
        <v>437</v>
      </c>
      <c r="G71" s="17" t="s">
        <v>436</v>
      </c>
      <c r="H71" s="17" t="s">
        <v>445</v>
      </c>
      <c r="I71" s="17"/>
    </row>
    <row r="72" spans="1:13" x14ac:dyDescent="0.25">
      <c r="A72" s="246" t="s">
        <v>610</v>
      </c>
      <c r="B72" s="246" t="s">
        <v>3</v>
      </c>
      <c r="C72" s="246" t="s">
        <v>276</v>
      </c>
      <c r="D72" s="246">
        <v>4</v>
      </c>
      <c r="E72" s="198" t="s">
        <v>1674</v>
      </c>
      <c r="F72" s="247" t="s">
        <v>379</v>
      </c>
      <c r="G72" s="227"/>
      <c r="H72" s="18"/>
      <c r="I72" s="18"/>
    </row>
    <row r="73" spans="1:13" x14ac:dyDescent="0.25">
      <c r="A73" s="246" t="s">
        <v>610</v>
      </c>
      <c r="B73" s="246" t="s">
        <v>3</v>
      </c>
      <c r="C73" s="246" t="s">
        <v>276</v>
      </c>
      <c r="D73" s="246">
        <v>4</v>
      </c>
      <c r="E73" s="198" t="s">
        <v>715</v>
      </c>
      <c r="F73" s="108" t="s">
        <v>110</v>
      </c>
      <c r="G73" s="17" t="s">
        <v>111</v>
      </c>
      <c r="H73" s="106"/>
      <c r="I73" s="106"/>
    </row>
    <row r="74" spans="1:13" x14ac:dyDescent="0.25">
      <c r="A74" s="246" t="s">
        <v>1146</v>
      </c>
      <c r="B74" s="246" t="s">
        <v>294</v>
      </c>
      <c r="C74" s="246" t="s">
        <v>284</v>
      </c>
      <c r="D74" s="246">
        <v>8</v>
      </c>
      <c r="E74" s="198" t="s">
        <v>1159</v>
      </c>
      <c r="F74" s="247" t="s">
        <v>558</v>
      </c>
      <c r="G74" s="227"/>
      <c r="H74" s="249" t="s">
        <v>115</v>
      </c>
      <c r="I74" s="249"/>
      <c r="J74" s="249"/>
      <c r="K74" s="249"/>
      <c r="L74" s="18" t="s">
        <v>404</v>
      </c>
      <c r="M74" s="18" t="s">
        <v>405</v>
      </c>
    </row>
    <row r="75" spans="1:13" x14ac:dyDescent="0.25">
      <c r="A75" s="246" t="s">
        <v>611</v>
      </c>
      <c r="B75" s="246" t="s">
        <v>3</v>
      </c>
      <c r="C75" s="246" t="s">
        <v>276</v>
      </c>
      <c r="D75" s="246">
        <v>8</v>
      </c>
      <c r="E75" s="198" t="s">
        <v>172</v>
      </c>
      <c r="F75" s="108" t="s">
        <v>559</v>
      </c>
      <c r="G75" s="17" t="s">
        <v>109</v>
      </c>
      <c r="H75" s="17" t="s">
        <v>116</v>
      </c>
      <c r="I75" s="17" t="s">
        <v>117</v>
      </c>
      <c r="J75" s="17" t="s">
        <v>118</v>
      </c>
      <c r="K75" s="17" t="s">
        <v>126</v>
      </c>
      <c r="L75" s="17"/>
      <c r="M75" s="17"/>
    </row>
    <row r="76" spans="1:13" ht="15" customHeight="1" x14ac:dyDescent="0.25">
      <c r="A76" s="246" t="s">
        <v>611</v>
      </c>
      <c r="B76" s="246" t="s">
        <v>3</v>
      </c>
      <c r="C76" s="246" t="s">
        <v>276</v>
      </c>
      <c r="D76" s="246">
        <v>8</v>
      </c>
      <c r="E76" s="198" t="s">
        <v>171</v>
      </c>
      <c r="F76" s="109" t="s">
        <v>261</v>
      </c>
      <c r="G76" s="18" t="s">
        <v>561</v>
      </c>
      <c r="H76" s="18" t="s">
        <v>548</v>
      </c>
      <c r="I76" s="18" t="s">
        <v>191</v>
      </c>
      <c r="J76" s="18"/>
      <c r="K76" s="18"/>
      <c r="L76" s="18"/>
      <c r="M76" s="18"/>
    </row>
    <row r="77" spans="1:13" ht="15" customHeight="1" x14ac:dyDescent="0.25">
      <c r="A77" s="246" t="s">
        <v>611</v>
      </c>
      <c r="B77" s="246" t="s">
        <v>3</v>
      </c>
      <c r="C77" s="246" t="s">
        <v>276</v>
      </c>
      <c r="D77" s="246">
        <v>8</v>
      </c>
      <c r="E77" s="198" t="s">
        <v>171</v>
      </c>
      <c r="F77" s="108"/>
      <c r="G77" s="17"/>
      <c r="H77" s="17"/>
      <c r="I77" s="17"/>
      <c r="J77" s="17"/>
      <c r="K77" s="17"/>
      <c r="L77" s="17"/>
      <c r="M77" s="17"/>
    </row>
    <row r="78" spans="1:13" x14ac:dyDescent="0.25">
      <c r="A78" s="246" t="s">
        <v>611</v>
      </c>
      <c r="B78" s="246" t="s">
        <v>3</v>
      </c>
      <c r="C78" s="246" t="s">
        <v>276</v>
      </c>
      <c r="D78" s="246">
        <v>8</v>
      </c>
      <c r="E78" s="198" t="s">
        <v>1160</v>
      </c>
      <c r="F78" s="109" t="s">
        <v>115</v>
      </c>
      <c r="G78" s="19"/>
      <c r="H78" s="19"/>
      <c r="I78" s="19"/>
      <c r="J78" s="19"/>
      <c r="K78" s="18"/>
      <c r="L78" s="18"/>
      <c r="M78" s="18"/>
    </row>
    <row r="79" spans="1:13" x14ac:dyDescent="0.25">
      <c r="A79" s="246" t="s">
        <v>611</v>
      </c>
      <c r="B79" s="246" t="s">
        <v>3</v>
      </c>
      <c r="C79" s="246" t="s">
        <v>276</v>
      </c>
      <c r="D79" s="246">
        <v>8</v>
      </c>
      <c r="E79" s="198" t="s">
        <v>173</v>
      </c>
      <c r="F79" s="108" t="s">
        <v>450</v>
      </c>
      <c r="G79" s="17"/>
      <c r="H79" s="17"/>
      <c r="I79" s="17"/>
      <c r="J79" s="17"/>
      <c r="K79" s="17"/>
      <c r="L79" s="17"/>
      <c r="M79" s="17"/>
    </row>
    <row r="80" spans="1:13" x14ac:dyDescent="0.25">
      <c r="A80" s="246" t="s">
        <v>611</v>
      </c>
      <c r="B80" s="246" t="s">
        <v>3</v>
      </c>
      <c r="C80" s="246" t="s">
        <v>276</v>
      </c>
      <c r="D80" s="246">
        <v>8</v>
      </c>
      <c r="E80" s="198" t="s">
        <v>1674</v>
      </c>
      <c r="F80" s="247" t="s">
        <v>378</v>
      </c>
      <c r="G80" s="226"/>
      <c r="H80" s="226"/>
      <c r="I80" s="227"/>
      <c r="J80" s="18"/>
      <c r="K80" s="18"/>
      <c r="L80" s="18"/>
      <c r="M80" s="18"/>
    </row>
    <row r="81" spans="1:22" x14ac:dyDescent="0.25">
      <c r="A81" s="246" t="s">
        <v>611</v>
      </c>
      <c r="B81" s="246" t="s">
        <v>3</v>
      </c>
      <c r="C81" s="246" t="s">
        <v>276</v>
      </c>
      <c r="D81" s="246">
        <v>8</v>
      </c>
      <c r="E81" s="198" t="s">
        <v>715</v>
      </c>
      <c r="F81" s="108" t="s">
        <v>116</v>
      </c>
      <c r="G81" s="17" t="s">
        <v>117</v>
      </c>
      <c r="H81" s="106" t="s">
        <v>118</v>
      </c>
      <c r="I81" s="106" t="s">
        <v>126</v>
      </c>
      <c r="J81" s="106"/>
      <c r="K81" s="106"/>
      <c r="L81" s="106"/>
      <c r="M81" s="106"/>
    </row>
    <row r="82" spans="1:22" x14ac:dyDescent="0.25">
      <c r="A82" s="246" t="s">
        <v>1147</v>
      </c>
      <c r="B82" s="246" t="s">
        <v>294</v>
      </c>
      <c r="C82" s="246" t="s">
        <v>1155</v>
      </c>
      <c r="D82" s="246">
        <v>14</v>
      </c>
      <c r="E82" s="198" t="s">
        <v>1159</v>
      </c>
      <c r="F82" s="247" t="s">
        <v>379</v>
      </c>
      <c r="G82" s="227"/>
      <c r="H82" s="249" t="s">
        <v>115</v>
      </c>
      <c r="I82" s="249"/>
      <c r="J82" s="249"/>
      <c r="K82" s="249"/>
      <c r="L82" s="249"/>
      <c r="M82" s="249"/>
      <c r="N82" s="249"/>
      <c r="O82" s="249"/>
      <c r="P82" s="249"/>
      <c r="Q82" s="249"/>
      <c r="R82" s="18" t="s">
        <v>149</v>
      </c>
      <c r="S82" s="18" t="s">
        <v>150</v>
      </c>
    </row>
    <row r="83" spans="1:22" x14ac:dyDescent="0.25">
      <c r="A83" s="246" t="s">
        <v>612</v>
      </c>
      <c r="B83" s="246" t="s">
        <v>3</v>
      </c>
      <c r="C83" s="246" t="s">
        <v>276</v>
      </c>
      <c r="D83" s="246">
        <v>14</v>
      </c>
      <c r="E83" s="198" t="s">
        <v>172</v>
      </c>
      <c r="F83" s="108" t="s">
        <v>382</v>
      </c>
      <c r="G83" s="17" t="s">
        <v>109</v>
      </c>
      <c r="H83" s="17" t="s">
        <v>117</v>
      </c>
      <c r="I83" s="17" t="s">
        <v>116</v>
      </c>
      <c r="J83" s="17" t="s">
        <v>118</v>
      </c>
      <c r="K83" s="17" t="s">
        <v>125</v>
      </c>
      <c r="L83" s="17" t="s">
        <v>126</v>
      </c>
      <c r="M83" s="17" t="s">
        <v>133</v>
      </c>
      <c r="N83" s="17" t="s">
        <v>138</v>
      </c>
      <c r="O83" s="17" t="s">
        <v>139</v>
      </c>
      <c r="P83" s="17" t="s">
        <v>140</v>
      </c>
      <c r="Q83" s="17" t="s">
        <v>141</v>
      </c>
      <c r="R83" s="17"/>
      <c r="S83" s="17"/>
    </row>
    <row r="84" spans="1:22" ht="15" customHeight="1" x14ac:dyDescent="0.25">
      <c r="A84" s="246" t="s">
        <v>612</v>
      </c>
      <c r="B84" s="246" t="s">
        <v>3</v>
      </c>
      <c r="C84" s="246" t="s">
        <v>276</v>
      </c>
      <c r="D84" s="246">
        <v>14</v>
      </c>
      <c r="E84" s="198" t="s">
        <v>171</v>
      </c>
      <c r="F84" s="109" t="s">
        <v>182</v>
      </c>
      <c r="G84" s="18" t="s">
        <v>219</v>
      </c>
      <c r="H84" s="18" t="s">
        <v>220</v>
      </c>
      <c r="I84" s="18" t="s">
        <v>221</v>
      </c>
      <c r="J84" s="18" t="s">
        <v>562</v>
      </c>
      <c r="K84" s="225" t="s">
        <v>703</v>
      </c>
      <c r="L84" s="227"/>
      <c r="M84" s="18" t="s">
        <v>706</v>
      </c>
      <c r="N84" s="18" t="s">
        <v>190</v>
      </c>
      <c r="O84" s="18"/>
      <c r="P84" s="18"/>
      <c r="Q84" s="18"/>
      <c r="R84" s="18"/>
      <c r="S84" s="18"/>
    </row>
    <row r="85" spans="1:22" ht="15" customHeight="1" x14ac:dyDescent="0.25">
      <c r="A85" s="246" t="s">
        <v>612</v>
      </c>
      <c r="B85" s="246" t="s">
        <v>3</v>
      </c>
      <c r="C85" s="246" t="s">
        <v>276</v>
      </c>
      <c r="D85" s="246">
        <v>14</v>
      </c>
      <c r="E85" s="198" t="s">
        <v>171</v>
      </c>
      <c r="F85" s="108"/>
      <c r="G85" s="17"/>
      <c r="H85" s="17"/>
      <c r="I85" s="17"/>
      <c r="J85" s="17"/>
      <c r="K85" s="17" t="s">
        <v>197</v>
      </c>
      <c r="L85" s="17" t="s">
        <v>222</v>
      </c>
      <c r="M85" s="17"/>
      <c r="N85" s="17"/>
      <c r="O85" s="17"/>
      <c r="P85" s="17"/>
      <c r="Q85" s="17"/>
      <c r="R85" s="17"/>
      <c r="S85" s="17"/>
    </row>
    <row r="86" spans="1:22" x14ac:dyDescent="0.25">
      <c r="A86" s="246" t="s">
        <v>612</v>
      </c>
      <c r="B86" s="246" t="s">
        <v>3</v>
      </c>
      <c r="C86" s="246" t="s">
        <v>276</v>
      </c>
      <c r="D86" s="246">
        <v>14</v>
      </c>
      <c r="E86" s="198" t="s">
        <v>173</v>
      </c>
      <c r="F86" s="247" t="s">
        <v>115</v>
      </c>
      <c r="G86" s="227"/>
      <c r="H86" s="19"/>
      <c r="I86" s="19"/>
      <c r="J86" s="19"/>
      <c r="K86" s="18"/>
      <c r="L86" s="18"/>
      <c r="M86" s="18"/>
      <c r="N86" s="18"/>
      <c r="O86" s="18"/>
      <c r="P86" s="18"/>
      <c r="Q86" s="18"/>
      <c r="R86" s="18"/>
      <c r="S86" s="18"/>
    </row>
    <row r="87" spans="1:22" x14ac:dyDescent="0.25">
      <c r="A87" s="246" t="s">
        <v>612</v>
      </c>
      <c r="B87" s="246" t="s">
        <v>3</v>
      </c>
      <c r="C87" s="246" t="s">
        <v>276</v>
      </c>
      <c r="D87" s="246">
        <v>14</v>
      </c>
      <c r="E87" s="198" t="s">
        <v>173</v>
      </c>
      <c r="F87" s="108" t="s">
        <v>123</v>
      </c>
      <c r="G87" s="17" t="s">
        <v>119</v>
      </c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</row>
    <row r="88" spans="1:22" x14ac:dyDescent="0.25">
      <c r="A88" s="246" t="s">
        <v>612</v>
      </c>
      <c r="B88" s="246" t="s">
        <v>3</v>
      </c>
      <c r="C88" s="246" t="s">
        <v>276</v>
      </c>
      <c r="D88" s="246">
        <v>14</v>
      </c>
      <c r="E88" s="198" t="s">
        <v>1674</v>
      </c>
      <c r="F88" s="247" t="s">
        <v>378</v>
      </c>
      <c r="G88" s="226"/>
      <c r="H88" s="227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</row>
    <row r="89" spans="1:22" x14ac:dyDescent="0.25">
      <c r="A89" s="246" t="s">
        <v>612</v>
      </c>
      <c r="B89" s="246" t="s">
        <v>3</v>
      </c>
      <c r="C89" s="246" t="s">
        <v>276</v>
      </c>
      <c r="D89" s="246">
        <v>14</v>
      </c>
      <c r="E89" s="198" t="s">
        <v>715</v>
      </c>
      <c r="F89" s="108" t="s">
        <v>116</v>
      </c>
      <c r="G89" s="17" t="s">
        <v>118</v>
      </c>
      <c r="H89" s="17" t="s">
        <v>125</v>
      </c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</row>
    <row r="90" spans="1:22" x14ac:dyDescent="0.25">
      <c r="A90" s="246" t="s">
        <v>75</v>
      </c>
      <c r="B90" s="246" t="s">
        <v>294</v>
      </c>
      <c r="C90" s="246" t="s">
        <v>284</v>
      </c>
      <c r="D90" s="246">
        <v>17</v>
      </c>
      <c r="E90" s="198" t="s">
        <v>1159</v>
      </c>
      <c r="F90" s="250" t="s">
        <v>379</v>
      </c>
      <c r="G90" s="230"/>
      <c r="H90" s="238" t="s">
        <v>115</v>
      </c>
      <c r="I90" s="229"/>
      <c r="J90" s="229"/>
      <c r="K90" s="229"/>
      <c r="L90" s="229"/>
      <c r="M90" s="229"/>
      <c r="N90" s="229"/>
      <c r="O90" s="229"/>
      <c r="P90" s="229"/>
      <c r="Q90" s="229"/>
      <c r="R90" s="229"/>
      <c r="S90" s="230"/>
      <c r="T90" s="70" t="s">
        <v>148</v>
      </c>
      <c r="U90" s="70" t="s">
        <v>149</v>
      </c>
      <c r="V90" s="70" t="s">
        <v>150</v>
      </c>
    </row>
    <row r="91" spans="1:22" x14ac:dyDescent="0.25">
      <c r="A91" s="246" t="s">
        <v>613</v>
      </c>
      <c r="B91" s="246" t="s">
        <v>3</v>
      </c>
      <c r="C91" s="246" t="s">
        <v>276</v>
      </c>
      <c r="D91" s="246">
        <v>17</v>
      </c>
      <c r="E91" s="198" t="s">
        <v>172</v>
      </c>
      <c r="F91" s="112" t="s">
        <v>382</v>
      </c>
      <c r="G91" s="30" t="s">
        <v>109</v>
      </c>
      <c r="H91" s="30" t="s">
        <v>116</v>
      </c>
      <c r="I91" s="30" t="s">
        <v>117</v>
      </c>
      <c r="J91" s="30" t="s">
        <v>118</v>
      </c>
      <c r="K91" s="30" t="s">
        <v>119</v>
      </c>
      <c r="L91" s="30" t="s">
        <v>123</v>
      </c>
      <c r="M91" s="30" t="s">
        <v>125</v>
      </c>
      <c r="N91" s="30" t="s">
        <v>126</v>
      </c>
      <c r="O91" s="30" t="s">
        <v>131</v>
      </c>
      <c r="P91" s="30" t="s">
        <v>133</v>
      </c>
      <c r="Q91" s="30" t="s">
        <v>139</v>
      </c>
      <c r="R91" s="30" t="s">
        <v>140</v>
      </c>
      <c r="S91" s="30" t="s">
        <v>141</v>
      </c>
      <c r="T91" s="30"/>
      <c r="U91" s="30"/>
      <c r="V91" s="30"/>
    </row>
    <row r="92" spans="1:22" ht="15" customHeight="1" x14ac:dyDescent="0.25">
      <c r="A92" s="246" t="s">
        <v>613</v>
      </c>
      <c r="B92" s="246" t="s">
        <v>3</v>
      </c>
      <c r="C92" s="246" t="s">
        <v>276</v>
      </c>
      <c r="D92" s="246">
        <v>17</v>
      </c>
      <c r="E92" s="198" t="s">
        <v>1161</v>
      </c>
      <c r="F92" s="113" t="s">
        <v>223</v>
      </c>
      <c r="G92" s="70" t="s">
        <v>228</v>
      </c>
      <c r="H92" s="70" t="s">
        <v>224</v>
      </c>
      <c r="I92" s="238" t="s">
        <v>703</v>
      </c>
      <c r="J92" s="230"/>
      <c r="K92" s="70" t="s">
        <v>548</v>
      </c>
      <c r="L92" s="70" t="s">
        <v>227</v>
      </c>
      <c r="M92" s="70" t="s">
        <v>191</v>
      </c>
      <c r="N92" s="70" t="s">
        <v>542</v>
      </c>
      <c r="O92" s="70"/>
      <c r="P92" s="70"/>
      <c r="Q92" s="70"/>
      <c r="R92" s="70"/>
      <c r="S92" s="70"/>
      <c r="T92" s="70"/>
      <c r="U92" s="70"/>
      <c r="V92" s="70"/>
    </row>
    <row r="93" spans="1:22" ht="15" customHeight="1" x14ac:dyDescent="0.25">
      <c r="A93" s="246" t="s">
        <v>613</v>
      </c>
      <c r="B93" s="246" t="s">
        <v>3</v>
      </c>
      <c r="C93" s="246" t="s">
        <v>276</v>
      </c>
      <c r="D93" s="246">
        <v>17</v>
      </c>
      <c r="E93" s="198" t="s">
        <v>171</v>
      </c>
      <c r="F93" s="112"/>
      <c r="G93" s="30"/>
      <c r="H93" s="30"/>
      <c r="I93" s="30" t="s">
        <v>225</v>
      </c>
      <c r="J93" s="30" t="s">
        <v>226</v>
      </c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</row>
    <row r="94" spans="1:22" x14ac:dyDescent="0.25">
      <c r="A94" s="246" t="s">
        <v>613</v>
      </c>
      <c r="B94" s="246" t="s">
        <v>3</v>
      </c>
      <c r="C94" s="246" t="s">
        <v>276</v>
      </c>
      <c r="D94" s="246">
        <v>17</v>
      </c>
      <c r="E94" s="198" t="s">
        <v>1160</v>
      </c>
      <c r="F94" s="114" t="s">
        <v>379</v>
      </c>
      <c r="G94" s="239" t="s">
        <v>378</v>
      </c>
      <c r="H94" s="239"/>
      <c r="I94" s="239"/>
      <c r="J94" s="70" t="s">
        <v>155</v>
      </c>
      <c r="K94" s="62"/>
      <c r="L94" s="31"/>
      <c r="M94" s="62"/>
      <c r="N94" s="31"/>
      <c r="O94" s="31"/>
      <c r="P94" s="31"/>
      <c r="Q94" s="31"/>
      <c r="R94" s="31"/>
      <c r="S94" s="70"/>
      <c r="T94" s="70"/>
      <c r="U94" s="70"/>
      <c r="V94" s="70"/>
    </row>
    <row r="95" spans="1:22" x14ac:dyDescent="0.25">
      <c r="A95" s="246" t="s">
        <v>613</v>
      </c>
      <c r="B95" s="246" t="s">
        <v>3</v>
      </c>
      <c r="C95" s="246" t="s">
        <v>276</v>
      </c>
      <c r="D95" s="246">
        <v>17</v>
      </c>
      <c r="E95" s="198" t="s">
        <v>173</v>
      </c>
      <c r="F95" s="112" t="s">
        <v>431</v>
      </c>
      <c r="G95" s="30" t="s">
        <v>449</v>
      </c>
      <c r="H95" s="30" t="s">
        <v>462</v>
      </c>
      <c r="I95" s="30" t="s">
        <v>128</v>
      </c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</row>
    <row r="96" spans="1:22" x14ac:dyDescent="0.25">
      <c r="A96" s="246" t="s">
        <v>613</v>
      </c>
      <c r="B96" s="246" t="s">
        <v>3</v>
      </c>
      <c r="C96" s="246" t="s">
        <v>276</v>
      </c>
      <c r="D96" s="246">
        <v>17</v>
      </c>
      <c r="E96" s="198" t="s">
        <v>1674</v>
      </c>
      <c r="F96" s="250" t="s">
        <v>379</v>
      </c>
      <c r="G96" s="230"/>
      <c r="H96" s="238" t="s">
        <v>378</v>
      </c>
      <c r="I96" s="229"/>
      <c r="J96" s="229"/>
      <c r="K96" s="229"/>
      <c r="L96" s="229"/>
      <c r="M96" s="230"/>
      <c r="N96" s="18"/>
      <c r="O96" s="18"/>
      <c r="P96" s="18"/>
      <c r="Q96" s="18"/>
      <c r="R96" s="18"/>
      <c r="S96" s="18"/>
      <c r="T96" s="18"/>
      <c r="U96" s="18"/>
      <c r="V96" s="18"/>
    </row>
    <row r="97" spans="1:22" x14ac:dyDescent="0.25">
      <c r="A97" s="246" t="s">
        <v>613</v>
      </c>
      <c r="B97" s="246" t="s">
        <v>3</v>
      </c>
      <c r="C97" s="246" t="s">
        <v>276</v>
      </c>
      <c r="D97" s="246">
        <v>17</v>
      </c>
      <c r="E97" s="198" t="s">
        <v>715</v>
      </c>
      <c r="F97" s="112" t="s">
        <v>382</v>
      </c>
      <c r="G97" s="30" t="s">
        <v>111</v>
      </c>
      <c r="H97" s="30" t="s">
        <v>116</v>
      </c>
      <c r="I97" s="30" t="s">
        <v>118</v>
      </c>
      <c r="J97" s="30" t="s">
        <v>123</v>
      </c>
      <c r="K97" s="30" t="s">
        <v>125</v>
      </c>
      <c r="L97" s="30" t="s">
        <v>140</v>
      </c>
      <c r="M97" s="30" t="s">
        <v>141</v>
      </c>
      <c r="N97" s="17"/>
      <c r="O97" s="17"/>
      <c r="P97" s="17"/>
      <c r="Q97" s="17"/>
      <c r="R97" s="17"/>
      <c r="S97" s="17"/>
      <c r="T97" s="17"/>
      <c r="U97" s="17"/>
      <c r="V97" s="17"/>
    </row>
    <row r="98" spans="1:22" x14ac:dyDescent="0.25">
      <c r="A98" s="246" t="s">
        <v>1148</v>
      </c>
      <c r="B98" s="246" t="s">
        <v>294</v>
      </c>
      <c r="C98" s="246" t="s">
        <v>285</v>
      </c>
      <c r="D98" s="246">
        <v>5</v>
      </c>
      <c r="E98" s="198" t="s">
        <v>1159</v>
      </c>
      <c r="F98" s="109" t="s">
        <v>151</v>
      </c>
      <c r="G98" s="225" t="s">
        <v>379</v>
      </c>
      <c r="H98" s="227"/>
      <c r="I98" s="18" t="s">
        <v>149</v>
      </c>
      <c r="J98" s="18" t="s">
        <v>150</v>
      </c>
    </row>
    <row r="99" spans="1:22" x14ac:dyDescent="0.25">
      <c r="A99" s="246" t="s">
        <v>614</v>
      </c>
      <c r="B99" s="246" t="s">
        <v>3</v>
      </c>
      <c r="C99" s="246" t="s">
        <v>277</v>
      </c>
      <c r="D99" s="246">
        <v>5</v>
      </c>
      <c r="E99" s="198" t="s">
        <v>172</v>
      </c>
      <c r="F99" s="108"/>
      <c r="G99" s="17" t="s">
        <v>382</v>
      </c>
      <c r="H99" s="17" t="s">
        <v>387</v>
      </c>
      <c r="I99" s="17"/>
      <c r="J99" s="17"/>
    </row>
    <row r="100" spans="1:22" ht="15" customHeight="1" x14ac:dyDescent="0.25">
      <c r="A100" s="246" t="s">
        <v>614</v>
      </c>
      <c r="B100" s="246" t="s">
        <v>3</v>
      </c>
      <c r="C100" s="246" t="s">
        <v>277</v>
      </c>
      <c r="D100" s="246">
        <v>5</v>
      </c>
      <c r="E100" s="198" t="s">
        <v>171</v>
      </c>
      <c r="F100" s="109" t="s">
        <v>182</v>
      </c>
      <c r="G100" s="18" t="s">
        <v>703</v>
      </c>
      <c r="H100" s="18" t="s">
        <v>190</v>
      </c>
      <c r="I100" s="18"/>
      <c r="J100" s="18"/>
    </row>
    <row r="101" spans="1:22" ht="15" customHeight="1" x14ac:dyDescent="0.25">
      <c r="A101" s="246" t="s">
        <v>614</v>
      </c>
      <c r="B101" s="246" t="s">
        <v>3</v>
      </c>
      <c r="C101" s="246" t="s">
        <v>277</v>
      </c>
      <c r="D101" s="246">
        <v>5</v>
      </c>
      <c r="E101" s="198" t="s">
        <v>171</v>
      </c>
      <c r="F101" s="108"/>
      <c r="G101" s="17"/>
      <c r="H101" s="17"/>
      <c r="I101" s="17"/>
      <c r="J101" s="17"/>
    </row>
    <row r="102" spans="1:22" x14ac:dyDescent="0.25">
      <c r="A102" s="246" t="s">
        <v>614</v>
      </c>
      <c r="B102" s="246" t="s">
        <v>3</v>
      </c>
      <c r="C102" s="246" t="s">
        <v>277</v>
      </c>
      <c r="D102" s="246">
        <v>5</v>
      </c>
      <c r="E102" s="198" t="s">
        <v>1160</v>
      </c>
      <c r="F102" s="109" t="s">
        <v>379</v>
      </c>
      <c r="G102" s="18"/>
      <c r="H102" s="18"/>
      <c r="I102" s="18"/>
      <c r="J102" s="18"/>
    </row>
    <row r="103" spans="1:22" x14ac:dyDescent="0.25">
      <c r="A103" s="246" t="s">
        <v>614</v>
      </c>
      <c r="B103" s="246" t="s">
        <v>3</v>
      </c>
      <c r="C103" s="246" t="s">
        <v>277</v>
      </c>
      <c r="D103" s="246">
        <v>5</v>
      </c>
      <c r="E103" s="198" t="s">
        <v>173</v>
      </c>
      <c r="F103" s="108" t="s">
        <v>383</v>
      </c>
      <c r="G103" s="17"/>
      <c r="H103" s="17"/>
      <c r="I103" s="17"/>
      <c r="J103" s="17"/>
    </row>
    <row r="104" spans="1:22" x14ac:dyDescent="0.25">
      <c r="A104" s="246" t="s">
        <v>614</v>
      </c>
      <c r="B104" s="246" t="s">
        <v>3</v>
      </c>
      <c r="C104" s="246" t="s">
        <v>277</v>
      </c>
      <c r="D104" s="246">
        <v>5</v>
      </c>
      <c r="E104" s="198" t="s">
        <v>1674</v>
      </c>
      <c r="F104" s="109"/>
      <c r="G104" s="18"/>
      <c r="H104" s="18"/>
      <c r="I104" s="18"/>
      <c r="J104" s="18"/>
    </row>
    <row r="105" spans="1:22" x14ac:dyDescent="0.25">
      <c r="A105" s="246" t="s">
        <v>614</v>
      </c>
      <c r="B105" s="246" t="s">
        <v>3</v>
      </c>
      <c r="C105" s="246" t="s">
        <v>277</v>
      </c>
      <c r="D105" s="246">
        <v>5</v>
      </c>
      <c r="E105" s="198" t="s">
        <v>715</v>
      </c>
      <c r="F105" s="108"/>
      <c r="G105" s="17"/>
      <c r="H105" s="17"/>
      <c r="I105" s="106"/>
      <c r="J105" s="106"/>
    </row>
    <row r="106" spans="1:22" x14ac:dyDescent="0.25">
      <c r="A106" s="246" t="s">
        <v>77</v>
      </c>
      <c r="B106" s="246" t="s">
        <v>294</v>
      </c>
      <c r="C106" s="246" t="s">
        <v>285</v>
      </c>
      <c r="D106" s="246">
        <v>10</v>
      </c>
      <c r="E106" s="198" t="s">
        <v>1159</v>
      </c>
      <c r="F106" s="247" t="s">
        <v>379</v>
      </c>
      <c r="G106" s="226"/>
      <c r="H106" s="227"/>
      <c r="I106" s="249" t="s">
        <v>115</v>
      </c>
      <c r="J106" s="249"/>
      <c r="K106" s="249"/>
      <c r="L106" s="249"/>
      <c r="M106" s="18" t="s">
        <v>149</v>
      </c>
      <c r="N106" s="19" t="s">
        <v>150</v>
      </c>
      <c r="O106" s="19"/>
    </row>
    <row r="107" spans="1:22" x14ac:dyDescent="0.25">
      <c r="A107" s="246" t="s">
        <v>615</v>
      </c>
      <c r="B107" s="246" t="s">
        <v>3</v>
      </c>
      <c r="C107" s="246" t="s">
        <v>277</v>
      </c>
      <c r="D107" s="246">
        <v>10</v>
      </c>
      <c r="E107" s="198" t="s">
        <v>172</v>
      </c>
      <c r="F107" s="108" t="s">
        <v>383</v>
      </c>
      <c r="G107" s="17" t="s">
        <v>384</v>
      </c>
      <c r="H107" s="17" t="s">
        <v>109</v>
      </c>
      <c r="I107" s="17" t="s">
        <v>125</v>
      </c>
      <c r="J107" s="17" t="s">
        <v>130</v>
      </c>
      <c r="K107" s="17" t="s">
        <v>140</v>
      </c>
      <c r="L107" s="17" t="s">
        <v>141</v>
      </c>
      <c r="M107" s="17"/>
      <c r="N107" s="20"/>
      <c r="O107" s="20"/>
    </row>
    <row r="108" spans="1:22" ht="15" customHeight="1" x14ac:dyDescent="0.25">
      <c r="A108" s="246" t="s">
        <v>615</v>
      </c>
      <c r="B108" s="246" t="s">
        <v>3</v>
      </c>
      <c r="C108" s="246" t="s">
        <v>277</v>
      </c>
      <c r="D108" s="246">
        <v>10</v>
      </c>
      <c r="E108" s="198" t="s">
        <v>171</v>
      </c>
      <c r="F108" s="109" t="s">
        <v>182</v>
      </c>
      <c r="G108" s="18" t="s">
        <v>219</v>
      </c>
      <c r="H108" s="18" t="s">
        <v>220</v>
      </c>
      <c r="I108" s="18" t="s">
        <v>562</v>
      </c>
      <c r="J108" s="18" t="s">
        <v>221</v>
      </c>
      <c r="K108" s="225" t="s">
        <v>703</v>
      </c>
      <c r="L108" s="226"/>
      <c r="M108" s="227"/>
      <c r="N108" s="19" t="s">
        <v>191</v>
      </c>
      <c r="O108" s="19" t="s">
        <v>706</v>
      </c>
    </row>
    <row r="109" spans="1:22" ht="15" customHeight="1" x14ac:dyDescent="0.25">
      <c r="A109" s="246" t="s">
        <v>615</v>
      </c>
      <c r="B109" s="246" t="s">
        <v>3</v>
      </c>
      <c r="C109" s="246" t="s">
        <v>277</v>
      </c>
      <c r="D109" s="246">
        <v>10</v>
      </c>
      <c r="E109" s="198" t="s">
        <v>171</v>
      </c>
      <c r="F109" s="108"/>
      <c r="G109" s="17"/>
      <c r="H109" s="17"/>
      <c r="I109" s="17"/>
      <c r="J109" s="17"/>
      <c r="K109" s="17" t="s">
        <v>197</v>
      </c>
      <c r="L109" s="17" t="s">
        <v>222</v>
      </c>
      <c r="M109" s="17" t="s">
        <v>231</v>
      </c>
      <c r="N109" s="20"/>
      <c r="O109" s="20" t="s">
        <v>205</v>
      </c>
    </row>
    <row r="110" spans="1:22" x14ac:dyDescent="0.25">
      <c r="A110" s="246" t="s">
        <v>615</v>
      </c>
      <c r="B110" s="246" t="s">
        <v>3</v>
      </c>
      <c r="C110" s="246" t="s">
        <v>277</v>
      </c>
      <c r="D110" s="246">
        <v>10</v>
      </c>
      <c r="E110" s="198" t="s">
        <v>1160</v>
      </c>
      <c r="F110" s="247" t="s">
        <v>115</v>
      </c>
      <c r="G110" s="227"/>
      <c r="H110" s="19"/>
      <c r="I110" s="19"/>
      <c r="J110" s="19"/>
      <c r="K110" s="18"/>
      <c r="L110" s="18"/>
      <c r="M110" s="18"/>
      <c r="N110" s="19"/>
      <c r="O110" s="19"/>
    </row>
    <row r="111" spans="1:22" x14ac:dyDescent="0.25">
      <c r="A111" s="246" t="s">
        <v>615</v>
      </c>
      <c r="B111" s="246" t="s">
        <v>3</v>
      </c>
      <c r="C111" s="246" t="s">
        <v>277</v>
      </c>
      <c r="D111" s="246">
        <v>10</v>
      </c>
      <c r="E111" s="198" t="s">
        <v>173</v>
      </c>
      <c r="F111" s="110" t="s">
        <v>121</v>
      </c>
      <c r="G111" s="20" t="s">
        <v>119</v>
      </c>
      <c r="H111" s="20"/>
      <c r="I111" s="20"/>
      <c r="J111" s="20"/>
      <c r="K111" s="20"/>
      <c r="L111" s="20"/>
      <c r="M111" s="20"/>
      <c r="N111" s="20"/>
      <c r="O111" s="20"/>
    </row>
    <row r="112" spans="1:22" x14ac:dyDescent="0.25">
      <c r="A112" s="246" t="s">
        <v>615</v>
      </c>
      <c r="B112" s="246" t="s">
        <v>3</v>
      </c>
      <c r="C112" s="246" t="s">
        <v>277</v>
      </c>
      <c r="D112" s="246">
        <v>10</v>
      </c>
      <c r="E112" s="198" t="s">
        <v>1674</v>
      </c>
      <c r="F112" s="247" t="s">
        <v>378</v>
      </c>
      <c r="G112" s="226"/>
      <c r="H112" s="227"/>
      <c r="I112" s="19"/>
      <c r="J112" s="19"/>
      <c r="K112" s="19"/>
      <c r="L112" s="19"/>
      <c r="M112" s="19"/>
      <c r="N112" s="19"/>
      <c r="O112" s="19"/>
    </row>
    <row r="113" spans="1:18" x14ac:dyDescent="0.25">
      <c r="A113" s="246" t="s">
        <v>615</v>
      </c>
      <c r="B113" s="246" t="s">
        <v>3</v>
      </c>
      <c r="C113" s="246" t="s">
        <v>277</v>
      </c>
      <c r="D113" s="246">
        <v>10</v>
      </c>
      <c r="E113" s="198" t="s">
        <v>715</v>
      </c>
      <c r="F113" s="110" t="s">
        <v>118</v>
      </c>
      <c r="G113" s="20" t="s">
        <v>125</v>
      </c>
      <c r="H113" s="20" t="s">
        <v>141</v>
      </c>
      <c r="I113" s="20"/>
      <c r="J113" s="20"/>
      <c r="K113" s="20"/>
      <c r="L113" s="20"/>
      <c r="M113" s="20"/>
      <c r="N113" s="20"/>
      <c r="O113" s="20"/>
    </row>
    <row r="114" spans="1:18" x14ac:dyDescent="0.25">
      <c r="A114" s="246" t="s">
        <v>78</v>
      </c>
      <c r="B114" s="246" t="s">
        <v>294</v>
      </c>
      <c r="C114" s="246" t="s">
        <v>285</v>
      </c>
      <c r="D114" s="246">
        <v>12</v>
      </c>
      <c r="E114" s="198" t="s">
        <v>172</v>
      </c>
      <c r="F114" s="251" t="s">
        <v>379</v>
      </c>
      <c r="G114" s="229"/>
      <c r="H114" s="230"/>
      <c r="I114" s="228" t="s">
        <v>115</v>
      </c>
      <c r="J114" s="229"/>
      <c r="K114" s="229"/>
      <c r="L114" s="230"/>
      <c r="M114" s="228" t="s">
        <v>147</v>
      </c>
      <c r="N114" s="230"/>
      <c r="O114" s="70" t="s">
        <v>148</v>
      </c>
      <c r="P114" s="70" t="s">
        <v>149</v>
      </c>
      <c r="Q114" s="70" t="s">
        <v>150</v>
      </c>
    </row>
    <row r="115" spans="1:18" x14ac:dyDescent="0.25">
      <c r="A115" s="246" t="s">
        <v>616</v>
      </c>
      <c r="B115" s="246" t="s">
        <v>3</v>
      </c>
      <c r="C115" s="246" t="s">
        <v>277</v>
      </c>
      <c r="D115" s="246">
        <v>12</v>
      </c>
      <c r="E115" s="198" t="s">
        <v>172</v>
      </c>
      <c r="F115" s="112" t="s">
        <v>383</v>
      </c>
      <c r="G115" s="30" t="s">
        <v>385</v>
      </c>
      <c r="H115" s="30" t="s">
        <v>109</v>
      </c>
      <c r="I115" s="30" t="s">
        <v>119</v>
      </c>
      <c r="J115" s="30" t="s">
        <v>121</v>
      </c>
      <c r="K115" s="30" t="s">
        <v>130</v>
      </c>
      <c r="L115" s="30" t="s">
        <v>141</v>
      </c>
      <c r="M115" s="30" t="s">
        <v>180</v>
      </c>
      <c r="N115" s="30" t="s">
        <v>393</v>
      </c>
      <c r="O115" s="30"/>
      <c r="P115" s="30"/>
      <c r="Q115" s="30"/>
    </row>
    <row r="116" spans="1:18" ht="15" customHeight="1" x14ac:dyDescent="0.25">
      <c r="A116" s="246" t="s">
        <v>616</v>
      </c>
      <c r="B116" s="246" t="s">
        <v>3</v>
      </c>
      <c r="C116" s="246" t="s">
        <v>277</v>
      </c>
      <c r="D116" s="246">
        <v>12</v>
      </c>
      <c r="E116" s="198" t="s">
        <v>1161</v>
      </c>
      <c r="F116" s="113" t="s">
        <v>182</v>
      </c>
      <c r="G116" s="70" t="s">
        <v>375</v>
      </c>
      <c r="H116" s="70" t="s">
        <v>703</v>
      </c>
      <c r="I116" s="70" t="s">
        <v>232</v>
      </c>
      <c r="J116" s="70" t="s">
        <v>233</v>
      </c>
      <c r="K116" s="70" t="s">
        <v>234</v>
      </c>
      <c r="L116" s="70"/>
      <c r="M116" s="70"/>
      <c r="N116" s="70"/>
      <c r="O116" s="70"/>
      <c r="P116" s="70"/>
      <c r="Q116" s="70"/>
    </row>
    <row r="117" spans="1:18" ht="15" customHeight="1" x14ac:dyDescent="0.25">
      <c r="A117" s="246" t="s">
        <v>616</v>
      </c>
      <c r="B117" s="246" t="s">
        <v>3</v>
      </c>
      <c r="C117" s="246" t="s">
        <v>277</v>
      </c>
      <c r="D117" s="246">
        <v>12</v>
      </c>
      <c r="E117" s="198" t="s">
        <v>171</v>
      </c>
      <c r="F117" s="112"/>
      <c r="G117" s="30"/>
      <c r="H117" s="30" t="s">
        <v>222</v>
      </c>
      <c r="I117" s="30"/>
      <c r="J117" s="30"/>
      <c r="K117" s="30"/>
      <c r="L117" s="30"/>
      <c r="M117" s="30"/>
      <c r="N117" s="30"/>
      <c r="O117" s="30"/>
      <c r="P117" s="30"/>
      <c r="Q117" s="30"/>
    </row>
    <row r="118" spans="1:18" x14ac:dyDescent="0.25">
      <c r="A118" s="246" t="s">
        <v>616</v>
      </c>
      <c r="B118" s="246" t="s">
        <v>3</v>
      </c>
      <c r="C118" s="246" t="s">
        <v>277</v>
      </c>
      <c r="D118" s="246">
        <v>12</v>
      </c>
      <c r="E118" s="198" t="s">
        <v>173</v>
      </c>
      <c r="F118" s="114" t="s">
        <v>379</v>
      </c>
      <c r="G118" s="31" t="s">
        <v>418</v>
      </c>
      <c r="H118" s="31"/>
      <c r="I118" s="31"/>
      <c r="J118" s="31"/>
      <c r="K118" s="70"/>
      <c r="L118" s="70"/>
      <c r="M118" s="70"/>
      <c r="N118" s="70"/>
      <c r="O118" s="70"/>
      <c r="P118" s="70"/>
      <c r="Q118" s="70"/>
    </row>
    <row r="119" spans="1:18" x14ac:dyDescent="0.25">
      <c r="A119" s="246" t="s">
        <v>616</v>
      </c>
      <c r="B119" s="246" t="s">
        <v>3</v>
      </c>
      <c r="C119" s="246" t="s">
        <v>277</v>
      </c>
      <c r="D119" s="246">
        <v>12</v>
      </c>
      <c r="E119" s="198" t="s">
        <v>173</v>
      </c>
      <c r="F119" s="112" t="s">
        <v>111</v>
      </c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</row>
    <row r="120" spans="1:18" x14ac:dyDescent="0.25">
      <c r="A120" s="246" t="s">
        <v>616</v>
      </c>
      <c r="B120" s="246" t="s">
        <v>3</v>
      </c>
      <c r="C120" s="246" t="s">
        <v>277</v>
      </c>
      <c r="D120" s="246">
        <v>12</v>
      </c>
      <c r="E120" s="198" t="s">
        <v>1674</v>
      </c>
      <c r="F120" s="251" t="s">
        <v>378</v>
      </c>
      <c r="G120" s="229"/>
      <c r="H120" s="230"/>
      <c r="I120" s="18"/>
      <c r="J120" s="18"/>
      <c r="K120" s="18"/>
      <c r="L120" s="18"/>
      <c r="M120" s="18"/>
      <c r="N120" s="18"/>
      <c r="O120" s="18"/>
      <c r="P120" s="18"/>
      <c r="Q120" s="18"/>
    </row>
    <row r="121" spans="1:18" x14ac:dyDescent="0.25">
      <c r="A121" s="246" t="s">
        <v>616</v>
      </c>
      <c r="B121" s="246" t="s">
        <v>3</v>
      </c>
      <c r="C121" s="246" t="s">
        <v>277</v>
      </c>
      <c r="D121" s="246">
        <v>12</v>
      </c>
      <c r="E121" s="198" t="s">
        <v>715</v>
      </c>
      <c r="F121" s="112" t="s">
        <v>121</v>
      </c>
      <c r="G121" s="30" t="s">
        <v>130</v>
      </c>
      <c r="H121" s="30" t="s">
        <v>141</v>
      </c>
      <c r="I121" s="17"/>
      <c r="J121" s="17"/>
      <c r="K121" s="17"/>
      <c r="L121" s="17"/>
      <c r="M121" s="17"/>
      <c r="N121" s="17"/>
      <c r="O121" s="17"/>
      <c r="P121" s="17"/>
      <c r="Q121" s="17"/>
    </row>
    <row r="122" spans="1:18" x14ac:dyDescent="0.25">
      <c r="A122" s="246" t="s">
        <v>79</v>
      </c>
      <c r="B122" s="246" t="s">
        <v>294</v>
      </c>
      <c r="C122" s="246" t="s">
        <v>286</v>
      </c>
      <c r="D122" s="246">
        <v>13</v>
      </c>
      <c r="E122" s="198" t="s">
        <v>1159</v>
      </c>
      <c r="F122" s="109" t="s">
        <v>151</v>
      </c>
      <c r="G122" s="225" t="s">
        <v>379</v>
      </c>
      <c r="H122" s="226"/>
      <c r="I122" s="226"/>
      <c r="J122" s="227"/>
      <c r="K122" s="225" t="s">
        <v>115</v>
      </c>
      <c r="L122" s="226"/>
      <c r="M122" s="226"/>
      <c r="N122" s="226"/>
      <c r="O122" s="227"/>
      <c r="P122" s="18" t="s">
        <v>149</v>
      </c>
      <c r="Q122" s="18" t="s">
        <v>150</v>
      </c>
      <c r="R122" s="18"/>
    </row>
    <row r="123" spans="1:18" x14ac:dyDescent="0.25">
      <c r="A123" s="246" t="s">
        <v>617</v>
      </c>
      <c r="B123" s="246" t="s">
        <v>3</v>
      </c>
      <c r="C123" s="246" t="s">
        <v>278</v>
      </c>
      <c r="D123" s="246">
        <v>13</v>
      </c>
      <c r="E123" s="198" t="s">
        <v>172</v>
      </c>
      <c r="F123" s="108"/>
      <c r="G123" s="17" t="s">
        <v>381</v>
      </c>
      <c r="H123" s="17" t="s">
        <v>387</v>
      </c>
      <c r="I123" s="17" t="s">
        <v>389</v>
      </c>
      <c r="J123" s="17" t="s">
        <v>109</v>
      </c>
      <c r="K123" s="17" t="s">
        <v>118</v>
      </c>
      <c r="L123" s="17" t="s">
        <v>136</v>
      </c>
      <c r="M123" s="17" t="s">
        <v>137</v>
      </c>
      <c r="N123" s="17" t="s">
        <v>141</v>
      </c>
      <c r="O123" s="17" t="s">
        <v>145</v>
      </c>
      <c r="P123" s="17"/>
      <c r="Q123" s="17"/>
      <c r="R123" s="17"/>
    </row>
    <row r="124" spans="1:18" ht="15" customHeight="1" x14ac:dyDescent="0.25">
      <c r="A124" s="246" t="s">
        <v>617</v>
      </c>
      <c r="B124" s="246" t="s">
        <v>3</v>
      </c>
      <c r="C124" s="246" t="s">
        <v>278</v>
      </c>
      <c r="D124" s="246">
        <v>13</v>
      </c>
      <c r="E124" s="198" t="s">
        <v>171</v>
      </c>
      <c r="F124" s="109" t="s">
        <v>182</v>
      </c>
      <c r="G124" s="225" t="s">
        <v>702</v>
      </c>
      <c r="H124" s="226"/>
      <c r="I124" s="227"/>
      <c r="J124" s="225" t="s">
        <v>703</v>
      </c>
      <c r="K124" s="227"/>
      <c r="L124" s="18" t="s">
        <v>706</v>
      </c>
      <c r="M124" s="225" t="s">
        <v>704</v>
      </c>
      <c r="N124" s="226"/>
      <c r="O124" s="226"/>
      <c r="P124" s="227"/>
      <c r="Q124" s="18" t="s">
        <v>237</v>
      </c>
      <c r="R124" s="18" t="s">
        <v>190</v>
      </c>
    </row>
    <row r="125" spans="1:18" ht="15" customHeight="1" x14ac:dyDescent="0.25">
      <c r="A125" s="246" t="s">
        <v>617</v>
      </c>
      <c r="B125" s="246" t="s">
        <v>3</v>
      </c>
      <c r="C125" s="246" t="s">
        <v>278</v>
      </c>
      <c r="D125" s="246">
        <v>13</v>
      </c>
      <c r="E125" s="198" t="s">
        <v>171</v>
      </c>
      <c r="F125" s="108"/>
      <c r="G125" s="17" t="s">
        <v>209</v>
      </c>
      <c r="H125" s="17" t="s">
        <v>183</v>
      </c>
      <c r="I125" s="17" t="s">
        <v>185</v>
      </c>
      <c r="J125" s="17" t="s">
        <v>198</v>
      </c>
      <c r="K125" s="17" t="s">
        <v>231</v>
      </c>
      <c r="L125" s="17" t="s">
        <v>210</v>
      </c>
      <c r="M125" s="17" t="s">
        <v>565</v>
      </c>
      <c r="N125" s="17" t="s">
        <v>236</v>
      </c>
      <c r="O125" s="17" t="s">
        <v>313</v>
      </c>
      <c r="P125" s="17" t="s">
        <v>211</v>
      </c>
      <c r="Q125" s="17"/>
      <c r="R125" s="17"/>
    </row>
    <row r="126" spans="1:18" x14ac:dyDescent="0.25">
      <c r="A126" s="246" t="s">
        <v>617</v>
      </c>
      <c r="B126" s="246" t="s">
        <v>3</v>
      </c>
      <c r="C126" s="246" t="s">
        <v>278</v>
      </c>
      <c r="D126" s="246">
        <v>13</v>
      </c>
      <c r="E126" s="198" t="s">
        <v>1160</v>
      </c>
      <c r="F126" s="109" t="s">
        <v>558</v>
      </c>
      <c r="G126" s="18" t="s">
        <v>378</v>
      </c>
      <c r="H126" s="19"/>
      <c r="I126" s="19"/>
      <c r="J126" s="19"/>
      <c r="K126" s="19"/>
      <c r="L126" s="19"/>
      <c r="M126" s="19"/>
      <c r="N126" s="18"/>
      <c r="O126" s="18"/>
      <c r="P126" s="18"/>
      <c r="Q126" s="18"/>
      <c r="R126" s="18"/>
    </row>
    <row r="127" spans="1:18" x14ac:dyDescent="0.25">
      <c r="A127" s="246" t="s">
        <v>617</v>
      </c>
      <c r="B127" s="246" t="s">
        <v>3</v>
      </c>
      <c r="C127" s="246" t="s">
        <v>278</v>
      </c>
      <c r="D127" s="246">
        <v>13</v>
      </c>
      <c r="E127" s="198" t="s">
        <v>173</v>
      </c>
      <c r="F127" s="108" t="s">
        <v>384</v>
      </c>
      <c r="G127" s="17" t="s">
        <v>396</v>
      </c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:18" x14ac:dyDescent="0.25">
      <c r="A128" s="246" t="s">
        <v>617</v>
      </c>
      <c r="B128" s="246" t="s">
        <v>3</v>
      </c>
      <c r="C128" s="246" t="s">
        <v>278</v>
      </c>
      <c r="D128" s="246">
        <v>13</v>
      </c>
      <c r="E128" s="198" t="s">
        <v>1674</v>
      </c>
      <c r="F128" s="247" t="s">
        <v>379</v>
      </c>
      <c r="G128" s="227"/>
      <c r="H128" s="225" t="s">
        <v>378</v>
      </c>
      <c r="I128" s="226"/>
      <c r="J128" s="226"/>
      <c r="K128" s="227"/>
      <c r="L128" s="18"/>
      <c r="M128" s="18"/>
      <c r="N128" s="18"/>
      <c r="O128" s="18"/>
      <c r="P128" s="18"/>
      <c r="Q128" s="18"/>
      <c r="R128" s="18"/>
    </row>
    <row r="129" spans="1:18" x14ac:dyDescent="0.25">
      <c r="A129" s="246" t="s">
        <v>617</v>
      </c>
      <c r="B129" s="246" t="s">
        <v>3</v>
      </c>
      <c r="C129" s="246" t="s">
        <v>278</v>
      </c>
      <c r="D129" s="246">
        <v>13</v>
      </c>
      <c r="E129" s="198" t="s">
        <v>715</v>
      </c>
      <c r="F129" s="108" t="s">
        <v>566</v>
      </c>
      <c r="G129" s="17" t="s">
        <v>109</v>
      </c>
      <c r="H129" s="17" t="s">
        <v>125</v>
      </c>
      <c r="I129" s="17" t="s">
        <v>137</v>
      </c>
      <c r="J129" s="17" t="s">
        <v>141</v>
      </c>
      <c r="K129" s="17" t="s">
        <v>145</v>
      </c>
      <c r="L129" s="17"/>
      <c r="M129" s="17"/>
      <c r="N129" s="17"/>
      <c r="O129" s="17"/>
      <c r="P129" s="17"/>
      <c r="Q129" s="17"/>
      <c r="R129" s="17"/>
    </row>
    <row r="130" spans="1:18" x14ac:dyDescent="0.25">
      <c r="A130" s="246" t="s">
        <v>80</v>
      </c>
      <c r="B130" s="246" t="s">
        <v>294</v>
      </c>
      <c r="C130" s="246" t="s">
        <v>287</v>
      </c>
      <c r="D130" s="246">
        <v>11</v>
      </c>
      <c r="E130" s="198" t="s">
        <v>1159</v>
      </c>
      <c r="F130" s="109" t="s">
        <v>151</v>
      </c>
      <c r="G130" s="225" t="s">
        <v>558</v>
      </c>
      <c r="H130" s="227"/>
      <c r="I130" s="225" t="s">
        <v>115</v>
      </c>
      <c r="J130" s="226"/>
      <c r="K130" s="226"/>
      <c r="L130" s="227"/>
      <c r="M130" s="18" t="s">
        <v>149</v>
      </c>
      <c r="N130" s="18" t="s">
        <v>150</v>
      </c>
      <c r="O130" s="18"/>
      <c r="P130" s="18"/>
    </row>
    <row r="131" spans="1:18" x14ac:dyDescent="0.25">
      <c r="A131" s="246" t="s">
        <v>618</v>
      </c>
      <c r="B131" s="246" t="s">
        <v>3</v>
      </c>
      <c r="C131" s="246" t="s">
        <v>279</v>
      </c>
      <c r="D131" s="246">
        <v>11</v>
      </c>
      <c r="E131" s="198" t="s">
        <v>172</v>
      </c>
      <c r="F131" s="108"/>
      <c r="G131" s="17" t="s">
        <v>568</v>
      </c>
      <c r="H131" s="17" t="s">
        <v>109</v>
      </c>
      <c r="I131" s="17" t="s">
        <v>130</v>
      </c>
      <c r="J131" s="17" t="s">
        <v>136</v>
      </c>
      <c r="K131" s="17" t="s">
        <v>141</v>
      </c>
      <c r="L131" s="17" t="s">
        <v>145</v>
      </c>
      <c r="M131" s="17"/>
      <c r="N131" s="17"/>
      <c r="O131" s="17"/>
      <c r="P131" s="17"/>
    </row>
    <row r="132" spans="1:18" ht="15" customHeight="1" x14ac:dyDescent="0.25">
      <c r="A132" s="246" t="s">
        <v>618</v>
      </c>
      <c r="B132" s="246" t="s">
        <v>3</v>
      </c>
      <c r="C132" s="246" t="s">
        <v>279</v>
      </c>
      <c r="D132" s="246">
        <v>11</v>
      </c>
      <c r="E132" s="198" t="s">
        <v>171</v>
      </c>
      <c r="F132" s="109" t="s">
        <v>182</v>
      </c>
      <c r="G132" s="225" t="s">
        <v>704</v>
      </c>
      <c r="H132" s="226"/>
      <c r="I132" s="227"/>
      <c r="J132" s="18" t="s">
        <v>260</v>
      </c>
      <c r="K132" s="18" t="s">
        <v>190</v>
      </c>
      <c r="L132" s="18"/>
      <c r="M132" s="18"/>
      <c r="N132" s="18"/>
      <c r="O132" s="18"/>
      <c r="P132" s="18"/>
    </row>
    <row r="133" spans="1:18" ht="15" customHeight="1" x14ac:dyDescent="0.25">
      <c r="A133" s="246" t="s">
        <v>618</v>
      </c>
      <c r="B133" s="246" t="s">
        <v>3</v>
      </c>
      <c r="C133" s="246" t="s">
        <v>279</v>
      </c>
      <c r="D133" s="246">
        <v>11</v>
      </c>
      <c r="E133" s="198" t="s">
        <v>171</v>
      </c>
      <c r="F133" s="108"/>
      <c r="G133" s="17" t="s">
        <v>308</v>
      </c>
      <c r="H133" s="17" t="s">
        <v>569</v>
      </c>
      <c r="I133" s="17" t="s">
        <v>324</v>
      </c>
      <c r="J133" s="17"/>
      <c r="K133" s="17"/>
      <c r="L133" s="17"/>
      <c r="M133" s="17"/>
      <c r="N133" s="17"/>
      <c r="O133" s="17"/>
      <c r="P133" s="17"/>
    </row>
    <row r="134" spans="1:18" x14ac:dyDescent="0.25">
      <c r="A134" s="246" t="s">
        <v>618</v>
      </c>
      <c r="B134" s="246" t="s">
        <v>3</v>
      </c>
      <c r="C134" s="246" t="s">
        <v>279</v>
      </c>
      <c r="D134" s="246">
        <v>11</v>
      </c>
      <c r="E134" s="198" t="s">
        <v>1160</v>
      </c>
      <c r="F134" s="109" t="s">
        <v>558</v>
      </c>
      <c r="G134" s="18" t="s">
        <v>115</v>
      </c>
      <c r="H134" s="19"/>
      <c r="I134" s="19"/>
      <c r="J134" s="18"/>
      <c r="K134" s="18"/>
      <c r="L134" s="18"/>
      <c r="M134" s="18"/>
      <c r="N134" s="18"/>
      <c r="O134" s="18"/>
      <c r="P134" s="18"/>
    </row>
    <row r="135" spans="1:18" x14ac:dyDescent="0.25">
      <c r="A135" s="246" t="s">
        <v>618</v>
      </c>
      <c r="B135" s="246" t="s">
        <v>3</v>
      </c>
      <c r="C135" s="246" t="s">
        <v>279</v>
      </c>
      <c r="D135" s="246">
        <v>11</v>
      </c>
      <c r="E135" s="198" t="s">
        <v>173</v>
      </c>
      <c r="F135" s="108" t="s">
        <v>570</v>
      </c>
      <c r="G135" s="17" t="s">
        <v>540</v>
      </c>
      <c r="H135" s="17"/>
      <c r="I135" s="17"/>
      <c r="J135" s="17"/>
      <c r="K135" s="17"/>
      <c r="L135" s="17"/>
      <c r="M135" s="17"/>
      <c r="N135" s="17"/>
      <c r="O135" s="17"/>
      <c r="P135" s="17"/>
    </row>
    <row r="136" spans="1:18" x14ac:dyDescent="0.25">
      <c r="A136" s="246" t="s">
        <v>618</v>
      </c>
      <c r="B136" s="246" t="s">
        <v>3</v>
      </c>
      <c r="C136" s="246" t="s">
        <v>279</v>
      </c>
      <c r="D136" s="246">
        <v>11</v>
      </c>
      <c r="E136" s="198" t="s">
        <v>1674</v>
      </c>
      <c r="F136" s="247" t="s">
        <v>378</v>
      </c>
      <c r="G136" s="227"/>
      <c r="H136" s="18"/>
      <c r="I136" s="18"/>
      <c r="J136" s="18"/>
      <c r="K136" s="18"/>
      <c r="L136" s="18"/>
      <c r="M136" s="18"/>
      <c r="N136" s="18"/>
      <c r="O136" s="18"/>
      <c r="P136" s="18"/>
    </row>
    <row r="137" spans="1:18" x14ac:dyDescent="0.25">
      <c r="A137" s="246" t="s">
        <v>618</v>
      </c>
      <c r="B137" s="246" t="s">
        <v>3</v>
      </c>
      <c r="C137" s="246" t="s">
        <v>279</v>
      </c>
      <c r="D137" s="246">
        <v>11</v>
      </c>
      <c r="E137" s="198" t="s">
        <v>715</v>
      </c>
      <c r="F137" s="108" t="s">
        <v>118</v>
      </c>
      <c r="G137" s="17" t="s">
        <v>141</v>
      </c>
      <c r="H137" s="17"/>
      <c r="I137" s="17"/>
      <c r="J137" s="17"/>
      <c r="K137" s="17"/>
      <c r="L137" s="17"/>
      <c r="M137" s="17"/>
      <c r="N137" s="17"/>
      <c r="O137" s="17"/>
      <c r="P137" s="17"/>
    </row>
    <row r="138" spans="1:18" x14ac:dyDescent="0.25">
      <c r="A138" s="246" t="s">
        <v>1149</v>
      </c>
      <c r="B138" s="246" t="s">
        <v>294</v>
      </c>
      <c r="C138" s="246" t="s">
        <v>287</v>
      </c>
      <c r="D138" s="246">
        <v>10</v>
      </c>
      <c r="E138" s="198" t="s">
        <v>172</v>
      </c>
      <c r="F138" s="247" t="s">
        <v>558</v>
      </c>
      <c r="G138" s="227"/>
      <c r="H138" s="225" t="s">
        <v>115</v>
      </c>
      <c r="I138" s="226"/>
      <c r="J138" s="226"/>
      <c r="K138" s="226"/>
      <c r="L138" s="226"/>
      <c r="M138" s="227"/>
      <c r="N138" s="18" t="s">
        <v>149</v>
      </c>
      <c r="O138" s="18" t="s">
        <v>150</v>
      </c>
    </row>
    <row r="139" spans="1:18" x14ac:dyDescent="0.25">
      <c r="A139" s="246" t="s">
        <v>619</v>
      </c>
      <c r="B139" s="246" t="s">
        <v>3</v>
      </c>
      <c r="C139" s="246" t="s">
        <v>279</v>
      </c>
      <c r="D139" s="246">
        <v>10</v>
      </c>
      <c r="E139" s="198" t="s">
        <v>172</v>
      </c>
      <c r="F139" s="108" t="s">
        <v>570</v>
      </c>
      <c r="G139" s="17" t="s">
        <v>109</v>
      </c>
      <c r="H139" s="17" t="s">
        <v>116</v>
      </c>
      <c r="I139" s="17" t="s">
        <v>117</v>
      </c>
      <c r="J139" s="17" t="s">
        <v>118</v>
      </c>
      <c r="K139" s="17" t="s">
        <v>121</v>
      </c>
      <c r="L139" s="17" t="s">
        <v>139</v>
      </c>
      <c r="M139" s="17" t="s">
        <v>141</v>
      </c>
      <c r="N139" s="17"/>
      <c r="O139" s="17"/>
    </row>
    <row r="140" spans="1:18" ht="15" customHeight="1" x14ac:dyDescent="0.25">
      <c r="A140" s="246" t="s">
        <v>619</v>
      </c>
      <c r="B140" s="246" t="s">
        <v>3</v>
      </c>
      <c r="C140" s="246" t="s">
        <v>279</v>
      </c>
      <c r="D140" s="246">
        <v>10</v>
      </c>
      <c r="E140" s="198" t="s">
        <v>171</v>
      </c>
      <c r="F140" s="109" t="s">
        <v>182</v>
      </c>
      <c r="G140" s="18" t="s">
        <v>562</v>
      </c>
      <c r="H140" s="18" t="s">
        <v>219</v>
      </c>
      <c r="I140" s="18" t="s">
        <v>220</v>
      </c>
      <c r="J140" s="18" t="s">
        <v>703</v>
      </c>
      <c r="K140" s="18" t="s">
        <v>191</v>
      </c>
      <c r="L140" s="18" t="s">
        <v>190</v>
      </c>
      <c r="M140" s="18"/>
      <c r="N140" s="18"/>
      <c r="O140" s="18"/>
    </row>
    <row r="141" spans="1:18" ht="15" customHeight="1" x14ac:dyDescent="0.25">
      <c r="A141" s="246" t="s">
        <v>619</v>
      </c>
      <c r="B141" s="246" t="s">
        <v>3</v>
      </c>
      <c r="C141" s="246" t="s">
        <v>279</v>
      </c>
      <c r="D141" s="246">
        <v>10</v>
      </c>
      <c r="E141" s="198" t="s">
        <v>171</v>
      </c>
      <c r="F141" s="108"/>
      <c r="G141" s="17"/>
      <c r="H141" s="17"/>
      <c r="I141" s="17"/>
      <c r="J141" s="17" t="s">
        <v>197</v>
      </c>
      <c r="K141" s="17"/>
      <c r="L141" s="17"/>
      <c r="M141" s="17"/>
      <c r="N141" s="17"/>
      <c r="O141" s="17"/>
    </row>
    <row r="142" spans="1:18" x14ac:dyDescent="0.25">
      <c r="A142" s="246" t="s">
        <v>619</v>
      </c>
      <c r="B142" s="246" t="s">
        <v>3</v>
      </c>
      <c r="C142" s="246" t="s">
        <v>279</v>
      </c>
      <c r="D142" s="246">
        <v>10</v>
      </c>
      <c r="E142" s="198" t="s">
        <v>173</v>
      </c>
      <c r="F142" s="247" t="s">
        <v>115</v>
      </c>
      <c r="G142" s="226"/>
      <c r="H142" s="227"/>
      <c r="I142" s="19"/>
      <c r="J142" s="19"/>
      <c r="K142" s="19"/>
      <c r="L142" s="18"/>
      <c r="M142" s="18"/>
      <c r="N142" s="18"/>
      <c r="O142" s="18"/>
    </row>
    <row r="143" spans="1:18" x14ac:dyDescent="0.25">
      <c r="A143" s="246" t="s">
        <v>619</v>
      </c>
      <c r="B143" s="246" t="s">
        <v>3</v>
      </c>
      <c r="C143" s="246" t="s">
        <v>279</v>
      </c>
      <c r="D143" s="246">
        <v>10</v>
      </c>
      <c r="E143" s="198" t="s">
        <v>173</v>
      </c>
      <c r="F143" s="108" t="s">
        <v>140</v>
      </c>
      <c r="G143" s="17" t="s">
        <v>119</v>
      </c>
      <c r="H143" s="17" t="s">
        <v>138</v>
      </c>
      <c r="I143" s="17"/>
      <c r="J143" s="17"/>
      <c r="K143" s="17"/>
      <c r="L143" s="17"/>
      <c r="M143" s="17"/>
      <c r="N143" s="17"/>
      <c r="O143" s="17"/>
    </row>
    <row r="144" spans="1:18" x14ac:dyDescent="0.25">
      <c r="A144" s="246" t="s">
        <v>619</v>
      </c>
      <c r="B144" s="246" t="s">
        <v>3</v>
      </c>
      <c r="C144" s="246" t="s">
        <v>279</v>
      </c>
      <c r="D144" s="246">
        <v>10</v>
      </c>
      <c r="E144" s="198" t="s">
        <v>1674</v>
      </c>
      <c r="F144" s="247" t="s">
        <v>378</v>
      </c>
      <c r="G144" s="226"/>
      <c r="H144" s="227"/>
      <c r="I144" s="18"/>
      <c r="J144" s="18"/>
      <c r="K144" s="18"/>
      <c r="L144" s="18"/>
      <c r="M144" s="18"/>
      <c r="N144" s="18"/>
      <c r="O144" s="18"/>
    </row>
    <row r="145" spans="1:15" x14ac:dyDescent="0.25">
      <c r="A145" s="246" t="s">
        <v>619</v>
      </c>
      <c r="B145" s="246" t="s">
        <v>3</v>
      </c>
      <c r="C145" s="246" t="s">
        <v>279</v>
      </c>
      <c r="D145" s="246">
        <v>10</v>
      </c>
      <c r="E145" s="198" t="s">
        <v>715</v>
      </c>
      <c r="F145" s="108" t="s">
        <v>116</v>
      </c>
      <c r="G145" s="17" t="s">
        <v>118</v>
      </c>
      <c r="H145" s="17" t="s">
        <v>125</v>
      </c>
      <c r="I145" s="17"/>
      <c r="J145" s="17"/>
      <c r="K145" s="17"/>
      <c r="L145" s="17"/>
      <c r="M145" s="17"/>
      <c r="N145" s="17"/>
      <c r="O145" s="17"/>
    </row>
    <row r="146" spans="1:15" x14ac:dyDescent="0.25">
      <c r="A146" s="246" t="s">
        <v>1150</v>
      </c>
      <c r="B146" s="246" t="s">
        <v>294</v>
      </c>
      <c r="C146" s="246" t="s">
        <v>288</v>
      </c>
      <c r="D146" s="246">
        <v>10</v>
      </c>
      <c r="E146" s="198" t="s">
        <v>172</v>
      </c>
      <c r="F146" s="115" t="s">
        <v>151</v>
      </c>
      <c r="G146" s="225" t="s">
        <v>558</v>
      </c>
      <c r="H146" s="227"/>
      <c r="I146" s="225" t="s">
        <v>115</v>
      </c>
      <c r="J146" s="227"/>
      <c r="K146" s="18" t="s">
        <v>149</v>
      </c>
      <c r="L146" s="18" t="s">
        <v>150</v>
      </c>
      <c r="M146" s="18"/>
      <c r="N146" s="18"/>
      <c r="O146" s="18"/>
    </row>
    <row r="147" spans="1:15" x14ac:dyDescent="0.25">
      <c r="A147" s="246" t="s">
        <v>620</v>
      </c>
      <c r="B147" s="246" t="s">
        <v>3</v>
      </c>
      <c r="C147" s="246" t="s">
        <v>280</v>
      </c>
      <c r="D147" s="246">
        <v>10</v>
      </c>
      <c r="E147" s="198" t="s">
        <v>172</v>
      </c>
      <c r="F147" s="110"/>
      <c r="G147" s="17" t="s">
        <v>570</v>
      </c>
      <c r="H147" s="17" t="s">
        <v>208</v>
      </c>
      <c r="I147" s="17" t="s">
        <v>136</v>
      </c>
      <c r="J147" s="17" t="s">
        <v>145</v>
      </c>
      <c r="K147" s="17"/>
      <c r="L147" s="17"/>
      <c r="M147" s="17"/>
      <c r="N147" s="17"/>
      <c r="O147" s="17"/>
    </row>
    <row r="148" spans="1:15" ht="15" customHeight="1" x14ac:dyDescent="0.25">
      <c r="A148" s="246" t="s">
        <v>620</v>
      </c>
      <c r="B148" s="246" t="s">
        <v>3</v>
      </c>
      <c r="C148" s="246" t="s">
        <v>280</v>
      </c>
      <c r="D148" s="246">
        <v>10</v>
      </c>
      <c r="E148" s="198" t="s">
        <v>171</v>
      </c>
      <c r="F148" s="115" t="s">
        <v>182</v>
      </c>
      <c r="G148" s="18" t="s">
        <v>370</v>
      </c>
      <c r="H148" s="18" t="s">
        <v>545</v>
      </c>
      <c r="I148" s="18" t="s">
        <v>368</v>
      </c>
      <c r="J148" s="18" t="s">
        <v>544</v>
      </c>
      <c r="K148" s="225" t="s">
        <v>186</v>
      </c>
      <c r="L148" s="226"/>
      <c r="M148" s="227"/>
      <c r="N148" s="18" t="s">
        <v>704</v>
      </c>
      <c r="O148" s="18" t="s">
        <v>190</v>
      </c>
    </row>
    <row r="149" spans="1:15" ht="15" customHeight="1" x14ac:dyDescent="0.25">
      <c r="A149" s="246" t="s">
        <v>620</v>
      </c>
      <c r="B149" s="246" t="s">
        <v>3</v>
      </c>
      <c r="C149" s="246" t="s">
        <v>280</v>
      </c>
      <c r="D149" s="246">
        <v>10</v>
      </c>
      <c r="E149" s="198" t="s">
        <v>171</v>
      </c>
      <c r="F149" s="110"/>
      <c r="G149" s="17"/>
      <c r="H149" s="17"/>
      <c r="I149" s="17"/>
      <c r="J149" s="17"/>
      <c r="K149" s="17" t="s">
        <v>334</v>
      </c>
      <c r="L149" s="17" t="s">
        <v>196</v>
      </c>
      <c r="M149" s="17" t="s">
        <v>337</v>
      </c>
      <c r="N149" s="17" t="s">
        <v>320</v>
      </c>
      <c r="O149" s="17"/>
    </row>
    <row r="150" spans="1:15" x14ac:dyDescent="0.25">
      <c r="A150" s="246" t="s">
        <v>620</v>
      </c>
      <c r="B150" s="246" t="s">
        <v>3</v>
      </c>
      <c r="C150" s="246" t="s">
        <v>280</v>
      </c>
      <c r="D150" s="246">
        <v>10</v>
      </c>
      <c r="E150" s="198" t="s">
        <v>173</v>
      </c>
      <c r="F150" s="109" t="s">
        <v>558</v>
      </c>
      <c r="G150" s="18"/>
      <c r="H150" s="19"/>
      <c r="I150" s="19"/>
      <c r="J150" s="18"/>
      <c r="K150" s="18"/>
      <c r="L150" s="18"/>
      <c r="M150" s="18"/>
      <c r="N150" s="18"/>
      <c r="O150" s="18"/>
    </row>
    <row r="151" spans="1:15" x14ac:dyDescent="0.25">
      <c r="A151" s="246" t="s">
        <v>620</v>
      </c>
      <c r="B151" s="246" t="s">
        <v>3</v>
      </c>
      <c r="C151" s="246" t="s">
        <v>280</v>
      </c>
      <c r="D151" s="246">
        <v>10</v>
      </c>
      <c r="E151" s="198" t="s">
        <v>173</v>
      </c>
      <c r="F151" s="108" t="s">
        <v>573</v>
      </c>
      <c r="G151" s="17"/>
      <c r="H151" s="17"/>
      <c r="I151" s="17"/>
      <c r="J151" s="17"/>
      <c r="K151" s="17"/>
      <c r="L151" s="17"/>
      <c r="M151" s="17"/>
      <c r="N151" s="17"/>
      <c r="O151" s="17"/>
    </row>
    <row r="152" spans="1:15" x14ac:dyDescent="0.25">
      <c r="A152" s="246" t="s">
        <v>620</v>
      </c>
      <c r="B152" s="246" t="s">
        <v>3</v>
      </c>
      <c r="C152" s="246" t="s">
        <v>280</v>
      </c>
      <c r="D152" s="246">
        <v>10</v>
      </c>
      <c r="E152" s="198" t="s">
        <v>1674</v>
      </c>
      <c r="F152" s="109" t="s">
        <v>379</v>
      </c>
      <c r="G152" s="225" t="s">
        <v>378</v>
      </c>
      <c r="H152" s="227"/>
      <c r="I152" s="19"/>
      <c r="J152" s="19"/>
      <c r="K152" s="19"/>
      <c r="L152" s="19"/>
      <c r="M152" s="19"/>
      <c r="N152" s="19"/>
      <c r="O152" s="19"/>
    </row>
    <row r="153" spans="1:15" x14ac:dyDescent="0.25">
      <c r="A153" s="246" t="s">
        <v>620</v>
      </c>
      <c r="B153" s="246" t="s">
        <v>3</v>
      </c>
      <c r="C153" s="246" t="s">
        <v>280</v>
      </c>
      <c r="D153" s="246">
        <v>10</v>
      </c>
      <c r="E153" s="198" t="s">
        <v>715</v>
      </c>
      <c r="F153" s="108" t="s">
        <v>208</v>
      </c>
      <c r="G153" s="17" t="s">
        <v>130</v>
      </c>
      <c r="H153" s="17" t="s">
        <v>145</v>
      </c>
      <c r="I153" s="20"/>
      <c r="J153" s="20"/>
      <c r="K153" s="20"/>
      <c r="L153" s="20"/>
      <c r="M153" s="20"/>
      <c r="N153" s="20"/>
      <c r="O153" s="20"/>
    </row>
    <row r="154" spans="1:15" x14ac:dyDescent="0.25">
      <c r="A154" s="246" t="s">
        <v>83</v>
      </c>
      <c r="B154" s="246" t="s">
        <v>294</v>
      </c>
      <c r="C154" s="246" t="s">
        <v>289</v>
      </c>
      <c r="D154" s="246">
        <v>5</v>
      </c>
      <c r="E154" s="198" t="s">
        <v>1159</v>
      </c>
      <c r="F154" s="109" t="s">
        <v>151</v>
      </c>
      <c r="G154" s="18" t="s">
        <v>558</v>
      </c>
      <c r="H154" s="18" t="s">
        <v>115</v>
      </c>
      <c r="I154" s="19" t="s">
        <v>149</v>
      </c>
      <c r="J154" s="19" t="s">
        <v>150</v>
      </c>
    </row>
    <row r="155" spans="1:15" x14ac:dyDescent="0.25">
      <c r="A155" s="246" t="s">
        <v>621</v>
      </c>
      <c r="B155" s="246" t="s">
        <v>3</v>
      </c>
      <c r="C155" s="246" t="s">
        <v>281</v>
      </c>
      <c r="D155" s="246">
        <v>5</v>
      </c>
      <c r="E155" s="198" t="s">
        <v>172</v>
      </c>
      <c r="F155" s="108"/>
      <c r="G155" s="17" t="s">
        <v>192</v>
      </c>
      <c r="H155" s="17" t="s">
        <v>145</v>
      </c>
      <c r="I155" s="17"/>
      <c r="J155" s="17"/>
    </row>
    <row r="156" spans="1:15" ht="15" customHeight="1" x14ac:dyDescent="0.25">
      <c r="A156" s="246" t="s">
        <v>621</v>
      </c>
      <c r="B156" s="246" t="s">
        <v>3</v>
      </c>
      <c r="C156" s="246" t="s">
        <v>281</v>
      </c>
      <c r="D156" s="246">
        <v>5</v>
      </c>
      <c r="E156" s="198" t="s">
        <v>1161</v>
      </c>
      <c r="F156" s="109" t="s">
        <v>182</v>
      </c>
      <c r="G156" s="18" t="s">
        <v>703</v>
      </c>
      <c r="H156" s="18" t="s">
        <v>190</v>
      </c>
      <c r="I156" s="18"/>
      <c r="J156" s="18"/>
    </row>
    <row r="157" spans="1:15" ht="15" customHeight="1" x14ac:dyDescent="0.25">
      <c r="A157" s="246" t="s">
        <v>621</v>
      </c>
      <c r="B157" s="246" t="s">
        <v>3</v>
      </c>
      <c r="C157" s="246" t="s">
        <v>281</v>
      </c>
      <c r="D157" s="246">
        <v>5</v>
      </c>
      <c r="E157" s="198" t="s">
        <v>171</v>
      </c>
      <c r="F157" s="108"/>
      <c r="G157" s="17" t="s">
        <v>257</v>
      </c>
      <c r="H157" s="17"/>
      <c r="I157" s="17"/>
      <c r="J157" s="17"/>
    </row>
    <row r="158" spans="1:15" x14ac:dyDescent="0.25">
      <c r="A158" s="246" t="s">
        <v>621</v>
      </c>
      <c r="B158" s="246" t="s">
        <v>3</v>
      </c>
      <c r="C158" s="246" t="s">
        <v>281</v>
      </c>
      <c r="D158" s="246">
        <v>5</v>
      </c>
      <c r="E158" s="198" t="s">
        <v>1160</v>
      </c>
      <c r="F158" s="115" t="s">
        <v>558</v>
      </c>
      <c r="G158" s="18"/>
      <c r="H158" s="18"/>
      <c r="I158" s="18"/>
      <c r="J158" s="18"/>
    </row>
    <row r="159" spans="1:15" x14ac:dyDescent="0.25">
      <c r="A159" s="246" t="s">
        <v>621</v>
      </c>
      <c r="B159" s="246" t="s">
        <v>3</v>
      </c>
      <c r="C159" s="246" t="s">
        <v>281</v>
      </c>
      <c r="D159" s="246">
        <v>5</v>
      </c>
      <c r="E159" s="198" t="s">
        <v>173</v>
      </c>
      <c r="F159" s="108" t="s">
        <v>387</v>
      </c>
      <c r="G159" s="17"/>
      <c r="H159" s="17"/>
      <c r="I159" s="17"/>
      <c r="J159" s="17"/>
    </row>
    <row r="160" spans="1:15" x14ac:dyDescent="0.25">
      <c r="A160" s="246" t="s">
        <v>621</v>
      </c>
      <c r="B160" s="246" t="s">
        <v>3</v>
      </c>
      <c r="C160" s="246" t="s">
        <v>281</v>
      </c>
      <c r="D160" s="246">
        <v>5</v>
      </c>
      <c r="E160" s="198" t="s">
        <v>1674</v>
      </c>
      <c r="F160" s="109"/>
      <c r="G160" s="18"/>
      <c r="H160" s="18"/>
      <c r="I160" s="18"/>
      <c r="J160" s="18"/>
    </row>
    <row r="161" spans="1:26" x14ac:dyDescent="0.25">
      <c r="A161" s="246" t="s">
        <v>621</v>
      </c>
      <c r="B161" s="246" t="s">
        <v>3</v>
      </c>
      <c r="C161" s="246" t="s">
        <v>281</v>
      </c>
      <c r="D161" s="246">
        <v>5</v>
      </c>
      <c r="E161" s="198" t="s">
        <v>715</v>
      </c>
      <c r="F161" s="117"/>
      <c r="G161" s="106"/>
      <c r="H161" s="106"/>
      <c r="I161" s="106"/>
      <c r="J161" s="106"/>
    </row>
    <row r="162" spans="1:26" x14ac:dyDescent="0.25">
      <c r="A162" s="246" t="s">
        <v>1151</v>
      </c>
      <c r="B162" s="246" t="s">
        <v>294</v>
      </c>
      <c r="C162" s="246" t="s">
        <v>289</v>
      </c>
      <c r="D162" s="246">
        <v>21</v>
      </c>
      <c r="E162" s="198" t="s">
        <v>1159</v>
      </c>
      <c r="F162" s="249" t="s">
        <v>558</v>
      </c>
      <c r="G162" s="249"/>
      <c r="H162" s="249"/>
      <c r="I162" s="249"/>
      <c r="J162" s="249"/>
      <c r="K162" s="249"/>
      <c r="L162" s="249"/>
      <c r="M162" s="249"/>
      <c r="N162" s="249"/>
      <c r="O162" s="249" t="s">
        <v>115</v>
      </c>
      <c r="P162" s="249"/>
      <c r="Q162" s="249"/>
      <c r="R162" s="249"/>
      <c r="S162" s="249"/>
      <c r="T162" s="249"/>
      <c r="U162" s="249"/>
      <c r="V162" s="249"/>
      <c r="W162" s="18" t="s">
        <v>148</v>
      </c>
      <c r="X162" s="18" t="s">
        <v>159</v>
      </c>
      <c r="Y162" s="18" t="s">
        <v>149</v>
      </c>
      <c r="Z162" s="19" t="s">
        <v>150</v>
      </c>
    </row>
    <row r="163" spans="1:26" x14ac:dyDescent="0.25">
      <c r="A163" s="246" t="s">
        <v>622</v>
      </c>
      <c r="B163" s="246" t="s">
        <v>3</v>
      </c>
      <c r="C163" s="246" t="s">
        <v>281</v>
      </c>
      <c r="D163" s="246">
        <v>21</v>
      </c>
      <c r="E163" s="198" t="s">
        <v>172</v>
      </c>
      <c r="F163" s="108" t="s">
        <v>381</v>
      </c>
      <c r="G163" s="17" t="s">
        <v>382</v>
      </c>
      <c r="H163" s="17" t="s">
        <v>383</v>
      </c>
      <c r="I163" s="17" t="s">
        <v>384</v>
      </c>
      <c r="J163" s="17" t="s">
        <v>385</v>
      </c>
      <c r="K163" s="17" t="s">
        <v>387</v>
      </c>
      <c r="L163" s="17" t="s">
        <v>430</v>
      </c>
      <c r="M163" s="17" t="s">
        <v>431</v>
      </c>
      <c r="N163" s="17" t="s">
        <v>432</v>
      </c>
      <c r="O163" s="17" t="s">
        <v>118</v>
      </c>
      <c r="P163" s="17" t="s">
        <v>121</v>
      </c>
      <c r="Q163" s="17" t="s">
        <v>123</v>
      </c>
      <c r="R163" s="17" t="s">
        <v>124</v>
      </c>
      <c r="S163" s="17" t="s">
        <v>125</v>
      </c>
      <c r="T163" s="17" t="s">
        <v>136</v>
      </c>
      <c r="U163" s="17" t="s">
        <v>140</v>
      </c>
      <c r="V163" s="17" t="s">
        <v>145</v>
      </c>
      <c r="W163" s="17"/>
      <c r="X163" s="17"/>
      <c r="Y163" s="17"/>
      <c r="Z163" s="17"/>
    </row>
    <row r="164" spans="1:26" ht="15" customHeight="1" x14ac:dyDescent="0.25">
      <c r="A164" s="246" t="s">
        <v>622</v>
      </c>
      <c r="B164" s="246" t="s">
        <v>3</v>
      </c>
      <c r="C164" s="246" t="s">
        <v>281</v>
      </c>
      <c r="D164" s="246">
        <v>21</v>
      </c>
      <c r="E164" s="198" t="s">
        <v>1161</v>
      </c>
      <c r="F164" s="109" t="s">
        <v>182</v>
      </c>
      <c r="G164" s="225" t="s">
        <v>702</v>
      </c>
      <c r="H164" s="226"/>
      <c r="I164" s="227"/>
      <c r="J164" s="225" t="s">
        <v>703</v>
      </c>
      <c r="K164" s="226"/>
      <c r="L164" s="226"/>
      <c r="M164" s="227"/>
      <c r="N164" s="18" t="s">
        <v>186</v>
      </c>
      <c r="O164" s="18" t="s">
        <v>263</v>
      </c>
      <c r="P164" s="18" t="s">
        <v>190</v>
      </c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ht="15" customHeight="1" x14ac:dyDescent="0.25">
      <c r="A165" s="246" t="s">
        <v>622</v>
      </c>
      <c r="B165" s="246" t="s">
        <v>3</v>
      </c>
      <c r="C165" s="246" t="s">
        <v>281</v>
      </c>
      <c r="D165" s="246">
        <v>21</v>
      </c>
      <c r="E165" s="198" t="s">
        <v>171</v>
      </c>
      <c r="F165" s="108"/>
      <c r="G165" s="17" t="s">
        <v>183</v>
      </c>
      <c r="H165" s="17" t="s">
        <v>555</v>
      </c>
      <c r="I165" s="17" t="s">
        <v>185</v>
      </c>
      <c r="J165" s="17" t="s">
        <v>200</v>
      </c>
      <c r="K165" s="17" t="s">
        <v>248</v>
      </c>
      <c r="L165" s="17" t="s">
        <v>258</v>
      </c>
      <c r="M165" s="17" t="s">
        <v>249</v>
      </c>
      <c r="N165" s="17" t="s">
        <v>188</v>
      </c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x14ac:dyDescent="0.25">
      <c r="A166" s="246" t="s">
        <v>622</v>
      </c>
      <c r="B166" s="246" t="s">
        <v>3</v>
      </c>
      <c r="C166" s="246" t="s">
        <v>281</v>
      </c>
      <c r="D166" s="246">
        <v>21</v>
      </c>
      <c r="E166" s="198" t="s">
        <v>173</v>
      </c>
      <c r="F166" s="247" t="s">
        <v>115</v>
      </c>
      <c r="G166" s="227"/>
      <c r="H166" s="19"/>
      <c r="I166" s="19"/>
      <c r="J166" s="19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x14ac:dyDescent="0.25">
      <c r="A167" s="246" t="s">
        <v>622</v>
      </c>
      <c r="B167" s="246" t="s">
        <v>3</v>
      </c>
      <c r="C167" s="246" t="s">
        <v>281</v>
      </c>
      <c r="D167" s="246">
        <v>21</v>
      </c>
      <c r="E167" s="198" t="s">
        <v>173</v>
      </c>
      <c r="F167" s="108" t="s">
        <v>141</v>
      </c>
      <c r="G167" s="17" t="s">
        <v>142</v>
      </c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x14ac:dyDescent="0.25">
      <c r="A168" s="246" t="s">
        <v>622</v>
      </c>
      <c r="B168" s="246" t="s">
        <v>3</v>
      </c>
      <c r="C168" s="246" t="s">
        <v>281</v>
      </c>
      <c r="D168" s="246">
        <v>21</v>
      </c>
      <c r="E168" s="198" t="s">
        <v>1674</v>
      </c>
      <c r="F168" s="247" t="s">
        <v>378</v>
      </c>
      <c r="G168" s="226"/>
      <c r="H168" s="227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x14ac:dyDescent="0.25">
      <c r="A169" s="246" t="s">
        <v>622</v>
      </c>
      <c r="B169" s="246" t="s">
        <v>3</v>
      </c>
      <c r="C169" s="246" t="s">
        <v>281</v>
      </c>
      <c r="D169" s="246">
        <v>21</v>
      </c>
      <c r="E169" s="198" t="s">
        <v>715</v>
      </c>
      <c r="F169" s="108" t="s">
        <v>118</v>
      </c>
      <c r="G169" s="17" t="s">
        <v>124</v>
      </c>
      <c r="H169" s="17" t="s">
        <v>125</v>
      </c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x14ac:dyDescent="0.25">
      <c r="A170" s="246" t="s">
        <v>1152</v>
      </c>
      <c r="B170" s="246" t="s">
        <v>294</v>
      </c>
      <c r="C170" s="246" t="s">
        <v>289</v>
      </c>
      <c r="D170" s="246">
        <v>10</v>
      </c>
      <c r="E170" s="198" t="s">
        <v>1159</v>
      </c>
      <c r="F170" s="111" t="s">
        <v>558</v>
      </c>
      <c r="G170" s="228" t="s">
        <v>115</v>
      </c>
      <c r="H170" s="229"/>
      <c r="I170" s="230"/>
      <c r="J170" s="29" t="s">
        <v>149</v>
      </c>
      <c r="K170" s="29" t="s">
        <v>150</v>
      </c>
      <c r="L170" s="29"/>
      <c r="M170" s="29"/>
      <c r="N170" s="29"/>
      <c r="O170" s="29"/>
    </row>
    <row r="171" spans="1:26" x14ac:dyDescent="0.25">
      <c r="A171" s="246" t="s">
        <v>623</v>
      </c>
      <c r="B171" s="246" t="s">
        <v>3</v>
      </c>
      <c r="C171" s="246" t="s">
        <v>281</v>
      </c>
      <c r="D171" s="246">
        <v>10</v>
      </c>
      <c r="E171" s="198" t="s">
        <v>172</v>
      </c>
      <c r="F171" s="112" t="s">
        <v>566</v>
      </c>
      <c r="G171" s="30" t="s">
        <v>118</v>
      </c>
      <c r="H171" s="30" t="s">
        <v>141</v>
      </c>
      <c r="I171" s="30" t="s">
        <v>145</v>
      </c>
      <c r="J171" s="30"/>
      <c r="K171" s="30"/>
      <c r="L171" s="30"/>
      <c r="M171" s="30"/>
      <c r="N171" s="30"/>
      <c r="O171" s="30"/>
    </row>
    <row r="172" spans="1:26" ht="15" customHeight="1" x14ac:dyDescent="0.25">
      <c r="A172" s="246" t="s">
        <v>623</v>
      </c>
      <c r="B172" s="246" t="s">
        <v>3</v>
      </c>
      <c r="C172" s="246" t="s">
        <v>281</v>
      </c>
      <c r="D172" s="246">
        <v>10</v>
      </c>
      <c r="E172" s="198" t="s">
        <v>171</v>
      </c>
      <c r="F172" s="111" t="s">
        <v>182</v>
      </c>
      <c r="G172" s="29" t="s">
        <v>702</v>
      </c>
      <c r="H172" s="228" t="s">
        <v>703</v>
      </c>
      <c r="I172" s="229"/>
      <c r="J172" s="230"/>
      <c r="K172" s="29" t="s">
        <v>186</v>
      </c>
      <c r="L172" s="29" t="s">
        <v>266</v>
      </c>
      <c r="M172" s="228" t="s">
        <v>704</v>
      </c>
      <c r="N172" s="230"/>
      <c r="O172" s="29" t="s">
        <v>190</v>
      </c>
    </row>
    <row r="173" spans="1:26" ht="15" customHeight="1" x14ac:dyDescent="0.25">
      <c r="A173" s="246" t="s">
        <v>623</v>
      </c>
      <c r="B173" s="246" t="s">
        <v>3</v>
      </c>
      <c r="C173" s="246" t="s">
        <v>281</v>
      </c>
      <c r="D173" s="246">
        <v>10</v>
      </c>
      <c r="E173" s="198" t="s">
        <v>171</v>
      </c>
      <c r="F173" s="112"/>
      <c r="G173" s="30" t="s">
        <v>185</v>
      </c>
      <c r="H173" s="30" t="s">
        <v>254</v>
      </c>
      <c r="I173" s="30" t="s">
        <v>255</v>
      </c>
      <c r="J173" s="30" t="s">
        <v>575</v>
      </c>
      <c r="K173" s="30" t="s">
        <v>188</v>
      </c>
      <c r="L173" s="30"/>
      <c r="M173" s="30" t="s">
        <v>316</v>
      </c>
      <c r="N173" s="30" t="s">
        <v>308</v>
      </c>
      <c r="O173" s="30"/>
    </row>
    <row r="174" spans="1:26" x14ac:dyDescent="0.25">
      <c r="A174" s="246" t="s">
        <v>623</v>
      </c>
      <c r="B174" s="246" t="s">
        <v>3</v>
      </c>
      <c r="C174" s="246" t="s">
        <v>281</v>
      </c>
      <c r="D174" s="246">
        <v>10</v>
      </c>
      <c r="E174" s="198" t="s">
        <v>1160</v>
      </c>
      <c r="F174" s="116"/>
      <c r="G174" s="31"/>
      <c r="H174" s="31"/>
      <c r="I174" s="31"/>
      <c r="J174" s="29"/>
      <c r="K174" s="29"/>
      <c r="L174" s="29"/>
      <c r="M174" s="29"/>
      <c r="N174" s="29"/>
      <c r="O174" s="29"/>
    </row>
    <row r="175" spans="1:26" x14ac:dyDescent="0.25">
      <c r="A175" s="246" t="s">
        <v>623</v>
      </c>
      <c r="B175" s="246" t="s">
        <v>3</v>
      </c>
      <c r="C175" s="246" t="s">
        <v>281</v>
      </c>
      <c r="D175" s="246">
        <v>10</v>
      </c>
      <c r="E175" s="198" t="s">
        <v>173</v>
      </c>
      <c r="F175" s="112"/>
      <c r="G175" s="30"/>
      <c r="H175" s="30"/>
      <c r="I175" s="30"/>
      <c r="J175" s="30"/>
      <c r="K175" s="30"/>
      <c r="L175" s="30"/>
      <c r="M175" s="30"/>
      <c r="N175" s="30"/>
      <c r="O175" s="30"/>
    </row>
    <row r="176" spans="1:26" x14ac:dyDescent="0.25">
      <c r="A176" s="246" t="s">
        <v>623</v>
      </c>
      <c r="B176" s="246" t="s">
        <v>3</v>
      </c>
      <c r="C176" s="246" t="s">
        <v>281</v>
      </c>
      <c r="D176" s="246">
        <v>10</v>
      </c>
      <c r="E176" s="198" t="s">
        <v>1674</v>
      </c>
      <c r="F176" s="251" t="s">
        <v>378</v>
      </c>
      <c r="G176" s="229"/>
      <c r="H176" s="229"/>
      <c r="I176" s="230"/>
      <c r="J176" s="18"/>
      <c r="K176" s="18"/>
      <c r="L176" s="18"/>
      <c r="M176" s="18"/>
      <c r="N176" s="18"/>
      <c r="O176" s="18"/>
    </row>
    <row r="177" spans="1:21" x14ac:dyDescent="0.25">
      <c r="A177" s="246" t="s">
        <v>623</v>
      </c>
      <c r="B177" s="246" t="s">
        <v>3</v>
      </c>
      <c r="C177" s="246" t="s">
        <v>281</v>
      </c>
      <c r="D177" s="246">
        <v>10</v>
      </c>
      <c r="E177" s="198" t="s">
        <v>715</v>
      </c>
      <c r="F177" s="112" t="s">
        <v>118</v>
      </c>
      <c r="G177" s="30" t="s">
        <v>124</v>
      </c>
      <c r="H177" s="30" t="s">
        <v>141</v>
      </c>
      <c r="I177" s="30" t="s">
        <v>142</v>
      </c>
      <c r="J177" s="106"/>
      <c r="K177" s="106"/>
      <c r="L177" s="106"/>
      <c r="M177" s="106"/>
      <c r="N177" s="106"/>
      <c r="O177" s="106"/>
    </row>
    <row r="178" spans="1:21" x14ac:dyDescent="0.25">
      <c r="A178" s="246" t="s">
        <v>86</v>
      </c>
      <c r="B178" s="246" t="s">
        <v>294</v>
      </c>
      <c r="C178" s="246" t="s">
        <v>289</v>
      </c>
      <c r="D178" s="246">
        <v>16</v>
      </c>
      <c r="E178" s="198" t="s">
        <v>172</v>
      </c>
      <c r="F178" s="247" t="s">
        <v>558</v>
      </c>
      <c r="G178" s="226"/>
      <c r="H178" s="226"/>
      <c r="I178" s="227"/>
      <c r="J178" s="249" t="s">
        <v>115</v>
      </c>
      <c r="K178" s="249"/>
      <c r="L178" s="249"/>
      <c r="M178" s="249"/>
      <c r="N178" s="249"/>
      <c r="O178" s="249"/>
      <c r="P178" s="249"/>
      <c r="Q178" s="249"/>
      <c r="R178" s="249"/>
      <c r="S178" s="249"/>
      <c r="T178" s="18" t="s">
        <v>149</v>
      </c>
      <c r="U178" s="18" t="s">
        <v>150</v>
      </c>
    </row>
    <row r="179" spans="1:21" x14ac:dyDescent="0.25">
      <c r="A179" s="246" t="s">
        <v>624</v>
      </c>
      <c r="B179" s="246" t="s">
        <v>3</v>
      </c>
      <c r="C179" s="246" t="s">
        <v>281</v>
      </c>
      <c r="D179" s="246">
        <v>16</v>
      </c>
      <c r="E179" s="198" t="s">
        <v>172</v>
      </c>
      <c r="F179" s="108" t="s">
        <v>566</v>
      </c>
      <c r="G179" s="17" t="s">
        <v>430</v>
      </c>
      <c r="H179" s="17" t="s">
        <v>431</v>
      </c>
      <c r="I179" s="17" t="s">
        <v>432</v>
      </c>
      <c r="J179" s="17" t="s">
        <v>118</v>
      </c>
      <c r="K179" s="17" t="s">
        <v>119</v>
      </c>
      <c r="L179" s="17" t="s">
        <v>121</v>
      </c>
      <c r="M179" s="17" t="s">
        <v>122</v>
      </c>
      <c r="N179" s="17" t="s">
        <v>123</v>
      </c>
      <c r="O179" s="17" t="s">
        <v>126</v>
      </c>
      <c r="P179" s="17" t="s">
        <v>140</v>
      </c>
      <c r="Q179" s="17" t="s">
        <v>141</v>
      </c>
      <c r="R179" s="17" t="s">
        <v>142</v>
      </c>
      <c r="S179" s="17" t="s">
        <v>144</v>
      </c>
      <c r="T179" s="17"/>
      <c r="U179" s="17"/>
    </row>
    <row r="180" spans="1:21" ht="15" customHeight="1" x14ac:dyDescent="0.25">
      <c r="A180" s="246" t="s">
        <v>624</v>
      </c>
      <c r="B180" s="246" t="s">
        <v>3</v>
      </c>
      <c r="C180" s="246" t="s">
        <v>281</v>
      </c>
      <c r="D180" s="246">
        <v>16</v>
      </c>
      <c r="E180" s="198" t="s">
        <v>171</v>
      </c>
      <c r="F180" s="109" t="s">
        <v>182</v>
      </c>
      <c r="G180" s="18" t="s">
        <v>702</v>
      </c>
      <c r="H180" s="18" t="s">
        <v>186</v>
      </c>
      <c r="I180" s="18" t="s">
        <v>265</v>
      </c>
      <c r="J180" s="225" t="s">
        <v>703</v>
      </c>
      <c r="K180" s="226"/>
      <c r="L180" s="226"/>
      <c r="M180" s="227"/>
      <c r="N180" s="18"/>
      <c r="O180" s="18"/>
      <c r="P180" s="18"/>
      <c r="Q180" s="18"/>
      <c r="R180" s="18"/>
      <c r="S180" s="18"/>
      <c r="T180" s="18"/>
      <c r="U180" s="18"/>
    </row>
    <row r="181" spans="1:21" ht="15" customHeight="1" x14ac:dyDescent="0.25">
      <c r="A181" s="246" t="s">
        <v>624</v>
      </c>
      <c r="B181" s="246" t="s">
        <v>3</v>
      </c>
      <c r="C181" s="246" t="s">
        <v>281</v>
      </c>
      <c r="D181" s="246">
        <v>16</v>
      </c>
      <c r="E181" s="198" t="s">
        <v>171</v>
      </c>
      <c r="F181" s="108"/>
      <c r="G181" s="17" t="s">
        <v>185</v>
      </c>
      <c r="H181" s="17" t="s">
        <v>188</v>
      </c>
      <c r="I181" s="17"/>
      <c r="J181" s="17" t="s">
        <v>226</v>
      </c>
      <c r="K181" s="17" t="s">
        <v>256</v>
      </c>
      <c r="L181" s="17" t="s">
        <v>300</v>
      </c>
      <c r="M181" s="17" t="s">
        <v>250</v>
      </c>
      <c r="N181" s="17"/>
      <c r="O181" s="17"/>
      <c r="P181" s="17"/>
      <c r="Q181" s="17"/>
      <c r="R181" s="17"/>
      <c r="S181" s="17"/>
      <c r="T181" s="17"/>
      <c r="U181" s="17"/>
    </row>
    <row r="182" spans="1:21" x14ac:dyDescent="0.25">
      <c r="A182" s="246" t="s">
        <v>624</v>
      </c>
      <c r="B182" s="246" t="s">
        <v>3</v>
      </c>
      <c r="C182" s="246" t="s">
        <v>281</v>
      </c>
      <c r="D182" s="246">
        <v>16</v>
      </c>
      <c r="E182" s="198" t="s">
        <v>1160</v>
      </c>
      <c r="F182" s="109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</row>
    <row r="183" spans="1:21" x14ac:dyDescent="0.25">
      <c r="A183" s="246" t="s">
        <v>624</v>
      </c>
      <c r="B183" s="246" t="s">
        <v>3</v>
      </c>
      <c r="C183" s="246" t="s">
        <v>281</v>
      </c>
      <c r="D183" s="246">
        <v>16</v>
      </c>
      <c r="E183" s="198" t="s">
        <v>173</v>
      </c>
      <c r="F183" s="108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</row>
    <row r="184" spans="1:21" x14ac:dyDescent="0.25">
      <c r="A184" s="246" t="s">
        <v>624</v>
      </c>
      <c r="B184" s="246" t="s">
        <v>3</v>
      </c>
      <c r="C184" s="246" t="s">
        <v>281</v>
      </c>
      <c r="D184" s="246">
        <v>16</v>
      </c>
      <c r="E184" s="198" t="s">
        <v>1674</v>
      </c>
      <c r="F184" s="109" t="s">
        <v>378</v>
      </c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</row>
    <row r="185" spans="1:21" x14ac:dyDescent="0.25">
      <c r="A185" s="246" t="s">
        <v>624</v>
      </c>
      <c r="B185" s="246" t="s">
        <v>3</v>
      </c>
      <c r="C185" s="246" t="s">
        <v>281</v>
      </c>
      <c r="D185" s="246">
        <v>16</v>
      </c>
      <c r="E185" s="198" t="s">
        <v>715</v>
      </c>
      <c r="F185" s="108" t="s">
        <v>142</v>
      </c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</row>
    <row r="186" spans="1:21" x14ac:dyDescent="0.25">
      <c r="A186" s="246" t="s">
        <v>1153</v>
      </c>
      <c r="B186" s="246" t="s">
        <v>294</v>
      </c>
      <c r="C186" s="246" t="s">
        <v>289</v>
      </c>
      <c r="D186" s="246">
        <v>15</v>
      </c>
      <c r="E186" s="198" t="s">
        <v>1159</v>
      </c>
      <c r="F186" s="247" t="s">
        <v>558</v>
      </c>
      <c r="G186" s="226"/>
      <c r="H186" s="227"/>
      <c r="I186" s="225" t="s">
        <v>115</v>
      </c>
      <c r="J186" s="226"/>
      <c r="K186" s="226"/>
      <c r="L186" s="226"/>
      <c r="M186" s="226"/>
      <c r="N186" s="226"/>
      <c r="O186" s="227"/>
      <c r="P186" s="18" t="s">
        <v>149</v>
      </c>
      <c r="Q186" s="18" t="s">
        <v>150</v>
      </c>
      <c r="R186" s="18"/>
      <c r="S186" s="18"/>
      <c r="T186" s="18"/>
    </row>
    <row r="187" spans="1:21" x14ac:dyDescent="0.25">
      <c r="A187" s="246" t="s">
        <v>625</v>
      </c>
      <c r="B187" s="246" t="s">
        <v>3</v>
      </c>
      <c r="C187" s="246" t="s">
        <v>281</v>
      </c>
      <c r="D187" s="246">
        <v>15</v>
      </c>
      <c r="E187" s="198" t="s">
        <v>172</v>
      </c>
      <c r="F187" s="108" t="s">
        <v>570</v>
      </c>
      <c r="G187" s="17" t="s">
        <v>566</v>
      </c>
      <c r="H187" s="17" t="s">
        <v>111</v>
      </c>
      <c r="I187" s="17" t="s">
        <v>125</v>
      </c>
      <c r="J187" s="17" t="s">
        <v>130</v>
      </c>
      <c r="K187" s="17" t="s">
        <v>133</v>
      </c>
      <c r="L187" s="17" t="s">
        <v>139</v>
      </c>
      <c r="M187" s="17" t="s">
        <v>141</v>
      </c>
      <c r="N187" s="17" t="s">
        <v>142</v>
      </c>
      <c r="O187" s="17" t="s">
        <v>145</v>
      </c>
      <c r="P187" s="17"/>
      <c r="Q187" s="17"/>
      <c r="R187" s="17"/>
      <c r="S187" s="17"/>
      <c r="T187" s="17"/>
    </row>
    <row r="188" spans="1:21" ht="15" customHeight="1" x14ac:dyDescent="0.25">
      <c r="A188" s="246" t="s">
        <v>625</v>
      </c>
      <c r="B188" s="246" t="s">
        <v>3</v>
      </c>
      <c r="C188" s="246" t="s">
        <v>281</v>
      </c>
      <c r="D188" s="246">
        <v>15</v>
      </c>
      <c r="E188" s="198" t="s">
        <v>171</v>
      </c>
      <c r="F188" s="109" t="s">
        <v>182</v>
      </c>
      <c r="G188" s="18" t="s">
        <v>702</v>
      </c>
      <c r="H188" s="18" t="s">
        <v>186</v>
      </c>
      <c r="I188" s="18" t="s">
        <v>586</v>
      </c>
      <c r="J188" s="18" t="s">
        <v>708</v>
      </c>
      <c r="K188" s="18" t="s">
        <v>587</v>
      </c>
      <c r="L188" s="18" t="s">
        <v>588</v>
      </c>
      <c r="M188" s="18" t="s">
        <v>703</v>
      </c>
      <c r="N188" s="71"/>
      <c r="O188" s="18" t="s">
        <v>706</v>
      </c>
      <c r="P188" s="18"/>
      <c r="Q188" s="18"/>
      <c r="R188" s="18"/>
      <c r="S188" s="18"/>
      <c r="T188" s="18"/>
    </row>
    <row r="189" spans="1:21" ht="15" customHeight="1" x14ac:dyDescent="0.25">
      <c r="A189" s="246" t="s">
        <v>625</v>
      </c>
      <c r="B189" s="246" t="s">
        <v>3</v>
      </c>
      <c r="C189" s="246" t="s">
        <v>281</v>
      </c>
      <c r="D189" s="246">
        <v>15</v>
      </c>
      <c r="E189" s="198" t="s">
        <v>171</v>
      </c>
      <c r="F189" s="108"/>
      <c r="G189" s="17" t="s">
        <v>185</v>
      </c>
      <c r="H189" s="17" t="s">
        <v>188</v>
      </c>
      <c r="I189" s="17"/>
      <c r="J189" s="17"/>
      <c r="K189" s="17"/>
      <c r="L189" s="17"/>
      <c r="M189" s="17" t="s">
        <v>197</v>
      </c>
      <c r="N189" s="17" t="s">
        <v>198</v>
      </c>
      <c r="O189" s="17" t="s">
        <v>210</v>
      </c>
      <c r="P189" s="17"/>
      <c r="Q189" s="17"/>
      <c r="R189" s="17"/>
      <c r="S189" s="17"/>
      <c r="T189" s="17"/>
    </row>
    <row r="190" spans="1:21" x14ac:dyDescent="0.25">
      <c r="A190" s="246" t="s">
        <v>625</v>
      </c>
      <c r="B190" s="246" t="s">
        <v>3</v>
      </c>
      <c r="C190" s="246" t="s">
        <v>281</v>
      </c>
      <c r="D190" s="246">
        <v>15</v>
      </c>
      <c r="E190" s="198" t="s">
        <v>173</v>
      </c>
      <c r="F190" s="109" t="s">
        <v>155</v>
      </c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</row>
    <row r="191" spans="1:21" x14ac:dyDescent="0.25">
      <c r="A191" s="246" t="s">
        <v>625</v>
      </c>
      <c r="B191" s="246" t="s">
        <v>3</v>
      </c>
      <c r="C191" s="246" t="s">
        <v>281</v>
      </c>
      <c r="D191" s="246">
        <v>15</v>
      </c>
      <c r="E191" s="198" t="s">
        <v>173</v>
      </c>
      <c r="F191" s="108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</row>
    <row r="192" spans="1:21" x14ac:dyDescent="0.25">
      <c r="A192" s="246" t="s">
        <v>625</v>
      </c>
      <c r="B192" s="246" t="s">
        <v>3</v>
      </c>
      <c r="C192" s="246" t="s">
        <v>281</v>
      </c>
      <c r="D192" s="246">
        <v>15</v>
      </c>
      <c r="E192" s="198" t="s">
        <v>1674</v>
      </c>
      <c r="F192" s="247" t="s">
        <v>379</v>
      </c>
      <c r="G192" s="226"/>
      <c r="H192" s="226"/>
      <c r="I192" s="226"/>
      <c r="J192" s="226"/>
      <c r="K192" s="226"/>
      <c r="L192" s="226"/>
      <c r="M192" s="227"/>
      <c r="N192" s="225" t="s">
        <v>378</v>
      </c>
      <c r="O192" s="226"/>
      <c r="P192" s="226"/>
      <c r="Q192" s="226"/>
      <c r="R192" s="226"/>
      <c r="S192" s="226"/>
      <c r="T192" s="227"/>
    </row>
    <row r="193" spans="1:21" x14ac:dyDescent="0.25">
      <c r="A193" s="246" t="s">
        <v>625</v>
      </c>
      <c r="B193" s="246" t="s">
        <v>3</v>
      </c>
      <c r="C193" s="246" t="s">
        <v>281</v>
      </c>
      <c r="D193" s="246">
        <v>15</v>
      </c>
      <c r="E193" s="198" t="s">
        <v>715</v>
      </c>
      <c r="F193" s="108" t="s">
        <v>382</v>
      </c>
      <c r="G193" s="17" t="s">
        <v>383</v>
      </c>
      <c r="H193" s="17" t="s">
        <v>384</v>
      </c>
      <c r="I193" s="17" t="s">
        <v>385</v>
      </c>
      <c r="J193" s="17" t="s">
        <v>571</v>
      </c>
      <c r="K193" s="17" t="s">
        <v>109</v>
      </c>
      <c r="L193" s="17" t="s">
        <v>110</v>
      </c>
      <c r="M193" s="17" t="s">
        <v>111</v>
      </c>
      <c r="N193" s="17" t="s">
        <v>118</v>
      </c>
      <c r="O193" s="17" t="s">
        <v>122</v>
      </c>
      <c r="P193" s="17" t="s">
        <v>125</v>
      </c>
      <c r="Q193" s="17" t="s">
        <v>130</v>
      </c>
      <c r="R193" s="17" t="s">
        <v>133</v>
      </c>
      <c r="S193" s="17" t="s">
        <v>141</v>
      </c>
      <c r="T193" s="17" t="s">
        <v>142</v>
      </c>
    </row>
    <row r="194" spans="1:21" x14ac:dyDescent="0.25">
      <c r="A194" s="246" t="s">
        <v>88</v>
      </c>
      <c r="B194" s="246" t="s">
        <v>294</v>
      </c>
      <c r="C194" s="246" t="s">
        <v>290</v>
      </c>
      <c r="D194" s="246">
        <v>16</v>
      </c>
      <c r="E194" s="198" t="s">
        <v>1159</v>
      </c>
      <c r="F194" s="109" t="s">
        <v>151</v>
      </c>
      <c r="G194" s="225" t="s">
        <v>147</v>
      </c>
      <c r="H194" s="227"/>
      <c r="I194" s="225" t="s">
        <v>558</v>
      </c>
      <c r="J194" s="226"/>
      <c r="K194" s="226"/>
      <c r="L194" s="227"/>
      <c r="M194" s="225" t="s">
        <v>115</v>
      </c>
      <c r="N194" s="226"/>
      <c r="O194" s="226"/>
      <c r="P194" s="226"/>
      <c r="Q194" s="226"/>
      <c r="R194" s="226"/>
      <c r="S194" s="227"/>
      <c r="T194" s="18" t="s">
        <v>149</v>
      </c>
      <c r="U194" s="18" t="s">
        <v>150</v>
      </c>
    </row>
    <row r="195" spans="1:21" x14ac:dyDescent="0.25">
      <c r="A195" s="246" t="s">
        <v>626</v>
      </c>
      <c r="B195" s="246" t="s">
        <v>3</v>
      </c>
      <c r="C195" s="246" t="s">
        <v>282</v>
      </c>
      <c r="D195" s="246">
        <v>16</v>
      </c>
      <c r="E195" s="198" t="s">
        <v>1159</v>
      </c>
      <c r="F195" s="108"/>
      <c r="G195" s="17" t="s">
        <v>180</v>
      </c>
      <c r="H195" s="17" t="s">
        <v>181</v>
      </c>
      <c r="I195" s="17" t="s">
        <v>576</v>
      </c>
      <c r="J195" s="17" t="s">
        <v>568</v>
      </c>
      <c r="K195" s="17" t="s">
        <v>570</v>
      </c>
      <c r="L195" s="17" t="s">
        <v>109</v>
      </c>
      <c r="M195" s="17" t="s">
        <v>126</v>
      </c>
      <c r="N195" s="17" t="s">
        <v>133</v>
      </c>
      <c r="O195" s="17" t="s">
        <v>136</v>
      </c>
      <c r="P195" s="17" t="s">
        <v>137</v>
      </c>
      <c r="Q195" s="17" t="s">
        <v>140</v>
      </c>
      <c r="R195" s="17" t="s">
        <v>141</v>
      </c>
      <c r="S195" s="17" t="s">
        <v>145</v>
      </c>
      <c r="T195" s="17"/>
      <c r="U195" s="17"/>
    </row>
    <row r="196" spans="1:21" ht="15" customHeight="1" x14ac:dyDescent="0.25">
      <c r="A196" s="246" t="s">
        <v>626</v>
      </c>
      <c r="B196" s="246" t="s">
        <v>3</v>
      </c>
      <c r="C196" s="246" t="s">
        <v>282</v>
      </c>
      <c r="D196" s="246">
        <v>16</v>
      </c>
      <c r="E196" s="198" t="s">
        <v>1161</v>
      </c>
      <c r="F196" s="109" t="s">
        <v>182</v>
      </c>
      <c r="G196" s="18" t="s">
        <v>702</v>
      </c>
      <c r="H196" s="69" t="s">
        <v>703</v>
      </c>
      <c r="I196" s="18" t="s">
        <v>577</v>
      </c>
      <c r="J196" s="18" t="s">
        <v>190</v>
      </c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</row>
    <row r="197" spans="1:21" ht="15" customHeight="1" x14ac:dyDescent="0.25">
      <c r="A197" s="246" t="s">
        <v>626</v>
      </c>
      <c r="B197" s="246" t="s">
        <v>3</v>
      </c>
      <c r="C197" s="246" t="s">
        <v>282</v>
      </c>
      <c r="D197" s="246">
        <v>16</v>
      </c>
      <c r="E197" s="198" t="s">
        <v>171</v>
      </c>
      <c r="F197" s="108"/>
      <c r="G197" s="17" t="s">
        <v>556</v>
      </c>
      <c r="H197" s="17" t="s">
        <v>251</v>
      </c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</row>
    <row r="198" spans="1:21" x14ac:dyDescent="0.25">
      <c r="A198" s="246" t="s">
        <v>626</v>
      </c>
      <c r="B198" s="246" t="s">
        <v>3</v>
      </c>
      <c r="C198" s="246" t="s">
        <v>282</v>
      </c>
      <c r="D198" s="246">
        <v>16</v>
      </c>
      <c r="E198" s="198" t="s">
        <v>173</v>
      </c>
      <c r="F198" s="109" t="s">
        <v>558</v>
      </c>
      <c r="G198" s="18" t="s">
        <v>166</v>
      </c>
      <c r="H198" s="238" t="s">
        <v>159</v>
      </c>
      <c r="I198" s="229"/>
      <c r="J198" s="229"/>
      <c r="K198" s="230"/>
      <c r="L198" s="18" t="s">
        <v>167</v>
      </c>
      <c r="M198" s="18" t="s">
        <v>155</v>
      </c>
      <c r="N198" s="18"/>
      <c r="O198" s="19"/>
      <c r="P198" s="19"/>
      <c r="Q198" s="19"/>
      <c r="R198" s="19"/>
      <c r="S198" s="19"/>
      <c r="T198" s="18"/>
      <c r="U198" s="18"/>
    </row>
    <row r="199" spans="1:21" x14ac:dyDescent="0.25">
      <c r="A199" s="246" t="s">
        <v>626</v>
      </c>
      <c r="B199" s="246" t="s">
        <v>3</v>
      </c>
      <c r="C199" s="246" t="s">
        <v>282</v>
      </c>
      <c r="D199" s="246">
        <v>16</v>
      </c>
      <c r="E199" s="198" t="s">
        <v>1160</v>
      </c>
      <c r="F199" s="108" t="s">
        <v>571</v>
      </c>
      <c r="G199" s="17"/>
      <c r="H199" s="30" t="s">
        <v>423</v>
      </c>
      <c r="I199" s="30" t="s">
        <v>420</v>
      </c>
      <c r="J199" s="30" t="s">
        <v>425</v>
      </c>
      <c r="K199" s="30" t="s">
        <v>579</v>
      </c>
      <c r="L199" s="35"/>
      <c r="M199" s="17"/>
      <c r="N199" s="17"/>
      <c r="O199" s="17"/>
      <c r="P199" s="17"/>
      <c r="Q199" s="17"/>
      <c r="R199" s="17"/>
      <c r="S199" s="17"/>
      <c r="T199" s="17"/>
      <c r="U199" s="17"/>
    </row>
    <row r="200" spans="1:21" x14ac:dyDescent="0.25">
      <c r="A200" s="246" t="s">
        <v>626</v>
      </c>
      <c r="B200" s="246" t="s">
        <v>3</v>
      </c>
      <c r="C200" s="246" t="s">
        <v>282</v>
      </c>
      <c r="D200" s="246">
        <v>16</v>
      </c>
      <c r="E200" s="198" t="s">
        <v>1674</v>
      </c>
      <c r="F200" s="247" t="s">
        <v>378</v>
      </c>
      <c r="G200" s="226"/>
      <c r="H200" s="226"/>
      <c r="I200" s="226"/>
      <c r="J200" s="226"/>
      <c r="K200" s="227"/>
      <c r="L200" s="18" t="s">
        <v>150</v>
      </c>
      <c r="M200" s="18"/>
      <c r="N200" s="18"/>
      <c r="O200" s="18"/>
      <c r="P200" s="18"/>
      <c r="Q200" s="18"/>
      <c r="R200" s="18"/>
      <c r="S200" s="18"/>
      <c r="T200" s="18"/>
      <c r="U200" s="18"/>
    </row>
    <row r="201" spans="1:21" x14ac:dyDescent="0.25">
      <c r="A201" s="246" t="s">
        <v>626</v>
      </c>
      <c r="B201" s="246" t="s">
        <v>3</v>
      </c>
      <c r="C201" s="246" t="s">
        <v>282</v>
      </c>
      <c r="D201" s="246">
        <v>16</v>
      </c>
      <c r="E201" s="198" t="s">
        <v>715</v>
      </c>
      <c r="F201" s="108" t="s">
        <v>125</v>
      </c>
      <c r="G201" s="17" t="s">
        <v>126</v>
      </c>
      <c r="H201" s="17" t="s">
        <v>136</v>
      </c>
      <c r="I201" s="17" t="s">
        <v>137</v>
      </c>
      <c r="J201" s="17" t="s">
        <v>141</v>
      </c>
      <c r="K201" s="17" t="s">
        <v>145</v>
      </c>
      <c r="L201" s="17"/>
      <c r="M201" s="17"/>
      <c r="N201" s="17"/>
      <c r="O201" s="17"/>
      <c r="P201" s="17"/>
      <c r="Q201" s="17"/>
      <c r="R201" s="17"/>
      <c r="S201" s="17"/>
      <c r="T201" s="17"/>
      <c r="U201" s="17"/>
    </row>
    <row r="202" spans="1:21" ht="16.5" customHeight="1" x14ac:dyDescent="0.25">
      <c r="A202" s="246" t="s">
        <v>174</v>
      </c>
      <c r="B202" s="246" t="s">
        <v>294</v>
      </c>
      <c r="C202" s="246" t="s">
        <v>292</v>
      </c>
      <c r="D202" s="246">
        <v>13</v>
      </c>
      <c r="E202" s="198" t="s">
        <v>1159</v>
      </c>
      <c r="F202" s="115" t="s">
        <v>151</v>
      </c>
      <c r="G202" s="232" t="s">
        <v>558</v>
      </c>
      <c r="H202" s="233"/>
      <c r="I202" s="234"/>
      <c r="J202" s="232" t="s">
        <v>115</v>
      </c>
      <c r="K202" s="233"/>
      <c r="L202" s="233"/>
      <c r="M202" s="233"/>
      <c r="N202" s="233"/>
      <c r="O202" s="234"/>
      <c r="P202" s="19" t="s">
        <v>148</v>
      </c>
      <c r="Q202" s="19" t="s">
        <v>149</v>
      </c>
      <c r="R202" s="19" t="s">
        <v>150</v>
      </c>
    </row>
    <row r="203" spans="1:21" x14ac:dyDescent="0.25">
      <c r="A203" s="246" t="s">
        <v>627</v>
      </c>
      <c r="B203" s="246" t="s">
        <v>3</v>
      </c>
      <c r="C203" s="246" t="s">
        <v>291</v>
      </c>
      <c r="D203" s="246">
        <v>13</v>
      </c>
      <c r="E203" s="198" t="s">
        <v>172</v>
      </c>
      <c r="F203" s="110"/>
      <c r="G203" s="20" t="s">
        <v>570</v>
      </c>
      <c r="H203" s="20" t="s">
        <v>573</v>
      </c>
      <c r="I203" s="20" t="s">
        <v>566</v>
      </c>
      <c r="J203" s="20" t="s">
        <v>118</v>
      </c>
      <c r="K203" s="20" t="s">
        <v>120</v>
      </c>
      <c r="L203" s="20" t="s">
        <v>124</v>
      </c>
      <c r="M203" s="20" t="s">
        <v>130</v>
      </c>
      <c r="N203" s="20" t="s">
        <v>141</v>
      </c>
      <c r="O203" s="20" t="s">
        <v>145</v>
      </c>
      <c r="P203" s="20"/>
      <c r="Q203" s="20"/>
      <c r="R203" s="20"/>
    </row>
    <row r="204" spans="1:21" ht="15" customHeight="1" x14ac:dyDescent="0.25">
      <c r="A204" s="246" t="s">
        <v>627</v>
      </c>
      <c r="B204" s="246" t="s">
        <v>3</v>
      </c>
      <c r="C204" s="246" t="s">
        <v>291</v>
      </c>
      <c r="D204" s="246">
        <v>13</v>
      </c>
      <c r="E204" s="198" t="s">
        <v>1161</v>
      </c>
      <c r="F204" s="115" t="s">
        <v>182</v>
      </c>
      <c r="G204" s="19" t="s">
        <v>702</v>
      </c>
      <c r="H204" s="232" t="s">
        <v>703</v>
      </c>
      <c r="I204" s="234"/>
      <c r="J204" s="19" t="s">
        <v>706</v>
      </c>
      <c r="K204" s="232" t="s">
        <v>704</v>
      </c>
      <c r="L204" s="234"/>
      <c r="M204" s="19" t="s">
        <v>190</v>
      </c>
      <c r="N204" s="19"/>
      <c r="O204" s="19"/>
      <c r="P204" s="19"/>
      <c r="Q204" s="19"/>
      <c r="R204" s="19"/>
    </row>
    <row r="205" spans="1:21" ht="15" customHeight="1" x14ac:dyDescent="0.25">
      <c r="A205" s="246" t="s">
        <v>627</v>
      </c>
      <c r="B205" s="246" t="s">
        <v>3</v>
      </c>
      <c r="C205" s="246" t="s">
        <v>291</v>
      </c>
      <c r="D205" s="246">
        <v>13</v>
      </c>
      <c r="E205" s="198" t="s">
        <v>1161</v>
      </c>
      <c r="F205" s="108"/>
      <c r="G205" s="17" t="s">
        <v>209</v>
      </c>
      <c r="H205" s="17" t="s">
        <v>248</v>
      </c>
      <c r="I205" s="20" t="s">
        <v>200</v>
      </c>
      <c r="J205" s="20" t="s">
        <v>583</v>
      </c>
      <c r="K205" s="17" t="s">
        <v>211</v>
      </c>
      <c r="L205" s="17" t="s">
        <v>320</v>
      </c>
      <c r="M205" s="20"/>
      <c r="N205" s="20"/>
      <c r="O205" s="20"/>
      <c r="P205" s="20"/>
      <c r="Q205" s="20"/>
      <c r="R205" s="20"/>
    </row>
    <row r="206" spans="1:21" x14ac:dyDescent="0.25">
      <c r="A206" s="246" t="s">
        <v>627</v>
      </c>
      <c r="B206" s="246" t="s">
        <v>3</v>
      </c>
      <c r="C206" s="246" t="s">
        <v>291</v>
      </c>
      <c r="D206" s="246">
        <v>13</v>
      </c>
      <c r="E206" s="198" t="s">
        <v>173</v>
      </c>
      <c r="F206" s="109" t="s">
        <v>558</v>
      </c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</row>
    <row r="207" spans="1:21" x14ac:dyDescent="0.25">
      <c r="A207" s="246" t="s">
        <v>627</v>
      </c>
      <c r="B207" s="246" t="s">
        <v>3</v>
      </c>
      <c r="C207" s="246" t="s">
        <v>291</v>
      </c>
      <c r="D207" s="246">
        <v>13</v>
      </c>
      <c r="E207" s="198" t="s">
        <v>173</v>
      </c>
      <c r="F207" s="108" t="s">
        <v>208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</row>
    <row r="208" spans="1:21" x14ac:dyDescent="0.25">
      <c r="A208" s="246" t="s">
        <v>627</v>
      </c>
      <c r="B208" s="246" t="s">
        <v>3</v>
      </c>
      <c r="C208" s="246" t="s">
        <v>291</v>
      </c>
      <c r="D208" s="246">
        <v>13</v>
      </c>
      <c r="E208" s="198" t="s">
        <v>1674</v>
      </c>
      <c r="F208" s="10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</row>
    <row r="209" spans="1:18" x14ac:dyDescent="0.25">
      <c r="A209" s="246" t="s">
        <v>627</v>
      </c>
      <c r="B209" s="246" t="s">
        <v>3</v>
      </c>
      <c r="C209" s="246" t="s">
        <v>291</v>
      </c>
      <c r="D209" s="246">
        <v>13</v>
      </c>
      <c r="E209" s="198" t="s">
        <v>715</v>
      </c>
      <c r="F209" s="108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</row>
    <row r="210" spans="1:18" ht="16.5" customHeight="1" x14ac:dyDescent="0.25">
      <c r="A210" s="246" t="s">
        <v>89</v>
      </c>
      <c r="B210" s="246" t="s">
        <v>295</v>
      </c>
      <c r="C210" s="246" t="s">
        <v>274</v>
      </c>
      <c r="D210" s="246">
        <v>12</v>
      </c>
      <c r="E210" s="198" t="s">
        <v>1159</v>
      </c>
      <c r="F210" s="109" t="s">
        <v>379</v>
      </c>
      <c r="G210" s="225" t="s">
        <v>115</v>
      </c>
      <c r="H210" s="226"/>
      <c r="I210" s="226"/>
      <c r="J210" s="226"/>
      <c r="K210" s="226"/>
      <c r="L210" s="226"/>
      <c r="M210" s="226"/>
      <c r="N210" s="227"/>
      <c r="O210" s="18" t="s">
        <v>152</v>
      </c>
      <c r="P210" s="18" t="s">
        <v>149</v>
      </c>
      <c r="Q210" s="18" t="s">
        <v>150</v>
      </c>
    </row>
    <row r="211" spans="1:18" x14ac:dyDescent="0.25">
      <c r="A211" s="246" t="s">
        <v>628</v>
      </c>
      <c r="B211" s="246" t="s">
        <v>4</v>
      </c>
      <c r="C211" s="246" t="s">
        <v>273</v>
      </c>
      <c r="D211" s="246">
        <v>12</v>
      </c>
      <c r="E211" s="198" t="s">
        <v>1159</v>
      </c>
      <c r="F211" s="108" t="s">
        <v>574</v>
      </c>
      <c r="G211" s="17" t="s">
        <v>120</v>
      </c>
      <c r="H211" s="17" t="s">
        <v>125</v>
      </c>
      <c r="I211" s="17" t="s">
        <v>126</v>
      </c>
      <c r="J211" s="17" t="s">
        <v>129</v>
      </c>
      <c r="K211" s="17" t="s">
        <v>130</v>
      </c>
      <c r="L211" s="17" t="s">
        <v>137</v>
      </c>
      <c r="M211" s="17" t="s">
        <v>141</v>
      </c>
      <c r="N211" s="17" t="s">
        <v>142</v>
      </c>
      <c r="O211" s="17"/>
      <c r="P211" s="17"/>
      <c r="Q211" s="17"/>
    </row>
    <row r="212" spans="1:18" ht="15" customHeight="1" x14ac:dyDescent="0.25">
      <c r="A212" s="246" t="s">
        <v>628</v>
      </c>
      <c r="B212" s="246" t="s">
        <v>4</v>
      </c>
      <c r="C212" s="246" t="s">
        <v>273</v>
      </c>
      <c r="D212" s="246">
        <v>12</v>
      </c>
      <c r="E212" s="198" t="s">
        <v>171</v>
      </c>
      <c r="F212" s="109" t="s">
        <v>182</v>
      </c>
      <c r="G212" s="18" t="s">
        <v>191</v>
      </c>
      <c r="H212" s="18" t="s">
        <v>190</v>
      </c>
      <c r="I212" s="18"/>
      <c r="J212" s="18"/>
      <c r="K212" s="18"/>
      <c r="L212" s="18"/>
      <c r="M212" s="18"/>
      <c r="N212" s="18"/>
      <c r="O212" s="18"/>
      <c r="P212" s="18"/>
      <c r="Q212" s="18"/>
    </row>
    <row r="213" spans="1:18" ht="15" customHeight="1" x14ac:dyDescent="0.25">
      <c r="A213" s="246" t="s">
        <v>628</v>
      </c>
      <c r="B213" s="246" t="s">
        <v>4</v>
      </c>
      <c r="C213" s="246" t="s">
        <v>273</v>
      </c>
      <c r="D213" s="246">
        <v>12</v>
      </c>
      <c r="E213" s="198" t="s">
        <v>171</v>
      </c>
      <c r="F213" s="108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</row>
    <row r="214" spans="1:18" x14ac:dyDescent="0.25">
      <c r="A214" s="246" t="s">
        <v>628</v>
      </c>
      <c r="B214" s="246" t="s">
        <v>4</v>
      </c>
      <c r="C214" s="246" t="s">
        <v>273</v>
      </c>
      <c r="D214" s="246">
        <v>12</v>
      </c>
      <c r="E214" s="198" t="s">
        <v>1160</v>
      </c>
      <c r="F214" s="109" t="s">
        <v>153</v>
      </c>
      <c r="G214" s="18" t="s">
        <v>154</v>
      </c>
      <c r="H214" s="18" t="s">
        <v>115</v>
      </c>
      <c r="I214" s="18" t="s">
        <v>155</v>
      </c>
      <c r="J214" s="18"/>
      <c r="K214" s="19"/>
      <c r="L214" s="19"/>
      <c r="M214" s="19"/>
      <c r="N214" s="19"/>
      <c r="O214" s="19"/>
      <c r="P214" s="19"/>
      <c r="Q214" s="18"/>
    </row>
    <row r="215" spans="1:18" x14ac:dyDescent="0.25">
      <c r="A215" s="246" t="s">
        <v>628</v>
      </c>
      <c r="B215" s="246" t="s">
        <v>4</v>
      </c>
      <c r="C215" s="246" t="s">
        <v>273</v>
      </c>
      <c r="D215" s="246">
        <v>12</v>
      </c>
      <c r="E215" s="198" t="s">
        <v>1160</v>
      </c>
      <c r="F215" s="108"/>
      <c r="G215" s="17"/>
      <c r="H215" s="17" t="s">
        <v>124</v>
      </c>
      <c r="I215" s="17"/>
      <c r="J215" s="17"/>
      <c r="K215" s="17"/>
      <c r="L215" s="17"/>
      <c r="M215" s="17"/>
      <c r="N215" s="17"/>
      <c r="O215" s="17"/>
      <c r="P215" s="17"/>
      <c r="Q215" s="17"/>
    </row>
    <row r="216" spans="1:18" x14ac:dyDescent="0.25">
      <c r="A216" s="246" t="s">
        <v>628</v>
      </c>
      <c r="B216" s="246" t="s">
        <v>4</v>
      </c>
      <c r="C216" s="246" t="s">
        <v>273</v>
      </c>
      <c r="D216" s="246">
        <v>12</v>
      </c>
      <c r="E216" s="198" t="s">
        <v>1674</v>
      </c>
      <c r="F216" s="109" t="s">
        <v>379</v>
      </c>
      <c r="G216" s="225" t="s">
        <v>378</v>
      </c>
      <c r="H216" s="226"/>
      <c r="I216" s="226"/>
      <c r="J216" s="226"/>
      <c r="K216" s="226"/>
      <c r="L216" s="227"/>
      <c r="M216" s="18" t="s">
        <v>150</v>
      </c>
      <c r="N216" s="18"/>
      <c r="O216" s="18"/>
      <c r="P216" s="18"/>
      <c r="Q216" s="18"/>
    </row>
    <row r="217" spans="1:18" x14ac:dyDescent="0.25">
      <c r="A217" s="246" t="s">
        <v>628</v>
      </c>
      <c r="B217" s="246" t="s">
        <v>4</v>
      </c>
      <c r="C217" s="246" t="s">
        <v>273</v>
      </c>
      <c r="D217" s="246">
        <v>12</v>
      </c>
      <c r="E217" s="198" t="s">
        <v>715</v>
      </c>
      <c r="F217" s="108" t="s">
        <v>574</v>
      </c>
      <c r="G217" s="17" t="s">
        <v>117</v>
      </c>
      <c r="H217" s="17" t="s">
        <v>118</v>
      </c>
      <c r="I217" s="17" t="s">
        <v>125</v>
      </c>
      <c r="J217" s="17" t="s">
        <v>136</v>
      </c>
      <c r="K217" s="17" t="s">
        <v>141</v>
      </c>
      <c r="L217" s="17" t="s">
        <v>145</v>
      </c>
      <c r="M217" s="17"/>
      <c r="N217" s="17"/>
      <c r="O217" s="17"/>
      <c r="P217" s="17"/>
      <c r="Q217" s="17"/>
    </row>
    <row r="218" spans="1:18" x14ac:dyDescent="0.25">
      <c r="A218" s="246" t="s">
        <v>90</v>
      </c>
      <c r="B218" s="246" t="s">
        <v>295</v>
      </c>
      <c r="C218" s="246" t="s">
        <v>274</v>
      </c>
      <c r="D218" s="246">
        <v>9</v>
      </c>
      <c r="E218" s="198" t="s">
        <v>1159</v>
      </c>
      <c r="F218" s="111" t="s">
        <v>379</v>
      </c>
      <c r="G218" s="228" t="s">
        <v>115</v>
      </c>
      <c r="H218" s="229"/>
      <c r="I218" s="229"/>
      <c r="J218" s="229"/>
      <c r="K218" s="29" t="s">
        <v>153</v>
      </c>
      <c r="L218" s="29" t="s">
        <v>149</v>
      </c>
      <c r="M218" s="29" t="s">
        <v>150</v>
      </c>
      <c r="N218" s="70" t="s">
        <v>159</v>
      </c>
    </row>
    <row r="219" spans="1:18" x14ac:dyDescent="0.25">
      <c r="A219" s="246" t="s">
        <v>629</v>
      </c>
      <c r="B219" s="246" t="s">
        <v>4</v>
      </c>
      <c r="C219" s="246" t="s">
        <v>273</v>
      </c>
      <c r="D219" s="246">
        <v>9</v>
      </c>
      <c r="E219" s="198" t="s">
        <v>172</v>
      </c>
      <c r="F219" s="112" t="s">
        <v>192</v>
      </c>
      <c r="G219" s="30" t="s">
        <v>125</v>
      </c>
      <c r="H219" s="30" t="s">
        <v>133</v>
      </c>
      <c r="I219" s="30" t="s">
        <v>138</v>
      </c>
      <c r="J219" s="30" t="s">
        <v>145</v>
      </c>
      <c r="K219" s="30"/>
      <c r="L219" s="30"/>
      <c r="M219" s="30"/>
      <c r="N219" s="30" t="s">
        <v>425</v>
      </c>
    </row>
    <row r="220" spans="1:18" ht="15" customHeight="1" x14ac:dyDescent="0.25">
      <c r="A220" s="246" t="s">
        <v>629</v>
      </c>
      <c r="B220" s="246" t="s">
        <v>4</v>
      </c>
      <c r="C220" s="246" t="s">
        <v>273</v>
      </c>
      <c r="D220" s="246">
        <v>9</v>
      </c>
      <c r="E220" s="198" t="s">
        <v>171</v>
      </c>
      <c r="F220" s="111" t="s">
        <v>182</v>
      </c>
      <c r="G220" s="29" t="s">
        <v>547</v>
      </c>
      <c r="H220" s="29" t="s">
        <v>193</v>
      </c>
      <c r="I220" s="228" t="s">
        <v>186</v>
      </c>
      <c r="J220" s="229"/>
      <c r="K220" s="229"/>
      <c r="L220" s="229"/>
      <c r="M220" s="230"/>
      <c r="N220" s="29"/>
    </row>
    <row r="221" spans="1:18" ht="15" customHeight="1" x14ac:dyDescent="0.25">
      <c r="A221" s="246" t="s">
        <v>629</v>
      </c>
      <c r="B221" s="246" t="s">
        <v>4</v>
      </c>
      <c r="C221" s="246" t="s">
        <v>273</v>
      </c>
      <c r="D221" s="246">
        <v>9</v>
      </c>
      <c r="E221" s="198" t="s">
        <v>171</v>
      </c>
      <c r="F221" s="112"/>
      <c r="G221" s="30"/>
      <c r="H221" s="30"/>
      <c r="I221" s="30" t="s">
        <v>194</v>
      </c>
      <c r="J221" s="30" t="s">
        <v>188</v>
      </c>
      <c r="K221" s="30" t="s">
        <v>195</v>
      </c>
      <c r="L221" s="30" t="s">
        <v>349</v>
      </c>
      <c r="M221" s="30" t="s">
        <v>196</v>
      </c>
      <c r="N221" s="30"/>
    </row>
    <row r="222" spans="1:18" x14ac:dyDescent="0.25">
      <c r="A222" s="246" t="s">
        <v>629</v>
      </c>
      <c r="B222" s="246" t="s">
        <v>4</v>
      </c>
      <c r="C222" s="246" t="s">
        <v>273</v>
      </c>
      <c r="D222" s="246">
        <v>9</v>
      </c>
      <c r="E222" s="198" t="s">
        <v>1160</v>
      </c>
      <c r="F222" s="111" t="s">
        <v>378</v>
      </c>
      <c r="G222" s="29"/>
      <c r="H222" s="29"/>
      <c r="I222" s="29"/>
      <c r="J222" s="29"/>
      <c r="K222" s="29"/>
      <c r="L222" s="29"/>
      <c r="M222" s="29"/>
      <c r="N222" s="29"/>
    </row>
    <row r="223" spans="1:18" x14ac:dyDescent="0.25">
      <c r="A223" s="246" t="s">
        <v>629</v>
      </c>
      <c r="B223" s="246" t="s">
        <v>4</v>
      </c>
      <c r="C223" s="246" t="s">
        <v>273</v>
      </c>
      <c r="D223" s="246">
        <v>9</v>
      </c>
      <c r="E223" s="198" t="s">
        <v>173</v>
      </c>
      <c r="F223" s="112" t="s">
        <v>444</v>
      </c>
      <c r="G223" s="30"/>
      <c r="H223" s="30"/>
      <c r="I223" s="30"/>
      <c r="J223" s="30"/>
      <c r="K223" s="30"/>
      <c r="L223" s="30"/>
      <c r="M223" s="30"/>
      <c r="N223" s="30"/>
    </row>
    <row r="224" spans="1:18" x14ac:dyDescent="0.25">
      <c r="A224" s="246" t="s">
        <v>629</v>
      </c>
      <c r="B224" s="246" t="s">
        <v>4</v>
      </c>
      <c r="C224" s="246" t="s">
        <v>273</v>
      </c>
      <c r="D224" s="246">
        <v>9</v>
      </c>
      <c r="E224" s="198" t="s">
        <v>1674</v>
      </c>
      <c r="F224" s="111" t="s">
        <v>379</v>
      </c>
      <c r="G224" s="29" t="s">
        <v>150</v>
      </c>
      <c r="H224" s="18"/>
      <c r="I224" s="18"/>
      <c r="J224" s="18"/>
      <c r="K224" s="18"/>
      <c r="L224" s="18"/>
      <c r="M224" s="18"/>
      <c r="N224" s="18"/>
    </row>
    <row r="225" spans="1:21" x14ac:dyDescent="0.25">
      <c r="A225" s="246" t="s">
        <v>629</v>
      </c>
      <c r="B225" s="246" t="s">
        <v>4</v>
      </c>
      <c r="C225" s="246" t="s">
        <v>273</v>
      </c>
      <c r="D225" s="246">
        <v>9</v>
      </c>
      <c r="E225" s="198" t="s">
        <v>715</v>
      </c>
      <c r="F225" s="112" t="s">
        <v>574</v>
      </c>
      <c r="G225" s="30"/>
      <c r="H225" s="17"/>
      <c r="I225" s="17"/>
      <c r="J225" s="17"/>
      <c r="K225" s="17"/>
      <c r="L225" s="17"/>
      <c r="M225" s="17"/>
      <c r="N225" s="17"/>
    </row>
    <row r="226" spans="1:21" x14ac:dyDescent="0.25">
      <c r="A226" s="246" t="s">
        <v>91</v>
      </c>
      <c r="B226" s="246" t="s">
        <v>295</v>
      </c>
      <c r="C226" s="246" t="s">
        <v>286</v>
      </c>
      <c r="D226" s="246">
        <v>16</v>
      </c>
      <c r="E226" s="198" t="s">
        <v>1159</v>
      </c>
      <c r="F226" s="109" t="s">
        <v>379</v>
      </c>
      <c r="G226" s="225" t="s">
        <v>115</v>
      </c>
      <c r="H226" s="226"/>
      <c r="I226" s="226"/>
      <c r="J226" s="227"/>
      <c r="K226" s="18" t="s">
        <v>150</v>
      </c>
      <c r="L226" s="18"/>
      <c r="M226" s="18"/>
      <c r="N226" s="18"/>
      <c r="O226" s="18"/>
      <c r="P226" s="18"/>
      <c r="Q226" s="18"/>
      <c r="R226" s="18"/>
      <c r="S226" s="18"/>
      <c r="T226" s="18"/>
      <c r="U226" s="18"/>
    </row>
    <row r="227" spans="1:21" x14ac:dyDescent="0.25">
      <c r="A227" s="246" t="s">
        <v>630</v>
      </c>
      <c r="B227" s="246" t="s">
        <v>4</v>
      </c>
      <c r="C227" s="246" t="s">
        <v>278</v>
      </c>
      <c r="D227" s="246">
        <v>16</v>
      </c>
      <c r="E227" s="198" t="s">
        <v>172</v>
      </c>
      <c r="F227" s="108" t="s">
        <v>384</v>
      </c>
      <c r="G227" s="17" t="s">
        <v>125</v>
      </c>
      <c r="H227" s="17" t="s">
        <v>134</v>
      </c>
      <c r="I227" s="17" t="s">
        <v>163</v>
      </c>
      <c r="J227" s="17" t="s">
        <v>142</v>
      </c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</row>
    <row r="228" spans="1:21" ht="15" customHeight="1" x14ac:dyDescent="0.25">
      <c r="A228" s="246" t="s">
        <v>630</v>
      </c>
      <c r="B228" s="246" t="s">
        <v>4</v>
      </c>
      <c r="C228" s="246" t="s">
        <v>278</v>
      </c>
      <c r="D228" s="246">
        <v>16</v>
      </c>
      <c r="E228" s="198" t="s">
        <v>1161</v>
      </c>
      <c r="F228" s="109" t="s">
        <v>702</v>
      </c>
      <c r="G228" s="225" t="s">
        <v>703</v>
      </c>
      <c r="H228" s="226"/>
      <c r="I228" s="226"/>
      <c r="J228" s="227"/>
      <c r="K228" s="18" t="s">
        <v>706</v>
      </c>
      <c r="L228" s="225" t="s">
        <v>704</v>
      </c>
      <c r="M228" s="226"/>
      <c r="N228" s="226"/>
      <c r="O228" s="226"/>
      <c r="P228" s="226"/>
      <c r="Q228" s="227"/>
      <c r="R228" s="18" t="s">
        <v>361</v>
      </c>
      <c r="S228" s="18" t="s">
        <v>567</v>
      </c>
      <c r="T228" s="18" t="s">
        <v>550</v>
      </c>
      <c r="U228" s="18" t="s">
        <v>264</v>
      </c>
    </row>
    <row r="229" spans="1:21" ht="15" customHeight="1" x14ac:dyDescent="0.25">
      <c r="A229" s="246" t="s">
        <v>630</v>
      </c>
      <c r="B229" s="246" t="s">
        <v>4</v>
      </c>
      <c r="C229" s="246" t="s">
        <v>278</v>
      </c>
      <c r="D229" s="246">
        <v>16</v>
      </c>
      <c r="E229" s="198" t="s">
        <v>1161</v>
      </c>
      <c r="F229" s="108" t="s">
        <v>555</v>
      </c>
      <c r="G229" s="17" t="s">
        <v>197</v>
      </c>
      <c r="H229" s="17" t="s">
        <v>249</v>
      </c>
      <c r="I229" s="17" t="s">
        <v>252</v>
      </c>
      <c r="J229" s="17" t="s">
        <v>200</v>
      </c>
      <c r="K229" s="17" t="s">
        <v>210</v>
      </c>
      <c r="L229" s="17" t="s">
        <v>302</v>
      </c>
      <c r="M229" s="17" t="s">
        <v>304</v>
      </c>
      <c r="N229" s="17" t="s">
        <v>565</v>
      </c>
      <c r="O229" s="17" t="s">
        <v>310</v>
      </c>
      <c r="P229" s="17" t="s">
        <v>313</v>
      </c>
      <c r="Q229" s="17" t="s">
        <v>318</v>
      </c>
      <c r="R229" s="17"/>
      <c r="S229" s="17"/>
      <c r="T229" s="17"/>
      <c r="U229" s="17"/>
    </row>
    <row r="230" spans="1:21" x14ac:dyDescent="0.25">
      <c r="A230" s="246" t="s">
        <v>630</v>
      </c>
      <c r="B230" s="246" t="s">
        <v>4</v>
      </c>
      <c r="C230" s="246" t="s">
        <v>278</v>
      </c>
      <c r="D230" s="246">
        <v>16</v>
      </c>
      <c r="E230" s="198" t="s">
        <v>173</v>
      </c>
      <c r="F230" s="247" t="s">
        <v>115</v>
      </c>
      <c r="G230" s="227"/>
      <c r="H230" s="18" t="s">
        <v>155</v>
      </c>
      <c r="I230" s="19"/>
      <c r="J230" s="19"/>
      <c r="K230" s="19"/>
      <c r="L230" s="19"/>
      <c r="M230" s="19"/>
      <c r="N230" s="19"/>
      <c r="O230" s="19"/>
      <c r="P230" s="18"/>
      <c r="Q230" s="18"/>
      <c r="R230" s="18"/>
      <c r="S230" s="18"/>
      <c r="T230" s="18"/>
      <c r="U230" s="18"/>
    </row>
    <row r="231" spans="1:21" x14ac:dyDescent="0.25">
      <c r="A231" s="246" t="s">
        <v>630</v>
      </c>
      <c r="B231" s="246" t="s">
        <v>4</v>
      </c>
      <c r="C231" s="246" t="s">
        <v>278</v>
      </c>
      <c r="D231" s="246">
        <v>16</v>
      </c>
      <c r="E231" s="198" t="s">
        <v>173</v>
      </c>
      <c r="F231" s="108" t="s">
        <v>135</v>
      </c>
      <c r="G231" s="17" t="s">
        <v>146</v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</row>
    <row r="232" spans="1:21" x14ac:dyDescent="0.25">
      <c r="A232" s="246" t="s">
        <v>630</v>
      </c>
      <c r="B232" s="246" t="s">
        <v>4</v>
      </c>
      <c r="C232" s="246" t="s">
        <v>278</v>
      </c>
      <c r="D232" s="246">
        <v>16</v>
      </c>
      <c r="E232" s="198" t="s">
        <v>1674</v>
      </c>
      <c r="F232" s="247" t="s">
        <v>379</v>
      </c>
      <c r="G232" s="226"/>
      <c r="H232" s="226"/>
      <c r="I232" s="227"/>
      <c r="J232" s="225" t="s">
        <v>378</v>
      </c>
      <c r="K232" s="226"/>
      <c r="L232" s="227"/>
      <c r="M232" s="18"/>
      <c r="N232" s="18"/>
      <c r="O232" s="18"/>
      <c r="P232" s="18"/>
      <c r="Q232" s="18"/>
      <c r="R232" s="18"/>
      <c r="S232" s="18"/>
      <c r="T232" s="18"/>
      <c r="U232" s="18"/>
    </row>
    <row r="233" spans="1:21" x14ac:dyDescent="0.25">
      <c r="A233" s="246" t="s">
        <v>630</v>
      </c>
      <c r="B233" s="246" t="s">
        <v>4</v>
      </c>
      <c r="C233" s="246" t="s">
        <v>278</v>
      </c>
      <c r="D233" s="246">
        <v>16</v>
      </c>
      <c r="E233" s="198" t="s">
        <v>715</v>
      </c>
      <c r="F233" s="108" t="s">
        <v>568</v>
      </c>
      <c r="G233" s="17" t="s">
        <v>109</v>
      </c>
      <c r="H233" s="17" t="s">
        <v>110</v>
      </c>
      <c r="I233" s="17" t="s">
        <v>111</v>
      </c>
      <c r="J233" s="17" t="s">
        <v>124</v>
      </c>
      <c r="K233" s="17" t="s">
        <v>125</v>
      </c>
      <c r="L233" s="17" t="s">
        <v>141</v>
      </c>
      <c r="M233" s="17"/>
      <c r="N233" s="17"/>
      <c r="O233" s="17"/>
      <c r="P233" s="17"/>
      <c r="Q233" s="17"/>
      <c r="R233" s="17"/>
      <c r="S233" s="17"/>
      <c r="T233" s="17"/>
      <c r="U233" s="17"/>
    </row>
    <row r="234" spans="1:21" x14ac:dyDescent="0.25">
      <c r="A234" s="246" t="s">
        <v>92</v>
      </c>
      <c r="B234" s="246" t="s">
        <v>1156</v>
      </c>
      <c r="C234" s="246" t="s">
        <v>287</v>
      </c>
      <c r="D234" s="246">
        <v>11</v>
      </c>
      <c r="E234" s="198" t="s">
        <v>1159</v>
      </c>
      <c r="F234" s="247" t="s">
        <v>558</v>
      </c>
      <c r="G234" s="226"/>
      <c r="H234" s="227"/>
      <c r="I234" s="225" t="s">
        <v>115</v>
      </c>
      <c r="J234" s="226"/>
      <c r="K234" s="226"/>
      <c r="L234" s="227"/>
      <c r="M234" s="18" t="s">
        <v>149</v>
      </c>
      <c r="N234" s="18" t="s">
        <v>150</v>
      </c>
      <c r="O234" s="18"/>
      <c r="P234" s="18"/>
    </row>
    <row r="235" spans="1:21" x14ac:dyDescent="0.25">
      <c r="A235" s="246" t="s">
        <v>631</v>
      </c>
      <c r="B235" s="246" t="s">
        <v>4</v>
      </c>
      <c r="C235" s="246" t="s">
        <v>279</v>
      </c>
      <c r="D235" s="246">
        <v>11</v>
      </c>
      <c r="E235" s="198" t="s">
        <v>1159</v>
      </c>
      <c r="F235" s="108" t="s">
        <v>570</v>
      </c>
      <c r="G235" s="17" t="s">
        <v>571</v>
      </c>
      <c r="H235" s="17" t="s">
        <v>111</v>
      </c>
      <c r="I235" s="17" t="s">
        <v>130</v>
      </c>
      <c r="J235" s="17" t="s">
        <v>139</v>
      </c>
      <c r="K235" s="17" t="s">
        <v>140</v>
      </c>
      <c r="L235" s="17" t="s">
        <v>145</v>
      </c>
      <c r="M235" s="17"/>
      <c r="N235" s="17"/>
      <c r="O235" s="17"/>
      <c r="P235" s="17"/>
    </row>
    <row r="236" spans="1:21" ht="15" customHeight="1" x14ac:dyDescent="0.25">
      <c r="A236" s="246" t="s">
        <v>631</v>
      </c>
      <c r="B236" s="246" t="s">
        <v>4</v>
      </c>
      <c r="C236" s="246" t="s">
        <v>279</v>
      </c>
      <c r="D236" s="246">
        <v>11</v>
      </c>
      <c r="E236" s="198" t="s">
        <v>1161</v>
      </c>
      <c r="F236" s="109" t="s">
        <v>706</v>
      </c>
      <c r="G236" s="18" t="s">
        <v>186</v>
      </c>
      <c r="H236" s="18" t="s">
        <v>549</v>
      </c>
      <c r="I236" s="18" t="s">
        <v>553</v>
      </c>
      <c r="J236" s="18"/>
      <c r="K236" s="18"/>
      <c r="L236" s="18"/>
      <c r="M236" s="18"/>
      <c r="N236" s="18"/>
      <c r="O236" s="18"/>
      <c r="P236" s="18"/>
    </row>
    <row r="237" spans="1:21" ht="15" customHeight="1" x14ac:dyDescent="0.25">
      <c r="A237" s="246" t="s">
        <v>631</v>
      </c>
      <c r="B237" s="246" t="s">
        <v>4</v>
      </c>
      <c r="C237" s="246" t="s">
        <v>279</v>
      </c>
      <c r="D237" s="246">
        <v>11</v>
      </c>
      <c r="E237" s="198" t="s">
        <v>171</v>
      </c>
      <c r="F237" s="108" t="s">
        <v>210</v>
      </c>
      <c r="G237" s="17" t="s">
        <v>348</v>
      </c>
      <c r="H237" s="17"/>
      <c r="I237" s="17"/>
      <c r="J237" s="17"/>
      <c r="K237" s="17"/>
      <c r="L237" s="17"/>
      <c r="M237" s="17"/>
      <c r="N237" s="17"/>
      <c r="O237" s="17"/>
      <c r="P237" s="17"/>
    </row>
    <row r="238" spans="1:21" x14ac:dyDescent="0.25">
      <c r="A238" s="246" t="s">
        <v>631</v>
      </c>
      <c r="B238" s="246" t="s">
        <v>4</v>
      </c>
      <c r="C238" s="246" t="s">
        <v>279</v>
      </c>
      <c r="D238" s="246">
        <v>11</v>
      </c>
      <c r="E238" s="198" t="s">
        <v>1160</v>
      </c>
      <c r="F238" s="247" t="s">
        <v>115</v>
      </c>
      <c r="G238" s="226"/>
      <c r="H238" s="227"/>
      <c r="I238" s="18" t="s">
        <v>155</v>
      </c>
      <c r="J238" s="19"/>
      <c r="K238" s="19"/>
      <c r="L238" s="19"/>
      <c r="M238" s="19"/>
      <c r="N238" s="19"/>
      <c r="O238" s="19"/>
      <c r="P238" s="19"/>
    </row>
    <row r="239" spans="1:21" x14ac:dyDescent="0.25">
      <c r="A239" s="246" t="s">
        <v>631</v>
      </c>
      <c r="B239" s="246" t="s">
        <v>4</v>
      </c>
      <c r="C239" s="246" t="s">
        <v>279</v>
      </c>
      <c r="D239" s="246">
        <v>11</v>
      </c>
      <c r="E239" s="198" t="s">
        <v>173</v>
      </c>
      <c r="F239" s="108" t="s">
        <v>127</v>
      </c>
      <c r="G239" s="17" t="s">
        <v>133</v>
      </c>
      <c r="H239" s="17" t="s">
        <v>139</v>
      </c>
      <c r="I239" s="18"/>
      <c r="J239" s="18"/>
      <c r="K239" s="17"/>
      <c r="L239" s="17"/>
      <c r="M239" s="17"/>
      <c r="N239" s="17"/>
      <c r="O239" s="17"/>
      <c r="P239" s="17"/>
    </row>
    <row r="240" spans="1:21" x14ac:dyDescent="0.25">
      <c r="A240" s="246" t="s">
        <v>631</v>
      </c>
      <c r="B240" s="246" t="s">
        <v>4</v>
      </c>
      <c r="C240" s="246" t="s">
        <v>279</v>
      </c>
      <c r="D240" s="246">
        <v>11</v>
      </c>
      <c r="E240" s="198" t="s">
        <v>1674</v>
      </c>
      <c r="F240" s="247" t="s">
        <v>379</v>
      </c>
      <c r="G240" s="227"/>
      <c r="H240" s="225" t="s">
        <v>378</v>
      </c>
      <c r="I240" s="226"/>
      <c r="J240" s="226"/>
      <c r="K240" s="226"/>
      <c r="L240" s="226"/>
      <c r="M240" s="227"/>
      <c r="N240" s="18" t="s">
        <v>149</v>
      </c>
      <c r="O240" s="18" t="s">
        <v>150</v>
      </c>
      <c r="P240" s="18"/>
    </row>
    <row r="241" spans="1:17" x14ac:dyDescent="0.25">
      <c r="A241" s="246" t="s">
        <v>631</v>
      </c>
      <c r="B241" s="246" t="s">
        <v>4</v>
      </c>
      <c r="C241" s="246" t="s">
        <v>279</v>
      </c>
      <c r="D241" s="246">
        <v>11</v>
      </c>
      <c r="E241" s="198" t="s">
        <v>715</v>
      </c>
      <c r="F241" s="108" t="s">
        <v>570</v>
      </c>
      <c r="G241" s="17" t="s">
        <v>111</v>
      </c>
      <c r="H241" s="17" t="s">
        <v>125</v>
      </c>
      <c r="I241" s="17" t="s">
        <v>130</v>
      </c>
      <c r="J241" s="17" t="s">
        <v>138</v>
      </c>
      <c r="K241" s="17" t="s">
        <v>140</v>
      </c>
      <c r="L241" s="17" t="s">
        <v>141</v>
      </c>
      <c r="M241" s="17" t="s">
        <v>145</v>
      </c>
      <c r="N241" s="17"/>
      <c r="O241" s="17"/>
      <c r="P241" s="17"/>
    </row>
    <row r="242" spans="1:17" x14ac:dyDescent="0.25">
      <c r="A242" s="246" t="s">
        <v>93</v>
      </c>
      <c r="B242" s="246" t="s">
        <v>295</v>
      </c>
      <c r="C242" s="246" t="s">
        <v>287</v>
      </c>
      <c r="D242" s="246">
        <v>12</v>
      </c>
      <c r="E242" s="198" t="s">
        <v>1159</v>
      </c>
      <c r="F242" s="109" t="s">
        <v>558</v>
      </c>
      <c r="G242" s="225" t="s">
        <v>115</v>
      </c>
      <c r="H242" s="226"/>
      <c r="I242" s="226"/>
      <c r="J242" s="226"/>
      <c r="K242" s="227"/>
      <c r="L242" s="18" t="s">
        <v>149</v>
      </c>
      <c r="M242" s="18" t="s">
        <v>150</v>
      </c>
      <c r="N242" s="18"/>
      <c r="O242" s="18"/>
      <c r="P242" s="18"/>
      <c r="Q242" s="18"/>
    </row>
    <row r="243" spans="1:17" x14ac:dyDescent="0.25">
      <c r="A243" s="246" t="s">
        <v>632</v>
      </c>
      <c r="B243" s="246" t="s">
        <v>4</v>
      </c>
      <c r="C243" s="246" t="s">
        <v>279</v>
      </c>
      <c r="D243" s="246">
        <v>12</v>
      </c>
      <c r="E243" s="198" t="s">
        <v>172</v>
      </c>
      <c r="F243" s="108" t="s">
        <v>570</v>
      </c>
      <c r="G243" s="17" t="s">
        <v>125</v>
      </c>
      <c r="H243" s="17" t="s">
        <v>130</v>
      </c>
      <c r="I243" s="17" t="s">
        <v>133</v>
      </c>
      <c r="J243" s="17" t="s">
        <v>139</v>
      </c>
      <c r="K243" s="17" t="s">
        <v>540</v>
      </c>
      <c r="L243" s="17"/>
      <c r="M243" s="17"/>
      <c r="N243" s="17"/>
      <c r="O243" s="17"/>
      <c r="P243" s="17"/>
      <c r="Q243" s="17"/>
    </row>
    <row r="244" spans="1:17" ht="15" customHeight="1" x14ac:dyDescent="0.25">
      <c r="A244" s="246" t="s">
        <v>632</v>
      </c>
      <c r="B244" s="246" t="s">
        <v>4</v>
      </c>
      <c r="C244" s="246" t="s">
        <v>279</v>
      </c>
      <c r="D244" s="246">
        <v>12</v>
      </c>
      <c r="E244" s="198" t="s">
        <v>1161</v>
      </c>
      <c r="F244" s="109" t="s">
        <v>572</v>
      </c>
      <c r="G244" s="18" t="s">
        <v>553</v>
      </c>
      <c r="H244" s="18" t="s">
        <v>545</v>
      </c>
      <c r="I244" s="225" t="s">
        <v>186</v>
      </c>
      <c r="J244" s="226"/>
      <c r="K244" s="226"/>
      <c r="L244" s="226"/>
      <c r="M244" s="227"/>
      <c r="N244" s="18" t="s">
        <v>551</v>
      </c>
      <c r="O244" s="18" t="s">
        <v>552</v>
      </c>
      <c r="P244" s="18" t="s">
        <v>267</v>
      </c>
      <c r="Q244" s="18" t="s">
        <v>190</v>
      </c>
    </row>
    <row r="245" spans="1:17" ht="15" customHeight="1" x14ac:dyDescent="0.25">
      <c r="A245" s="246" t="s">
        <v>632</v>
      </c>
      <c r="B245" s="246" t="s">
        <v>4</v>
      </c>
      <c r="C245" s="246" t="s">
        <v>279</v>
      </c>
      <c r="D245" s="246">
        <v>12</v>
      </c>
      <c r="E245" s="198" t="s">
        <v>1161</v>
      </c>
      <c r="F245" s="108"/>
      <c r="G245" s="17"/>
      <c r="H245" s="17"/>
      <c r="I245" s="17" t="s">
        <v>187</v>
      </c>
      <c r="J245" s="17" t="s">
        <v>342</v>
      </c>
      <c r="K245" s="17" t="s">
        <v>346</v>
      </c>
      <c r="L245" s="17" t="s">
        <v>348</v>
      </c>
      <c r="M245" s="17" t="s">
        <v>356</v>
      </c>
      <c r="N245" s="17"/>
      <c r="O245" s="17"/>
      <c r="P245" s="17"/>
      <c r="Q245" s="17"/>
    </row>
    <row r="246" spans="1:17" x14ac:dyDescent="0.25">
      <c r="A246" s="246" t="s">
        <v>632</v>
      </c>
      <c r="B246" s="246" t="s">
        <v>4</v>
      </c>
      <c r="C246" s="246" t="s">
        <v>279</v>
      </c>
      <c r="D246" s="246">
        <v>12</v>
      </c>
      <c r="E246" s="198" t="s">
        <v>173</v>
      </c>
      <c r="F246" s="109" t="s">
        <v>165</v>
      </c>
      <c r="G246" s="18" t="s">
        <v>155</v>
      </c>
      <c r="H246" s="18"/>
      <c r="I246" s="18"/>
      <c r="J246" s="19"/>
      <c r="K246" s="19"/>
      <c r="L246" s="19"/>
      <c r="M246" s="19"/>
      <c r="N246" s="18"/>
      <c r="O246" s="18"/>
      <c r="P246" s="18"/>
      <c r="Q246" s="18"/>
    </row>
    <row r="247" spans="1:17" x14ac:dyDescent="0.25">
      <c r="A247" s="246" t="s">
        <v>632</v>
      </c>
      <c r="B247" s="246" t="s">
        <v>4</v>
      </c>
      <c r="C247" s="246" t="s">
        <v>279</v>
      </c>
      <c r="D247" s="246">
        <v>12</v>
      </c>
      <c r="E247" s="198" t="s">
        <v>1160</v>
      </c>
      <c r="F247" s="108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</row>
    <row r="248" spans="1:17" x14ac:dyDescent="0.25">
      <c r="A248" s="246" t="s">
        <v>632</v>
      </c>
      <c r="B248" s="246" t="s">
        <v>4</v>
      </c>
      <c r="C248" s="246" t="s">
        <v>279</v>
      </c>
      <c r="D248" s="246">
        <v>12</v>
      </c>
      <c r="E248" s="198" t="s">
        <v>1674</v>
      </c>
      <c r="F248" s="109" t="s">
        <v>379</v>
      </c>
      <c r="G248" s="225" t="s">
        <v>378</v>
      </c>
      <c r="H248" s="226"/>
      <c r="I248" s="226"/>
      <c r="J248" s="226"/>
      <c r="K248" s="227"/>
      <c r="L248" s="18" t="s">
        <v>149</v>
      </c>
      <c r="M248" s="18" t="s">
        <v>150</v>
      </c>
      <c r="N248" s="18"/>
      <c r="O248" s="18"/>
      <c r="P248" s="18"/>
      <c r="Q248" s="18"/>
    </row>
    <row r="249" spans="1:17" x14ac:dyDescent="0.25">
      <c r="A249" s="246" t="s">
        <v>632</v>
      </c>
      <c r="B249" s="246" t="s">
        <v>4</v>
      </c>
      <c r="C249" s="246" t="s">
        <v>279</v>
      </c>
      <c r="D249" s="246">
        <v>12</v>
      </c>
      <c r="E249" s="198" t="s">
        <v>715</v>
      </c>
      <c r="F249" s="108" t="s">
        <v>570</v>
      </c>
      <c r="G249" s="17" t="s">
        <v>125</v>
      </c>
      <c r="H249" s="17" t="s">
        <v>130</v>
      </c>
      <c r="I249" s="17" t="s">
        <v>133</v>
      </c>
      <c r="J249" s="17" t="s">
        <v>139</v>
      </c>
      <c r="K249" s="17" t="s">
        <v>540</v>
      </c>
      <c r="L249" s="17"/>
      <c r="M249" s="17"/>
      <c r="N249" s="17"/>
      <c r="O249" s="17"/>
      <c r="P249" s="17"/>
      <c r="Q249" s="17"/>
    </row>
    <row r="250" spans="1:17" x14ac:dyDescent="0.25">
      <c r="A250" s="246" t="s">
        <v>94</v>
      </c>
      <c r="B250" s="246" t="s">
        <v>295</v>
      </c>
      <c r="C250" s="246" t="s">
        <v>287</v>
      </c>
      <c r="D250" s="246">
        <v>9</v>
      </c>
      <c r="E250" s="198" t="s">
        <v>1159</v>
      </c>
      <c r="F250" s="109" t="s">
        <v>558</v>
      </c>
      <c r="G250" s="225" t="s">
        <v>115</v>
      </c>
      <c r="H250" s="226"/>
      <c r="I250" s="226"/>
      <c r="J250" s="227"/>
      <c r="K250" s="18" t="s">
        <v>157</v>
      </c>
      <c r="L250" s="18" t="s">
        <v>165</v>
      </c>
      <c r="M250" s="19" t="s">
        <v>149</v>
      </c>
      <c r="N250" s="19" t="s">
        <v>150</v>
      </c>
    </row>
    <row r="251" spans="1:17" x14ac:dyDescent="0.25">
      <c r="A251" s="246" t="s">
        <v>633</v>
      </c>
      <c r="B251" s="246" t="s">
        <v>4</v>
      </c>
      <c r="C251" s="246" t="s">
        <v>279</v>
      </c>
      <c r="D251" s="246">
        <v>9</v>
      </c>
      <c r="E251" s="198" t="s">
        <v>172</v>
      </c>
      <c r="F251" s="108" t="s">
        <v>570</v>
      </c>
      <c r="G251" s="17" t="s">
        <v>124</v>
      </c>
      <c r="H251" s="17" t="s">
        <v>125</v>
      </c>
      <c r="I251" s="17" t="s">
        <v>133</v>
      </c>
      <c r="J251" s="17" t="s">
        <v>540</v>
      </c>
      <c r="K251" s="17"/>
      <c r="L251" s="17"/>
      <c r="M251" s="20"/>
      <c r="N251" s="20"/>
    </row>
    <row r="252" spans="1:17" ht="15" customHeight="1" x14ac:dyDescent="0.25">
      <c r="A252" s="246" t="s">
        <v>633</v>
      </c>
      <c r="B252" s="246" t="s">
        <v>4</v>
      </c>
      <c r="C252" s="246" t="s">
        <v>279</v>
      </c>
      <c r="D252" s="246">
        <v>9</v>
      </c>
      <c r="E252" s="198" t="s">
        <v>171</v>
      </c>
      <c r="F252" s="247" t="s">
        <v>186</v>
      </c>
      <c r="G252" s="226"/>
      <c r="H252" s="226"/>
      <c r="I252" s="226"/>
      <c r="J252" s="227"/>
      <c r="K252" s="18" t="s">
        <v>191</v>
      </c>
      <c r="L252" s="18"/>
      <c r="M252" s="19"/>
      <c r="N252" s="19"/>
    </row>
    <row r="253" spans="1:17" ht="15" customHeight="1" x14ac:dyDescent="0.25">
      <c r="A253" s="246" t="s">
        <v>633</v>
      </c>
      <c r="B253" s="246" t="s">
        <v>4</v>
      </c>
      <c r="C253" s="246" t="s">
        <v>279</v>
      </c>
      <c r="D253" s="246">
        <v>9</v>
      </c>
      <c r="E253" s="198" t="s">
        <v>171</v>
      </c>
      <c r="F253" s="108" t="s">
        <v>187</v>
      </c>
      <c r="G253" s="17" t="s">
        <v>203</v>
      </c>
      <c r="H253" s="17" t="s">
        <v>339</v>
      </c>
      <c r="I253" s="17" t="s">
        <v>342</v>
      </c>
      <c r="J253" s="17" t="s">
        <v>195</v>
      </c>
      <c r="K253" s="17"/>
      <c r="L253" s="17"/>
      <c r="M253" s="20"/>
      <c r="N253" s="20"/>
    </row>
    <row r="254" spans="1:17" x14ac:dyDescent="0.25">
      <c r="A254" s="246" t="s">
        <v>633</v>
      </c>
      <c r="B254" s="246" t="s">
        <v>4</v>
      </c>
      <c r="C254" s="246" t="s">
        <v>279</v>
      </c>
      <c r="D254" s="246">
        <v>9</v>
      </c>
      <c r="E254" s="198" t="s">
        <v>173</v>
      </c>
      <c r="F254" s="109" t="s">
        <v>155</v>
      </c>
      <c r="G254" s="19"/>
      <c r="H254" s="19"/>
      <c r="I254" s="19"/>
      <c r="J254" s="19"/>
      <c r="K254" s="19"/>
      <c r="L254" s="19"/>
      <c r="M254" s="19"/>
      <c r="N254" s="19"/>
    </row>
    <row r="255" spans="1:17" x14ac:dyDescent="0.25">
      <c r="A255" s="246" t="s">
        <v>633</v>
      </c>
      <c r="B255" s="246" t="s">
        <v>4</v>
      </c>
      <c r="C255" s="246" t="s">
        <v>279</v>
      </c>
      <c r="D255" s="246">
        <v>9</v>
      </c>
      <c r="E255" s="198" t="s">
        <v>1160</v>
      </c>
      <c r="F255" s="110"/>
      <c r="G255" s="20"/>
      <c r="H255" s="20"/>
      <c r="I255" s="20"/>
      <c r="J255" s="20"/>
      <c r="K255" s="20"/>
      <c r="L255" s="20"/>
      <c r="M255" s="20"/>
      <c r="N255" s="20"/>
    </row>
    <row r="256" spans="1:17" x14ac:dyDescent="0.25">
      <c r="A256" s="246" t="s">
        <v>633</v>
      </c>
      <c r="B256" s="246" t="s">
        <v>4</v>
      </c>
      <c r="C256" s="246" t="s">
        <v>279</v>
      </c>
      <c r="D256" s="246">
        <v>9</v>
      </c>
      <c r="E256" s="198" t="s">
        <v>1674</v>
      </c>
      <c r="F256" s="247" t="s">
        <v>379</v>
      </c>
      <c r="G256" s="226"/>
      <c r="H256" s="227"/>
      <c r="I256" s="225" t="s">
        <v>378</v>
      </c>
      <c r="J256" s="226"/>
      <c r="K256" s="227"/>
      <c r="L256" s="19" t="s">
        <v>149</v>
      </c>
      <c r="M256" s="19"/>
      <c r="N256" s="19"/>
    </row>
    <row r="257" spans="1:20" x14ac:dyDescent="0.25">
      <c r="A257" s="246" t="s">
        <v>633</v>
      </c>
      <c r="B257" s="246" t="s">
        <v>4</v>
      </c>
      <c r="C257" s="246" t="s">
        <v>279</v>
      </c>
      <c r="D257" s="246">
        <v>9</v>
      </c>
      <c r="E257" s="198" t="s">
        <v>715</v>
      </c>
      <c r="F257" s="110" t="s">
        <v>570</v>
      </c>
      <c r="G257" s="20" t="s">
        <v>110</v>
      </c>
      <c r="H257" s="20" t="s">
        <v>111</v>
      </c>
      <c r="I257" s="20" t="s">
        <v>124</v>
      </c>
      <c r="J257" s="20" t="s">
        <v>125</v>
      </c>
      <c r="K257" s="20" t="s">
        <v>133</v>
      </c>
      <c r="L257" s="20"/>
      <c r="M257" s="20"/>
      <c r="N257" s="20"/>
    </row>
    <row r="258" spans="1:20" x14ac:dyDescent="0.25">
      <c r="A258" s="246" t="s">
        <v>95</v>
      </c>
      <c r="B258" s="246" t="s">
        <v>295</v>
      </c>
      <c r="C258" s="246" t="s">
        <v>288</v>
      </c>
      <c r="D258" s="246">
        <v>15</v>
      </c>
      <c r="E258" s="198" t="s">
        <v>172</v>
      </c>
      <c r="F258" s="247" t="s">
        <v>558</v>
      </c>
      <c r="G258" s="226"/>
      <c r="H258" s="227"/>
      <c r="I258" s="225" t="s">
        <v>115</v>
      </c>
      <c r="J258" s="226"/>
      <c r="K258" s="226"/>
      <c r="L258" s="226"/>
      <c r="M258" s="226"/>
      <c r="N258" s="227"/>
      <c r="O258" s="18" t="s">
        <v>157</v>
      </c>
      <c r="P258" s="18" t="s">
        <v>149</v>
      </c>
      <c r="Q258" s="18" t="s">
        <v>150</v>
      </c>
      <c r="R258" s="18"/>
      <c r="S258" s="18"/>
      <c r="T258" s="19"/>
    </row>
    <row r="259" spans="1:20" x14ac:dyDescent="0.25">
      <c r="A259" s="246" t="s">
        <v>634</v>
      </c>
      <c r="B259" s="246" t="s">
        <v>4</v>
      </c>
      <c r="C259" s="246" t="s">
        <v>280</v>
      </c>
      <c r="D259" s="246">
        <v>15</v>
      </c>
      <c r="E259" s="198" t="s">
        <v>1159</v>
      </c>
      <c r="F259" s="108" t="s">
        <v>570</v>
      </c>
      <c r="G259" s="17" t="s">
        <v>573</v>
      </c>
      <c r="H259" s="17" t="s">
        <v>208</v>
      </c>
      <c r="I259" s="17" t="s">
        <v>120</v>
      </c>
      <c r="J259" s="17" t="s">
        <v>124</v>
      </c>
      <c r="K259" s="17" t="s">
        <v>125</v>
      </c>
      <c r="L259" s="17" t="s">
        <v>135</v>
      </c>
      <c r="M259" s="17" t="s">
        <v>142</v>
      </c>
      <c r="N259" s="17" t="s">
        <v>145</v>
      </c>
      <c r="O259" s="17"/>
      <c r="P259" s="17"/>
      <c r="Q259" s="17"/>
      <c r="R259" s="17"/>
      <c r="S259" s="17"/>
      <c r="T259" s="20"/>
    </row>
    <row r="260" spans="1:20" ht="15" customHeight="1" x14ac:dyDescent="0.25">
      <c r="A260" s="246" t="s">
        <v>634</v>
      </c>
      <c r="B260" s="246" t="s">
        <v>4</v>
      </c>
      <c r="C260" s="246" t="s">
        <v>280</v>
      </c>
      <c r="D260" s="246">
        <v>15</v>
      </c>
      <c r="E260" s="198" t="s">
        <v>171</v>
      </c>
      <c r="F260" s="109" t="s">
        <v>545</v>
      </c>
      <c r="G260" s="18" t="s">
        <v>544</v>
      </c>
      <c r="H260" s="225" t="s">
        <v>707</v>
      </c>
      <c r="I260" s="226"/>
      <c r="J260" s="226"/>
      <c r="K260" s="227"/>
      <c r="L260" s="18" t="s">
        <v>191</v>
      </c>
      <c r="M260" s="18" t="s">
        <v>262</v>
      </c>
      <c r="N260" s="225" t="s">
        <v>186</v>
      </c>
      <c r="O260" s="226"/>
      <c r="P260" s="226"/>
      <c r="Q260" s="226"/>
      <c r="R260" s="226"/>
      <c r="S260" s="227"/>
      <c r="T260" s="19" t="s">
        <v>190</v>
      </c>
    </row>
    <row r="261" spans="1:20" ht="15" customHeight="1" x14ac:dyDescent="0.25">
      <c r="A261" s="246" t="s">
        <v>634</v>
      </c>
      <c r="B261" s="246" t="s">
        <v>4</v>
      </c>
      <c r="C261" s="246" t="s">
        <v>280</v>
      </c>
      <c r="D261" s="246">
        <v>15</v>
      </c>
      <c r="E261" s="198" t="s">
        <v>1161</v>
      </c>
      <c r="F261" s="108"/>
      <c r="G261" s="17"/>
      <c r="H261" s="17" t="s">
        <v>584</v>
      </c>
      <c r="I261" s="17" t="s">
        <v>329</v>
      </c>
      <c r="J261" s="17" t="s">
        <v>585</v>
      </c>
      <c r="K261" s="17" t="s">
        <v>331</v>
      </c>
      <c r="L261" s="17"/>
      <c r="M261" s="17"/>
      <c r="N261" s="17" t="s">
        <v>194</v>
      </c>
      <c r="O261" s="17" t="s">
        <v>187</v>
      </c>
      <c r="P261" s="17" t="s">
        <v>337</v>
      </c>
      <c r="Q261" s="17" t="s">
        <v>189</v>
      </c>
      <c r="R261" s="17" t="s">
        <v>350</v>
      </c>
      <c r="S261" s="17" t="s">
        <v>196</v>
      </c>
      <c r="T261" s="20"/>
    </row>
    <row r="262" spans="1:20" x14ac:dyDescent="0.25">
      <c r="A262" s="246" t="s">
        <v>634</v>
      </c>
      <c r="B262" s="246" t="s">
        <v>4</v>
      </c>
      <c r="C262" s="246" t="s">
        <v>280</v>
      </c>
      <c r="D262" s="246">
        <v>15</v>
      </c>
      <c r="E262" s="198" t="s">
        <v>1160</v>
      </c>
      <c r="F262" s="109" t="s">
        <v>115</v>
      </c>
      <c r="G262" s="18"/>
      <c r="H262" s="19"/>
      <c r="I262" s="19"/>
      <c r="J262" s="19"/>
      <c r="K262" s="19"/>
      <c r="L262" s="19"/>
      <c r="M262" s="19"/>
      <c r="N262" s="18"/>
      <c r="O262" s="18"/>
      <c r="P262" s="18"/>
      <c r="Q262" s="18"/>
      <c r="R262" s="18"/>
      <c r="S262" s="18"/>
      <c r="T262" s="19"/>
    </row>
    <row r="263" spans="1:20" x14ac:dyDescent="0.25">
      <c r="A263" s="246" t="s">
        <v>634</v>
      </c>
      <c r="B263" s="246" t="s">
        <v>4</v>
      </c>
      <c r="C263" s="246" t="s">
        <v>280</v>
      </c>
      <c r="D263" s="246">
        <v>15</v>
      </c>
      <c r="E263" s="198" t="s">
        <v>1160</v>
      </c>
      <c r="F263" s="110" t="s">
        <v>129</v>
      </c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</row>
    <row r="264" spans="1:20" x14ac:dyDescent="0.25">
      <c r="A264" s="246" t="s">
        <v>634</v>
      </c>
      <c r="B264" s="246" t="s">
        <v>4</v>
      </c>
      <c r="C264" s="246" t="s">
        <v>280</v>
      </c>
      <c r="D264" s="246">
        <v>15</v>
      </c>
      <c r="E264" s="198" t="s">
        <v>1674</v>
      </c>
      <c r="F264" s="247" t="s">
        <v>379</v>
      </c>
      <c r="G264" s="227"/>
      <c r="H264" s="225" t="s">
        <v>378</v>
      </c>
      <c r="I264" s="226"/>
      <c r="J264" s="226"/>
      <c r="K264" s="226"/>
      <c r="L264" s="227"/>
      <c r="M264" s="18" t="s">
        <v>150</v>
      </c>
      <c r="N264" s="19"/>
      <c r="O264" s="19"/>
      <c r="P264" s="19"/>
      <c r="Q264" s="19"/>
      <c r="R264" s="19"/>
      <c r="S264" s="19"/>
      <c r="T264" s="19"/>
    </row>
    <row r="265" spans="1:20" x14ac:dyDescent="0.25">
      <c r="A265" s="246" t="s">
        <v>634</v>
      </c>
      <c r="B265" s="246" t="s">
        <v>4</v>
      </c>
      <c r="C265" s="246" t="s">
        <v>280</v>
      </c>
      <c r="D265" s="246">
        <v>15</v>
      </c>
      <c r="E265" s="198" t="s">
        <v>715</v>
      </c>
      <c r="F265" s="110" t="s">
        <v>573</v>
      </c>
      <c r="G265" s="20" t="s">
        <v>208</v>
      </c>
      <c r="H265" s="20" t="s">
        <v>124</v>
      </c>
      <c r="I265" s="20" t="s">
        <v>125</v>
      </c>
      <c r="J265" s="20" t="s">
        <v>130</v>
      </c>
      <c r="K265" s="20" t="s">
        <v>141</v>
      </c>
      <c r="L265" s="20" t="s">
        <v>145</v>
      </c>
      <c r="M265" s="20"/>
      <c r="N265" s="20"/>
      <c r="O265" s="20"/>
      <c r="P265" s="20"/>
      <c r="Q265" s="20"/>
      <c r="R265" s="20"/>
      <c r="S265" s="20"/>
      <c r="T265" s="20"/>
    </row>
    <row r="266" spans="1:20" x14ac:dyDescent="0.25">
      <c r="A266" s="246" t="s">
        <v>96</v>
      </c>
      <c r="B266" s="246" t="s">
        <v>295</v>
      </c>
      <c r="C266" s="246" t="s">
        <v>289</v>
      </c>
      <c r="D266" s="246">
        <v>5</v>
      </c>
      <c r="E266" s="198" t="s">
        <v>1159</v>
      </c>
      <c r="F266" s="115" t="s">
        <v>558</v>
      </c>
      <c r="G266" s="225" t="s">
        <v>115</v>
      </c>
      <c r="H266" s="226"/>
      <c r="I266" s="227"/>
      <c r="J266" s="18" t="s">
        <v>150</v>
      </c>
    </row>
    <row r="267" spans="1:20" x14ac:dyDescent="0.25">
      <c r="A267" s="246" t="s">
        <v>635</v>
      </c>
      <c r="B267" s="246" t="s">
        <v>4</v>
      </c>
      <c r="C267" s="246" t="s">
        <v>281</v>
      </c>
      <c r="D267" s="246">
        <v>5</v>
      </c>
      <c r="E267" s="198" t="s">
        <v>172</v>
      </c>
      <c r="F267" s="108" t="s">
        <v>387</v>
      </c>
      <c r="G267" s="17" t="s">
        <v>125</v>
      </c>
      <c r="H267" s="17" t="s">
        <v>141</v>
      </c>
      <c r="I267" s="17" t="s">
        <v>142</v>
      </c>
      <c r="J267" s="17"/>
    </row>
    <row r="268" spans="1:20" ht="15" customHeight="1" x14ac:dyDescent="0.25">
      <c r="A268" s="246" t="s">
        <v>635</v>
      </c>
      <c r="B268" s="246" t="s">
        <v>4</v>
      </c>
      <c r="C268" s="246" t="s">
        <v>281</v>
      </c>
      <c r="D268" s="246">
        <v>5</v>
      </c>
      <c r="E268" s="198" t="s">
        <v>1161</v>
      </c>
      <c r="F268" s="109" t="s">
        <v>182</v>
      </c>
      <c r="G268" s="18" t="s">
        <v>186</v>
      </c>
      <c r="H268" s="18" t="s">
        <v>191</v>
      </c>
      <c r="I268" s="18"/>
      <c r="J268" s="18"/>
    </row>
    <row r="269" spans="1:20" ht="15" customHeight="1" x14ac:dyDescent="0.25">
      <c r="A269" s="246" t="s">
        <v>635</v>
      </c>
      <c r="B269" s="246" t="s">
        <v>4</v>
      </c>
      <c r="C269" s="246" t="s">
        <v>281</v>
      </c>
      <c r="D269" s="246">
        <v>5</v>
      </c>
      <c r="E269" s="198" t="s">
        <v>171</v>
      </c>
      <c r="F269" s="108"/>
      <c r="G269" s="17" t="s">
        <v>342</v>
      </c>
      <c r="H269" s="17"/>
      <c r="I269" s="17"/>
      <c r="J269" s="17"/>
    </row>
    <row r="270" spans="1:20" x14ac:dyDescent="0.25">
      <c r="A270" s="246" t="s">
        <v>635</v>
      </c>
      <c r="B270" s="246" t="s">
        <v>4</v>
      </c>
      <c r="C270" s="246" t="s">
        <v>281</v>
      </c>
      <c r="D270" s="246">
        <v>5</v>
      </c>
      <c r="E270" s="198" t="s">
        <v>1160</v>
      </c>
      <c r="F270" s="109" t="s">
        <v>155</v>
      </c>
      <c r="G270" s="19"/>
      <c r="H270" s="19"/>
      <c r="I270" s="19"/>
      <c r="J270" s="19"/>
    </row>
    <row r="271" spans="1:20" x14ac:dyDescent="0.25">
      <c r="A271" s="246" t="s">
        <v>635</v>
      </c>
      <c r="B271" s="246" t="s">
        <v>4</v>
      </c>
      <c r="C271" s="246" t="s">
        <v>281</v>
      </c>
      <c r="D271" s="246">
        <v>5</v>
      </c>
      <c r="E271" s="198" t="s">
        <v>1160</v>
      </c>
      <c r="F271" s="108"/>
      <c r="G271" s="17"/>
      <c r="H271" s="17"/>
      <c r="I271" s="17"/>
      <c r="J271" s="17"/>
    </row>
    <row r="272" spans="1:20" x14ac:dyDescent="0.25">
      <c r="A272" s="246" t="s">
        <v>635</v>
      </c>
      <c r="B272" s="246" t="s">
        <v>4</v>
      </c>
      <c r="C272" s="246" t="s">
        <v>281</v>
      </c>
      <c r="D272" s="246">
        <v>5</v>
      </c>
      <c r="E272" s="198" t="s">
        <v>1674</v>
      </c>
      <c r="F272" s="247" t="s">
        <v>378</v>
      </c>
      <c r="G272" s="226"/>
      <c r="H272" s="226"/>
      <c r="I272" s="226"/>
      <c r="J272" s="227"/>
    </row>
    <row r="273" spans="1:21" x14ac:dyDescent="0.25">
      <c r="A273" s="246" t="s">
        <v>635</v>
      </c>
      <c r="B273" s="246" t="s">
        <v>4</v>
      </c>
      <c r="C273" s="246" t="s">
        <v>281</v>
      </c>
      <c r="D273" s="246">
        <v>5</v>
      </c>
      <c r="E273" s="198" t="s">
        <v>715</v>
      </c>
      <c r="F273" s="117" t="s">
        <v>124</v>
      </c>
      <c r="G273" s="106" t="s">
        <v>125</v>
      </c>
      <c r="H273" s="106" t="s">
        <v>133</v>
      </c>
      <c r="I273" s="106" t="s">
        <v>141</v>
      </c>
      <c r="J273" s="106" t="s">
        <v>142</v>
      </c>
    </row>
    <row r="274" spans="1:21" x14ac:dyDescent="0.25">
      <c r="A274" s="246" t="s">
        <v>97</v>
      </c>
      <c r="B274" s="246" t="s">
        <v>1156</v>
      </c>
      <c r="C274" s="246" t="s">
        <v>290</v>
      </c>
      <c r="D274" s="246">
        <v>16</v>
      </c>
      <c r="E274" s="198" t="s">
        <v>1159</v>
      </c>
      <c r="F274" s="249" t="s">
        <v>558</v>
      </c>
      <c r="G274" s="249"/>
      <c r="H274" s="249"/>
      <c r="I274" s="249"/>
      <c r="J274" s="249"/>
      <c r="K274" s="249"/>
      <c r="L274" s="249"/>
      <c r="M274" s="249" t="s">
        <v>115</v>
      </c>
      <c r="N274" s="249"/>
      <c r="O274" s="249"/>
      <c r="P274" s="249"/>
      <c r="Q274" s="249"/>
      <c r="R274" s="18" t="s">
        <v>159</v>
      </c>
      <c r="S274" s="18" t="s">
        <v>168</v>
      </c>
      <c r="T274" s="18" t="s">
        <v>149</v>
      </c>
      <c r="U274" s="18" t="s">
        <v>150</v>
      </c>
    </row>
    <row r="275" spans="1:21" x14ac:dyDescent="0.25">
      <c r="A275" s="246" t="s">
        <v>636</v>
      </c>
      <c r="B275" s="246" t="s">
        <v>4</v>
      </c>
      <c r="C275" s="246" t="s">
        <v>282</v>
      </c>
      <c r="D275" s="246">
        <v>16</v>
      </c>
      <c r="E275" s="198" t="s">
        <v>172</v>
      </c>
      <c r="F275" s="108" t="s">
        <v>576</v>
      </c>
      <c r="G275" s="17" t="s">
        <v>580</v>
      </c>
      <c r="H275" s="17" t="s">
        <v>573</v>
      </c>
      <c r="I275" s="17" t="s">
        <v>566</v>
      </c>
      <c r="J275" s="17" t="s">
        <v>571</v>
      </c>
      <c r="K275" s="17" t="s">
        <v>581</v>
      </c>
      <c r="L275" s="17" t="s">
        <v>111</v>
      </c>
      <c r="M275" s="17" t="s">
        <v>125</v>
      </c>
      <c r="N275" s="17" t="s">
        <v>130</v>
      </c>
      <c r="O275" s="17" t="s">
        <v>136</v>
      </c>
      <c r="P275" s="17" t="s">
        <v>141</v>
      </c>
      <c r="Q275" s="17" t="s">
        <v>145</v>
      </c>
      <c r="R275" s="17"/>
      <c r="S275" s="17"/>
      <c r="T275" s="17"/>
      <c r="U275" s="17"/>
    </row>
    <row r="276" spans="1:21" ht="15" customHeight="1" x14ac:dyDescent="0.25">
      <c r="A276" s="246" t="s">
        <v>636</v>
      </c>
      <c r="B276" s="246" t="s">
        <v>4</v>
      </c>
      <c r="C276" s="246" t="s">
        <v>282</v>
      </c>
      <c r="D276" s="246">
        <v>16</v>
      </c>
      <c r="E276" s="198" t="s">
        <v>171</v>
      </c>
      <c r="F276" s="109" t="s">
        <v>182</v>
      </c>
      <c r="G276" s="18" t="s">
        <v>541</v>
      </c>
      <c r="H276" s="18" t="s">
        <v>543</v>
      </c>
      <c r="I276" s="18" t="s">
        <v>703</v>
      </c>
      <c r="J276" s="18" t="s">
        <v>186</v>
      </c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</row>
    <row r="277" spans="1:21" ht="15" customHeight="1" x14ac:dyDescent="0.25">
      <c r="A277" s="246" t="s">
        <v>636</v>
      </c>
      <c r="B277" s="246" t="s">
        <v>4</v>
      </c>
      <c r="C277" s="246" t="s">
        <v>282</v>
      </c>
      <c r="D277" s="246">
        <v>16</v>
      </c>
      <c r="E277" s="198" t="s">
        <v>171</v>
      </c>
      <c r="F277" s="108"/>
      <c r="G277" s="17"/>
      <c r="H277" s="17"/>
      <c r="I277" s="17" t="s">
        <v>253</v>
      </c>
      <c r="J277" s="17" t="s">
        <v>348</v>
      </c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</row>
    <row r="278" spans="1:21" x14ac:dyDescent="0.25">
      <c r="A278" s="246" t="s">
        <v>636</v>
      </c>
      <c r="B278" s="246" t="s">
        <v>4</v>
      </c>
      <c r="C278" s="246" t="s">
        <v>282</v>
      </c>
      <c r="D278" s="246">
        <v>16</v>
      </c>
      <c r="E278" s="198" t="s">
        <v>173</v>
      </c>
      <c r="F278" s="109" t="s">
        <v>169</v>
      </c>
      <c r="G278" s="18" t="s">
        <v>148</v>
      </c>
      <c r="H278" s="18" t="s">
        <v>155</v>
      </c>
      <c r="I278" s="18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</row>
    <row r="279" spans="1:21" x14ac:dyDescent="0.25">
      <c r="A279" s="246" t="s">
        <v>636</v>
      </c>
      <c r="B279" s="246" t="s">
        <v>4</v>
      </c>
      <c r="C279" s="246" t="s">
        <v>282</v>
      </c>
      <c r="D279" s="246">
        <v>16</v>
      </c>
      <c r="E279" s="198" t="s">
        <v>1160</v>
      </c>
      <c r="F279" s="108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</row>
    <row r="280" spans="1:21" x14ac:dyDescent="0.25">
      <c r="A280" s="246" t="s">
        <v>636</v>
      </c>
      <c r="B280" s="246" t="s">
        <v>4</v>
      </c>
      <c r="C280" s="246" t="s">
        <v>282</v>
      </c>
      <c r="D280" s="246">
        <v>16</v>
      </c>
      <c r="E280" s="198" t="s">
        <v>1674</v>
      </c>
      <c r="F280" s="247" t="s">
        <v>379</v>
      </c>
      <c r="G280" s="226"/>
      <c r="H280" s="226"/>
      <c r="I280" s="226"/>
      <c r="J280" s="226"/>
      <c r="K280" s="226"/>
      <c r="L280" s="226"/>
      <c r="M280" s="227"/>
      <c r="N280" s="225" t="s">
        <v>378</v>
      </c>
      <c r="O280" s="226"/>
      <c r="P280" s="226"/>
      <c r="Q280" s="226"/>
      <c r="R280" s="226"/>
      <c r="S280" s="227"/>
      <c r="T280" s="18" t="s">
        <v>150</v>
      </c>
      <c r="U280" s="18"/>
    </row>
    <row r="281" spans="1:21" x14ac:dyDescent="0.25">
      <c r="A281" s="246" t="s">
        <v>636</v>
      </c>
      <c r="B281" s="246" t="s">
        <v>4</v>
      </c>
      <c r="C281" s="246" t="s">
        <v>282</v>
      </c>
      <c r="D281" s="246">
        <v>16</v>
      </c>
      <c r="E281" s="198" t="s">
        <v>715</v>
      </c>
      <c r="F281" s="108" t="s">
        <v>580</v>
      </c>
      <c r="G281" s="17" t="s">
        <v>568</v>
      </c>
      <c r="H281" s="17" t="s">
        <v>573</v>
      </c>
      <c r="I281" s="17" t="s">
        <v>566</v>
      </c>
      <c r="J281" s="17" t="s">
        <v>571</v>
      </c>
      <c r="K281" s="17" t="s">
        <v>109</v>
      </c>
      <c r="L281" s="17" t="s">
        <v>110</v>
      </c>
      <c r="M281" s="17" t="s">
        <v>111</v>
      </c>
      <c r="N281" s="17" t="s">
        <v>125</v>
      </c>
      <c r="O281" s="17" t="s">
        <v>136</v>
      </c>
      <c r="P281" s="17" t="s">
        <v>137</v>
      </c>
      <c r="Q281" s="17" t="s">
        <v>139</v>
      </c>
      <c r="R281" s="17" t="s">
        <v>141</v>
      </c>
      <c r="S281" s="17" t="s">
        <v>145</v>
      </c>
      <c r="T281" s="17"/>
      <c r="U281" s="17"/>
    </row>
    <row r="282" spans="1:21" ht="16.5" customHeight="1" x14ac:dyDescent="0.25">
      <c r="A282" s="246" t="s">
        <v>175</v>
      </c>
      <c r="B282" s="246" t="s">
        <v>295</v>
      </c>
      <c r="C282" s="246" t="s">
        <v>292</v>
      </c>
      <c r="D282" s="246">
        <v>10</v>
      </c>
      <c r="E282" s="198" t="s">
        <v>172</v>
      </c>
      <c r="F282" s="247" t="s">
        <v>558</v>
      </c>
      <c r="G282" s="226"/>
      <c r="H282" s="226"/>
      <c r="I282" s="227"/>
      <c r="J282" s="225" t="s">
        <v>115</v>
      </c>
      <c r="K282" s="226"/>
      <c r="L282" s="226"/>
      <c r="M282" s="227"/>
      <c r="N282" s="18" t="s">
        <v>149</v>
      </c>
      <c r="O282" s="18" t="s">
        <v>150</v>
      </c>
    </row>
    <row r="283" spans="1:21" x14ac:dyDescent="0.25">
      <c r="A283" s="246" t="s">
        <v>637</v>
      </c>
      <c r="B283" s="246" t="s">
        <v>4</v>
      </c>
      <c r="C283" s="246" t="s">
        <v>291</v>
      </c>
      <c r="D283" s="246">
        <v>10</v>
      </c>
      <c r="E283" s="198" t="s">
        <v>1159</v>
      </c>
      <c r="F283" s="108" t="s">
        <v>573</v>
      </c>
      <c r="G283" s="17" t="s">
        <v>566</v>
      </c>
      <c r="H283" s="17" t="s">
        <v>208</v>
      </c>
      <c r="I283" s="17" t="s">
        <v>582</v>
      </c>
      <c r="J283" s="17" t="s">
        <v>120</v>
      </c>
      <c r="K283" s="17" t="s">
        <v>124</v>
      </c>
      <c r="L283" s="17" t="s">
        <v>125</v>
      </c>
      <c r="M283" s="17" t="s">
        <v>145</v>
      </c>
      <c r="N283" s="20"/>
      <c r="O283" s="20"/>
    </row>
    <row r="284" spans="1:21" ht="15" customHeight="1" x14ac:dyDescent="0.25">
      <c r="A284" s="246" t="s">
        <v>637</v>
      </c>
      <c r="B284" s="246" t="s">
        <v>4</v>
      </c>
      <c r="C284" s="246" t="s">
        <v>291</v>
      </c>
      <c r="D284" s="246">
        <v>10</v>
      </c>
      <c r="E284" s="198" t="s">
        <v>171</v>
      </c>
      <c r="F284" s="109" t="s">
        <v>182</v>
      </c>
      <c r="G284" s="18" t="s">
        <v>707</v>
      </c>
      <c r="H284" s="225" t="s">
        <v>186</v>
      </c>
      <c r="I284" s="226"/>
      <c r="J284" s="226"/>
      <c r="K284" s="226"/>
      <c r="L284" s="227"/>
      <c r="M284" s="18" t="s">
        <v>546</v>
      </c>
      <c r="N284" s="19" t="s">
        <v>190</v>
      </c>
      <c r="O284" s="19"/>
    </row>
    <row r="285" spans="1:21" ht="15" customHeight="1" x14ac:dyDescent="0.25">
      <c r="A285" s="246" t="s">
        <v>637</v>
      </c>
      <c r="B285" s="246" t="s">
        <v>4</v>
      </c>
      <c r="C285" s="246" t="s">
        <v>291</v>
      </c>
      <c r="D285" s="246">
        <v>10</v>
      </c>
      <c r="E285" s="198" t="s">
        <v>171</v>
      </c>
      <c r="F285" s="108"/>
      <c r="G285" s="17" t="s">
        <v>329</v>
      </c>
      <c r="H285" s="17" t="s">
        <v>187</v>
      </c>
      <c r="I285" s="17" t="s">
        <v>337</v>
      </c>
      <c r="J285" s="17" t="s">
        <v>348</v>
      </c>
      <c r="K285" s="17" t="s">
        <v>353</v>
      </c>
      <c r="L285" s="17" t="s">
        <v>196</v>
      </c>
      <c r="M285" s="17"/>
      <c r="N285" s="20"/>
      <c r="O285" s="20"/>
    </row>
    <row r="286" spans="1:21" x14ac:dyDescent="0.25">
      <c r="A286" s="246" t="s">
        <v>637</v>
      </c>
      <c r="B286" s="246" t="s">
        <v>4</v>
      </c>
      <c r="C286" s="246" t="s">
        <v>291</v>
      </c>
      <c r="D286" s="246">
        <v>10</v>
      </c>
      <c r="E286" s="198" t="s">
        <v>1160</v>
      </c>
      <c r="F286" s="109" t="s">
        <v>155</v>
      </c>
      <c r="G286" s="19"/>
      <c r="H286" s="19"/>
      <c r="I286" s="19"/>
      <c r="J286" s="19"/>
      <c r="K286" s="19"/>
      <c r="L286" s="19"/>
      <c r="M286" s="18"/>
      <c r="N286" s="19"/>
      <c r="O286" s="19"/>
    </row>
    <row r="287" spans="1:21" x14ac:dyDescent="0.25">
      <c r="A287" s="246" t="s">
        <v>637</v>
      </c>
      <c r="B287" s="246" t="s">
        <v>4</v>
      </c>
      <c r="C287" s="246" t="s">
        <v>291</v>
      </c>
      <c r="D287" s="246">
        <v>10</v>
      </c>
      <c r="E287" s="198" t="s">
        <v>1160</v>
      </c>
      <c r="F287" s="108"/>
      <c r="G287" s="17"/>
      <c r="H287" s="17"/>
      <c r="I287" s="17"/>
      <c r="J287" s="17"/>
      <c r="K287" s="17"/>
      <c r="L287" s="17"/>
      <c r="M287" s="20"/>
      <c r="N287" s="20"/>
      <c r="O287" s="20"/>
    </row>
    <row r="288" spans="1:21" x14ac:dyDescent="0.25">
      <c r="A288" s="246" t="s">
        <v>637</v>
      </c>
      <c r="B288" s="246" t="s">
        <v>4</v>
      </c>
      <c r="C288" s="246" t="s">
        <v>291</v>
      </c>
      <c r="D288" s="246">
        <v>10</v>
      </c>
      <c r="E288" s="198" t="s">
        <v>1674</v>
      </c>
      <c r="F288" s="247" t="s">
        <v>379</v>
      </c>
      <c r="G288" s="227"/>
      <c r="H288" s="225" t="s">
        <v>378</v>
      </c>
      <c r="I288" s="226"/>
      <c r="J288" s="226"/>
      <c r="K288" s="227"/>
      <c r="L288" s="19"/>
      <c r="M288" s="19"/>
      <c r="N288" s="19"/>
      <c r="O288" s="19"/>
    </row>
    <row r="289" spans="1:20" x14ac:dyDescent="0.25">
      <c r="A289" s="246" t="s">
        <v>637</v>
      </c>
      <c r="B289" s="246" t="s">
        <v>4</v>
      </c>
      <c r="C289" s="246" t="s">
        <v>291</v>
      </c>
      <c r="D289" s="246">
        <v>10</v>
      </c>
      <c r="E289" s="198" t="s">
        <v>715</v>
      </c>
      <c r="F289" s="108" t="s">
        <v>573</v>
      </c>
      <c r="G289" s="106" t="s">
        <v>208</v>
      </c>
      <c r="H289" s="106" t="s">
        <v>120</v>
      </c>
      <c r="I289" s="106" t="s">
        <v>124</v>
      </c>
      <c r="J289" s="106" t="s">
        <v>125</v>
      </c>
      <c r="K289" s="106" t="s">
        <v>145</v>
      </c>
      <c r="L289" s="28"/>
      <c r="M289" s="28"/>
      <c r="N289" s="28"/>
      <c r="O289" s="28"/>
    </row>
    <row r="290" spans="1:20" ht="16.5" customHeight="1" x14ac:dyDescent="0.25">
      <c r="A290" s="246" t="s">
        <v>98</v>
      </c>
      <c r="B290" s="246" t="s">
        <v>1157</v>
      </c>
      <c r="C290" s="246" t="s">
        <v>274</v>
      </c>
      <c r="D290" s="246">
        <v>15</v>
      </c>
      <c r="E290" s="198" t="s">
        <v>1159</v>
      </c>
      <c r="F290" s="109" t="s">
        <v>558</v>
      </c>
      <c r="G290" s="249" t="s">
        <v>115</v>
      </c>
      <c r="H290" s="249"/>
      <c r="I290" s="249"/>
      <c r="J290" s="249"/>
      <c r="K290" s="249"/>
      <c r="L290" s="249"/>
      <c r="M290" s="249"/>
      <c r="N290" s="249"/>
      <c r="O290" s="249"/>
      <c r="P290" s="249"/>
      <c r="Q290" s="18" t="s">
        <v>156</v>
      </c>
      <c r="R290" s="18" t="s">
        <v>148</v>
      </c>
      <c r="S290" s="18" t="s">
        <v>149</v>
      </c>
      <c r="T290" s="18" t="s">
        <v>150</v>
      </c>
    </row>
    <row r="291" spans="1:20" x14ac:dyDescent="0.25">
      <c r="A291" s="246" t="s">
        <v>638</v>
      </c>
      <c r="B291" s="246" t="s">
        <v>296</v>
      </c>
      <c r="C291" s="246" t="s">
        <v>273</v>
      </c>
      <c r="D291" s="246">
        <v>15</v>
      </c>
      <c r="E291" s="198" t="s">
        <v>172</v>
      </c>
      <c r="F291" s="108" t="s">
        <v>574</v>
      </c>
      <c r="G291" s="17" t="s">
        <v>118</v>
      </c>
      <c r="H291" s="17" t="s">
        <v>119</v>
      </c>
      <c r="I291" s="17" t="s">
        <v>122</v>
      </c>
      <c r="J291" s="17" t="s">
        <v>124</v>
      </c>
      <c r="K291" s="17" t="s">
        <v>125</v>
      </c>
      <c r="L291" s="17" t="s">
        <v>126</v>
      </c>
      <c r="M291" s="17" t="s">
        <v>135</v>
      </c>
      <c r="N291" s="17" t="s">
        <v>141</v>
      </c>
      <c r="O291" s="17" t="s">
        <v>142</v>
      </c>
      <c r="P291" s="17" t="s">
        <v>144</v>
      </c>
      <c r="Q291" s="17"/>
      <c r="R291" s="17"/>
      <c r="S291" s="17"/>
      <c r="T291" s="17"/>
    </row>
    <row r="292" spans="1:20" ht="15" customHeight="1" x14ac:dyDescent="0.25">
      <c r="A292" s="246" t="s">
        <v>638</v>
      </c>
      <c r="B292" s="246" t="s">
        <v>296</v>
      </c>
      <c r="C292" s="246" t="s">
        <v>273</v>
      </c>
      <c r="D292" s="246">
        <v>15</v>
      </c>
      <c r="E292" s="198" t="s">
        <v>1161</v>
      </c>
      <c r="F292" s="109" t="s">
        <v>182</v>
      </c>
      <c r="G292" s="225" t="s">
        <v>703</v>
      </c>
      <c r="H292" s="226"/>
      <c r="I292" s="226"/>
      <c r="J292" s="226"/>
      <c r="K292" s="226"/>
      <c r="L292" s="227"/>
      <c r="M292" s="18" t="s">
        <v>706</v>
      </c>
      <c r="N292" s="18" t="s">
        <v>190</v>
      </c>
      <c r="O292" s="18"/>
      <c r="P292" s="18"/>
      <c r="Q292" s="18"/>
      <c r="R292" s="18"/>
      <c r="S292" s="18"/>
      <c r="T292" s="18"/>
    </row>
    <row r="293" spans="1:20" ht="15" customHeight="1" x14ac:dyDescent="0.25">
      <c r="A293" s="246" t="s">
        <v>638</v>
      </c>
      <c r="B293" s="246" t="s">
        <v>296</v>
      </c>
      <c r="C293" s="246" t="s">
        <v>273</v>
      </c>
      <c r="D293" s="246">
        <v>15</v>
      </c>
      <c r="E293" s="198" t="s">
        <v>1161</v>
      </c>
      <c r="F293" s="108"/>
      <c r="G293" s="17" t="s">
        <v>197</v>
      </c>
      <c r="H293" s="17" t="s">
        <v>198</v>
      </c>
      <c r="I293" s="17" t="s">
        <v>199</v>
      </c>
      <c r="J293" s="17" t="s">
        <v>200</v>
      </c>
      <c r="K293" s="17" t="s">
        <v>201</v>
      </c>
      <c r="L293" s="17" t="s">
        <v>202</v>
      </c>
      <c r="M293" s="17"/>
      <c r="N293" s="17"/>
      <c r="O293" s="17"/>
      <c r="P293" s="17"/>
      <c r="Q293" s="17"/>
      <c r="R293" s="17"/>
      <c r="S293" s="17"/>
      <c r="T293" s="17"/>
    </row>
    <row r="294" spans="1:20" x14ac:dyDescent="0.25">
      <c r="A294" s="246" t="s">
        <v>638</v>
      </c>
      <c r="B294" s="246" t="s">
        <v>296</v>
      </c>
      <c r="C294" s="246" t="s">
        <v>273</v>
      </c>
      <c r="D294" s="246">
        <v>15</v>
      </c>
      <c r="E294" s="198" t="s">
        <v>1160</v>
      </c>
      <c r="F294" s="109" t="s">
        <v>157</v>
      </c>
      <c r="G294" s="18" t="s">
        <v>155</v>
      </c>
      <c r="H294" s="18"/>
      <c r="I294" s="19"/>
      <c r="J294" s="19"/>
      <c r="K294" s="19"/>
      <c r="L294" s="19"/>
      <c r="M294" s="19"/>
      <c r="N294" s="18"/>
      <c r="O294" s="18"/>
      <c r="P294" s="18"/>
      <c r="Q294" s="18"/>
      <c r="R294" s="18"/>
      <c r="S294" s="18"/>
      <c r="T294" s="18"/>
    </row>
    <row r="295" spans="1:20" x14ac:dyDescent="0.25">
      <c r="A295" s="246" t="s">
        <v>638</v>
      </c>
      <c r="B295" s="246" t="s">
        <v>296</v>
      </c>
      <c r="C295" s="246" t="s">
        <v>273</v>
      </c>
      <c r="D295" s="246">
        <v>15</v>
      </c>
      <c r="E295" s="198" t="s">
        <v>1160</v>
      </c>
      <c r="F295" s="108"/>
      <c r="G295" s="17"/>
      <c r="H295" s="17"/>
      <c r="I295" s="17"/>
      <c r="J295" s="17"/>
      <c r="K295" s="17"/>
      <c r="L295" s="17"/>
      <c r="M295" s="17"/>
      <c r="N295" s="20"/>
      <c r="O295" s="17"/>
      <c r="P295" s="17"/>
      <c r="Q295" s="17"/>
      <c r="R295" s="17"/>
      <c r="S295" s="17"/>
      <c r="T295" s="17"/>
    </row>
    <row r="296" spans="1:20" x14ac:dyDescent="0.25">
      <c r="A296" s="246" t="s">
        <v>638</v>
      </c>
      <c r="B296" s="246" t="s">
        <v>296</v>
      </c>
      <c r="C296" s="246" t="s">
        <v>273</v>
      </c>
      <c r="D296" s="246">
        <v>15</v>
      </c>
      <c r="E296" s="198" t="s">
        <v>1674</v>
      </c>
      <c r="F296" s="109" t="s">
        <v>379</v>
      </c>
      <c r="G296" s="225" t="s">
        <v>378</v>
      </c>
      <c r="H296" s="226"/>
      <c r="I296" s="226"/>
      <c r="J296" s="226"/>
      <c r="K296" s="227"/>
      <c r="L296" s="18"/>
      <c r="M296" s="18"/>
      <c r="N296" s="18"/>
      <c r="O296" s="18"/>
      <c r="P296" s="18"/>
      <c r="Q296" s="18"/>
      <c r="R296" s="18"/>
      <c r="S296" s="18"/>
      <c r="T296" s="18"/>
    </row>
    <row r="297" spans="1:20" x14ac:dyDescent="0.25">
      <c r="A297" s="246" t="s">
        <v>638</v>
      </c>
      <c r="B297" s="246" t="s">
        <v>296</v>
      </c>
      <c r="C297" s="246" t="s">
        <v>273</v>
      </c>
      <c r="D297" s="246">
        <v>15</v>
      </c>
      <c r="E297" s="198" t="s">
        <v>715</v>
      </c>
      <c r="F297" s="108" t="s">
        <v>574</v>
      </c>
      <c r="G297" s="17" t="s">
        <v>122</v>
      </c>
      <c r="H297" s="17" t="s">
        <v>124</v>
      </c>
      <c r="I297" s="17" t="s">
        <v>125</v>
      </c>
      <c r="J297" s="17" t="s">
        <v>141</v>
      </c>
      <c r="K297" s="17" t="s">
        <v>144</v>
      </c>
      <c r="L297" s="17"/>
      <c r="M297" s="17"/>
      <c r="N297" s="17"/>
      <c r="O297" s="17"/>
      <c r="P297" s="17"/>
      <c r="Q297" s="17"/>
      <c r="R297" s="17"/>
      <c r="S297" s="17"/>
      <c r="T297" s="17"/>
    </row>
    <row r="298" spans="1:20" ht="16.5" customHeight="1" x14ac:dyDescent="0.25">
      <c r="A298" s="246" t="s">
        <v>99</v>
      </c>
      <c r="B298" s="246" t="s">
        <v>297</v>
      </c>
      <c r="C298" s="246" t="s">
        <v>274</v>
      </c>
      <c r="D298" s="246">
        <v>12</v>
      </c>
      <c r="E298" s="198" t="s">
        <v>172</v>
      </c>
      <c r="F298" s="248" t="s">
        <v>379</v>
      </c>
      <c r="G298" s="233"/>
      <c r="H298" s="233"/>
      <c r="I298" s="233"/>
      <c r="J298" s="234"/>
      <c r="K298" s="232" t="s">
        <v>115</v>
      </c>
      <c r="L298" s="233"/>
      <c r="M298" s="234"/>
      <c r="N298" s="18" t="s">
        <v>157</v>
      </c>
      <c r="O298" s="18" t="s">
        <v>155</v>
      </c>
      <c r="P298" s="18" t="s">
        <v>149</v>
      </c>
      <c r="Q298" s="18" t="s">
        <v>150</v>
      </c>
    </row>
    <row r="299" spans="1:20" x14ac:dyDescent="0.25">
      <c r="A299" s="246" t="s">
        <v>639</v>
      </c>
      <c r="B299" s="246" t="s">
        <v>296</v>
      </c>
      <c r="C299" s="246" t="s">
        <v>273</v>
      </c>
      <c r="D299" s="246">
        <v>12</v>
      </c>
      <c r="E299" s="198" t="s">
        <v>1159</v>
      </c>
      <c r="F299" s="110" t="s">
        <v>390</v>
      </c>
      <c r="G299" s="20" t="s">
        <v>391</v>
      </c>
      <c r="H299" s="20" t="s">
        <v>109</v>
      </c>
      <c r="I299" s="20" t="s">
        <v>110</v>
      </c>
      <c r="J299" s="20" t="s">
        <v>111</v>
      </c>
      <c r="K299" s="20" t="s">
        <v>119</v>
      </c>
      <c r="L299" s="20" t="s">
        <v>137</v>
      </c>
      <c r="M299" s="20" t="s">
        <v>142</v>
      </c>
      <c r="N299" s="17"/>
      <c r="O299" s="17"/>
      <c r="P299" s="17"/>
      <c r="Q299" s="17"/>
    </row>
    <row r="300" spans="1:20" ht="15" customHeight="1" x14ac:dyDescent="0.25">
      <c r="A300" s="246" t="s">
        <v>639</v>
      </c>
      <c r="B300" s="246" t="s">
        <v>296</v>
      </c>
      <c r="C300" s="246" t="s">
        <v>273</v>
      </c>
      <c r="D300" s="246">
        <v>12</v>
      </c>
      <c r="E300" s="198" t="s">
        <v>1161</v>
      </c>
      <c r="F300" s="115" t="s">
        <v>182</v>
      </c>
      <c r="G300" s="19" t="s">
        <v>204</v>
      </c>
      <c r="H300" s="232" t="s">
        <v>703</v>
      </c>
      <c r="I300" s="234"/>
      <c r="J300" s="232" t="s">
        <v>706</v>
      </c>
      <c r="K300" s="233"/>
      <c r="L300" s="234"/>
      <c r="M300" s="19" t="s">
        <v>190</v>
      </c>
      <c r="N300" s="18"/>
      <c r="O300" s="18"/>
      <c r="P300" s="18"/>
      <c r="Q300" s="18"/>
    </row>
    <row r="301" spans="1:20" ht="15" customHeight="1" x14ac:dyDescent="0.25">
      <c r="A301" s="246" t="s">
        <v>639</v>
      </c>
      <c r="B301" s="246" t="s">
        <v>296</v>
      </c>
      <c r="C301" s="246" t="s">
        <v>273</v>
      </c>
      <c r="D301" s="246">
        <v>12</v>
      </c>
      <c r="E301" s="198" t="s">
        <v>171</v>
      </c>
      <c r="F301" s="110"/>
      <c r="G301" s="20"/>
      <c r="H301" s="20" t="s">
        <v>197</v>
      </c>
      <c r="I301" s="20" t="s">
        <v>198</v>
      </c>
      <c r="J301" s="20" t="s">
        <v>205</v>
      </c>
      <c r="K301" s="20" t="s">
        <v>206</v>
      </c>
      <c r="L301" s="20" t="s">
        <v>210</v>
      </c>
      <c r="M301" s="20"/>
      <c r="N301" s="17"/>
      <c r="O301" s="17"/>
      <c r="P301" s="17"/>
      <c r="Q301" s="17"/>
    </row>
    <row r="302" spans="1:20" x14ac:dyDescent="0.25">
      <c r="A302" s="246" t="s">
        <v>639</v>
      </c>
      <c r="B302" s="246" t="s">
        <v>296</v>
      </c>
      <c r="C302" s="246" t="s">
        <v>273</v>
      </c>
      <c r="D302" s="246">
        <v>12</v>
      </c>
      <c r="E302" s="198" t="s">
        <v>1160</v>
      </c>
      <c r="F302" s="115" t="s">
        <v>152</v>
      </c>
      <c r="G302" s="19"/>
      <c r="H302" s="19"/>
      <c r="I302" s="19"/>
      <c r="J302" s="19"/>
      <c r="K302" s="19"/>
      <c r="L302" s="19"/>
      <c r="M302" s="19"/>
      <c r="N302" s="18"/>
      <c r="O302" s="18"/>
      <c r="P302" s="18"/>
      <c r="Q302" s="18"/>
    </row>
    <row r="303" spans="1:20" x14ac:dyDescent="0.25">
      <c r="A303" s="246" t="s">
        <v>639</v>
      </c>
      <c r="B303" s="246" t="s">
        <v>296</v>
      </c>
      <c r="C303" s="246" t="s">
        <v>273</v>
      </c>
      <c r="D303" s="246">
        <v>12</v>
      </c>
      <c r="E303" s="198" t="s">
        <v>1160</v>
      </c>
      <c r="F303" s="108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</row>
    <row r="304" spans="1:20" x14ac:dyDescent="0.25">
      <c r="A304" s="246" t="s">
        <v>639</v>
      </c>
      <c r="B304" s="246" t="s">
        <v>296</v>
      </c>
      <c r="C304" s="246" t="s">
        <v>273</v>
      </c>
      <c r="D304" s="246">
        <v>12</v>
      </c>
      <c r="E304" s="198" t="s">
        <v>1674</v>
      </c>
      <c r="F304" s="115" t="s">
        <v>379</v>
      </c>
      <c r="G304" s="19" t="s">
        <v>378</v>
      </c>
      <c r="H304" s="18"/>
      <c r="I304" s="18"/>
      <c r="J304" s="18"/>
      <c r="K304" s="18"/>
      <c r="L304" s="18"/>
      <c r="M304" s="18"/>
      <c r="N304" s="18"/>
      <c r="O304" s="18"/>
      <c r="P304" s="18"/>
      <c r="Q304" s="18"/>
    </row>
    <row r="305" spans="1:17" x14ac:dyDescent="0.25">
      <c r="A305" s="246" t="s">
        <v>639</v>
      </c>
      <c r="B305" s="246" t="s">
        <v>296</v>
      </c>
      <c r="C305" s="246" t="s">
        <v>273</v>
      </c>
      <c r="D305" s="246">
        <v>12</v>
      </c>
      <c r="E305" s="198" t="s">
        <v>715</v>
      </c>
      <c r="F305" s="108" t="s">
        <v>574</v>
      </c>
      <c r="G305" s="17" t="s">
        <v>120</v>
      </c>
      <c r="H305" s="17"/>
      <c r="I305" s="17"/>
      <c r="J305" s="17"/>
      <c r="K305" s="17"/>
      <c r="L305" s="17"/>
      <c r="M305" s="17"/>
      <c r="N305" s="17"/>
      <c r="O305" s="17"/>
      <c r="P305" s="17"/>
      <c r="Q305" s="17"/>
    </row>
    <row r="306" spans="1:17" ht="16.5" customHeight="1" x14ac:dyDescent="0.25">
      <c r="A306" s="246" t="s">
        <v>100</v>
      </c>
      <c r="B306" s="246" t="s">
        <v>297</v>
      </c>
      <c r="C306" s="246" t="s">
        <v>283</v>
      </c>
      <c r="D306" s="246">
        <v>9</v>
      </c>
      <c r="E306" s="198" t="s">
        <v>172</v>
      </c>
      <c r="F306" s="247" t="s">
        <v>379</v>
      </c>
      <c r="G306" s="226"/>
      <c r="H306" s="227"/>
      <c r="I306" s="225" t="s">
        <v>115</v>
      </c>
      <c r="J306" s="226"/>
      <c r="K306" s="226"/>
      <c r="L306" s="227"/>
      <c r="M306" s="18" t="s">
        <v>164</v>
      </c>
      <c r="N306" s="18" t="s">
        <v>154</v>
      </c>
    </row>
    <row r="307" spans="1:17" x14ac:dyDescent="0.25">
      <c r="A307" s="246" t="s">
        <v>640</v>
      </c>
      <c r="B307" s="246" t="s">
        <v>296</v>
      </c>
      <c r="C307" s="246" t="s">
        <v>275</v>
      </c>
      <c r="D307" s="246">
        <v>9</v>
      </c>
      <c r="E307" s="198" t="s">
        <v>1159</v>
      </c>
      <c r="F307" s="108" t="s">
        <v>380</v>
      </c>
      <c r="G307" s="17" t="s">
        <v>381</v>
      </c>
      <c r="H307" s="17" t="s">
        <v>109</v>
      </c>
      <c r="I307" s="17" t="s">
        <v>125</v>
      </c>
      <c r="J307" s="17" t="s">
        <v>135</v>
      </c>
      <c r="K307" s="17" t="s">
        <v>136</v>
      </c>
      <c r="L307" s="17" t="s">
        <v>137</v>
      </c>
      <c r="M307" s="17"/>
      <c r="N307" s="17"/>
    </row>
    <row r="308" spans="1:17" ht="15" customHeight="1" x14ac:dyDescent="0.25">
      <c r="A308" s="246" t="s">
        <v>640</v>
      </c>
      <c r="B308" s="246" t="s">
        <v>296</v>
      </c>
      <c r="C308" s="246" t="s">
        <v>275</v>
      </c>
      <c r="D308" s="246">
        <v>9</v>
      </c>
      <c r="E308" s="198" t="s">
        <v>171</v>
      </c>
      <c r="F308" s="109" t="s">
        <v>217</v>
      </c>
      <c r="G308" s="18" t="s">
        <v>706</v>
      </c>
      <c r="H308" s="18"/>
      <c r="I308" s="18"/>
      <c r="J308" s="18"/>
      <c r="K308" s="18"/>
      <c r="L308" s="18"/>
      <c r="M308" s="18"/>
      <c r="N308" s="18"/>
    </row>
    <row r="309" spans="1:17" ht="15" customHeight="1" x14ac:dyDescent="0.25">
      <c r="A309" s="246" t="s">
        <v>640</v>
      </c>
      <c r="B309" s="246" t="s">
        <v>296</v>
      </c>
      <c r="C309" s="246" t="s">
        <v>275</v>
      </c>
      <c r="D309" s="246">
        <v>9</v>
      </c>
      <c r="E309" s="198" t="s">
        <v>171</v>
      </c>
      <c r="F309" s="108"/>
      <c r="G309" s="17" t="s">
        <v>205</v>
      </c>
      <c r="H309" s="17"/>
      <c r="I309" s="17"/>
      <c r="J309" s="17"/>
      <c r="K309" s="17"/>
      <c r="L309" s="17"/>
      <c r="M309" s="17"/>
      <c r="N309" s="17"/>
    </row>
    <row r="310" spans="1:17" x14ac:dyDescent="0.25">
      <c r="A310" s="246" t="s">
        <v>640</v>
      </c>
      <c r="B310" s="246" t="s">
        <v>296</v>
      </c>
      <c r="C310" s="246" t="s">
        <v>275</v>
      </c>
      <c r="D310" s="246">
        <v>9</v>
      </c>
      <c r="E310" s="198" t="s">
        <v>1160</v>
      </c>
      <c r="F310" s="109" t="s">
        <v>158</v>
      </c>
      <c r="G310" s="18" t="s">
        <v>156</v>
      </c>
      <c r="H310" s="18" t="s">
        <v>155</v>
      </c>
      <c r="I310" s="19"/>
      <c r="J310" s="19"/>
      <c r="K310" s="19"/>
      <c r="L310" s="18"/>
      <c r="M310" s="18"/>
      <c r="N310" s="18"/>
    </row>
    <row r="311" spans="1:17" x14ac:dyDescent="0.25">
      <c r="A311" s="246" t="s">
        <v>640</v>
      </c>
      <c r="B311" s="246" t="s">
        <v>296</v>
      </c>
      <c r="C311" s="246" t="s">
        <v>275</v>
      </c>
      <c r="D311" s="246">
        <v>9</v>
      </c>
      <c r="E311" s="198" t="s">
        <v>173</v>
      </c>
      <c r="F311" s="108"/>
      <c r="G311" s="17"/>
      <c r="H311" s="17"/>
      <c r="I311" s="17"/>
      <c r="J311" s="17"/>
      <c r="K311" s="17"/>
      <c r="L311" s="17"/>
      <c r="M311" s="17"/>
      <c r="N311" s="17"/>
    </row>
    <row r="312" spans="1:17" x14ac:dyDescent="0.25">
      <c r="A312" s="246" t="s">
        <v>640</v>
      </c>
      <c r="B312" s="246" t="s">
        <v>296</v>
      </c>
      <c r="C312" s="246" t="s">
        <v>275</v>
      </c>
      <c r="D312" s="246">
        <v>9</v>
      </c>
      <c r="E312" s="198" t="s">
        <v>1674</v>
      </c>
      <c r="F312" s="247" t="s">
        <v>378</v>
      </c>
      <c r="G312" s="226"/>
      <c r="H312" s="227"/>
      <c r="I312" s="18"/>
      <c r="J312" s="18"/>
      <c r="K312" s="18"/>
      <c r="L312" s="68"/>
      <c r="M312" s="68"/>
      <c r="N312" s="18"/>
    </row>
    <row r="313" spans="1:17" x14ac:dyDescent="0.25">
      <c r="A313" s="246" t="s">
        <v>640</v>
      </c>
      <c r="B313" s="246" t="s">
        <v>296</v>
      </c>
      <c r="C313" s="246" t="s">
        <v>275</v>
      </c>
      <c r="D313" s="246">
        <v>9</v>
      </c>
      <c r="E313" s="198" t="s">
        <v>715</v>
      </c>
      <c r="F313" s="108" t="s">
        <v>125</v>
      </c>
      <c r="G313" s="17" t="s">
        <v>136</v>
      </c>
      <c r="H313" s="17" t="s">
        <v>137</v>
      </c>
      <c r="I313" s="17"/>
      <c r="J313" s="17"/>
      <c r="K313" s="17"/>
      <c r="L313" s="21"/>
      <c r="M313" s="21"/>
      <c r="N313" s="17"/>
    </row>
    <row r="314" spans="1:17" ht="16.5" customHeight="1" x14ac:dyDescent="0.25">
      <c r="A314" s="246" t="s">
        <v>101</v>
      </c>
      <c r="B314" s="246" t="s">
        <v>297</v>
      </c>
      <c r="C314" s="246" t="s">
        <v>1158</v>
      </c>
      <c r="D314" s="246">
        <v>11</v>
      </c>
      <c r="E314" s="198" t="s">
        <v>172</v>
      </c>
      <c r="F314" s="247" t="s">
        <v>379</v>
      </c>
      <c r="G314" s="226"/>
      <c r="H314" s="226"/>
      <c r="I314" s="226"/>
      <c r="J314" s="226"/>
      <c r="K314" s="227"/>
      <c r="L314" s="225" t="s">
        <v>115</v>
      </c>
      <c r="M314" s="226"/>
      <c r="N314" s="227"/>
      <c r="O314" s="18" t="s">
        <v>154</v>
      </c>
      <c r="P314" s="18" t="s">
        <v>150</v>
      </c>
    </row>
    <row r="315" spans="1:17" x14ac:dyDescent="0.25">
      <c r="A315" s="246" t="s">
        <v>641</v>
      </c>
      <c r="B315" s="246" t="s">
        <v>296</v>
      </c>
      <c r="C315" s="246" t="s">
        <v>275</v>
      </c>
      <c r="D315" s="246">
        <v>11</v>
      </c>
      <c r="E315" s="198" t="s">
        <v>1159</v>
      </c>
      <c r="F315" s="108" t="s">
        <v>380</v>
      </c>
      <c r="G315" s="17" t="s">
        <v>381</v>
      </c>
      <c r="H315" s="17" t="s">
        <v>390</v>
      </c>
      <c r="I315" s="17" t="s">
        <v>391</v>
      </c>
      <c r="J315" s="17" t="s">
        <v>109</v>
      </c>
      <c r="K315" s="17" t="s">
        <v>112</v>
      </c>
      <c r="L315" s="17" t="s">
        <v>125</v>
      </c>
      <c r="M315" s="17" t="s">
        <v>136</v>
      </c>
      <c r="N315" s="17" t="s">
        <v>137</v>
      </c>
      <c r="O315" s="17"/>
      <c r="P315" s="17"/>
    </row>
    <row r="316" spans="1:17" ht="15" customHeight="1" x14ac:dyDescent="0.25">
      <c r="A316" s="246" t="s">
        <v>641</v>
      </c>
      <c r="B316" s="246" t="s">
        <v>296</v>
      </c>
      <c r="C316" s="246" t="s">
        <v>275</v>
      </c>
      <c r="D316" s="246">
        <v>11</v>
      </c>
      <c r="E316" s="198" t="s">
        <v>1161</v>
      </c>
      <c r="F316" s="247" t="s">
        <v>703</v>
      </c>
      <c r="G316" s="227"/>
      <c r="H316" s="18"/>
      <c r="I316" s="18"/>
      <c r="J316" s="18"/>
      <c r="K316" s="18"/>
      <c r="L316" s="18"/>
      <c r="M316" s="18"/>
      <c r="N316" s="18"/>
      <c r="O316" s="18"/>
      <c r="P316" s="18"/>
    </row>
    <row r="317" spans="1:17" ht="15" customHeight="1" x14ac:dyDescent="0.25">
      <c r="A317" s="246" t="s">
        <v>641</v>
      </c>
      <c r="B317" s="246" t="s">
        <v>296</v>
      </c>
      <c r="C317" s="246" t="s">
        <v>275</v>
      </c>
      <c r="D317" s="246">
        <v>11</v>
      </c>
      <c r="E317" s="198" t="s">
        <v>171</v>
      </c>
      <c r="F317" s="108" t="s">
        <v>202</v>
      </c>
      <c r="G317" s="17" t="s">
        <v>201</v>
      </c>
      <c r="H317" s="17"/>
      <c r="I317" s="17"/>
      <c r="J317" s="17"/>
      <c r="K317" s="17"/>
      <c r="L317" s="17"/>
      <c r="M317" s="17"/>
      <c r="N317" s="17"/>
      <c r="O317" s="17"/>
      <c r="P317" s="17"/>
    </row>
    <row r="318" spans="1:17" x14ac:dyDescent="0.25">
      <c r="A318" s="246" t="s">
        <v>641</v>
      </c>
      <c r="B318" s="246" t="s">
        <v>296</v>
      </c>
      <c r="C318" s="246" t="s">
        <v>275</v>
      </c>
      <c r="D318" s="246">
        <v>11</v>
      </c>
      <c r="E318" s="198" t="s">
        <v>173</v>
      </c>
      <c r="F318" s="109" t="s">
        <v>156</v>
      </c>
      <c r="G318" s="18" t="s">
        <v>155</v>
      </c>
      <c r="H318" s="19"/>
      <c r="I318" s="19"/>
      <c r="J318" s="19"/>
      <c r="K318" s="19"/>
      <c r="L318" s="19"/>
      <c r="M318" s="19"/>
      <c r="N318" s="19"/>
      <c r="O318" s="19"/>
      <c r="P318" s="18"/>
    </row>
    <row r="319" spans="1:17" x14ac:dyDescent="0.25">
      <c r="A319" s="246" t="s">
        <v>641</v>
      </c>
      <c r="B319" s="246" t="s">
        <v>296</v>
      </c>
      <c r="C319" s="246" t="s">
        <v>275</v>
      </c>
      <c r="D319" s="246">
        <v>11</v>
      </c>
      <c r="E319" s="198" t="s">
        <v>1160</v>
      </c>
      <c r="F319" s="108"/>
      <c r="G319" s="17"/>
      <c r="H319" s="20"/>
      <c r="I319" s="17"/>
      <c r="J319" s="17"/>
      <c r="K319" s="17"/>
      <c r="L319" s="20"/>
      <c r="M319" s="17"/>
      <c r="N319" s="17"/>
      <c r="O319" s="17"/>
      <c r="P319" s="17"/>
    </row>
    <row r="320" spans="1:17" x14ac:dyDescent="0.25">
      <c r="A320" s="246" t="s">
        <v>641</v>
      </c>
      <c r="B320" s="246" t="s">
        <v>296</v>
      </c>
      <c r="C320" s="246" t="s">
        <v>275</v>
      </c>
      <c r="D320" s="246">
        <v>11</v>
      </c>
      <c r="E320" s="198" t="s">
        <v>1674</v>
      </c>
      <c r="F320" s="247" t="s">
        <v>379</v>
      </c>
      <c r="G320" s="226"/>
      <c r="H320" s="226"/>
      <c r="I320" s="226"/>
      <c r="J320" s="227"/>
      <c r="K320" s="225" t="s">
        <v>378</v>
      </c>
      <c r="L320" s="226"/>
      <c r="M320" s="227"/>
      <c r="N320" s="18"/>
      <c r="O320" s="18"/>
      <c r="P320" s="18"/>
    </row>
    <row r="321" spans="1:16" x14ac:dyDescent="0.25">
      <c r="A321" s="246" t="s">
        <v>641</v>
      </c>
      <c r="B321" s="246" t="s">
        <v>296</v>
      </c>
      <c r="C321" s="246" t="s">
        <v>275</v>
      </c>
      <c r="D321" s="246">
        <v>11</v>
      </c>
      <c r="E321" s="198" t="s">
        <v>715</v>
      </c>
      <c r="F321" s="110" t="s">
        <v>380</v>
      </c>
      <c r="G321" s="17" t="s">
        <v>109</v>
      </c>
      <c r="H321" s="17" t="s">
        <v>110</v>
      </c>
      <c r="I321" s="17" t="s">
        <v>111</v>
      </c>
      <c r="J321" s="20" t="s">
        <v>112</v>
      </c>
      <c r="K321" s="17" t="s">
        <v>125</v>
      </c>
      <c r="L321" s="17" t="s">
        <v>136</v>
      </c>
      <c r="M321" s="17" t="s">
        <v>137</v>
      </c>
      <c r="N321" s="17"/>
      <c r="O321" s="17"/>
      <c r="P321" s="17"/>
    </row>
    <row r="322" spans="1:16" ht="16.5" customHeight="1" x14ac:dyDescent="0.25">
      <c r="A322" s="246" t="s">
        <v>102</v>
      </c>
      <c r="B322" s="246" t="s">
        <v>297</v>
      </c>
      <c r="C322" s="246" t="s">
        <v>284</v>
      </c>
      <c r="D322" s="246">
        <v>11</v>
      </c>
      <c r="E322" s="198" t="s">
        <v>1159</v>
      </c>
      <c r="F322" s="247" t="s">
        <v>379</v>
      </c>
      <c r="G322" s="226"/>
      <c r="H322" s="226"/>
      <c r="I322" s="227"/>
      <c r="J322" s="225" t="s">
        <v>115</v>
      </c>
      <c r="K322" s="226"/>
      <c r="L322" s="226"/>
      <c r="M322" s="226"/>
      <c r="N322" s="227"/>
      <c r="O322" s="18" t="s">
        <v>154</v>
      </c>
      <c r="P322" s="18" t="s">
        <v>150</v>
      </c>
    </row>
    <row r="323" spans="1:16" x14ac:dyDescent="0.25">
      <c r="A323" s="246" t="s">
        <v>642</v>
      </c>
      <c r="B323" s="246" t="s">
        <v>296</v>
      </c>
      <c r="C323" s="246" t="s">
        <v>276</v>
      </c>
      <c r="D323" s="246">
        <v>11</v>
      </c>
      <c r="E323" s="198" t="s">
        <v>1159</v>
      </c>
      <c r="F323" s="108" t="s">
        <v>382</v>
      </c>
      <c r="G323" s="17" t="s">
        <v>110</v>
      </c>
      <c r="H323" s="17" t="s">
        <v>109</v>
      </c>
      <c r="I323" s="17" t="s">
        <v>112</v>
      </c>
      <c r="J323" s="17" t="s">
        <v>125</v>
      </c>
      <c r="K323" s="17" t="s">
        <v>128</v>
      </c>
      <c r="L323" s="17" t="s">
        <v>130</v>
      </c>
      <c r="M323" s="17" t="s">
        <v>139</v>
      </c>
      <c r="N323" s="17" t="s">
        <v>143</v>
      </c>
      <c r="O323" s="17"/>
      <c r="P323" s="17"/>
    </row>
    <row r="324" spans="1:16" ht="15" customHeight="1" x14ac:dyDescent="0.25">
      <c r="A324" s="246" t="s">
        <v>642</v>
      </c>
      <c r="B324" s="246" t="s">
        <v>296</v>
      </c>
      <c r="C324" s="246" t="s">
        <v>276</v>
      </c>
      <c r="D324" s="246">
        <v>11</v>
      </c>
      <c r="E324" s="198" t="s">
        <v>171</v>
      </c>
      <c r="F324" s="247" t="s">
        <v>703</v>
      </c>
      <c r="G324" s="226"/>
      <c r="H324" s="226"/>
      <c r="I324" s="226"/>
      <c r="J324" s="226"/>
      <c r="K324" s="227"/>
      <c r="L324" s="18" t="s">
        <v>228</v>
      </c>
      <c r="M324" s="18" t="s">
        <v>191</v>
      </c>
      <c r="N324" s="18" t="s">
        <v>224</v>
      </c>
      <c r="O324" s="18" t="s">
        <v>548</v>
      </c>
      <c r="P324" s="18" t="s">
        <v>227</v>
      </c>
    </row>
    <row r="325" spans="1:16" ht="15" customHeight="1" x14ac:dyDescent="0.25">
      <c r="A325" s="246" t="s">
        <v>642</v>
      </c>
      <c r="B325" s="246" t="s">
        <v>296</v>
      </c>
      <c r="C325" s="246" t="s">
        <v>276</v>
      </c>
      <c r="D325" s="246">
        <v>11</v>
      </c>
      <c r="E325" s="198" t="s">
        <v>1161</v>
      </c>
      <c r="F325" s="108" t="s">
        <v>199</v>
      </c>
      <c r="G325" s="17" t="s">
        <v>229</v>
      </c>
      <c r="H325" s="17" t="s">
        <v>230</v>
      </c>
      <c r="I325" s="17" t="s">
        <v>201</v>
      </c>
      <c r="J325" s="17" t="s">
        <v>202</v>
      </c>
      <c r="K325" s="17" t="s">
        <v>225</v>
      </c>
      <c r="L325" s="17"/>
      <c r="M325" s="17"/>
      <c r="N325" s="17"/>
      <c r="O325" s="17"/>
      <c r="P325" s="17"/>
    </row>
    <row r="326" spans="1:16" x14ac:dyDescent="0.25">
      <c r="A326" s="246" t="s">
        <v>642</v>
      </c>
      <c r="B326" s="246" t="s">
        <v>296</v>
      </c>
      <c r="C326" s="246" t="s">
        <v>276</v>
      </c>
      <c r="D326" s="246">
        <v>11</v>
      </c>
      <c r="E326" s="198" t="s">
        <v>1160</v>
      </c>
      <c r="F326" s="109" t="s">
        <v>156</v>
      </c>
      <c r="G326" s="18" t="s">
        <v>115</v>
      </c>
      <c r="H326" s="18" t="s">
        <v>155</v>
      </c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246" t="s">
        <v>642</v>
      </c>
      <c r="B327" s="246" t="s">
        <v>296</v>
      </c>
      <c r="C327" s="246" t="s">
        <v>276</v>
      </c>
      <c r="D327" s="246">
        <v>11</v>
      </c>
      <c r="E327" s="198" t="s">
        <v>173</v>
      </c>
      <c r="F327" s="110"/>
      <c r="G327" s="20" t="s">
        <v>463</v>
      </c>
      <c r="H327" s="20"/>
      <c r="I327" s="20"/>
      <c r="J327" s="20"/>
      <c r="K327" s="20"/>
      <c r="L327" s="20"/>
      <c r="M327" s="20"/>
      <c r="N327" s="20"/>
      <c r="O327" s="20"/>
      <c r="P327" s="20"/>
    </row>
    <row r="328" spans="1:16" x14ac:dyDescent="0.25">
      <c r="A328" s="246" t="s">
        <v>642</v>
      </c>
      <c r="B328" s="246" t="s">
        <v>296</v>
      </c>
      <c r="C328" s="246" t="s">
        <v>276</v>
      </c>
      <c r="D328" s="246">
        <v>11</v>
      </c>
      <c r="E328" s="198" t="s">
        <v>1674</v>
      </c>
      <c r="F328" s="247" t="s">
        <v>379</v>
      </c>
      <c r="G328" s="226"/>
      <c r="H328" s="226"/>
      <c r="I328" s="227"/>
      <c r="J328" s="225" t="s">
        <v>378</v>
      </c>
      <c r="K328" s="226"/>
      <c r="L328" s="226"/>
      <c r="M328" s="226"/>
      <c r="N328" s="226"/>
      <c r="O328" s="226"/>
      <c r="P328" s="227"/>
    </row>
    <row r="329" spans="1:16" x14ac:dyDescent="0.25">
      <c r="A329" s="246" t="s">
        <v>642</v>
      </c>
      <c r="B329" s="246" t="s">
        <v>296</v>
      </c>
      <c r="C329" s="246" t="s">
        <v>276</v>
      </c>
      <c r="D329" s="246">
        <v>11</v>
      </c>
      <c r="E329" s="198" t="s">
        <v>715</v>
      </c>
      <c r="F329" s="110" t="s">
        <v>382</v>
      </c>
      <c r="G329" s="20" t="s">
        <v>110</v>
      </c>
      <c r="H329" s="20" t="s">
        <v>111</v>
      </c>
      <c r="I329" s="20" t="s">
        <v>112</v>
      </c>
      <c r="J329" s="20" t="s">
        <v>118</v>
      </c>
      <c r="K329" s="20" t="s">
        <v>119</v>
      </c>
      <c r="L329" s="20" t="s">
        <v>125</v>
      </c>
      <c r="M329" s="20" t="s">
        <v>130</v>
      </c>
      <c r="N329" s="20" t="s">
        <v>139</v>
      </c>
      <c r="O329" s="20" t="s">
        <v>141</v>
      </c>
      <c r="P329" s="20" t="s">
        <v>143</v>
      </c>
    </row>
    <row r="330" spans="1:16" ht="16.5" customHeight="1" x14ac:dyDescent="0.25">
      <c r="A330" s="246" t="s">
        <v>103</v>
      </c>
      <c r="B330" s="246" t="s">
        <v>297</v>
      </c>
      <c r="C330" s="246" t="s">
        <v>285</v>
      </c>
      <c r="D330" s="246">
        <v>8</v>
      </c>
      <c r="E330" s="198" t="s">
        <v>1159</v>
      </c>
      <c r="F330" s="247" t="s">
        <v>379</v>
      </c>
      <c r="G330" s="226"/>
      <c r="H330" s="227"/>
      <c r="I330" s="18" t="s">
        <v>115</v>
      </c>
      <c r="J330" s="18" t="s">
        <v>162</v>
      </c>
      <c r="K330" s="18" t="s">
        <v>154</v>
      </c>
      <c r="L330" s="18" t="s">
        <v>150</v>
      </c>
      <c r="M330" s="18"/>
    </row>
    <row r="331" spans="1:16" x14ac:dyDescent="0.25">
      <c r="A331" s="246" t="s">
        <v>643</v>
      </c>
      <c r="B331" s="246" t="s">
        <v>296</v>
      </c>
      <c r="C331" s="246" t="s">
        <v>277</v>
      </c>
      <c r="D331" s="246">
        <v>8</v>
      </c>
      <c r="E331" s="198" t="s">
        <v>1159</v>
      </c>
      <c r="F331" s="108" t="s">
        <v>383</v>
      </c>
      <c r="G331" s="17" t="s">
        <v>111</v>
      </c>
      <c r="H331" s="17" t="s">
        <v>112</v>
      </c>
      <c r="I331" s="17" t="s">
        <v>125</v>
      </c>
      <c r="J331" s="17"/>
      <c r="K331" s="17"/>
      <c r="L331" s="17"/>
      <c r="M331" s="17"/>
    </row>
    <row r="332" spans="1:16" ht="15" customHeight="1" x14ac:dyDescent="0.25">
      <c r="A332" s="246" t="s">
        <v>643</v>
      </c>
      <c r="B332" s="246" t="s">
        <v>296</v>
      </c>
      <c r="C332" s="246" t="s">
        <v>277</v>
      </c>
      <c r="D332" s="246">
        <v>8</v>
      </c>
      <c r="E332" s="198" t="s">
        <v>1161</v>
      </c>
      <c r="F332" s="109" t="s">
        <v>182</v>
      </c>
      <c r="G332" s="225" t="s">
        <v>703</v>
      </c>
      <c r="H332" s="226"/>
      <c r="I332" s="226"/>
      <c r="J332" s="227"/>
      <c r="K332" s="18" t="s">
        <v>235</v>
      </c>
      <c r="L332" s="18" t="s">
        <v>191</v>
      </c>
      <c r="M332" s="18"/>
    </row>
    <row r="333" spans="1:16" ht="15" customHeight="1" x14ac:dyDescent="0.25">
      <c r="A333" s="246" t="s">
        <v>643</v>
      </c>
      <c r="B333" s="246" t="s">
        <v>296</v>
      </c>
      <c r="C333" s="246" t="s">
        <v>277</v>
      </c>
      <c r="D333" s="246">
        <v>8</v>
      </c>
      <c r="E333" s="198" t="s">
        <v>1161</v>
      </c>
      <c r="F333" s="108"/>
      <c r="G333" s="17" t="s">
        <v>199</v>
      </c>
      <c r="H333" s="17" t="s">
        <v>202</v>
      </c>
      <c r="I333" s="17" t="s">
        <v>201</v>
      </c>
      <c r="J333" s="17" t="s">
        <v>222</v>
      </c>
      <c r="K333" s="17"/>
      <c r="L333" s="17"/>
      <c r="M333" s="17"/>
    </row>
    <row r="334" spans="1:16" x14ac:dyDescent="0.25">
      <c r="A334" s="246" t="s">
        <v>643</v>
      </c>
      <c r="B334" s="246" t="s">
        <v>296</v>
      </c>
      <c r="C334" s="246" t="s">
        <v>277</v>
      </c>
      <c r="D334" s="246">
        <v>8</v>
      </c>
      <c r="E334" s="198" t="s">
        <v>173</v>
      </c>
      <c r="F334" s="109" t="s">
        <v>156</v>
      </c>
      <c r="G334" s="18" t="s">
        <v>115</v>
      </c>
      <c r="H334" s="18" t="s">
        <v>155</v>
      </c>
      <c r="I334" s="19"/>
      <c r="J334" s="19"/>
      <c r="K334" s="19"/>
      <c r="L334" s="19"/>
      <c r="M334" s="19"/>
    </row>
    <row r="335" spans="1:16" x14ac:dyDescent="0.25">
      <c r="A335" s="246" t="s">
        <v>643</v>
      </c>
      <c r="B335" s="246" t="s">
        <v>296</v>
      </c>
      <c r="C335" s="246" t="s">
        <v>277</v>
      </c>
      <c r="D335" s="246">
        <v>8</v>
      </c>
      <c r="E335" s="198" t="s">
        <v>1160</v>
      </c>
      <c r="F335" s="108"/>
      <c r="G335" s="17" t="s">
        <v>441</v>
      </c>
      <c r="H335" s="17"/>
      <c r="I335" s="20"/>
      <c r="J335" s="20"/>
      <c r="K335" s="17"/>
      <c r="L335" s="17"/>
      <c r="M335" s="20"/>
    </row>
    <row r="336" spans="1:16" x14ac:dyDescent="0.25">
      <c r="A336" s="246" t="s">
        <v>643</v>
      </c>
      <c r="B336" s="246" t="s">
        <v>296</v>
      </c>
      <c r="C336" s="246" t="s">
        <v>277</v>
      </c>
      <c r="D336" s="246">
        <v>8</v>
      </c>
      <c r="E336" s="198" t="s">
        <v>1674</v>
      </c>
      <c r="F336" s="247" t="s">
        <v>379</v>
      </c>
      <c r="G336" s="226"/>
      <c r="H336" s="227"/>
      <c r="I336" s="225" t="s">
        <v>378</v>
      </c>
      <c r="J336" s="226"/>
      <c r="K336" s="226"/>
      <c r="L336" s="226"/>
      <c r="M336" s="227"/>
    </row>
    <row r="337" spans="1:18" x14ac:dyDescent="0.25">
      <c r="A337" s="246" t="s">
        <v>643</v>
      </c>
      <c r="B337" s="246" t="s">
        <v>296</v>
      </c>
      <c r="C337" s="246" t="s">
        <v>277</v>
      </c>
      <c r="D337" s="246">
        <v>8</v>
      </c>
      <c r="E337" s="198" t="s">
        <v>715</v>
      </c>
      <c r="F337" s="110" t="s">
        <v>383</v>
      </c>
      <c r="G337" s="20" t="s">
        <v>111</v>
      </c>
      <c r="H337" s="17" t="s">
        <v>112</v>
      </c>
      <c r="I337" s="17" t="s">
        <v>118</v>
      </c>
      <c r="J337" s="20" t="s">
        <v>119</v>
      </c>
      <c r="K337" s="20" t="s">
        <v>121</v>
      </c>
      <c r="L337" s="20" t="s">
        <v>125</v>
      </c>
      <c r="M337" s="20" t="s">
        <v>141</v>
      </c>
    </row>
    <row r="338" spans="1:18" ht="16.5" customHeight="1" x14ac:dyDescent="0.25">
      <c r="A338" s="246" t="s">
        <v>178</v>
      </c>
      <c r="B338" s="246" t="s">
        <v>297</v>
      </c>
      <c r="C338" s="246" t="s">
        <v>286</v>
      </c>
      <c r="D338" s="246">
        <v>13</v>
      </c>
      <c r="E338" s="198" t="s">
        <v>1159</v>
      </c>
      <c r="F338" s="109" t="s">
        <v>379</v>
      </c>
      <c r="G338" s="225" t="s">
        <v>115</v>
      </c>
      <c r="H338" s="226"/>
      <c r="I338" s="227"/>
      <c r="J338" s="18" t="s">
        <v>152</v>
      </c>
      <c r="K338" s="18" t="s">
        <v>153</v>
      </c>
      <c r="L338" s="18" t="s">
        <v>154</v>
      </c>
      <c r="M338" s="18" t="s">
        <v>149</v>
      </c>
      <c r="N338" s="18" t="s">
        <v>150</v>
      </c>
      <c r="O338" s="18"/>
      <c r="P338" s="18"/>
      <c r="Q338" s="18"/>
      <c r="R338" s="18"/>
    </row>
    <row r="339" spans="1:18" x14ac:dyDescent="0.25">
      <c r="A339" s="246" t="s">
        <v>602</v>
      </c>
      <c r="B339" s="246" t="s">
        <v>296</v>
      </c>
      <c r="C339" s="246" t="s">
        <v>278</v>
      </c>
      <c r="D339" s="246">
        <v>13</v>
      </c>
      <c r="E339" s="198" t="s">
        <v>1159</v>
      </c>
      <c r="F339" s="108" t="s">
        <v>384</v>
      </c>
      <c r="G339" s="17" t="s">
        <v>125</v>
      </c>
      <c r="H339" s="17" t="s">
        <v>163</v>
      </c>
      <c r="I339" s="17" t="s">
        <v>146</v>
      </c>
      <c r="J339" s="17"/>
      <c r="K339" s="17"/>
      <c r="L339" s="17"/>
      <c r="M339" s="17"/>
      <c r="N339" s="17"/>
      <c r="O339" s="17"/>
      <c r="P339" s="17"/>
      <c r="Q339" s="17"/>
      <c r="R339" s="17"/>
    </row>
    <row r="340" spans="1:18" x14ac:dyDescent="0.25">
      <c r="A340" s="246" t="s">
        <v>602</v>
      </c>
      <c r="B340" s="246" t="s">
        <v>296</v>
      </c>
      <c r="C340" s="246" t="s">
        <v>278</v>
      </c>
      <c r="D340" s="246">
        <v>13</v>
      </c>
      <c r="E340" s="198" t="s">
        <v>171</v>
      </c>
      <c r="F340" s="247" t="s">
        <v>702</v>
      </c>
      <c r="G340" s="226"/>
      <c r="H340" s="226"/>
      <c r="I340" s="227"/>
      <c r="J340" s="225" t="s">
        <v>703</v>
      </c>
      <c r="K340" s="227"/>
      <c r="L340" s="18" t="s">
        <v>217</v>
      </c>
      <c r="M340" s="18" t="s">
        <v>268</v>
      </c>
      <c r="N340" s="225" t="s">
        <v>704</v>
      </c>
      <c r="O340" s="226"/>
      <c r="P340" s="226"/>
      <c r="Q340" s="227"/>
      <c r="R340" s="18" t="s">
        <v>190</v>
      </c>
    </row>
    <row r="341" spans="1:18" x14ac:dyDescent="0.25">
      <c r="A341" s="246" t="s">
        <v>602</v>
      </c>
      <c r="B341" s="246" t="s">
        <v>296</v>
      </c>
      <c r="C341" s="246" t="s">
        <v>278</v>
      </c>
      <c r="D341" s="246">
        <v>13</v>
      </c>
      <c r="E341" s="198" t="s">
        <v>1161</v>
      </c>
      <c r="F341" s="108" t="s">
        <v>555</v>
      </c>
      <c r="G341" s="17" t="s">
        <v>554</v>
      </c>
      <c r="H341" s="17" t="s">
        <v>557</v>
      </c>
      <c r="I341" s="17" t="s">
        <v>564</v>
      </c>
      <c r="J341" s="17" t="s">
        <v>230</v>
      </c>
      <c r="K341" s="17" t="s">
        <v>200</v>
      </c>
      <c r="L341" s="17"/>
      <c r="M341" s="17"/>
      <c r="N341" s="17" t="s">
        <v>304</v>
      </c>
      <c r="O341" s="17" t="s">
        <v>306</v>
      </c>
      <c r="P341" s="17" t="s">
        <v>310</v>
      </c>
      <c r="Q341" s="17" t="s">
        <v>318</v>
      </c>
      <c r="R341" s="17"/>
    </row>
    <row r="342" spans="1:18" x14ac:dyDescent="0.25">
      <c r="A342" s="246" t="s">
        <v>602</v>
      </c>
      <c r="B342" s="246" t="s">
        <v>296</v>
      </c>
      <c r="C342" s="246" t="s">
        <v>278</v>
      </c>
      <c r="D342" s="246">
        <v>13</v>
      </c>
      <c r="E342" s="198" t="s">
        <v>173</v>
      </c>
      <c r="F342" s="109" t="s">
        <v>115</v>
      </c>
      <c r="G342" s="18" t="s">
        <v>164</v>
      </c>
      <c r="H342" s="18" t="s">
        <v>156</v>
      </c>
      <c r="I342" s="18" t="s">
        <v>155</v>
      </c>
      <c r="J342" s="18"/>
      <c r="K342" s="19"/>
      <c r="L342" s="19"/>
      <c r="M342" s="19"/>
      <c r="N342" s="19"/>
      <c r="O342" s="18"/>
      <c r="P342" s="18"/>
      <c r="Q342" s="18"/>
      <c r="R342" s="18"/>
    </row>
    <row r="343" spans="1:18" x14ac:dyDescent="0.25">
      <c r="A343" s="246" t="s">
        <v>602</v>
      </c>
      <c r="B343" s="246" t="s">
        <v>296</v>
      </c>
      <c r="C343" s="246" t="s">
        <v>278</v>
      </c>
      <c r="D343" s="246">
        <v>13</v>
      </c>
      <c r="E343" s="198" t="s">
        <v>173</v>
      </c>
      <c r="F343" s="108" t="s">
        <v>134</v>
      </c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</row>
    <row r="344" spans="1:18" x14ac:dyDescent="0.25">
      <c r="A344" s="246" t="s">
        <v>602</v>
      </c>
      <c r="B344" s="246" t="s">
        <v>296</v>
      </c>
      <c r="C344" s="246" t="s">
        <v>278</v>
      </c>
      <c r="D344" s="246">
        <v>13</v>
      </c>
      <c r="E344" s="198" t="s">
        <v>1674</v>
      </c>
      <c r="F344" s="109" t="s">
        <v>379</v>
      </c>
      <c r="G344" s="225" t="s">
        <v>378</v>
      </c>
      <c r="H344" s="226"/>
      <c r="I344" s="226"/>
      <c r="J344" s="227"/>
      <c r="K344" s="18"/>
      <c r="L344" s="18"/>
      <c r="M344" s="18"/>
      <c r="N344" s="18"/>
      <c r="O344" s="18"/>
      <c r="P344" s="18"/>
      <c r="Q344" s="18"/>
      <c r="R344" s="18"/>
    </row>
    <row r="345" spans="1:18" x14ac:dyDescent="0.25">
      <c r="A345" s="246" t="s">
        <v>602</v>
      </c>
      <c r="B345" s="246" t="s">
        <v>296</v>
      </c>
      <c r="C345" s="246" t="s">
        <v>278</v>
      </c>
      <c r="D345" s="246">
        <v>13</v>
      </c>
      <c r="E345" s="198" t="s">
        <v>715</v>
      </c>
      <c r="F345" s="108" t="s">
        <v>384</v>
      </c>
      <c r="G345" s="17" t="s">
        <v>124</v>
      </c>
      <c r="H345" s="17" t="s">
        <v>125</v>
      </c>
      <c r="I345" s="17" t="s">
        <v>141</v>
      </c>
      <c r="J345" s="17" t="s">
        <v>146</v>
      </c>
      <c r="K345" s="17"/>
      <c r="L345" s="17"/>
      <c r="M345" s="17"/>
      <c r="N345" s="17"/>
      <c r="O345" s="17"/>
      <c r="P345" s="17"/>
      <c r="Q345" s="17"/>
      <c r="R345" s="17"/>
    </row>
    <row r="346" spans="1:18" ht="16.5" customHeight="1" x14ac:dyDescent="0.25">
      <c r="A346" s="246" t="s">
        <v>104</v>
      </c>
      <c r="B346" s="246" t="s">
        <v>297</v>
      </c>
      <c r="C346" s="246" t="s">
        <v>287</v>
      </c>
      <c r="D346" s="246">
        <v>11</v>
      </c>
      <c r="E346" s="198" t="s">
        <v>1159</v>
      </c>
      <c r="F346" s="109" t="s">
        <v>558</v>
      </c>
      <c r="G346" s="225" t="s">
        <v>115</v>
      </c>
      <c r="H346" s="226"/>
      <c r="I346" s="226"/>
      <c r="J346" s="226"/>
      <c r="K346" s="226"/>
      <c r="L346" s="226"/>
      <c r="M346" s="227"/>
      <c r="N346" s="18" t="s">
        <v>154</v>
      </c>
      <c r="O346" s="18" t="s">
        <v>148</v>
      </c>
      <c r="P346" s="18" t="s">
        <v>150</v>
      </c>
    </row>
    <row r="347" spans="1:18" x14ac:dyDescent="0.25">
      <c r="A347" s="246" t="s">
        <v>644</v>
      </c>
      <c r="B347" s="246" t="s">
        <v>296</v>
      </c>
      <c r="C347" s="246" t="s">
        <v>279</v>
      </c>
      <c r="D347" s="246">
        <v>11</v>
      </c>
      <c r="E347" s="198" t="s">
        <v>1159</v>
      </c>
      <c r="F347" s="108" t="s">
        <v>570</v>
      </c>
      <c r="G347" s="17" t="s">
        <v>124</v>
      </c>
      <c r="H347" s="17" t="s">
        <v>125</v>
      </c>
      <c r="I347" s="17" t="s">
        <v>127</v>
      </c>
      <c r="J347" s="17" t="s">
        <v>130</v>
      </c>
      <c r="K347" s="17" t="s">
        <v>138</v>
      </c>
      <c r="L347" s="17" t="s">
        <v>140</v>
      </c>
      <c r="M347" s="17" t="s">
        <v>141</v>
      </c>
      <c r="N347" s="17"/>
      <c r="O347" s="17"/>
      <c r="P347" s="17"/>
    </row>
    <row r="348" spans="1:18" ht="15" customHeight="1" x14ac:dyDescent="0.25">
      <c r="A348" s="246" t="s">
        <v>644</v>
      </c>
      <c r="B348" s="246" t="s">
        <v>296</v>
      </c>
      <c r="C348" s="246" t="s">
        <v>279</v>
      </c>
      <c r="D348" s="246">
        <v>11</v>
      </c>
      <c r="E348" s="198" t="s">
        <v>171</v>
      </c>
      <c r="F348" s="247" t="s">
        <v>703</v>
      </c>
      <c r="G348" s="226"/>
      <c r="H348" s="226"/>
      <c r="I348" s="227"/>
      <c r="J348" s="18" t="s">
        <v>550</v>
      </c>
      <c r="K348" s="225" t="s">
        <v>186</v>
      </c>
      <c r="L348" s="227"/>
      <c r="M348" s="18" t="s">
        <v>191</v>
      </c>
      <c r="N348" s="18"/>
      <c r="O348" s="18"/>
      <c r="P348" s="18"/>
    </row>
    <row r="349" spans="1:18" ht="15" customHeight="1" x14ac:dyDescent="0.25">
      <c r="A349" s="246" t="s">
        <v>644</v>
      </c>
      <c r="B349" s="246" t="s">
        <v>296</v>
      </c>
      <c r="C349" s="246" t="s">
        <v>279</v>
      </c>
      <c r="D349" s="246">
        <v>11</v>
      </c>
      <c r="E349" s="198" t="s">
        <v>1161</v>
      </c>
      <c r="F349" s="108" t="s">
        <v>197</v>
      </c>
      <c r="G349" s="17" t="s">
        <v>198</v>
      </c>
      <c r="H349" s="17" t="s">
        <v>230</v>
      </c>
      <c r="I349" s="17" t="s">
        <v>201</v>
      </c>
      <c r="J349" s="17"/>
      <c r="K349" s="17" t="s">
        <v>348</v>
      </c>
      <c r="L349" s="17" t="s">
        <v>342</v>
      </c>
      <c r="M349" s="17"/>
      <c r="N349" s="17"/>
      <c r="O349" s="17"/>
      <c r="P349" s="17"/>
    </row>
    <row r="350" spans="1:18" x14ac:dyDescent="0.25">
      <c r="A350" s="246" t="s">
        <v>644</v>
      </c>
      <c r="B350" s="246" t="s">
        <v>296</v>
      </c>
      <c r="C350" s="246" t="s">
        <v>279</v>
      </c>
      <c r="D350" s="246">
        <v>11</v>
      </c>
      <c r="E350" s="198" t="s">
        <v>1160</v>
      </c>
      <c r="F350" s="109" t="s">
        <v>156</v>
      </c>
      <c r="G350" s="18" t="s">
        <v>155</v>
      </c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8" x14ac:dyDescent="0.25">
      <c r="A351" s="246" t="s">
        <v>644</v>
      </c>
      <c r="B351" s="246" t="s">
        <v>296</v>
      </c>
      <c r="C351" s="246" t="s">
        <v>279</v>
      </c>
      <c r="D351" s="246">
        <v>11</v>
      </c>
      <c r="E351" s="198" t="s">
        <v>173</v>
      </c>
      <c r="F351" s="108"/>
      <c r="G351" s="17"/>
      <c r="H351" s="17"/>
      <c r="I351" s="17"/>
      <c r="J351" s="17"/>
      <c r="K351" s="17"/>
      <c r="L351" s="17"/>
      <c r="M351" s="17"/>
      <c r="N351" s="17"/>
      <c r="O351" s="17"/>
      <c r="P351" s="17"/>
    </row>
    <row r="352" spans="1:18" x14ac:dyDescent="0.25">
      <c r="A352" s="246" t="s">
        <v>644</v>
      </c>
      <c r="B352" s="246" t="s">
        <v>296</v>
      </c>
      <c r="C352" s="246" t="s">
        <v>279</v>
      </c>
      <c r="D352" s="246">
        <v>11</v>
      </c>
      <c r="E352" s="198" t="s">
        <v>1674</v>
      </c>
      <c r="F352" s="247" t="s">
        <v>379</v>
      </c>
      <c r="G352" s="226"/>
      <c r="H352" s="227"/>
      <c r="I352" s="225" t="s">
        <v>378</v>
      </c>
      <c r="J352" s="226"/>
      <c r="K352" s="226"/>
      <c r="L352" s="226"/>
      <c r="M352" s="226"/>
      <c r="N352" s="227"/>
      <c r="O352" s="18"/>
      <c r="P352" s="18"/>
    </row>
    <row r="353" spans="1:16" x14ac:dyDescent="0.25">
      <c r="A353" s="246" t="s">
        <v>644</v>
      </c>
      <c r="B353" s="246" t="s">
        <v>296</v>
      </c>
      <c r="C353" s="246" t="s">
        <v>279</v>
      </c>
      <c r="D353" s="246">
        <v>11</v>
      </c>
      <c r="E353" s="198" t="s">
        <v>715</v>
      </c>
      <c r="F353" s="108" t="s">
        <v>570</v>
      </c>
      <c r="G353" s="17" t="s">
        <v>110</v>
      </c>
      <c r="H353" s="17" t="s">
        <v>111</v>
      </c>
      <c r="I353" s="17" t="s">
        <v>118</v>
      </c>
      <c r="J353" s="17" t="s">
        <v>124</v>
      </c>
      <c r="K353" s="17" t="s">
        <v>125</v>
      </c>
      <c r="L353" s="17" t="s">
        <v>127</v>
      </c>
      <c r="M353" s="17" t="s">
        <v>138</v>
      </c>
      <c r="N353" s="17" t="s">
        <v>141</v>
      </c>
      <c r="O353" s="17"/>
      <c r="P353" s="17"/>
    </row>
    <row r="354" spans="1:16" ht="16.5" customHeight="1" x14ac:dyDescent="0.25">
      <c r="A354" s="246" t="s">
        <v>105</v>
      </c>
      <c r="B354" s="246" t="s">
        <v>297</v>
      </c>
      <c r="C354" s="246" t="s">
        <v>288</v>
      </c>
      <c r="D354" s="246">
        <v>9</v>
      </c>
      <c r="E354" s="198" t="s">
        <v>172</v>
      </c>
      <c r="F354" s="247" t="s">
        <v>558</v>
      </c>
      <c r="G354" s="226"/>
      <c r="H354" s="227"/>
      <c r="I354" s="225" t="s">
        <v>115</v>
      </c>
      <c r="J354" s="226"/>
      <c r="K354" s="227"/>
      <c r="L354" s="18" t="s">
        <v>154</v>
      </c>
      <c r="M354" s="19" t="s">
        <v>149</v>
      </c>
      <c r="N354" s="19" t="s">
        <v>150</v>
      </c>
    </row>
    <row r="355" spans="1:16" x14ac:dyDescent="0.25">
      <c r="A355" s="246" t="s">
        <v>645</v>
      </c>
      <c r="B355" s="246" t="s">
        <v>296</v>
      </c>
      <c r="C355" s="246" t="s">
        <v>280</v>
      </c>
      <c r="D355" s="246">
        <v>9</v>
      </c>
      <c r="E355" s="198" t="s">
        <v>172</v>
      </c>
      <c r="F355" s="108" t="s">
        <v>570</v>
      </c>
      <c r="G355" s="17" t="s">
        <v>573</v>
      </c>
      <c r="H355" s="17" t="s">
        <v>208</v>
      </c>
      <c r="I355" s="17" t="s">
        <v>124</v>
      </c>
      <c r="J355" s="17" t="s">
        <v>125</v>
      </c>
      <c r="K355" s="17" t="s">
        <v>129</v>
      </c>
      <c r="L355" s="17"/>
      <c r="M355" s="20"/>
      <c r="N355" s="20"/>
    </row>
    <row r="356" spans="1:16" ht="15" customHeight="1" x14ac:dyDescent="0.25">
      <c r="A356" s="246" t="s">
        <v>645</v>
      </c>
      <c r="B356" s="246" t="s">
        <v>296</v>
      </c>
      <c r="C356" s="246" t="s">
        <v>280</v>
      </c>
      <c r="D356" s="246">
        <v>9</v>
      </c>
      <c r="E356" s="198" t="s">
        <v>171</v>
      </c>
      <c r="F356" s="109" t="s">
        <v>182</v>
      </c>
      <c r="G356" s="18" t="s">
        <v>191</v>
      </c>
      <c r="H356" s="18" t="s">
        <v>1906</v>
      </c>
      <c r="I356" s="18" t="s">
        <v>186</v>
      </c>
      <c r="J356" s="18" t="s">
        <v>190</v>
      </c>
      <c r="K356" s="18"/>
      <c r="L356" s="18"/>
      <c r="M356" s="19"/>
      <c r="N356" s="19"/>
    </row>
    <row r="357" spans="1:16" ht="15" customHeight="1" x14ac:dyDescent="0.25">
      <c r="A357" s="246" t="s">
        <v>645</v>
      </c>
      <c r="B357" s="246" t="s">
        <v>296</v>
      </c>
      <c r="C357" s="246" t="s">
        <v>280</v>
      </c>
      <c r="D357" s="246">
        <v>9</v>
      </c>
      <c r="E357" s="198" t="s">
        <v>171</v>
      </c>
      <c r="F357" s="108"/>
      <c r="G357" s="17"/>
      <c r="H357" s="17" t="s">
        <v>320</v>
      </c>
      <c r="I357" s="17" t="s">
        <v>353</v>
      </c>
      <c r="J357" s="17"/>
      <c r="K357" s="17"/>
      <c r="L357" s="17"/>
      <c r="M357" s="20"/>
      <c r="N357" s="20"/>
    </row>
    <row r="358" spans="1:16" x14ac:dyDescent="0.25">
      <c r="A358" s="246" t="s">
        <v>645</v>
      </c>
      <c r="B358" s="246" t="s">
        <v>296</v>
      </c>
      <c r="C358" s="246" t="s">
        <v>280</v>
      </c>
      <c r="D358" s="246">
        <v>9</v>
      </c>
      <c r="E358" s="198" t="s">
        <v>1160</v>
      </c>
      <c r="F358" s="109" t="s">
        <v>156</v>
      </c>
      <c r="G358" s="18" t="s">
        <v>155</v>
      </c>
      <c r="H358" s="19"/>
      <c r="I358" s="19"/>
      <c r="J358" s="19"/>
      <c r="K358" s="19"/>
      <c r="L358" s="19"/>
      <c r="M358" s="19"/>
      <c r="N358" s="19"/>
    </row>
    <row r="359" spans="1:16" x14ac:dyDescent="0.25">
      <c r="A359" s="246" t="s">
        <v>645</v>
      </c>
      <c r="B359" s="246" t="s">
        <v>296</v>
      </c>
      <c r="C359" s="246" t="s">
        <v>280</v>
      </c>
      <c r="D359" s="246">
        <v>9</v>
      </c>
      <c r="E359" s="198" t="s">
        <v>173</v>
      </c>
      <c r="F359" s="110"/>
      <c r="G359" s="20"/>
      <c r="H359" s="20"/>
      <c r="I359" s="20"/>
      <c r="J359" s="20"/>
      <c r="K359" s="20"/>
      <c r="L359" s="20"/>
      <c r="M359" s="20"/>
      <c r="N359" s="20"/>
    </row>
    <row r="360" spans="1:16" x14ac:dyDescent="0.25">
      <c r="A360" s="246" t="s">
        <v>645</v>
      </c>
      <c r="B360" s="246" t="s">
        <v>296</v>
      </c>
      <c r="C360" s="246" t="s">
        <v>280</v>
      </c>
      <c r="D360" s="246">
        <v>9</v>
      </c>
      <c r="E360" s="198" t="s">
        <v>1674</v>
      </c>
      <c r="F360" s="247" t="s">
        <v>379</v>
      </c>
      <c r="G360" s="227"/>
      <c r="H360" s="225" t="s">
        <v>378</v>
      </c>
      <c r="I360" s="226"/>
      <c r="J360" s="227"/>
      <c r="K360" s="19"/>
      <c r="L360" s="19"/>
      <c r="M360" s="19"/>
      <c r="N360" s="19"/>
    </row>
    <row r="361" spans="1:16" x14ac:dyDescent="0.25">
      <c r="A361" s="246" t="s">
        <v>645</v>
      </c>
      <c r="B361" s="246" t="s">
        <v>296</v>
      </c>
      <c r="C361" s="246" t="s">
        <v>280</v>
      </c>
      <c r="D361" s="246">
        <v>9</v>
      </c>
      <c r="E361" s="198" t="s">
        <v>715</v>
      </c>
      <c r="F361" s="110" t="s">
        <v>573</v>
      </c>
      <c r="G361" s="20" t="s">
        <v>208</v>
      </c>
      <c r="H361" s="20" t="s">
        <v>124</v>
      </c>
      <c r="I361" s="20" t="s">
        <v>125</v>
      </c>
      <c r="J361" s="20" t="s">
        <v>145</v>
      </c>
      <c r="K361" s="20"/>
      <c r="L361" s="20"/>
      <c r="M361" s="20"/>
      <c r="N361" s="20"/>
    </row>
    <row r="362" spans="1:16" ht="16.5" customHeight="1" x14ac:dyDescent="0.25">
      <c r="A362" s="246" t="s">
        <v>106</v>
      </c>
      <c r="B362" s="246" t="s">
        <v>297</v>
      </c>
      <c r="C362" s="246" t="s">
        <v>289</v>
      </c>
      <c r="D362" s="246">
        <v>7</v>
      </c>
      <c r="E362" s="198" t="s">
        <v>1159</v>
      </c>
      <c r="F362" s="109" t="s">
        <v>558</v>
      </c>
      <c r="G362" s="225" t="s">
        <v>115</v>
      </c>
      <c r="H362" s="226"/>
      <c r="I362" s="226"/>
      <c r="J362" s="227"/>
      <c r="K362" s="18" t="s">
        <v>154</v>
      </c>
      <c r="L362" s="18" t="s">
        <v>157</v>
      </c>
    </row>
    <row r="363" spans="1:16" x14ac:dyDescent="0.25">
      <c r="A363" s="246" t="s">
        <v>646</v>
      </c>
      <c r="B363" s="246" t="s">
        <v>296</v>
      </c>
      <c r="C363" s="246" t="s">
        <v>281</v>
      </c>
      <c r="D363" s="246">
        <v>7</v>
      </c>
      <c r="E363" s="198" t="s">
        <v>172</v>
      </c>
      <c r="F363" s="108" t="s">
        <v>387</v>
      </c>
      <c r="G363" s="17" t="s">
        <v>124</v>
      </c>
      <c r="H363" s="17" t="s">
        <v>125</v>
      </c>
      <c r="I363" s="17" t="s">
        <v>141</v>
      </c>
      <c r="J363" s="17" t="s">
        <v>142</v>
      </c>
      <c r="K363" s="17"/>
      <c r="L363" s="17"/>
    </row>
    <row r="364" spans="1:16" ht="15" customHeight="1" x14ac:dyDescent="0.25">
      <c r="A364" s="246" t="s">
        <v>646</v>
      </c>
      <c r="B364" s="246" t="s">
        <v>296</v>
      </c>
      <c r="C364" s="246" t="s">
        <v>281</v>
      </c>
      <c r="D364" s="246">
        <v>7</v>
      </c>
      <c r="E364" s="198" t="s">
        <v>1161</v>
      </c>
      <c r="F364" s="248" t="s">
        <v>703</v>
      </c>
      <c r="G364" s="234"/>
      <c r="H364" s="18" t="s">
        <v>361</v>
      </c>
      <c r="I364" s="18" t="s">
        <v>190</v>
      </c>
      <c r="J364" s="18"/>
      <c r="K364" s="18"/>
      <c r="L364" s="18"/>
    </row>
    <row r="365" spans="1:16" ht="15" customHeight="1" x14ac:dyDescent="0.25">
      <c r="A365" s="246" t="s">
        <v>646</v>
      </c>
      <c r="B365" s="246" t="s">
        <v>296</v>
      </c>
      <c r="C365" s="246" t="s">
        <v>281</v>
      </c>
      <c r="D365" s="246">
        <v>7</v>
      </c>
      <c r="E365" s="198" t="s">
        <v>171</v>
      </c>
      <c r="F365" s="108" t="s">
        <v>259</v>
      </c>
      <c r="G365" s="28" t="s">
        <v>222</v>
      </c>
      <c r="H365" s="20"/>
      <c r="I365" s="20"/>
      <c r="J365" s="17"/>
      <c r="K365" s="17"/>
      <c r="L365" s="17"/>
    </row>
    <row r="366" spans="1:16" x14ac:dyDescent="0.25">
      <c r="A366" s="246" t="s">
        <v>646</v>
      </c>
      <c r="B366" s="246" t="s">
        <v>296</v>
      </c>
      <c r="C366" s="246" t="s">
        <v>281</v>
      </c>
      <c r="D366" s="246">
        <v>7</v>
      </c>
      <c r="E366" s="198" t="s">
        <v>1160</v>
      </c>
      <c r="F366" s="109" t="s">
        <v>156</v>
      </c>
      <c r="G366" s="18" t="s">
        <v>155</v>
      </c>
      <c r="H366" s="18"/>
      <c r="I366" s="19"/>
      <c r="J366" s="19"/>
      <c r="K366" s="19"/>
      <c r="L366" s="19"/>
    </row>
    <row r="367" spans="1:16" x14ac:dyDescent="0.25">
      <c r="A367" s="246" t="s">
        <v>646</v>
      </c>
      <c r="B367" s="246" t="s">
        <v>296</v>
      </c>
      <c r="C367" s="246" t="s">
        <v>281</v>
      </c>
      <c r="D367" s="246">
        <v>7</v>
      </c>
      <c r="E367" s="198" t="s">
        <v>173</v>
      </c>
      <c r="F367" s="108"/>
      <c r="G367" s="17"/>
      <c r="H367" s="17"/>
      <c r="I367" s="17"/>
      <c r="J367" s="17"/>
      <c r="K367" s="17"/>
      <c r="L367" s="17"/>
    </row>
    <row r="368" spans="1:16" x14ac:dyDescent="0.25">
      <c r="A368" s="246" t="s">
        <v>646</v>
      </c>
      <c r="B368" s="246" t="s">
        <v>296</v>
      </c>
      <c r="C368" s="246" t="s">
        <v>281</v>
      </c>
      <c r="D368" s="246">
        <v>7</v>
      </c>
      <c r="E368" s="198" t="s">
        <v>1674</v>
      </c>
      <c r="F368" s="109" t="s">
        <v>379</v>
      </c>
      <c r="G368" s="225" t="s">
        <v>378</v>
      </c>
      <c r="H368" s="226"/>
      <c r="I368" s="226"/>
      <c r="J368" s="226"/>
      <c r="K368" s="227"/>
      <c r="L368" s="68"/>
    </row>
    <row r="369" spans="1:24" x14ac:dyDescent="0.25">
      <c r="A369" s="246" t="s">
        <v>646</v>
      </c>
      <c r="B369" s="246" t="s">
        <v>296</v>
      </c>
      <c r="C369" s="246" t="s">
        <v>281</v>
      </c>
      <c r="D369" s="246">
        <v>7</v>
      </c>
      <c r="E369" s="198" t="s">
        <v>715</v>
      </c>
      <c r="F369" s="108" t="s">
        <v>192</v>
      </c>
      <c r="G369" s="17" t="s">
        <v>118</v>
      </c>
      <c r="H369" s="17" t="s">
        <v>124</v>
      </c>
      <c r="I369" s="17" t="s">
        <v>125</v>
      </c>
      <c r="J369" s="17" t="s">
        <v>141</v>
      </c>
      <c r="K369" s="106" t="s">
        <v>142</v>
      </c>
      <c r="L369" s="107"/>
    </row>
    <row r="370" spans="1:24" ht="16.5" customHeight="1" x14ac:dyDescent="0.25">
      <c r="A370" s="246" t="s">
        <v>107</v>
      </c>
      <c r="B370" s="246" t="s">
        <v>297</v>
      </c>
      <c r="C370" s="246" t="s">
        <v>290</v>
      </c>
      <c r="D370" s="246">
        <v>19</v>
      </c>
      <c r="E370" s="198" t="s">
        <v>1159</v>
      </c>
      <c r="F370" s="247" t="s">
        <v>558</v>
      </c>
      <c r="G370" s="226"/>
      <c r="H370" s="226"/>
      <c r="I370" s="226"/>
      <c r="J370" s="227"/>
      <c r="K370" s="249" t="s">
        <v>115</v>
      </c>
      <c r="L370" s="249"/>
      <c r="M370" s="249"/>
      <c r="N370" s="249"/>
      <c r="O370" s="249"/>
      <c r="P370" s="249"/>
      <c r="Q370" s="249"/>
      <c r="R370" s="249"/>
      <c r="S370" s="18" t="s">
        <v>148</v>
      </c>
      <c r="T370" s="18" t="s">
        <v>159</v>
      </c>
      <c r="U370" s="18" t="s">
        <v>152</v>
      </c>
      <c r="V370" s="18" t="s">
        <v>154</v>
      </c>
      <c r="W370" s="18" t="s">
        <v>149</v>
      </c>
      <c r="X370" s="18" t="s">
        <v>150</v>
      </c>
    </row>
    <row r="371" spans="1:24" x14ac:dyDescent="0.25">
      <c r="A371" s="246" t="s">
        <v>647</v>
      </c>
      <c r="B371" s="246" t="s">
        <v>296</v>
      </c>
      <c r="C371" s="246" t="s">
        <v>282</v>
      </c>
      <c r="D371" s="246">
        <v>19</v>
      </c>
      <c r="E371" s="198" t="s">
        <v>172</v>
      </c>
      <c r="F371" s="108" t="s">
        <v>580</v>
      </c>
      <c r="G371" s="17" t="s">
        <v>566</v>
      </c>
      <c r="H371" s="17" t="s">
        <v>571</v>
      </c>
      <c r="I371" s="17" t="s">
        <v>582</v>
      </c>
      <c r="J371" s="17" t="s">
        <v>110</v>
      </c>
      <c r="K371" s="17" t="s">
        <v>118</v>
      </c>
      <c r="L371" s="17" t="s">
        <v>125</v>
      </c>
      <c r="M371" s="17" t="s">
        <v>126</v>
      </c>
      <c r="N371" s="17" t="s">
        <v>135</v>
      </c>
      <c r="O371" s="17" t="s">
        <v>136</v>
      </c>
      <c r="P371" s="17" t="s">
        <v>137</v>
      </c>
      <c r="Q371" s="17" t="s">
        <v>141</v>
      </c>
      <c r="R371" s="17" t="s">
        <v>145</v>
      </c>
      <c r="S371" s="17"/>
      <c r="T371" s="17"/>
      <c r="U371" s="17"/>
      <c r="V371" s="17"/>
      <c r="W371" s="17"/>
      <c r="X371" s="17"/>
    </row>
    <row r="372" spans="1:24" ht="15" customHeight="1" x14ac:dyDescent="0.25">
      <c r="A372" s="246" t="s">
        <v>647</v>
      </c>
      <c r="B372" s="246" t="s">
        <v>296</v>
      </c>
      <c r="C372" s="246" t="s">
        <v>282</v>
      </c>
      <c r="D372" s="246">
        <v>19</v>
      </c>
      <c r="E372" s="198" t="s">
        <v>171</v>
      </c>
      <c r="F372" s="109" t="s">
        <v>182</v>
      </c>
      <c r="G372" s="18" t="s">
        <v>365</v>
      </c>
      <c r="H372" s="225" t="s">
        <v>703</v>
      </c>
      <c r="I372" s="226"/>
      <c r="J372" s="227"/>
      <c r="K372" s="18" t="s">
        <v>217</v>
      </c>
      <c r="L372" s="18" t="s">
        <v>361</v>
      </c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</row>
    <row r="373" spans="1:24" ht="15" customHeight="1" x14ac:dyDescent="0.25">
      <c r="A373" s="246" t="s">
        <v>647</v>
      </c>
      <c r="B373" s="246" t="s">
        <v>296</v>
      </c>
      <c r="C373" s="246" t="s">
        <v>282</v>
      </c>
      <c r="D373" s="246">
        <v>19</v>
      </c>
      <c r="E373" s="198" t="s">
        <v>171</v>
      </c>
      <c r="F373" s="108"/>
      <c r="G373" s="17"/>
      <c r="H373" s="17" t="s">
        <v>230</v>
      </c>
      <c r="I373" s="17" t="s">
        <v>199</v>
      </c>
      <c r="J373" s="17" t="s">
        <v>201</v>
      </c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</row>
    <row r="374" spans="1:24" x14ac:dyDescent="0.25">
      <c r="A374" s="246" t="s">
        <v>647</v>
      </c>
      <c r="B374" s="246" t="s">
        <v>296</v>
      </c>
      <c r="C374" s="246" t="s">
        <v>282</v>
      </c>
      <c r="D374" s="246">
        <v>19</v>
      </c>
      <c r="E374" s="198" t="s">
        <v>173</v>
      </c>
      <c r="F374" s="109" t="s">
        <v>170</v>
      </c>
      <c r="G374" s="18" t="s">
        <v>156</v>
      </c>
      <c r="H374" s="18" t="s">
        <v>155</v>
      </c>
      <c r="I374" s="18"/>
      <c r="J374" s="18"/>
      <c r="K374" s="19"/>
      <c r="L374" s="19"/>
      <c r="M374" s="19"/>
      <c r="N374" s="19"/>
      <c r="O374" s="19"/>
      <c r="P374" s="19"/>
      <c r="Q374" s="19"/>
      <c r="R374" s="19"/>
      <c r="S374" s="18"/>
      <c r="T374" s="18"/>
      <c r="U374" s="18"/>
      <c r="V374" s="18"/>
      <c r="W374" s="18"/>
      <c r="X374" s="18"/>
    </row>
    <row r="375" spans="1:24" x14ac:dyDescent="0.25">
      <c r="A375" s="246" t="s">
        <v>647</v>
      </c>
      <c r="B375" s="246" t="s">
        <v>296</v>
      </c>
      <c r="C375" s="246" t="s">
        <v>282</v>
      </c>
      <c r="D375" s="246">
        <v>19</v>
      </c>
      <c r="E375" s="198" t="s">
        <v>173</v>
      </c>
      <c r="F375" s="108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</row>
    <row r="376" spans="1:24" x14ac:dyDescent="0.25">
      <c r="A376" s="246" t="s">
        <v>647</v>
      </c>
      <c r="B376" s="246" t="s">
        <v>296</v>
      </c>
      <c r="C376" s="246" t="s">
        <v>282</v>
      </c>
      <c r="D376" s="246">
        <v>19</v>
      </c>
      <c r="E376" s="198" t="s">
        <v>1674</v>
      </c>
      <c r="F376" s="247" t="s">
        <v>379</v>
      </c>
      <c r="G376" s="226"/>
      <c r="H376" s="226"/>
      <c r="I376" s="227"/>
      <c r="J376" s="225" t="s">
        <v>378</v>
      </c>
      <c r="K376" s="226"/>
      <c r="L376" s="226"/>
      <c r="M376" s="226"/>
      <c r="N376" s="227"/>
      <c r="O376" s="18" t="s">
        <v>159</v>
      </c>
      <c r="P376" s="18" t="s">
        <v>1907</v>
      </c>
      <c r="Q376" s="18"/>
      <c r="R376" s="18"/>
      <c r="S376" s="18"/>
      <c r="T376" s="18"/>
      <c r="U376" s="18"/>
      <c r="V376" s="18"/>
      <c r="W376" s="18"/>
      <c r="X376" s="18"/>
    </row>
    <row r="377" spans="1:24" x14ac:dyDescent="0.25">
      <c r="A377" s="246" t="s">
        <v>647</v>
      </c>
      <c r="B377" s="246" t="s">
        <v>296</v>
      </c>
      <c r="C377" s="246" t="s">
        <v>282</v>
      </c>
      <c r="D377" s="246">
        <v>19</v>
      </c>
      <c r="E377" s="198" t="s">
        <v>715</v>
      </c>
      <c r="F377" s="108" t="s">
        <v>566</v>
      </c>
      <c r="G377" s="17" t="s">
        <v>571</v>
      </c>
      <c r="H377" s="17" t="s">
        <v>110</v>
      </c>
      <c r="I377" s="17" t="s">
        <v>111</v>
      </c>
      <c r="J377" s="17" t="s">
        <v>125</v>
      </c>
      <c r="K377" s="17" t="s">
        <v>140</v>
      </c>
      <c r="L377" s="17" t="s">
        <v>137</v>
      </c>
      <c r="M377" s="17" t="s">
        <v>141</v>
      </c>
      <c r="N377" s="17" t="s">
        <v>145</v>
      </c>
      <c r="O377" s="17"/>
      <c r="P377" s="17"/>
      <c r="Q377" s="17"/>
      <c r="R377" s="17"/>
      <c r="S377" s="17"/>
      <c r="T377" s="17"/>
      <c r="U377" s="17"/>
      <c r="V377" s="17"/>
      <c r="W377" s="17"/>
      <c r="X377" s="17"/>
    </row>
    <row r="378" spans="1:24" ht="16.5" customHeight="1" x14ac:dyDescent="0.25">
      <c r="A378" s="246" t="s">
        <v>176</v>
      </c>
      <c r="B378" s="246" t="s">
        <v>297</v>
      </c>
      <c r="C378" s="246" t="s">
        <v>292</v>
      </c>
      <c r="D378" s="246">
        <v>14</v>
      </c>
      <c r="E378" s="198" t="s">
        <v>172</v>
      </c>
      <c r="F378" s="247" t="s">
        <v>558</v>
      </c>
      <c r="G378" s="226"/>
      <c r="H378" s="227"/>
      <c r="I378" s="225" t="s">
        <v>115</v>
      </c>
      <c r="J378" s="226"/>
      <c r="K378" s="226"/>
      <c r="L378" s="226"/>
      <c r="M378" s="227"/>
      <c r="N378" s="18" t="s">
        <v>154</v>
      </c>
      <c r="O378" s="18" t="s">
        <v>149</v>
      </c>
      <c r="P378" s="18" t="s">
        <v>150</v>
      </c>
      <c r="Q378" s="18"/>
      <c r="R378" s="18"/>
      <c r="S378" s="19"/>
    </row>
    <row r="379" spans="1:24" x14ac:dyDescent="0.25">
      <c r="A379" s="246" t="s">
        <v>648</v>
      </c>
      <c r="B379" s="246" t="s">
        <v>296</v>
      </c>
      <c r="C379" s="246" t="s">
        <v>291</v>
      </c>
      <c r="D379" s="246">
        <v>14</v>
      </c>
      <c r="E379" s="198" t="s">
        <v>172</v>
      </c>
      <c r="F379" s="108" t="s">
        <v>570</v>
      </c>
      <c r="G379" s="17" t="s">
        <v>573</v>
      </c>
      <c r="H379" s="17" t="s">
        <v>208</v>
      </c>
      <c r="I379" s="17" t="s">
        <v>124</v>
      </c>
      <c r="J379" s="17" t="s">
        <v>125</v>
      </c>
      <c r="K379" s="17" t="s">
        <v>129</v>
      </c>
      <c r="L379" s="17" t="s">
        <v>141</v>
      </c>
      <c r="M379" s="17" t="s">
        <v>145</v>
      </c>
      <c r="N379" s="17"/>
      <c r="O379" s="17"/>
      <c r="P379" s="17"/>
      <c r="Q379" s="17"/>
      <c r="R379" s="17"/>
      <c r="S379" s="20"/>
    </row>
    <row r="380" spans="1:24" ht="15" customHeight="1" x14ac:dyDescent="0.25">
      <c r="A380" s="246" t="s">
        <v>648</v>
      </c>
      <c r="B380" s="246" t="s">
        <v>296</v>
      </c>
      <c r="C380" s="246" t="s">
        <v>291</v>
      </c>
      <c r="D380" s="246">
        <v>14</v>
      </c>
      <c r="E380" s="198" t="s">
        <v>1161</v>
      </c>
      <c r="F380" s="247" t="s">
        <v>703</v>
      </c>
      <c r="G380" s="226"/>
      <c r="H380" s="227"/>
      <c r="I380" s="225" t="s">
        <v>706</v>
      </c>
      <c r="J380" s="227"/>
      <c r="K380" s="18" t="s">
        <v>704</v>
      </c>
      <c r="L380" s="225" t="s">
        <v>707</v>
      </c>
      <c r="M380" s="227"/>
      <c r="N380" s="225" t="s">
        <v>186</v>
      </c>
      <c r="O380" s="226"/>
      <c r="P380" s="226"/>
      <c r="Q380" s="226"/>
      <c r="R380" s="227"/>
      <c r="S380" s="19" t="s">
        <v>190</v>
      </c>
    </row>
    <row r="381" spans="1:24" ht="15" customHeight="1" x14ac:dyDescent="0.25">
      <c r="A381" s="246" t="s">
        <v>648</v>
      </c>
      <c r="B381" s="246" t="s">
        <v>296</v>
      </c>
      <c r="C381" s="246" t="s">
        <v>291</v>
      </c>
      <c r="D381" s="246">
        <v>14</v>
      </c>
      <c r="E381" s="198" t="s">
        <v>171</v>
      </c>
      <c r="F381" s="108" t="s">
        <v>514</v>
      </c>
      <c r="G381" s="17" t="s">
        <v>200</v>
      </c>
      <c r="H381" s="17" t="s">
        <v>257</v>
      </c>
      <c r="I381" s="17" t="s">
        <v>210</v>
      </c>
      <c r="J381" s="17" t="s">
        <v>205</v>
      </c>
      <c r="K381" s="17" t="s">
        <v>319</v>
      </c>
      <c r="L381" s="17" t="s">
        <v>329</v>
      </c>
      <c r="M381" s="17" t="s">
        <v>331</v>
      </c>
      <c r="N381" s="17" t="s">
        <v>194</v>
      </c>
      <c r="O381" s="17" t="s">
        <v>337</v>
      </c>
      <c r="P381" s="17" t="s">
        <v>195</v>
      </c>
      <c r="Q381" s="17" t="s">
        <v>350</v>
      </c>
      <c r="R381" s="17" t="s">
        <v>196</v>
      </c>
      <c r="S381" s="20"/>
    </row>
    <row r="382" spans="1:24" x14ac:dyDescent="0.25">
      <c r="A382" s="246" t="s">
        <v>648</v>
      </c>
      <c r="B382" s="246" t="s">
        <v>296</v>
      </c>
      <c r="C382" s="246" t="s">
        <v>291</v>
      </c>
      <c r="D382" s="246">
        <v>14</v>
      </c>
      <c r="E382" s="198" t="s">
        <v>1160</v>
      </c>
      <c r="F382" s="109" t="s">
        <v>156</v>
      </c>
      <c r="G382" s="18" t="s">
        <v>155</v>
      </c>
      <c r="H382" s="19"/>
      <c r="I382" s="19"/>
      <c r="J382" s="19"/>
      <c r="K382" s="19"/>
      <c r="L382" s="19"/>
      <c r="M382" s="19"/>
      <c r="N382" s="19"/>
      <c r="O382" s="18"/>
      <c r="P382" s="18"/>
      <c r="Q382" s="18"/>
      <c r="R382" s="18"/>
      <c r="S382" s="19"/>
    </row>
    <row r="383" spans="1:24" x14ac:dyDescent="0.25">
      <c r="A383" s="246" t="s">
        <v>648</v>
      </c>
      <c r="B383" s="246" t="s">
        <v>296</v>
      </c>
      <c r="C383" s="246" t="s">
        <v>291</v>
      </c>
      <c r="D383" s="246">
        <v>14</v>
      </c>
      <c r="E383" s="198" t="s">
        <v>173</v>
      </c>
      <c r="F383" s="108"/>
      <c r="G383" s="20"/>
      <c r="H383" s="17"/>
      <c r="I383" s="17"/>
      <c r="J383" s="17"/>
      <c r="K383" s="17"/>
      <c r="L383" s="17"/>
      <c r="M383" s="17"/>
      <c r="N383" s="17"/>
      <c r="O383" s="20"/>
      <c r="P383" s="20"/>
      <c r="Q383" s="20"/>
      <c r="R383" s="20"/>
      <c r="S383" s="20"/>
    </row>
    <row r="384" spans="1:24" x14ac:dyDescent="0.25">
      <c r="A384" s="246" t="s">
        <v>648</v>
      </c>
      <c r="B384" s="246" t="s">
        <v>296</v>
      </c>
      <c r="C384" s="246" t="s">
        <v>291</v>
      </c>
      <c r="D384" s="246">
        <v>14</v>
      </c>
      <c r="E384" s="198" t="s">
        <v>1674</v>
      </c>
      <c r="F384" s="247" t="s">
        <v>379</v>
      </c>
      <c r="G384" s="226"/>
      <c r="H384" s="227"/>
      <c r="I384" s="225" t="s">
        <v>378</v>
      </c>
      <c r="J384" s="226"/>
      <c r="K384" s="226"/>
      <c r="L384" s="227"/>
      <c r="M384" s="19"/>
      <c r="N384" s="19"/>
      <c r="O384" s="19"/>
      <c r="P384" s="19"/>
      <c r="Q384" s="19"/>
      <c r="R384" s="19"/>
      <c r="S384" s="19"/>
    </row>
    <row r="385" spans="1:25" x14ac:dyDescent="0.25">
      <c r="A385" s="246" t="s">
        <v>648</v>
      </c>
      <c r="B385" s="246" t="s">
        <v>296</v>
      </c>
      <c r="C385" s="246" t="s">
        <v>291</v>
      </c>
      <c r="D385" s="246">
        <v>14</v>
      </c>
      <c r="E385" s="198" t="s">
        <v>715</v>
      </c>
      <c r="F385" s="108" t="s">
        <v>570</v>
      </c>
      <c r="G385" s="17" t="s">
        <v>573</v>
      </c>
      <c r="H385" s="17" t="s">
        <v>208</v>
      </c>
      <c r="I385" s="17" t="s">
        <v>124</v>
      </c>
      <c r="J385" s="17" t="s">
        <v>125</v>
      </c>
      <c r="K385" s="17" t="s">
        <v>141</v>
      </c>
      <c r="L385" s="17" t="s">
        <v>145</v>
      </c>
      <c r="M385" s="20"/>
      <c r="N385" s="20"/>
      <c r="O385" s="20"/>
      <c r="P385" s="20"/>
      <c r="Q385" s="20"/>
      <c r="R385" s="20"/>
      <c r="S385" s="20"/>
    </row>
    <row r="386" spans="1:25" x14ac:dyDescent="0.25">
      <c r="A386" s="246" t="s">
        <v>108</v>
      </c>
      <c r="B386" s="246" t="s">
        <v>298</v>
      </c>
      <c r="C386" s="246" t="s">
        <v>274</v>
      </c>
      <c r="D386" s="246">
        <v>20</v>
      </c>
      <c r="E386" s="198" t="s">
        <v>1159</v>
      </c>
      <c r="F386" s="111" t="s">
        <v>151</v>
      </c>
      <c r="G386" s="29" t="s">
        <v>558</v>
      </c>
      <c r="H386" s="235" t="s">
        <v>115</v>
      </c>
      <c r="I386" s="236"/>
      <c r="J386" s="236"/>
      <c r="K386" s="236"/>
      <c r="L386" s="236"/>
      <c r="M386" s="236"/>
      <c r="N386" s="236"/>
      <c r="O386" s="236"/>
      <c r="P386" s="236"/>
      <c r="Q386" s="236"/>
      <c r="R386" s="236"/>
      <c r="S386" s="237"/>
      <c r="T386" s="29" t="s">
        <v>158</v>
      </c>
      <c r="U386" s="239" t="s">
        <v>147</v>
      </c>
      <c r="V386" s="239"/>
      <c r="W386" s="29" t="s">
        <v>148</v>
      </c>
      <c r="X386" s="29" t="s">
        <v>159</v>
      </c>
      <c r="Y386" s="29" t="s">
        <v>150</v>
      </c>
    </row>
    <row r="387" spans="1:25" x14ac:dyDescent="0.25">
      <c r="A387" s="246" t="s">
        <v>649</v>
      </c>
      <c r="B387" s="246" t="s">
        <v>6</v>
      </c>
      <c r="C387" s="246" t="s">
        <v>273</v>
      </c>
      <c r="D387" s="246">
        <v>20</v>
      </c>
      <c r="E387" s="198" t="s">
        <v>172</v>
      </c>
      <c r="F387" s="112"/>
      <c r="G387" s="30" t="s">
        <v>574</v>
      </c>
      <c r="H387" s="30" t="s">
        <v>118</v>
      </c>
      <c r="I387" s="30" t="s">
        <v>119</v>
      </c>
      <c r="J387" s="30" t="s">
        <v>120</v>
      </c>
      <c r="K387" s="30" t="s">
        <v>124</v>
      </c>
      <c r="L387" s="30" t="s">
        <v>125</v>
      </c>
      <c r="M387" s="30" t="s">
        <v>126</v>
      </c>
      <c r="N387" s="30" t="s">
        <v>129</v>
      </c>
      <c r="O387" s="30" t="s">
        <v>134</v>
      </c>
      <c r="P387" s="30" t="s">
        <v>135</v>
      </c>
      <c r="Q387" s="30" t="s">
        <v>136</v>
      </c>
      <c r="R387" s="30" t="s">
        <v>141</v>
      </c>
      <c r="S387" s="30" t="s">
        <v>142</v>
      </c>
      <c r="T387" s="32"/>
      <c r="U387" s="30" t="s">
        <v>180</v>
      </c>
      <c r="V387" s="30" t="s">
        <v>181</v>
      </c>
      <c r="W387" s="32"/>
      <c r="X387" s="32"/>
      <c r="Y387" s="30"/>
    </row>
    <row r="388" spans="1:25" x14ac:dyDescent="0.25">
      <c r="A388" s="246" t="s">
        <v>649</v>
      </c>
      <c r="B388" s="246" t="s">
        <v>6</v>
      </c>
      <c r="C388" s="246" t="s">
        <v>273</v>
      </c>
      <c r="D388" s="246">
        <v>20</v>
      </c>
      <c r="E388" s="198" t="s">
        <v>171</v>
      </c>
      <c r="F388" s="111" t="s">
        <v>182</v>
      </c>
      <c r="G388" s="228" t="s">
        <v>703</v>
      </c>
      <c r="H388" s="229"/>
      <c r="I388" s="229"/>
      <c r="J388" s="230"/>
      <c r="K388" s="29" t="s">
        <v>190</v>
      </c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</row>
    <row r="389" spans="1:25" x14ac:dyDescent="0.25">
      <c r="A389" s="246" t="s">
        <v>649</v>
      </c>
      <c r="B389" s="246" t="s">
        <v>6</v>
      </c>
      <c r="C389" s="246" t="s">
        <v>273</v>
      </c>
      <c r="D389" s="246">
        <v>20</v>
      </c>
      <c r="E389" s="198" t="s">
        <v>171</v>
      </c>
      <c r="F389" s="112"/>
      <c r="G389" s="30" t="s">
        <v>249</v>
      </c>
      <c r="H389" s="30" t="s">
        <v>207</v>
      </c>
      <c r="I389" s="30" t="s">
        <v>201</v>
      </c>
      <c r="J389" s="30" t="s">
        <v>202</v>
      </c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x14ac:dyDescent="0.25">
      <c r="A390" s="246" t="s">
        <v>649</v>
      </c>
      <c r="B390" s="246" t="s">
        <v>6</v>
      </c>
      <c r="C390" s="246" t="s">
        <v>273</v>
      </c>
      <c r="D390" s="246">
        <v>20</v>
      </c>
      <c r="E390" s="198" t="s">
        <v>1160</v>
      </c>
      <c r="F390" s="111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31"/>
      <c r="S390" s="29"/>
      <c r="T390" s="29"/>
      <c r="U390" s="29"/>
      <c r="V390" s="29"/>
      <c r="W390" s="29"/>
      <c r="X390" s="29"/>
      <c r="Y390" s="29"/>
    </row>
    <row r="391" spans="1:25" x14ac:dyDescent="0.25">
      <c r="A391" s="246" t="s">
        <v>649</v>
      </c>
      <c r="B391" s="246" t="s">
        <v>6</v>
      </c>
      <c r="C391" s="246" t="s">
        <v>273</v>
      </c>
      <c r="D391" s="246">
        <v>20</v>
      </c>
      <c r="E391" s="198" t="s">
        <v>173</v>
      </c>
      <c r="F391" s="112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2"/>
      <c r="S391" s="30"/>
      <c r="T391" s="30"/>
      <c r="U391" s="30"/>
      <c r="V391" s="30"/>
      <c r="W391" s="30"/>
      <c r="X391" s="30"/>
      <c r="Y391" s="30"/>
    </row>
    <row r="392" spans="1:25" x14ac:dyDescent="0.25">
      <c r="A392" s="246" t="s">
        <v>649</v>
      </c>
      <c r="B392" s="246" t="s">
        <v>6</v>
      </c>
      <c r="C392" s="246" t="s">
        <v>273</v>
      </c>
      <c r="D392" s="246">
        <v>20</v>
      </c>
      <c r="E392" s="198" t="s">
        <v>1674</v>
      </c>
      <c r="F392" s="111" t="s">
        <v>378</v>
      </c>
      <c r="G392" s="29" t="s">
        <v>160</v>
      </c>
      <c r="H392" s="29" t="s">
        <v>161</v>
      </c>
      <c r="I392" s="18" t="s">
        <v>150</v>
      </c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</row>
    <row r="393" spans="1:25" x14ac:dyDescent="0.25">
      <c r="A393" s="246" t="s">
        <v>649</v>
      </c>
      <c r="B393" s="246" t="s">
        <v>6</v>
      </c>
      <c r="C393" s="246" t="s">
        <v>273</v>
      </c>
      <c r="D393" s="246">
        <v>20</v>
      </c>
      <c r="E393" s="198" t="s">
        <v>715</v>
      </c>
      <c r="F393" s="112" t="s">
        <v>125</v>
      </c>
      <c r="G393" s="30"/>
      <c r="H393" s="30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</row>
  </sheetData>
  <mergeCells count="586">
    <mergeCell ref="G362:J362"/>
    <mergeCell ref="G346:M346"/>
    <mergeCell ref="F348:I348"/>
    <mergeCell ref="K348:L348"/>
    <mergeCell ref="F354:H354"/>
    <mergeCell ref="I354:K354"/>
    <mergeCell ref="F360:G360"/>
    <mergeCell ref="H360:J360"/>
    <mergeCell ref="G388:J388"/>
    <mergeCell ref="F370:J370"/>
    <mergeCell ref="K370:R370"/>
    <mergeCell ref="H372:J372"/>
    <mergeCell ref="F378:H378"/>
    <mergeCell ref="I378:M378"/>
    <mergeCell ref="F380:H380"/>
    <mergeCell ref="I380:J380"/>
    <mergeCell ref="L380:M380"/>
    <mergeCell ref="N380:R380"/>
    <mergeCell ref="F384:H384"/>
    <mergeCell ref="I384:L384"/>
    <mergeCell ref="G368:K368"/>
    <mergeCell ref="F376:I376"/>
    <mergeCell ref="J376:N376"/>
    <mergeCell ref="F364:G364"/>
    <mergeCell ref="G338:I338"/>
    <mergeCell ref="F340:I340"/>
    <mergeCell ref="J340:K340"/>
    <mergeCell ref="N340:Q340"/>
    <mergeCell ref="F320:J320"/>
    <mergeCell ref="K320:M320"/>
    <mergeCell ref="F328:I328"/>
    <mergeCell ref="J328:P328"/>
    <mergeCell ref="F336:H336"/>
    <mergeCell ref="I336:M336"/>
    <mergeCell ref="H284:L284"/>
    <mergeCell ref="F314:K314"/>
    <mergeCell ref="L314:N314"/>
    <mergeCell ref="F316:G316"/>
    <mergeCell ref="F322:I322"/>
    <mergeCell ref="J322:N322"/>
    <mergeCell ref="F324:K324"/>
    <mergeCell ref="F330:H330"/>
    <mergeCell ref="G332:J332"/>
    <mergeCell ref="F234:H234"/>
    <mergeCell ref="I234:L234"/>
    <mergeCell ref="F238:H238"/>
    <mergeCell ref="G242:K242"/>
    <mergeCell ref="G266:I266"/>
    <mergeCell ref="G250:J250"/>
    <mergeCell ref="F252:J252"/>
    <mergeCell ref="F258:H258"/>
    <mergeCell ref="I258:N258"/>
    <mergeCell ref="H260:K260"/>
    <mergeCell ref="N260:S260"/>
    <mergeCell ref="I244:M244"/>
    <mergeCell ref="F240:G240"/>
    <mergeCell ref="H240:M240"/>
    <mergeCell ref="G248:K248"/>
    <mergeCell ref="F256:H256"/>
    <mergeCell ref="I256:K256"/>
    <mergeCell ref="G210:N210"/>
    <mergeCell ref="I220:M220"/>
    <mergeCell ref="G226:J226"/>
    <mergeCell ref="G228:J228"/>
    <mergeCell ref="L228:Q228"/>
    <mergeCell ref="G218:J218"/>
    <mergeCell ref="F230:G230"/>
    <mergeCell ref="G216:L216"/>
    <mergeCell ref="F232:I232"/>
    <mergeCell ref="J232:L232"/>
    <mergeCell ref="G202:I202"/>
    <mergeCell ref="J202:O202"/>
    <mergeCell ref="H204:I204"/>
    <mergeCell ref="K204:L204"/>
    <mergeCell ref="G170:I170"/>
    <mergeCell ref="H172:J172"/>
    <mergeCell ref="M172:N172"/>
    <mergeCell ref="F178:I178"/>
    <mergeCell ref="J178:S178"/>
    <mergeCell ref="J180:M180"/>
    <mergeCell ref="F186:H186"/>
    <mergeCell ref="I186:O186"/>
    <mergeCell ref="H198:K198"/>
    <mergeCell ref="F200:K200"/>
    <mergeCell ref="G146:H146"/>
    <mergeCell ref="I146:J146"/>
    <mergeCell ref="K148:M148"/>
    <mergeCell ref="F162:N162"/>
    <mergeCell ref="O162:V162"/>
    <mergeCell ref="G164:I164"/>
    <mergeCell ref="J164:M164"/>
    <mergeCell ref="F166:G166"/>
    <mergeCell ref="G194:H194"/>
    <mergeCell ref="I194:L194"/>
    <mergeCell ref="M194:S194"/>
    <mergeCell ref="G152:H152"/>
    <mergeCell ref="F168:H168"/>
    <mergeCell ref="F192:M192"/>
    <mergeCell ref="N192:T192"/>
    <mergeCell ref="A82:A89"/>
    <mergeCell ref="A90:A97"/>
    <mergeCell ref="C90:C97"/>
    <mergeCell ref="A74:A81"/>
    <mergeCell ref="O36:P36"/>
    <mergeCell ref="Q36:S36"/>
    <mergeCell ref="F38:G38"/>
    <mergeCell ref="H42:J42"/>
    <mergeCell ref="G50:H50"/>
    <mergeCell ref="G58:H58"/>
    <mergeCell ref="F66:G66"/>
    <mergeCell ref="F48:I48"/>
    <mergeCell ref="F56:G56"/>
    <mergeCell ref="F90:G90"/>
    <mergeCell ref="H90:S90"/>
    <mergeCell ref="I92:J92"/>
    <mergeCell ref="E36:E37"/>
    <mergeCell ref="E38:E39"/>
    <mergeCell ref="E40:E41"/>
    <mergeCell ref="E42:E43"/>
    <mergeCell ref="E44:E45"/>
    <mergeCell ref="E46:E47"/>
    <mergeCell ref="E48:E49"/>
    <mergeCell ref="E50:E51"/>
    <mergeCell ref="A114:A121"/>
    <mergeCell ref="A122:A129"/>
    <mergeCell ref="B114:B121"/>
    <mergeCell ref="C114:C121"/>
    <mergeCell ref="B122:B129"/>
    <mergeCell ref="C122:C129"/>
    <mergeCell ref="A98:A105"/>
    <mergeCell ref="A106:A113"/>
    <mergeCell ref="B98:B105"/>
    <mergeCell ref="C98:C105"/>
    <mergeCell ref="B106:B113"/>
    <mergeCell ref="C106:C113"/>
    <mergeCell ref="A130:A137"/>
    <mergeCell ref="A138:A145"/>
    <mergeCell ref="A146:A153"/>
    <mergeCell ref="B130:B137"/>
    <mergeCell ref="C130:C137"/>
    <mergeCell ref="B138:B145"/>
    <mergeCell ref="C138:C145"/>
    <mergeCell ref="B146:B153"/>
    <mergeCell ref="C146:C153"/>
    <mergeCell ref="B194:B201"/>
    <mergeCell ref="C194:C201"/>
    <mergeCell ref="E180:E181"/>
    <mergeCell ref="E182:E183"/>
    <mergeCell ref="E184:E185"/>
    <mergeCell ref="E186:E187"/>
    <mergeCell ref="E188:E189"/>
    <mergeCell ref="E190:E191"/>
    <mergeCell ref="E192:E193"/>
    <mergeCell ref="E194:E195"/>
    <mergeCell ref="E196:E197"/>
    <mergeCell ref="E198:E199"/>
    <mergeCell ref="E200:E201"/>
    <mergeCell ref="A226:A233"/>
    <mergeCell ref="B218:B225"/>
    <mergeCell ref="C218:C225"/>
    <mergeCell ref="B226:B233"/>
    <mergeCell ref="C226:C233"/>
    <mergeCell ref="B202:B209"/>
    <mergeCell ref="C202:C209"/>
    <mergeCell ref="B210:B217"/>
    <mergeCell ref="C210:C217"/>
    <mergeCell ref="A250:A257"/>
    <mergeCell ref="A258:A265"/>
    <mergeCell ref="B250:B257"/>
    <mergeCell ref="C250:C257"/>
    <mergeCell ref="B258:B265"/>
    <mergeCell ref="C258:C265"/>
    <mergeCell ref="A234:A241"/>
    <mergeCell ref="A242:A249"/>
    <mergeCell ref="B234:B241"/>
    <mergeCell ref="C234:C241"/>
    <mergeCell ref="B242:B249"/>
    <mergeCell ref="C242:C249"/>
    <mergeCell ref="A370:A377"/>
    <mergeCell ref="A378:A385"/>
    <mergeCell ref="A282:A289"/>
    <mergeCell ref="A290:A297"/>
    <mergeCell ref="B282:B289"/>
    <mergeCell ref="C282:C289"/>
    <mergeCell ref="B290:B297"/>
    <mergeCell ref="C290:C297"/>
    <mergeCell ref="A266:A273"/>
    <mergeCell ref="A274:A281"/>
    <mergeCell ref="B266:B273"/>
    <mergeCell ref="C266:C273"/>
    <mergeCell ref="B274:B281"/>
    <mergeCell ref="C274:C281"/>
    <mergeCell ref="A298:A305"/>
    <mergeCell ref="A306:A313"/>
    <mergeCell ref="A314:A321"/>
    <mergeCell ref="A322:A329"/>
    <mergeCell ref="A330:A337"/>
    <mergeCell ref="A338:A345"/>
    <mergeCell ref="A346:A353"/>
    <mergeCell ref="A354:A361"/>
    <mergeCell ref="A362:A369"/>
    <mergeCell ref="B298:B305"/>
    <mergeCell ref="G20:J20"/>
    <mergeCell ref="K20:M20"/>
    <mergeCell ref="H386:S386"/>
    <mergeCell ref="U386:V386"/>
    <mergeCell ref="G94:I94"/>
    <mergeCell ref="F114:H114"/>
    <mergeCell ref="I114:L114"/>
    <mergeCell ref="M114:N114"/>
    <mergeCell ref="F176:I176"/>
    <mergeCell ref="G26:I26"/>
    <mergeCell ref="F30:G30"/>
    <mergeCell ref="G34:I34"/>
    <mergeCell ref="J34:L34"/>
    <mergeCell ref="G36:K36"/>
    <mergeCell ref="M36:N36"/>
    <mergeCell ref="G98:H98"/>
    <mergeCell ref="F106:H106"/>
    <mergeCell ref="I106:L106"/>
    <mergeCell ref="K108:M108"/>
    <mergeCell ref="F110:G110"/>
    <mergeCell ref="G122:J122"/>
    <mergeCell ref="K122:O122"/>
    <mergeCell ref="G124:I124"/>
    <mergeCell ref="J124:K124"/>
    <mergeCell ref="A2:A9"/>
    <mergeCell ref="A10:A17"/>
    <mergeCell ref="A18:A25"/>
    <mergeCell ref="A26:A33"/>
    <mergeCell ref="A34:A41"/>
    <mergeCell ref="A42:A49"/>
    <mergeCell ref="A50:A57"/>
    <mergeCell ref="A58:A65"/>
    <mergeCell ref="A66:A73"/>
    <mergeCell ref="A154:A161"/>
    <mergeCell ref="A162:A169"/>
    <mergeCell ref="A170:A177"/>
    <mergeCell ref="A178:A185"/>
    <mergeCell ref="A186:A193"/>
    <mergeCell ref="A194:A201"/>
    <mergeCell ref="A202:A209"/>
    <mergeCell ref="A210:A217"/>
    <mergeCell ref="A218:A225"/>
    <mergeCell ref="A386:A393"/>
    <mergeCell ref="B2:B9"/>
    <mergeCell ref="C2:C9"/>
    <mergeCell ref="B10:B17"/>
    <mergeCell ref="C10:C17"/>
    <mergeCell ref="B18:B25"/>
    <mergeCell ref="C18:C25"/>
    <mergeCell ref="B26:B33"/>
    <mergeCell ref="C26:C33"/>
    <mergeCell ref="B34:B41"/>
    <mergeCell ref="C34:C41"/>
    <mergeCell ref="B42:B49"/>
    <mergeCell ref="C42:C49"/>
    <mergeCell ref="B50:B57"/>
    <mergeCell ref="C50:C57"/>
    <mergeCell ref="B58:B65"/>
    <mergeCell ref="C58:C65"/>
    <mergeCell ref="B66:B73"/>
    <mergeCell ref="C66:C73"/>
    <mergeCell ref="B74:B81"/>
    <mergeCell ref="C74:C81"/>
    <mergeCell ref="B82:B89"/>
    <mergeCell ref="C82:C89"/>
    <mergeCell ref="B90:B97"/>
    <mergeCell ref="B154:B161"/>
    <mergeCell ref="C154:C161"/>
    <mergeCell ref="B162:B169"/>
    <mergeCell ref="C162:C169"/>
    <mergeCell ref="B170:B177"/>
    <mergeCell ref="C170:C177"/>
    <mergeCell ref="B178:B185"/>
    <mergeCell ref="C178:C185"/>
    <mergeCell ref="B186:B193"/>
    <mergeCell ref="C186:C193"/>
    <mergeCell ref="B386:B393"/>
    <mergeCell ref="C386:C393"/>
    <mergeCell ref="B338:B345"/>
    <mergeCell ref="C338:C345"/>
    <mergeCell ref="B346:B353"/>
    <mergeCell ref="C346:C353"/>
    <mergeCell ref="B354:B361"/>
    <mergeCell ref="C354:C361"/>
    <mergeCell ref="B362:B369"/>
    <mergeCell ref="C362:C369"/>
    <mergeCell ref="B370:B377"/>
    <mergeCell ref="C370:C377"/>
    <mergeCell ref="B378:B385"/>
    <mergeCell ref="C378:C385"/>
    <mergeCell ref="C298:C305"/>
    <mergeCell ref="B306:B313"/>
    <mergeCell ref="C306:C313"/>
    <mergeCell ref="B314:B321"/>
    <mergeCell ref="C314:C321"/>
    <mergeCell ref="B322:B329"/>
    <mergeCell ref="C322:C329"/>
    <mergeCell ref="B330:B337"/>
    <mergeCell ref="C330:C337"/>
    <mergeCell ref="E282:E283"/>
    <mergeCell ref="E284:E285"/>
    <mergeCell ref="E234:E235"/>
    <mergeCell ref="E236:E237"/>
    <mergeCell ref="E238:E239"/>
    <mergeCell ref="E240:E241"/>
    <mergeCell ref="E242:E243"/>
    <mergeCell ref="E244:E245"/>
    <mergeCell ref="E246:E247"/>
    <mergeCell ref="E248:E249"/>
    <mergeCell ref="E250:E251"/>
    <mergeCell ref="E252:E253"/>
    <mergeCell ref="E254:E255"/>
    <mergeCell ref="E256:E257"/>
    <mergeCell ref="E20:E21"/>
    <mergeCell ref="E22:E23"/>
    <mergeCell ref="E24:E25"/>
    <mergeCell ref="E26:E27"/>
    <mergeCell ref="E28:E29"/>
    <mergeCell ref="E30:E31"/>
    <mergeCell ref="E32:E33"/>
    <mergeCell ref="E34:E35"/>
    <mergeCell ref="E322:E323"/>
    <mergeCell ref="E304:E305"/>
    <mergeCell ref="E306:E307"/>
    <mergeCell ref="E308:E309"/>
    <mergeCell ref="E310:E311"/>
    <mergeCell ref="E312:E313"/>
    <mergeCell ref="E314:E315"/>
    <mergeCell ref="E316:E317"/>
    <mergeCell ref="E318:E319"/>
    <mergeCell ref="E320:E321"/>
    <mergeCell ref="E286:E287"/>
    <mergeCell ref="E288:E289"/>
    <mergeCell ref="E290:E291"/>
    <mergeCell ref="E292:E293"/>
    <mergeCell ref="E294:E295"/>
    <mergeCell ref="E296:E297"/>
    <mergeCell ref="E2:E3"/>
    <mergeCell ref="E4:E5"/>
    <mergeCell ref="E6:E7"/>
    <mergeCell ref="E8:E9"/>
    <mergeCell ref="E10:E11"/>
    <mergeCell ref="E12:E13"/>
    <mergeCell ref="E14:E15"/>
    <mergeCell ref="E16:E17"/>
    <mergeCell ref="E18:E19"/>
    <mergeCell ref="E52:E53"/>
    <mergeCell ref="E54:E55"/>
    <mergeCell ref="E56:E57"/>
    <mergeCell ref="E58:E59"/>
    <mergeCell ref="E60:E61"/>
    <mergeCell ref="E62:E63"/>
    <mergeCell ref="E64:E65"/>
    <mergeCell ref="E66:E67"/>
    <mergeCell ref="E68:E69"/>
    <mergeCell ref="E70:E71"/>
    <mergeCell ref="E72:E73"/>
    <mergeCell ref="E74:E75"/>
    <mergeCell ref="E76:E77"/>
    <mergeCell ref="E78:E79"/>
    <mergeCell ref="E80:E81"/>
    <mergeCell ref="E82:E83"/>
    <mergeCell ref="E84:E85"/>
    <mergeCell ref="E86:E87"/>
    <mergeCell ref="E88:E89"/>
    <mergeCell ref="E90:E91"/>
    <mergeCell ref="E92:E93"/>
    <mergeCell ref="E94:E95"/>
    <mergeCell ref="E96:E97"/>
    <mergeCell ref="E98:E99"/>
    <mergeCell ref="E100:E101"/>
    <mergeCell ref="E102:E103"/>
    <mergeCell ref="E104:E105"/>
    <mergeCell ref="E106:E107"/>
    <mergeCell ref="E108:E109"/>
    <mergeCell ref="E110:E111"/>
    <mergeCell ref="E112:E113"/>
    <mergeCell ref="E114:E115"/>
    <mergeCell ref="E116:E117"/>
    <mergeCell ref="E118:E119"/>
    <mergeCell ref="E120:E121"/>
    <mergeCell ref="E122:E123"/>
    <mergeCell ref="E124:E125"/>
    <mergeCell ref="E126:E127"/>
    <mergeCell ref="E128:E129"/>
    <mergeCell ref="E130:E131"/>
    <mergeCell ref="E132:E133"/>
    <mergeCell ref="E134:E135"/>
    <mergeCell ref="E136:E137"/>
    <mergeCell ref="E138:E139"/>
    <mergeCell ref="E140:E141"/>
    <mergeCell ref="E142:E143"/>
    <mergeCell ref="E144:E145"/>
    <mergeCell ref="E146:E147"/>
    <mergeCell ref="E148:E149"/>
    <mergeCell ref="E150:E151"/>
    <mergeCell ref="E152:E153"/>
    <mergeCell ref="E154:E155"/>
    <mergeCell ref="E156:E157"/>
    <mergeCell ref="E158:E159"/>
    <mergeCell ref="E160:E161"/>
    <mergeCell ref="E162:E163"/>
    <mergeCell ref="E164:E165"/>
    <mergeCell ref="E166:E167"/>
    <mergeCell ref="E168:E169"/>
    <mergeCell ref="E170:E171"/>
    <mergeCell ref="E172:E173"/>
    <mergeCell ref="E174:E175"/>
    <mergeCell ref="E176:E177"/>
    <mergeCell ref="E178:E179"/>
    <mergeCell ref="E202:E203"/>
    <mergeCell ref="E204:E205"/>
    <mergeCell ref="E206:E207"/>
    <mergeCell ref="E208:E209"/>
    <mergeCell ref="E210:E211"/>
    <mergeCell ref="E212:E213"/>
    <mergeCell ref="E214:E215"/>
    <mergeCell ref="E216:E217"/>
    <mergeCell ref="E218:E219"/>
    <mergeCell ref="E220:E221"/>
    <mergeCell ref="E222:E223"/>
    <mergeCell ref="E224:E225"/>
    <mergeCell ref="E226:E227"/>
    <mergeCell ref="E228:E229"/>
    <mergeCell ref="E230:E231"/>
    <mergeCell ref="E232:E233"/>
    <mergeCell ref="E342:E343"/>
    <mergeCell ref="E258:E259"/>
    <mergeCell ref="E260:E261"/>
    <mergeCell ref="E262:E263"/>
    <mergeCell ref="E264:E265"/>
    <mergeCell ref="E266:E267"/>
    <mergeCell ref="E298:E299"/>
    <mergeCell ref="E300:E301"/>
    <mergeCell ref="E302:E303"/>
    <mergeCell ref="E268:E269"/>
    <mergeCell ref="E270:E271"/>
    <mergeCell ref="E272:E273"/>
    <mergeCell ref="E274:E275"/>
    <mergeCell ref="E276:E277"/>
    <mergeCell ref="E278:E279"/>
    <mergeCell ref="E280:E281"/>
    <mergeCell ref="E344:E345"/>
    <mergeCell ref="E324:E325"/>
    <mergeCell ref="E326:E327"/>
    <mergeCell ref="E328:E329"/>
    <mergeCell ref="E330:E331"/>
    <mergeCell ref="E332:E333"/>
    <mergeCell ref="E334:E335"/>
    <mergeCell ref="E336:E337"/>
    <mergeCell ref="E338:E339"/>
    <mergeCell ref="E340:E341"/>
    <mergeCell ref="E346:E347"/>
    <mergeCell ref="E348:E349"/>
    <mergeCell ref="E350:E351"/>
    <mergeCell ref="E352:E353"/>
    <mergeCell ref="E354:E355"/>
    <mergeCell ref="E356:E357"/>
    <mergeCell ref="E358:E359"/>
    <mergeCell ref="E378:E379"/>
    <mergeCell ref="E380:E381"/>
    <mergeCell ref="E382:E383"/>
    <mergeCell ref="E384:E385"/>
    <mergeCell ref="E386:E387"/>
    <mergeCell ref="E388:E389"/>
    <mergeCell ref="E390:E391"/>
    <mergeCell ref="E392:E393"/>
    <mergeCell ref="E360:E361"/>
    <mergeCell ref="E362:E363"/>
    <mergeCell ref="E364:E365"/>
    <mergeCell ref="E366:E367"/>
    <mergeCell ref="E368:E369"/>
    <mergeCell ref="E370:E371"/>
    <mergeCell ref="E372:E373"/>
    <mergeCell ref="E374:E375"/>
    <mergeCell ref="E376:E377"/>
    <mergeCell ref="G12:H12"/>
    <mergeCell ref="I12:J12"/>
    <mergeCell ref="F16:I16"/>
    <mergeCell ref="J16:L16"/>
    <mergeCell ref="G10:H10"/>
    <mergeCell ref="I10:J10"/>
    <mergeCell ref="K10:M10"/>
    <mergeCell ref="F2:G2"/>
    <mergeCell ref="G4:I4"/>
    <mergeCell ref="J4:L4"/>
    <mergeCell ref="F70:H70"/>
    <mergeCell ref="F72:G72"/>
    <mergeCell ref="F74:G74"/>
    <mergeCell ref="H74:K74"/>
    <mergeCell ref="F80:I80"/>
    <mergeCell ref="F82:G82"/>
    <mergeCell ref="H82:Q82"/>
    <mergeCell ref="K84:L84"/>
    <mergeCell ref="F86:G86"/>
    <mergeCell ref="F88:H88"/>
    <mergeCell ref="F96:G96"/>
    <mergeCell ref="H96:M96"/>
    <mergeCell ref="F112:H112"/>
    <mergeCell ref="F120:H120"/>
    <mergeCell ref="F128:G128"/>
    <mergeCell ref="H128:K128"/>
    <mergeCell ref="F136:G136"/>
    <mergeCell ref="F144:H144"/>
    <mergeCell ref="M124:P124"/>
    <mergeCell ref="G130:H130"/>
    <mergeCell ref="I130:L130"/>
    <mergeCell ref="G132:I132"/>
    <mergeCell ref="F138:G138"/>
    <mergeCell ref="H138:M138"/>
    <mergeCell ref="F142:H142"/>
    <mergeCell ref="G344:J344"/>
    <mergeCell ref="F352:H352"/>
    <mergeCell ref="I352:N352"/>
    <mergeCell ref="F264:G264"/>
    <mergeCell ref="H264:L264"/>
    <mergeCell ref="F272:J272"/>
    <mergeCell ref="F280:M280"/>
    <mergeCell ref="N280:S280"/>
    <mergeCell ref="F288:G288"/>
    <mergeCell ref="H288:K288"/>
    <mergeCell ref="G296:K296"/>
    <mergeCell ref="F312:H312"/>
    <mergeCell ref="F298:J298"/>
    <mergeCell ref="K298:M298"/>
    <mergeCell ref="H300:I300"/>
    <mergeCell ref="J300:L300"/>
    <mergeCell ref="F274:L274"/>
    <mergeCell ref="M274:Q274"/>
    <mergeCell ref="F282:I282"/>
    <mergeCell ref="J282:M282"/>
    <mergeCell ref="F306:H306"/>
    <mergeCell ref="I306:L306"/>
    <mergeCell ref="G290:P290"/>
    <mergeCell ref="G292:L292"/>
    <mergeCell ref="D2:D9"/>
    <mergeCell ref="D10:D17"/>
    <mergeCell ref="D18:D25"/>
    <mergeCell ref="D26:D33"/>
    <mergeCell ref="D34:D41"/>
    <mergeCell ref="D42:D49"/>
    <mergeCell ref="D50:D57"/>
    <mergeCell ref="D58:D65"/>
    <mergeCell ref="D66:D73"/>
    <mergeCell ref="D74:D81"/>
    <mergeCell ref="D82:D89"/>
    <mergeCell ref="D90:D97"/>
    <mergeCell ref="D98:D105"/>
    <mergeCell ref="D106:D113"/>
    <mergeCell ref="D114:D121"/>
    <mergeCell ref="D122:D129"/>
    <mergeCell ref="D130:D137"/>
    <mergeCell ref="D138:D145"/>
    <mergeCell ref="D146:D153"/>
    <mergeCell ref="D154:D161"/>
    <mergeCell ref="D162:D169"/>
    <mergeCell ref="D170:D177"/>
    <mergeCell ref="D178:D185"/>
    <mergeCell ref="D186:D193"/>
    <mergeCell ref="D194:D201"/>
    <mergeCell ref="D202:D209"/>
    <mergeCell ref="D210:D217"/>
    <mergeCell ref="D218:D225"/>
    <mergeCell ref="D226:D233"/>
    <mergeCell ref="D234:D241"/>
    <mergeCell ref="D242:D249"/>
    <mergeCell ref="D250:D257"/>
    <mergeCell ref="D258:D265"/>
    <mergeCell ref="D266:D273"/>
    <mergeCell ref="D274:D281"/>
    <mergeCell ref="D282:D289"/>
    <mergeCell ref="D362:D369"/>
    <mergeCell ref="D370:D377"/>
    <mergeCell ref="D378:D385"/>
    <mergeCell ref="D386:D393"/>
    <mergeCell ref="D290:D297"/>
    <mergeCell ref="D298:D305"/>
    <mergeCell ref="D306:D313"/>
    <mergeCell ref="D314:D321"/>
    <mergeCell ref="D322:D329"/>
    <mergeCell ref="D330:D337"/>
    <mergeCell ref="D338:D345"/>
    <mergeCell ref="D346:D353"/>
    <mergeCell ref="D354:D361"/>
  </mergeCells>
  <phoneticPr fontId="3" type="noConversion"/>
  <conditionalFormatting sqref="A2:A393">
    <cfRule type="expression" dxfId="27" priority="29">
      <formula>IF(A2&lt;&gt;0,FIND(A2,s01d_查找全),)</formula>
    </cfRule>
  </conditionalFormatting>
  <conditionalFormatting sqref="E2:E393">
    <cfRule type="expression" dxfId="26" priority="28">
      <formula>IF(A2&lt;&gt;0,FIND(A2,s01d_查找_投入)*(E2="投入"),)</formula>
    </cfRule>
  </conditionalFormatting>
  <conditionalFormatting sqref="E4:E393">
    <cfRule type="expression" dxfId="25" priority="27">
      <formula>IF(A2&lt;&gt;"",FIND(A4,s01_工具_組件)*(E4="工具與技術"),)</formula>
    </cfRule>
  </conditionalFormatting>
  <conditionalFormatting sqref="E6:E393">
    <cfRule type="expression" dxfId="24" priority="26">
      <formula>IF(A2&lt;&gt;0,FIND(A2,s01d_查找_產出)*(E6="產出"),)</formula>
    </cfRule>
  </conditionalFormatting>
  <conditionalFormatting sqref="E8:E393">
    <cfRule type="expression" dxfId="23" priority="25">
      <formula>IF(A2&lt;&gt;0,FIND(A2,s01d_查找_更新)*(E8="更新"),)</formula>
    </cfRule>
  </conditionalFormatting>
  <conditionalFormatting sqref="F2:Y393">
    <cfRule type="expression" dxfId="22" priority="17">
      <formula>IF(F2&lt;&gt;0,(s01_查找1=F2)*($E2="更新")*COUNTIF(a04_子清單範圍,s01d_查找),)</formula>
    </cfRule>
    <cfRule type="expression" dxfId="21" priority="18">
      <formula>IF(F2&lt;&gt;0,(s01_查找1=F2)*($E2="產出")*COUNTIF(a04_子清單範圍,s01d_查找),)</formula>
    </cfRule>
    <cfRule type="expression" dxfId="20" priority="19">
      <formula>IF(F2&lt;&gt;0,(s01_工具1=F2)*COUNTIF(a04_子清單範圍,s01d_工具),)</formula>
    </cfRule>
    <cfRule type="expression" dxfId="19" priority="20">
      <formula>IF(F2&lt;&gt;0,(s01_查找1=F2)*($E2="投入")*COUNTIF(a04_子清單範圍,s01d_查找),)</formula>
    </cfRule>
    <cfRule type="expression" dxfId="18" priority="21">
      <formula>IF(F2&lt;&gt;"",(F2=s01d_查找)*($E2="更新"),)</formula>
    </cfRule>
    <cfRule type="expression" dxfId="17" priority="22">
      <formula>IF(F2&lt;&gt;"",(F2=s01d_查找)*($E2="產出"),)</formula>
    </cfRule>
    <cfRule type="expression" dxfId="16" priority="23">
      <formula>IF(F2&lt;&gt;"",(F2=s01d_工具),)</formula>
    </cfRule>
    <cfRule type="expression" dxfId="15" priority="24">
      <formula>IF(F2&lt;&gt;"",(F2=s01d_查找)*($E2="投入"),)</formula>
    </cfRule>
  </conditionalFormatting>
  <conditionalFormatting sqref="D1">
    <cfRule type="expression" dxfId="14" priority="1">
      <formula>IF(D1&lt;&gt;0,(s01_查找1=D1)*($E1="更新")*COUNTIF(a04_子清單範圍,s01d_查找),)</formula>
    </cfRule>
    <cfRule type="expression" dxfId="13" priority="2">
      <formula>IF(D1&lt;&gt;0,(s01_查找1=D1)*($E1="產出")*COUNTIF(a04_子清單範圍,s01d_查找),)</formula>
    </cfRule>
    <cfRule type="expression" dxfId="12" priority="3">
      <formula>IF(D1&lt;&gt;0,(s01_工具1=D1)*COUNTIF(a04_子清單範圍,s01d_工具),)</formula>
    </cfRule>
    <cfRule type="expression" dxfId="11" priority="4">
      <formula>IF(D1&lt;&gt;0,(s01_查找1=D1)*($E1="投入")*COUNTIF(a04_子清單範圍,s01d_查找),)</formula>
    </cfRule>
    <cfRule type="expression" dxfId="10" priority="5">
      <formula>IF(D1&lt;&gt;"",(D1=s01d_查找)*($E1="更新"),)</formula>
    </cfRule>
    <cfRule type="expression" dxfId="9" priority="6">
      <formula>IF(D1&lt;&gt;"",(D1=s01d_查找)*($E1="產出"),)</formula>
    </cfRule>
    <cfRule type="expression" dxfId="8" priority="7">
      <formula>IF(D1&lt;&gt;"",(D1=s01d_工具),)</formula>
    </cfRule>
    <cfRule type="expression" dxfId="7" priority="8">
      <formula>IF(D1&lt;&gt;"",(D1=s01d_查找)*($E1="投入"),)</formula>
    </cfRule>
  </conditionalFormatting>
  <dataValidations count="5">
    <dataValidation type="list" allowBlank="1" showInputMessage="1" showErrorMessage="1" sqref="B10:C10 B386:C391 B378:C383 B370:C375 B362:C367 B354:C359 B346:C351 B338:C343 B330:C335 B322:C327 B314:C319 B306:C311 B298:C303 B290:C295 B282:C287 B274:C279 B266:C271 B258:C263 B250:C255 B242:C247 B234:C239 B226:C231 B218:C223 B210:C215 B202:C207 B194:C199 B186:C191 B178:C183 B170:C175 B162:C167 B154:C159 B146:C151 B138:C143 B130:C135 B122:C127 B114:C119 B106:C111 B98:C103 B90:C95 B82:C87 B74:C79 B66:C71 B58:C63 B50:C55 B42:C47 B34:C39 B26:C31 B18:C23 B394:C1048576 C1 B2:C2">
      <formula1>i01_清單知識領域</formula1>
    </dataValidation>
    <dataValidation type="list" allowBlank="1" showInputMessage="1" showErrorMessage="1" sqref="F5:M5 F21:N21 F29:K29 F37:U37 F45:L45 F53:J53 F61:J61 F69:I69 F77:M77 F85:S85 F93:V93 F101:J101 F109:O109 F117:Q117 F125:R125 F133:P133 F141:O141 F149:O149 F157:J157 F165:Z165 F173:O173 F181:U181 F189:T189 F197:U197 F205:R205 F213:Q213 F221:N221 F229:U229 F237:P237 I245:Q245 F245 F253:N253 F261:H261 L261:T261 F269:J269 F277:U277 F285:O285 F293:T293 F301:Q301 F309:N309 F317:P317 F325:P325 F333:M333 F341:R341 F349:P349 F357:N357 F365:G365 J365:L365 F373:X373 F381:S381 F389:Y389 F13:P13">
      <formula1>i01_清單工具與技術元件</formula1>
    </dataValidation>
    <dataValidation type="list" allowBlank="1" showInputMessage="1" showErrorMessage="1" sqref="F2 H2:M2 F8:M8 F6:M6 F18:N18 F24:N24 F22:N22 H30:K30 J26:K26 F26:G26 F30 F32:K32 F38 M34:U34 H38:U38 J34 F34:G34 F40:U40 K46:L46 F42:H42 K42:L42 F46:G46 F48 J48:L48 I50:J50 F54:G54 I54:J54 F50:G50 F56 H56:J56 F58:G58 I58:J58 F62:J62 F64:J64 I70 F66 F70 F72 H72:I72 H66:I66 K78:M78 H74 L74:M74 F78:G78 J80:M80 F80 F74 K86:S86 R82:S82 H86 F86 H82 F82 F88 I88:S88 M94 H90 T90:V90 F94:G94 S94:V94 F90 J94:K94 H96 F96 N96:V96 F98:G98 F102:J102 I98:J98 F104:J104 M106:O106 K110:O110 I106 H110 F110 F106 I112:O112 F112 K118:Q118 F114 O114:Q114 I114 M114 F118 H118 I120:Q120 F120 F126:H126 K122 P122:R122 N126:R126 J126 F122:G122 F128 H128 L128:R128 I130 F130:G130 F134:H134 F136 H136:P136 J134:P134 M130:P130 N138:O138 L142:O142 H138 I142 I144:O144 F144 F142 F138 K146:O146 J150:O150 I146 F146:G146 F150:H150 F152:G152 I152:O152 F154:J154 F158:J158 F160:J160 O162 W162:Z162 F162 H166 F166 K166:Z166 F168 I168:Z168 J174:O174 J170:O170 F170:G170 F174 F176 J176:O176 F182:U182 T178:U178 J178 F178 F184:U184 I186 F190:G190 O190 F186 N192 F192 P186:T186 I194 M194 F198:H198 L200:U200 L198:N198 F200 F194:G194 T198:U198 T194:U194 P202:R202 J202 O208:R208 L208 F208:H208 F206:R206 F202:G202 F210:G210 F214:K214 O210:Q210 F216:G216 M216:Q216 Q214 F218:G218 F224:N224 K218:N218 F222:N222 H230:I230 M230 K226:U226 P230:U230 J232 M232:U232 F232 F226:G226 F230 F234 I234 F238 I238:J239 L238 H240 F240 N240:P240 M234:P234 L242:Q242 H246:I246 N246:Q246 F248:G248 F242:G242 F246 L248:Q248 K250:N250 F250:G250 I256 J254 M254:N254 F254:G254 L256:N256 F256 F258 I258 H264 I262 O258:T258 N262:T262 F262:G262 F264 M264:T264 F266:G266 F270:G270 F272 J266 M274 Q278 N280 F280 F278:I278 F274 T280:U280 R274:U274 M286:O286 H288 N282:O282 J282 I286 O288 L288 F288 F286:G286 F282 N294:T294 Q290:T290 F290:G290 F294:I294 F296:G296 L296:T296 F302:Q302 F298 N298:Q298 K298 F304:Q304 F310:I310 L310:N310 M306:N306 I306 F306 I312:N312 F312 O314:P314 F318:H318 L314 P318 M318 F314 F320 K320 N320:P320 M326 F322 J322 F326:I326 J328 F328 O322:P322 I330:M330 L334 F334:I334 I336 F336 F330 J338:R338 O342:R342 F338:G338 F342:K342 F344:G344 K344:R344 F346:G346 K350 F350:H350 I352 F352 O352:P352 N346:P346 M358:N358 L354:N354 I354 J358 H360 K360:N360 F360 F358:H358 F354 F366:I366 F362:G362 F368:G368 L368 K362:L362 K370 N374 J376 F376 F370 O376:X376 S374:X374 S370:X370 F374:J374 N378:S378 O382:S382 I378 K382 O384:S384 I384 F384 F382:H382 F378 T386:U386 W386:Y386 F386:H386 F392:Y392 F390:Y390 N10:P10 O16:P16 I10 K10 O14:P14 L14 J16 F10:G10 F16 F14:H14">
      <formula1>i01_清單投入與產出</formula1>
    </dataValidation>
    <dataValidation type="list" allowBlank="1" showInputMessage="1" showErrorMessage="1" sqref="F9:M9 F3:M3 F7:M7 F25:N25 F19:N19 F23:N23 F27:K27 F31:K31 F33:K33 F35:U35 F39:U39 F41:U41 F43:L43 F47:L47 F49:L49 F51:J51 F55:J55 F57:J57 F59:J59 F63:J63 F65:J65 F67:I67 F71:I71 F73:I73 F75:M75 F79:M79 F81:M81 F83:S83 F87:S87 F89:S89 F91:V91 F95:V95 F97:V97 F99:J99 F103:J103 F105:J105 F107:O107 F111:O111 F113:O113 F115:Q115 F119:Q119 F121:Q121 F123:R123 F127:R127 F129:R129 F131:P131 F135:P135 F137:P137 F139:O139 F143:O143 F145:O145 F147:O147 F151:O151 F153:O153 F155:J155 F159:J159 F161:J161 S163:Z163 F163:O163 F167:Z167 F169:Z169 F171:O171 F175:O175 F177:O177 F179:J179 P179 R179:U179 I183:J183 F183:G183 L183:U183 F185:U185 F187:I187 F191:T191 O187:T187 F193:T193 F199:U199 F195:U195 F201:U201 F207:R207 F203:R203 F209:R209 F215:Q215 F211:Q211 F217:Q217 F223:N223 F219:N219 F225:N225 F231:U231 F227:U227 F233:U233 F239:H239 K239:P239 F235:P235 F241:P241 F247 H247:Q247 F243:Q243 F249:Q249 F255:N255 F251:N251 F257:N257 F263:T263 F259:T259 F265:T265 F271:J271 F267:J267 F273:J273 F279:U279 F275:U275 F281:U281 F287:O287 F283:O283 F289:O289 F291:T291 F295:T295 F297:T297 F299:Q299 F303:Q303 F305:Q305 F307:N307 F311:N311 F313:N313 F315:P315 F319:P319 F321:P321 F323:P323 F327:P327 F329:P329 F331:M331 F335:M335 F337:M337 F339:R339 F343:R343 F345:R345 F347:P347 F351:P351 F353:P353 F355:N355 F359:N359 F361:N361 F363:L363 F367:L367 F369:L369 F371:X371 F375:X375 F377:X377 F379:S379 F383:S383 F385:S385 F391:Y391 F387:Y387 F393:Y393 F17:P17 F11:P11 F15:P15">
      <formula1>i01_清單投入與產出元件</formula1>
    </dataValidation>
    <dataValidation type="list" allowBlank="1" showInputMessage="1" showErrorMessage="1" sqref="F4:G4 J4 M4 N20 F20:G20 K20 F28:K28 L36:M36 O36 Q36 F36:G36 T36:U36 F44:L44 F52:J52 F60:J60 F68:I68 F76:M76 M84:S84 F84:K84 K92:V92 F92:I92 F100:J100 N108:O108 F108:K108 F116:Q116 Q124:R124 J124 L124:M124 F124:G124 F132:G132 J132:P132 F140:O140 N148:O148 F148:K148 F156:J156 N164:Z164 J164 F164:G164 O172 K172:M172 F172:H172 N180:U180 F180:J180 F188:M188 O188:T188 F196:U196 M204:R204 J204:K204 F204:H204 F212:Q212 F220:I220 N220 K228:L228 F228:G228 R228:U228 F236:P236 N244:Q244 F244:I244 K252:N252 F252 F260:H260 L260:N260 T260 F268:J268 F276:U276 M284:O284 F284:H284 M292:T292 F292:G292 F300:H300 M300:Q300 J300 F308:N308 H316:P316 F316 F324 L324:P324 K332:M332 F332:G332 R340 J340 L340:N340 F340 J348:K348 F348 M348:P348 F356:N356 F364 H364:L364 F372:H372 K372:X372 S380 I380 K380:L380 N380 F380 F388:G388 K388:Y388 K12:P12 I12 F12:G12">
      <formula1>i01_清單工具與技術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W77"/>
  <sheetViews>
    <sheetView zoomScale="70" zoomScaleNormal="70" workbookViewId="0">
      <pane ySplit="1" topLeftCell="A39" activePane="bottomLeft" state="frozen"/>
      <selection pane="bottomLeft" activeCell="Q52" sqref="Q52"/>
    </sheetView>
  </sheetViews>
  <sheetFormatPr defaultRowHeight="16.5" x14ac:dyDescent="0.25"/>
  <cols>
    <col min="2" max="2" width="11.375" style="13" customWidth="1"/>
    <col min="3" max="3" width="9" style="10"/>
    <col min="4" max="4" width="13.125" style="13" customWidth="1"/>
    <col min="6" max="7" width="9" customWidth="1"/>
    <col min="8" max="8" width="20.625" style="13" customWidth="1"/>
    <col min="9" max="9" width="10.125" customWidth="1"/>
    <col min="10" max="10" width="25" style="13" customWidth="1"/>
    <col min="11" max="12" width="10.625" style="13" hidden="1" customWidth="1"/>
    <col min="14" max="14" width="0" hidden="1" customWidth="1"/>
    <col min="15" max="15" width="15.125" style="13" customWidth="1"/>
    <col min="17" max="17" width="15.25" style="13" customWidth="1"/>
    <col min="18" max="18" width="10.25" style="13" hidden="1" customWidth="1"/>
    <col min="19" max="19" width="8.375" style="13" hidden="1" customWidth="1"/>
    <col min="22" max="22" width="14.625" style="13" customWidth="1"/>
    <col min="23" max="23" width="9.625" bestFit="1" customWidth="1"/>
  </cols>
  <sheetData>
    <row r="1" spans="1:23" x14ac:dyDescent="0.25">
      <c r="A1" s="24" t="s">
        <v>64</v>
      </c>
      <c r="B1" s="16" t="s">
        <v>1904</v>
      </c>
      <c r="C1" s="24" t="s">
        <v>64</v>
      </c>
      <c r="D1" s="16" t="s">
        <v>700</v>
      </c>
      <c r="E1" s="15" t="s">
        <v>650</v>
      </c>
      <c r="F1" s="15" t="s">
        <v>1904</v>
      </c>
      <c r="G1" s="15" t="s">
        <v>1681</v>
      </c>
      <c r="H1" s="16" t="s">
        <v>65</v>
      </c>
      <c r="I1" s="24" t="s">
        <v>64</v>
      </c>
      <c r="J1" s="16" t="s">
        <v>398</v>
      </c>
      <c r="K1" s="94" t="s">
        <v>1443</v>
      </c>
      <c r="L1" s="94" t="s">
        <v>1444</v>
      </c>
      <c r="M1" s="24" t="s">
        <v>64</v>
      </c>
      <c r="N1" s="24" t="s">
        <v>398</v>
      </c>
      <c r="O1" s="16" t="s">
        <v>399</v>
      </c>
      <c r="P1" s="24" t="s">
        <v>64</v>
      </c>
      <c r="Q1" s="16" t="s">
        <v>400</v>
      </c>
      <c r="R1" s="16" t="s">
        <v>1452</v>
      </c>
      <c r="S1" s="16" t="s">
        <v>1453</v>
      </c>
      <c r="T1" s="24" t="s">
        <v>64</v>
      </c>
      <c r="U1" s="24" t="s">
        <v>1693</v>
      </c>
      <c r="V1" s="16" t="s">
        <v>401</v>
      </c>
      <c r="W1" s="10"/>
    </row>
    <row r="2" spans="1:23" x14ac:dyDescent="0.25">
      <c r="A2" s="15" t="s">
        <v>269</v>
      </c>
      <c r="B2" s="16" t="s">
        <v>293</v>
      </c>
      <c r="C2" s="24" t="s">
        <v>238</v>
      </c>
      <c r="D2" s="16" t="s">
        <v>274</v>
      </c>
      <c r="E2" s="15" t="s">
        <v>651</v>
      </c>
      <c r="F2" s="16" t="s">
        <v>293</v>
      </c>
      <c r="G2" s="15" t="s">
        <v>273</v>
      </c>
      <c r="H2" s="16" t="s">
        <v>603</v>
      </c>
      <c r="I2" s="15" t="s">
        <v>806</v>
      </c>
      <c r="J2" s="16" t="s">
        <v>379</v>
      </c>
      <c r="K2" s="94">
        <v>0</v>
      </c>
      <c r="L2" s="94">
        <f>COUNTIF(i01_投產元件標誌碼,"a專書*")</f>
        <v>20</v>
      </c>
      <c r="M2" s="15" t="s">
        <v>782</v>
      </c>
      <c r="N2" s="15" t="s">
        <v>1690</v>
      </c>
      <c r="O2" s="16" t="s">
        <v>379</v>
      </c>
      <c r="P2" s="15" t="s">
        <v>1309</v>
      </c>
      <c r="Q2" s="16" t="s">
        <v>702</v>
      </c>
      <c r="R2" s="16">
        <v>0</v>
      </c>
      <c r="S2" s="16">
        <f>COUNTIF(i01_工具與技術元件標誌碼,"a資蒐*")</f>
        <v>9</v>
      </c>
      <c r="T2" s="15" t="s">
        <v>868</v>
      </c>
      <c r="U2" s="15" t="s">
        <v>1694</v>
      </c>
      <c r="V2" s="16" t="s">
        <v>510</v>
      </c>
    </row>
    <row r="3" spans="1:23" x14ac:dyDescent="0.25">
      <c r="A3" s="15" t="s">
        <v>270</v>
      </c>
      <c r="B3" s="16" t="s">
        <v>294</v>
      </c>
      <c r="C3" s="24" t="s">
        <v>239</v>
      </c>
      <c r="D3" s="16" t="s">
        <v>283</v>
      </c>
      <c r="E3" s="15" t="s">
        <v>652</v>
      </c>
      <c r="F3" s="16" t="s">
        <v>293</v>
      </c>
      <c r="G3" s="15" t="s">
        <v>291</v>
      </c>
      <c r="H3" s="16" t="s">
        <v>604</v>
      </c>
      <c r="I3" s="15" t="s">
        <v>807</v>
      </c>
      <c r="J3" s="16" t="s">
        <v>378</v>
      </c>
      <c r="K3" s="94">
        <f>SUM(K2:L2)</f>
        <v>20</v>
      </c>
      <c r="L3" s="94">
        <f>COUNTIF(i01_投產元件標誌碼,"b專件*")</f>
        <v>33</v>
      </c>
      <c r="M3" s="15" t="s">
        <v>783</v>
      </c>
      <c r="N3" s="15" t="s">
        <v>1690</v>
      </c>
      <c r="O3" s="16" t="s">
        <v>380</v>
      </c>
      <c r="P3" s="15" t="s">
        <v>1310</v>
      </c>
      <c r="Q3" s="16" t="s">
        <v>703</v>
      </c>
      <c r="R3" s="16">
        <f>SUM(R2:S2)</f>
        <v>9</v>
      </c>
      <c r="S3" s="16">
        <f>COUNTIF(i01_工具與技術元件標誌碼,"b資分*")</f>
        <v>27</v>
      </c>
      <c r="T3" s="15" t="s">
        <v>1374</v>
      </c>
      <c r="U3" s="15" t="s">
        <v>1694</v>
      </c>
      <c r="V3" s="16" t="s">
        <v>394</v>
      </c>
    </row>
    <row r="4" spans="1:23" x14ac:dyDescent="0.25">
      <c r="A4" s="15" t="s">
        <v>1442</v>
      </c>
      <c r="B4" s="16" t="s">
        <v>295</v>
      </c>
      <c r="C4" s="24" t="s">
        <v>240</v>
      </c>
      <c r="D4" s="16" t="s">
        <v>284</v>
      </c>
      <c r="E4" s="15" t="s">
        <v>653</v>
      </c>
      <c r="F4" s="16" t="s">
        <v>294</v>
      </c>
      <c r="G4" s="15" t="s">
        <v>273</v>
      </c>
      <c r="H4" s="16" t="s">
        <v>392</v>
      </c>
      <c r="I4" s="15" t="s">
        <v>808</v>
      </c>
      <c r="J4" s="16" t="s">
        <v>402</v>
      </c>
      <c r="K4" s="94">
        <f>SUM(K3:L3)</f>
        <v>53</v>
      </c>
      <c r="L4" s="94">
        <f>COUNTIF(i01_投產元件標誌碼,"c商件*")</f>
        <v>2</v>
      </c>
      <c r="M4" s="15" t="s">
        <v>784</v>
      </c>
      <c r="N4" s="15" t="s">
        <v>1690</v>
      </c>
      <c r="O4" s="16" t="s">
        <v>381</v>
      </c>
      <c r="P4" s="15" t="s">
        <v>1311</v>
      </c>
      <c r="Q4" s="16" t="s">
        <v>704</v>
      </c>
      <c r="R4" s="16">
        <f t="shared" ref="R4:R7" si="0">SUM(R3:S3)</f>
        <v>36</v>
      </c>
      <c r="S4" s="16">
        <f>COUNTIF(i01_工具與技術元件標誌碼,"c資呈*")</f>
        <v>15</v>
      </c>
      <c r="T4" s="15" t="s">
        <v>1375</v>
      </c>
      <c r="U4" s="15" t="s">
        <v>1694</v>
      </c>
      <c r="V4" s="16" t="s">
        <v>511</v>
      </c>
    </row>
    <row r="5" spans="1:23" x14ac:dyDescent="0.25">
      <c r="A5" s="15" t="s">
        <v>271</v>
      </c>
      <c r="B5" s="16" t="s">
        <v>297</v>
      </c>
      <c r="C5" s="24" t="s">
        <v>241</v>
      </c>
      <c r="D5" s="16" t="s">
        <v>285</v>
      </c>
      <c r="E5" s="15" t="s">
        <v>654</v>
      </c>
      <c r="F5" s="16" t="s">
        <v>294</v>
      </c>
      <c r="G5" s="15" t="s">
        <v>275</v>
      </c>
      <c r="H5" s="16" t="s">
        <v>605</v>
      </c>
      <c r="I5" s="15" t="s">
        <v>809</v>
      </c>
      <c r="J5" s="75" t="s">
        <v>1692</v>
      </c>
      <c r="K5" s="95">
        <f>SUM(K4:L4)</f>
        <v>55</v>
      </c>
      <c r="L5" s="95">
        <f>COUNTIF(i01_投產元件標誌碼,"d採件*")</f>
        <v>4</v>
      </c>
      <c r="M5" s="15" t="s">
        <v>785</v>
      </c>
      <c r="N5" s="15" t="s">
        <v>1690</v>
      </c>
      <c r="O5" s="16" t="s">
        <v>382</v>
      </c>
      <c r="P5" s="15" t="s">
        <v>1312</v>
      </c>
      <c r="Q5" s="16" t="s">
        <v>706</v>
      </c>
      <c r="R5" s="16">
        <f t="shared" si="0"/>
        <v>51</v>
      </c>
      <c r="S5" s="16">
        <f>COUNTIF(i01_工具與技術元件標誌碼,"d決定*")</f>
        <v>4</v>
      </c>
      <c r="T5" s="15" t="s">
        <v>1376</v>
      </c>
      <c r="U5" s="15" t="s">
        <v>1694</v>
      </c>
      <c r="V5" s="16" t="s">
        <v>563</v>
      </c>
    </row>
    <row r="6" spans="1:23" x14ac:dyDescent="0.25">
      <c r="A6" s="15" t="s">
        <v>272</v>
      </c>
      <c r="B6" s="16" t="s">
        <v>298</v>
      </c>
      <c r="C6" s="24" t="s">
        <v>242</v>
      </c>
      <c r="D6" s="16" t="s">
        <v>286</v>
      </c>
      <c r="E6" s="15" t="s">
        <v>655</v>
      </c>
      <c r="F6" s="16" t="s">
        <v>294</v>
      </c>
      <c r="G6" s="15" t="s">
        <v>275</v>
      </c>
      <c r="H6" s="16" t="s">
        <v>606</v>
      </c>
      <c r="I6" s="15" t="s">
        <v>810</v>
      </c>
      <c r="J6" s="16" t="s">
        <v>403</v>
      </c>
      <c r="K6" s="16"/>
      <c r="L6" s="16"/>
      <c r="M6" s="15" t="s">
        <v>786</v>
      </c>
      <c r="N6" s="15" t="s">
        <v>1690</v>
      </c>
      <c r="O6" s="16" t="s">
        <v>383</v>
      </c>
      <c r="P6" s="15" t="s">
        <v>1313</v>
      </c>
      <c r="Q6" s="16" t="s">
        <v>1698</v>
      </c>
      <c r="R6" s="16">
        <f t="shared" si="0"/>
        <v>55</v>
      </c>
      <c r="S6" s="16">
        <f>COUNTIF(i01_工具與技術元件標誌碼,"e溝巧*")</f>
        <v>4</v>
      </c>
      <c r="T6" s="15" t="s">
        <v>1377</v>
      </c>
      <c r="U6" s="15" t="s">
        <v>1694</v>
      </c>
      <c r="V6" s="16" t="s">
        <v>507</v>
      </c>
    </row>
    <row r="7" spans="1:23" x14ac:dyDescent="0.25">
      <c r="A7" s="15"/>
      <c r="B7" s="16"/>
      <c r="C7" s="24" t="s">
        <v>243</v>
      </c>
      <c r="D7" s="16" t="s">
        <v>287</v>
      </c>
      <c r="E7" s="15" t="s">
        <v>656</v>
      </c>
      <c r="F7" s="16" t="s">
        <v>294</v>
      </c>
      <c r="G7" s="15" t="s">
        <v>275</v>
      </c>
      <c r="H7" s="16" t="s">
        <v>607</v>
      </c>
      <c r="I7" s="15" t="s">
        <v>811</v>
      </c>
      <c r="J7" s="16" t="s">
        <v>407</v>
      </c>
      <c r="K7" s="16"/>
      <c r="L7" s="16"/>
      <c r="M7" s="15" t="s">
        <v>787</v>
      </c>
      <c r="N7" s="15" t="s">
        <v>1690</v>
      </c>
      <c r="O7" s="16" t="s">
        <v>384</v>
      </c>
      <c r="P7" s="15" t="s">
        <v>1314</v>
      </c>
      <c r="Q7" s="16" t="s">
        <v>1699</v>
      </c>
      <c r="R7" s="16">
        <f t="shared" si="0"/>
        <v>59</v>
      </c>
      <c r="S7" s="16">
        <f>COUNTIF(i01_工具與技術元件標誌碼,"f人團*")</f>
        <v>17</v>
      </c>
      <c r="T7" s="15" t="s">
        <v>1378</v>
      </c>
      <c r="U7" s="15" t="s">
        <v>1694</v>
      </c>
      <c r="V7" s="16" t="s">
        <v>508</v>
      </c>
    </row>
    <row r="8" spans="1:23" x14ac:dyDescent="0.25">
      <c r="A8" s="15"/>
      <c r="B8" s="16"/>
      <c r="C8" s="24" t="s">
        <v>244</v>
      </c>
      <c r="D8" s="16" t="s">
        <v>288</v>
      </c>
      <c r="E8" s="15" t="s">
        <v>657</v>
      </c>
      <c r="F8" s="16" t="s">
        <v>294</v>
      </c>
      <c r="G8" s="15" t="s">
        <v>275</v>
      </c>
      <c r="H8" s="16" t="s">
        <v>608</v>
      </c>
      <c r="I8" s="15" t="s">
        <v>812</v>
      </c>
      <c r="J8" s="16" t="s">
        <v>408</v>
      </c>
      <c r="K8" s="16"/>
      <c r="L8" s="16"/>
      <c r="M8" s="15" t="s">
        <v>788</v>
      </c>
      <c r="N8" s="15" t="s">
        <v>1690</v>
      </c>
      <c r="O8" s="16" t="s">
        <v>385</v>
      </c>
      <c r="P8" s="15" t="s">
        <v>1315</v>
      </c>
      <c r="Q8" s="16" t="s">
        <v>475</v>
      </c>
      <c r="R8" s="16"/>
      <c r="S8" s="16"/>
      <c r="T8" s="15" t="s">
        <v>1379</v>
      </c>
      <c r="U8" s="15" t="s">
        <v>1694</v>
      </c>
      <c r="V8" s="16" t="s">
        <v>509</v>
      </c>
    </row>
    <row r="9" spans="1:23" x14ac:dyDescent="0.25">
      <c r="A9" s="15"/>
      <c r="B9" s="16"/>
      <c r="C9" s="24" t="s">
        <v>245</v>
      </c>
      <c r="D9" s="16" t="s">
        <v>289</v>
      </c>
      <c r="E9" s="15" t="s">
        <v>658</v>
      </c>
      <c r="F9" s="16" t="s">
        <v>294</v>
      </c>
      <c r="G9" s="15" t="s">
        <v>276</v>
      </c>
      <c r="H9" s="16" t="s">
        <v>609</v>
      </c>
      <c r="I9" s="15" t="s">
        <v>813</v>
      </c>
      <c r="J9" s="16" t="s">
        <v>406</v>
      </c>
      <c r="K9" s="16"/>
      <c r="L9" s="16"/>
      <c r="M9" s="15" t="s">
        <v>789</v>
      </c>
      <c r="N9" s="15" t="s">
        <v>1690</v>
      </c>
      <c r="O9" s="16" t="s">
        <v>386</v>
      </c>
      <c r="P9" s="15" t="s">
        <v>1316</v>
      </c>
      <c r="Q9" s="16" t="s">
        <v>477</v>
      </c>
      <c r="R9" s="16"/>
      <c r="S9" s="16"/>
      <c r="T9" s="15" t="s">
        <v>1380</v>
      </c>
      <c r="U9" s="15" t="s">
        <v>1694</v>
      </c>
      <c r="V9" s="16" t="s">
        <v>513</v>
      </c>
    </row>
    <row r="10" spans="1:23" x14ac:dyDescent="0.25">
      <c r="A10" s="15"/>
      <c r="B10" s="16"/>
      <c r="C10" s="24" t="s">
        <v>246</v>
      </c>
      <c r="D10" s="16" t="s">
        <v>290</v>
      </c>
      <c r="E10" s="15" t="s">
        <v>659</v>
      </c>
      <c r="F10" s="16" t="s">
        <v>294</v>
      </c>
      <c r="G10" s="15" t="s">
        <v>276</v>
      </c>
      <c r="H10" s="16" t="s">
        <v>610</v>
      </c>
      <c r="I10" s="15" t="s">
        <v>814</v>
      </c>
      <c r="J10" s="16" t="s">
        <v>409</v>
      </c>
      <c r="K10" s="16"/>
      <c r="L10" s="16"/>
      <c r="M10" s="15" t="s">
        <v>790</v>
      </c>
      <c r="N10" s="15" t="s">
        <v>1690</v>
      </c>
      <c r="O10" s="16" t="s">
        <v>387</v>
      </c>
      <c r="P10" s="15" t="s">
        <v>1317</v>
      </c>
      <c r="Q10" s="16" t="s">
        <v>469</v>
      </c>
      <c r="R10" s="16"/>
      <c r="S10" s="16"/>
      <c r="T10" s="15" t="s">
        <v>1381</v>
      </c>
      <c r="U10" s="15" t="s">
        <v>1694</v>
      </c>
      <c r="V10" s="16" t="s">
        <v>512</v>
      </c>
    </row>
    <row r="11" spans="1:23" x14ac:dyDescent="0.25">
      <c r="A11" s="15"/>
      <c r="B11" s="16"/>
      <c r="C11" s="24" t="s">
        <v>247</v>
      </c>
      <c r="D11" s="16" t="s">
        <v>292</v>
      </c>
      <c r="E11" s="15" t="s">
        <v>660</v>
      </c>
      <c r="F11" s="16" t="s">
        <v>294</v>
      </c>
      <c r="G11" s="15" t="s">
        <v>276</v>
      </c>
      <c r="H11" s="16" t="s">
        <v>611</v>
      </c>
      <c r="I11" s="15" t="s">
        <v>765</v>
      </c>
      <c r="J11" s="16" t="s">
        <v>410</v>
      </c>
      <c r="K11" s="16"/>
      <c r="L11" s="16"/>
      <c r="M11" s="15" t="s">
        <v>730</v>
      </c>
      <c r="N11" s="15" t="s">
        <v>1690</v>
      </c>
      <c r="O11" s="16" t="s">
        <v>388</v>
      </c>
      <c r="P11" s="15" t="s">
        <v>1318</v>
      </c>
      <c r="Q11" s="16" t="s">
        <v>479</v>
      </c>
      <c r="R11" s="16"/>
      <c r="S11" s="16"/>
      <c r="T11" s="15" t="s">
        <v>869</v>
      </c>
      <c r="U11" s="15" t="s">
        <v>1695</v>
      </c>
      <c r="V11" s="16" t="s">
        <v>514</v>
      </c>
    </row>
    <row r="12" spans="1:23" x14ac:dyDescent="0.25">
      <c r="A12" s="15"/>
      <c r="B12" s="16"/>
      <c r="C12" s="24"/>
      <c r="D12" s="16"/>
      <c r="E12" s="15" t="s">
        <v>661</v>
      </c>
      <c r="F12" s="16" t="s">
        <v>294</v>
      </c>
      <c r="G12" s="15" t="s">
        <v>276</v>
      </c>
      <c r="H12" s="16" t="s">
        <v>612</v>
      </c>
      <c r="I12" s="15" t="s">
        <v>766</v>
      </c>
      <c r="J12" s="16" t="s">
        <v>411</v>
      </c>
      <c r="K12" s="16"/>
      <c r="L12" s="16"/>
      <c r="M12" s="15" t="s">
        <v>731</v>
      </c>
      <c r="N12" s="15" t="s">
        <v>1690</v>
      </c>
      <c r="O12" s="16" t="s">
        <v>389</v>
      </c>
      <c r="P12" s="15" t="s">
        <v>1319</v>
      </c>
      <c r="Q12" s="16" t="s">
        <v>486</v>
      </c>
      <c r="R12" s="16"/>
      <c r="S12" s="16"/>
      <c r="T12" s="15" t="s">
        <v>870</v>
      </c>
      <c r="U12" s="15" t="s">
        <v>1695</v>
      </c>
      <c r="V12" s="16" t="s">
        <v>518</v>
      </c>
    </row>
    <row r="13" spans="1:23" x14ac:dyDescent="0.25">
      <c r="A13" s="15"/>
      <c r="B13" s="16"/>
      <c r="C13" s="24"/>
      <c r="D13" s="16"/>
      <c r="E13" s="15" t="s">
        <v>662</v>
      </c>
      <c r="F13" s="16" t="s">
        <v>294</v>
      </c>
      <c r="G13" s="15" t="s">
        <v>276</v>
      </c>
      <c r="H13" s="16" t="s">
        <v>613</v>
      </c>
      <c r="I13" s="15" t="s">
        <v>767</v>
      </c>
      <c r="J13" s="16" t="s">
        <v>412</v>
      </c>
      <c r="K13" s="16"/>
      <c r="L13" s="16"/>
      <c r="M13" s="15" t="s">
        <v>732</v>
      </c>
      <c r="N13" s="15" t="s">
        <v>1690</v>
      </c>
      <c r="O13" s="16" t="s">
        <v>390</v>
      </c>
      <c r="P13" s="15" t="s">
        <v>1320</v>
      </c>
      <c r="Q13" s="16" t="s">
        <v>363</v>
      </c>
      <c r="R13" s="16"/>
      <c r="S13" s="16"/>
      <c r="T13" s="15" t="s">
        <v>871</v>
      </c>
      <c r="U13" s="15" t="s">
        <v>1695</v>
      </c>
      <c r="V13" s="16" t="s">
        <v>520</v>
      </c>
    </row>
    <row r="14" spans="1:23" x14ac:dyDescent="0.25">
      <c r="A14" s="15"/>
      <c r="B14" s="16"/>
      <c r="C14" s="24"/>
      <c r="D14" s="16"/>
      <c r="E14" s="15" t="s">
        <v>663</v>
      </c>
      <c r="F14" s="16" t="s">
        <v>294</v>
      </c>
      <c r="G14" s="15" t="s">
        <v>277</v>
      </c>
      <c r="H14" s="16" t="s">
        <v>614</v>
      </c>
      <c r="I14" s="15" t="s">
        <v>768</v>
      </c>
      <c r="J14" s="16" t="s">
        <v>413</v>
      </c>
      <c r="K14" s="16"/>
      <c r="L14" s="16"/>
      <c r="M14" s="15" t="s">
        <v>733</v>
      </c>
      <c r="N14" s="15" t="s">
        <v>1690</v>
      </c>
      <c r="O14" s="16" t="s">
        <v>391</v>
      </c>
      <c r="P14" s="15" t="s">
        <v>1321</v>
      </c>
      <c r="Q14" s="16" t="s">
        <v>372</v>
      </c>
      <c r="R14" s="16"/>
      <c r="S14" s="16"/>
      <c r="T14" s="15" t="s">
        <v>872</v>
      </c>
      <c r="U14" s="15" t="s">
        <v>1695</v>
      </c>
      <c r="V14" s="16" t="s">
        <v>537</v>
      </c>
    </row>
    <row r="15" spans="1:23" x14ac:dyDescent="0.25">
      <c r="A15" s="15"/>
      <c r="B15" s="16"/>
      <c r="C15" s="24"/>
      <c r="D15" s="16"/>
      <c r="E15" s="15" t="s">
        <v>664</v>
      </c>
      <c r="F15" s="16" t="s">
        <v>294</v>
      </c>
      <c r="G15" s="15" t="s">
        <v>277</v>
      </c>
      <c r="H15" s="16" t="s">
        <v>615</v>
      </c>
      <c r="I15" s="15" t="s">
        <v>769</v>
      </c>
      <c r="J15" s="16" t="s">
        <v>414</v>
      </c>
      <c r="K15" s="16"/>
      <c r="L15" s="16"/>
      <c r="M15" s="15" t="s">
        <v>734</v>
      </c>
      <c r="N15" s="15" t="s">
        <v>1690</v>
      </c>
      <c r="O15" s="16" t="s">
        <v>430</v>
      </c>
      <c r="P15" s="15" t="s">
        <v>1322</v>
      </c>
      <c r="Q15" s="16" t="s">
        <v>489</v>
      </c>
      <c r="R15" s="16"/>
      <c r="S15" s="16"/>
      <c r="T15" s="15" t="s">
        <v>873</v>
      </c>
      <c r="U15" s="15" t="s">
        <v>1695</v>
      </c>
      <c r="V15" s="16" t="s">
        <v>538</v>
      </c>
    </row>
    <row r="16" spans="1:23" x14ac:dyDescent="0.25">
      <c r="A16" s="15"/>
      <c r="B16" s="16"/>
      <c r="C16" s="24"/>
      <c r="D16" s="16"/>
      <c r="E16" s="15" t="s">
        <v>665</v>
      </c>
      <c r="F16" s="16" t="s">
        <v>294</v>
      </c>
      <c r="G16" s="15" t="s">
        <v>277</v>
      </c>
      <c r="H16" s="16" t="s">
        <v>616</v>
      </c>
      <c r="I16" s="15" t="s">
        <v>770</v>
      </c>
      <c r="J16" s="16" t="s">
        <v>415</v>
      </c>
      <c r="K16" s="16"/>
      <c r="L16" s="16"/>
      <c r="M16" s="15" t="s">
        <v>735</v>
      </c>
      <c r="N16" s="15" t="s">
        <v>1690</v>
      </c>
      <c r="O16" s="16" t="s">
        <v>431</v>
      </c>
      <c r="P16" s="15" t="s">
        <v>1323</v>
      </c>
      <c r="Q16" s="16" t="s">
        <v>485</v>
      </c>
      <c r="R16" s="16"/>
      <c r="S16" s="16"/>
      <c r="T16" s="15" t="s">
        <v>874</v>
      </c>
      <c r="U16" s="15" t="s">
        <v>1695</v>
      </c>
      <c r="V16" s="16" t="s">
        <v>527</v>
      </c>
    </row>
    <row r="17" spans="1:22" x14ac:dyDescent="0.25">
      <c r="A17" s="15"/>
      <c r="B17" s="16"/>
      <c r="C17" s="24"/>
      <c r="D17" s="16"/>
      <c r="E17" s="15" t="s">
        <v>666</v>
      </c>
      <c r="F17" s="16" t="s">
        <v>294</v>
      </c>
      <c r="G17" s="15" t="s">
        <v>278</v>
      </c>
      <c r="H17" s="16" t="s">
        <v>617</v>
      </c>
      <c r="I17" s="15" t="s">
        <v>771</v>
      </c>
      <c r="J17" s="16" t="s">
        <v>404</v>
      </c>
      <c r="K17" s="16"/>
      <c r="L17" s="16"/>
      <c r="M17" s="15" t="s">
        <v>736</v>
      </c>
      <c r="N17" s="15" t="s">
        <v>1690</v>
      </c>
      <c r="O17" s="16" t="s">
        <v>432</v>
      </c>
      <c r="P17" s="15" t="s">
        <v>1324</v>
      </c>
      <c r="Q17" s="16" t="s">
        <v>468</v>
      </c>
      <c r="R17" s="16"/>
      <c r="S17" s="16"/>
      <c r="T17" s="15" t="s">
        <v>875</v>
      </c>
      <c r="U17" s="15" t="s">
        <v>1695</v>
      </c>
      <c r="V17" s="16" t="s">
        <v>519</v>
      </c>
    </row>
    <row r="18" spans="1:22" x14ac:dyDescent="0.25">
      <c r="A18" s="15"/>
      <c r="B18" s="16"/>
      <c r="C18" s="24"/>
      <c r="D18" s="16"/>
      <c r="E18" s="15" t="s">
        <v>667</v>
      </c>
      <c r="F18" s="16" t="s">
        <v>294</v>
      </c>
      <c r="G18" s="15" t="s">
        <v>279</v>
      </c>
      <c r="H18" s="16" t="s">
        <v>618</v>
      </c>
      <c r="I18" s="15" t="s">
        <v>772</v>
      </c>
      <c r="J18" s="16" t="s">
        <v>405</v>
      </c>
      <c r="K18" s="16"/>
      <c r="L18" s="16"/>
      <c r="M18" s="15" t="s">
        <v>737</v>
      </c>
      <c r="N18" s="15" t="s">
        <v>1690</v>
      </c>
      <c r="O18" s="16" t="s">
        <v>433</v>
      </c>
      <c r="P18" s="15" t="s">
        <v>1325</v>
      </c>
      <c r="Q18" s="16" t="s">
        <v>495</v>
      </c>
      <c r="R18" s="16"/>
      <c r="S18" s="16"/>
      <c r="T18" s="15" t="s">
        <v>876</v>
      </c>
      <c r="U18" s="15" t="s">
        <v>1695</v>
      </c>
      <c r="V18" s="16" t="s">
        <v>528</v>
      </c>
    </row>
    <row r="19" spans="1:22" x14ac:dyDescent="0.25">
      <c r="A19" s="15"/>
      <c r="B19" s="16"/>
      <c r="C19" s="24"/>
      <c r="D19" s="16"/>
      <c r="E19" s="15" t="s">
        <v>668</v>
      </c>
      <c r="F19" s="16" t="s">
        <v>294</v>
      </c>
      <c r="G19" s="15" t="s">
        <v>279</v>
      </c>
      <c r="H19" s="16" t="s">
        <v>619</v>
      </c>
      <c r="I19" s="15" t="s">
        <v>773</v>
      </c>
      <c r="J19" s="16" t="s">
        <v>418</v>
      </c>
      <c r="K19" s="16"/>
      <c r="L19" s="16"/>
      <c r="M19" s="15" t="s">
        <v>738</v>
      </c>
      <c r="N19" s="15" t="s">
        <v>1690</v>
      </c>
      <c r="O19" s="16" t="s">
        <v>434</v>
      </c>
      <c r="P19" s="15" t="s">
        <v>1326</v>
      </c>
      <c r="Q19" s="16" t="s">
        <v>560</v>
      </c>
      <c r="R19" s="16"/>
      <c r="S19" s="16"/>
      <c r="T19" s="15" t="s">
        <v>877</v>
      </c>
      <c r="U19" s="15" t="s">
        <v>1695</v>
      </c>
      <c r="V19" s="16" t="s">
        <v>533</v>
      </c>
    </row>
    <row r="20" spans="1:22" x14ac:dyDescent="0.25">
      <c r="A20" s="15"/>
      <c r="B20" s="16"/>
      <c r="C20" s="24"/>
      <c r="D20" s="16"/>
      <c r="E20" s="15" t="s">
        <v>669</v>
      </c>
      <c r="F20" s="16" t="s">
        <v>294</v>
      </c>
      <c r="G20" s="15" t="s">
        <v>280</v>
      </c>
      <c r="H20" s="16" t="s">
        <v>620</v>
      </c>
      <c r="I20" s="15" t="s">
        <v>774</v>
      </c>
      <c r="J20" s="16" t="s">
        <v>416</v>
      </c>
      <c r="K20" s="16"/>
      <c r="L20" s="16"/>
      <c r="M20" s="15" t="s">
        <v>739</v>
      </c>
      <c r="N20" s="15" t="s">
        <v>1690</v>
      </c>
      <c r="O20" s="16" t="s">
        <v>435</v>
      </c>
      <c r="P20" s="15" t="s">
        <v>1327</v>
      </c>
      <c r="Q20" s="16" t="s">
        <v>483</v>
      </c>
      <c r="R20" s="16"/>
      <c r="S20" s="16"/>
      <c r="T20" s="15" t="s">
        <v>836</v>
      </c>
      <c r="U20" s="15" t="s">
        <v>1695</v>
      </c>
      <c r="V20" s="16" t="s">
        <v>595</v>
      </c>
    </row>
    <row r="21" spans="1:22" x14ac:dyDescent="0.25">
      <c r="A21" s="15"/>
      <c r="B21" s="16"/>
      <c r="C21" s="24"/>
      <c r="D21" s="16"/>
      <c r="E21" s="15" t="s">
        <v>670</v>
      </c>
      <c r="F21" s="16" t="s">
        <v>294</v>
      </c>
      <c r="G21" s="15" t="s">
        <v>281</v>
      </c>
      <c r="H21" s="16" t="s">
        <v>621</v>
      </c>
      <c r="I21" s="15" t="s">
        <v>775</v>
      </c>
      <c r="J21" s="16" t="s">
        <v>421</v>
      </c>
      <c r="K21" s="16"/>
      <c r="L21" s="16"/>
      <c r="M21" s="15" t="s">
        <v>740</v>
      </c>
      <c r="N21" s="15" t="s">
        <v>1690</v>
      </c>
      <c r="O21" s="16" t="s">
        <v>574</v>
      </c>
      <c r="P21" s="15" t="s">
        <v>1328</v>
      </c>
      <c r="Q21" s="16" t="s">
        <v>478</v>
      </c>
      <c r="R21" s="16"/>
      <c r="S21" s="16"/>
      <c r="T21" s="15" t="s">
        <v>837</v>
      </c>
      <c r="U21" s="15" t="s">
        <v>1695</v>
      </c>
      <c r="V21" s="16" t="s">
        <v>524</v>
      </c>
    </row>
    <row r="22" spans="1:22" x14ac:dyDescent="0.25">
      <c r="A22" s="15"/>
      <c r="B22" s="16"/>
      <c r="C22" s="24"/>
      <c r="D22" s="16"/>
      <c r="E22" s="15" t="s">
        <v>671</v>
      </c>
      <c r="F22" s="16" t="s">
        <v>294</v>
      </c>
      <c r="G22" s="15" t="s">
        <v>281</v>
      </c>
      <c r="H22" s="16" t="s">
        <v>622</v>
      </c>
      <c r="I22" s="15" t="s">
        <v>776</v>
      </c>
      <c r="J22" s="16" t="s">
        <v>422</v>
      </c>
      <c r="K22" s="16"/>
      <c r="L22" s="16"/>
      <c r="M22" s="15" t="s">
        <v>791</v>
      </c>
      <c r="N22" s="15" t="s">
        <v>378</v>
      </c>
      <c r="O22" s="16" t="s">
        <v>397</v>
      </c>
      <c r="P22" s="15" t="s">
        <v>1329</v>
      </c>
      <c r="Q22" s="16" t="s">
        <v>359</v>
      </c>
      <c r="R22" s="16"/>
      <c r="S22" s="16"/>
      <c r="T22" s="15" t="s">
        <v>838</v>
      </c>
      <c r="U22" s="15" t="s">
        <v>1695</v>
      </c>
      <c r="V22" s="16" t="s">
        <v>522</v>
      </c>
    </row>
    <row r="23" spans="1:22" x14ac:dyDescent="0.25">
      <c r="A23" s="15"/>
      <c r="B23" s="16"/>
      <c r="C23" s="24"/>
      <c r="D23" s="16"/>
      <c r="E23" s="15" t="s">
        <v>672</v>
      </c>
      <c r="F23" s="16" t="s">
        <v>294</v>
      </c>
      <c r="G23" s="15" t="s">
        <v>281</v>
      </c>
      <c r="H23" s="16" t="s">
        <v>623</v>
      </c>
      <c r="I23" s="15" t="s">
        <v>777</v>
      </c>
      <c r="J23" s="16" t="s">
        <v>426</v>
      </c>
      <c r="K23" s="16"/>
      <c r="L23" s="16"/>
      <c r="M23" s="15" t="s">
        <v>792</v>
      </c>
      <c r="N23" s="15" t="s">
        <v>378</v>
      </c>
      <c r="O23" s="16" t="s">
        <v>443</v>
      </c>
      <c r="P23" s="15" t="s">
        <v>1330</v>
      </c>
      <c r="Q23" s="16" t="s">
        <v>481</v>
      </c>
      <c r="R23" s="16"/>
      <c r="S23" s="16"/>
      <c r="T23" s="15" t="s">
        <v>839</v>
      </c>
      <c r="U23" s="15" t="s">
        <v>1695</v>
      </c>
      <c r="V23" s="16" t="s">
        <v>517</v>
      </c>
    </row>
    <row r="24" spans="1:22" x14ac:dyDescent="0.25">
      <c r="A24" s="15"/>
      <c r="B24" s="16"/>
      <c r="C24" s="24"/>
      <c r="D24" s="16"/>
      <c r="E24" s="15" t="s">
        <v>673</v>
      </c>
      <c r="F24" s="16" t="s">
        <v>294</v>
      </c>
      <c r="G24" s="15" t="s">
        <v>281</v>
      </c>
      <c r="H24" s="16" t="s">
        <v>624</v>
      </c>
      <c r="I24" s="15" t="s">
        <v>778</v>
      </c>
      <c r="J24" s="16" t="s">
        <v>427</v>
      </c>
      <c r="K24" s="16"/>
      <c r="L24" s="16"/>
      <c r="M24" s="15" t="s">
        <v>793</v>
      </c>
      <c r="N24" s="15" t="s">
        <v>378</v>
      </c>
      <c r="O24" s="16" t="s">
        <v>439</v>
      </c>
      <c r="P24" s="15" t="s">
        <v>1331</v>
      </c>
      <c r="Q24" s="16" t="s">
        <v>503</v>
      </c>
      <c r="R24" s="16"/>
      <c r="S24" s="16"/>
      <c r="T24" s="15" t="s">
        <v>840</v>
      </c>
      <c r="U24" s="15" t="s">
        <v>1695</v>
      </c>
      <c r="V24" s="16" t="s">
        <v>531</v>
      </c>
    </row>
    <row r="25" spans="1:22" x14ac:dyDescent="0.25">
      <c r="A25" s="15"/>
      <c r="B25" s="16"/>
      <c r="C25" s="24"/>
      <c r="D25" s="16"/>
      <c r="E25" s="15" t="s">
        <v>674</v>
      </c>
      <c r="F25" s="16" t="s">
        <v>294</v>
      </c>
      <c r="G25" s="15" t="s">
        <v>281</v>
      </c>
      <c r="H25" s="16" t="s">
        <v>625</v>
      </c>
      <c r="I25" s="15" t="s">
        <v>779</v>
      </c>
      <c r="J25" s="16" t="s">
        <v>1782</v>
      </c>
      <c r="K25" s="16"/>
      <c r="L25" s="16"/>
      <c r="M25" s="15" t="s">
        <v>794</v>
      </c>
      <c r="N25" s="15" t="s">
        <v>378</v>
      </c>
      <c r="O25" s="16" t="s">
        <v>444</v>
      </c>
      <c r="P25" s="15" t="s">
        <v>1332</v>
      </c>
      <c r="Q25" s="16" t="s">
        <v>590</v>
      </c>
      <c r="R25" s="16"/>
      <c r="S25" s="16"/>
      <c r="T25" s="15" t="s">
        <v>841</v>
      </c>
      <c r="U25" s="15" t="s">
        <v>1695</v>
      </c>
      <c r="V25" s="16" t="s">
        <v>525</v>
      </c>
    </row>
    <row r="26" spans="1:22" x14ac:dyDescent="0.25">
      <c r="A26" s="15"/>
      <c r="B26" s="16"/>
      <c r="C26" s="24"/>
      <c r="D26" s="16"/>
      <c r="E26" s="15" t="s">
        <v>675</v>
      </c>
      <c r="F26" s="16" t="s">
        <v>294</v>
      </c>
      <c r="G26" s="15" t="s">
        <v>282</v>
      </c>
      <c r="H26" s="16" t="s">
        <v>626</v>
      </c>
      <c r="I26" s="15" t="s">
        <v>780</v>
      </c>
      <c r="J26" s="16" t="s">
        <v>428</v>
      </c>
      <c r="K26" s="16"/>
      <c r="L26" s="16"/>
      <c r="M26" s="15" t="s">
        <v>795</v>
      </c>
      <c r="N26" s="15" t="s">
        <v>378</v>
      </c>
      <c r="O26" s="16" t="s">
        <v>451</v>
      </c>
      <c r="P26" s="15" t="s">
        <v>1333</v>
      </c>
      <c r="Q26" s="16" t="s">
        <v>497</v>
      </c>
      <c r="R26" s="16"/>
      <c r="S26" s="16"/>
      <c r="T26" s="15" t="s">
        <v>842</v>
      </c>
      <c r="U26" s="15" t="s">
        <v>1695</v>
      </c>
      <c r="V26" s="16" t="s">
        <v>535</v>
      </c>
    </row>
    <row r="27" spans="1:22" x14ac:dyDescent="0.25">
      <c r="A27" s="15"/>
      <c r="B27" s="16"/>
      <c r="C27" s="24"/>
      <c r="D27" s="16"/>
      <c r="E27" s="15" t="s">
        <v>676</v>
      </c>
      <c r="F27" s="16" t="s">
        <v>294</v>
      </c>
      <c r="G27" s="15" t="s">
        <v>291</v>
      </c>
      <c r="H27" s="16" t="s">
        <v>627</v>
      </c>
      <c r="I27" s="15" t="s">
        <v>781</v>
      </c>
      <c r="J27" s="16" t="s">
        <v>429</v>
      </c>
      <c r="K27" s="16"/>
      <c r="L27" s="16"/>
      <c r="M27" s="15" t="s">
        <v>796</v>
      </c>
      <c r="N27" s="15" t="s">
        <v>378</v>
      </c>
      <c r="O27" s="16" t="s">
        <v>455</v>
      </c>
      <c r="P27" s="15" t="s">
        <v>1334</v>
      </c>
      <c r="Q27" s="16" t="s">
        <v>376</v>
      </c>
      <c r="R27" s="16"/>
      <c r="S27" s="16"/>
      <c r="T27" s="15" t="s">
        <v>843</v>
      </c>
      <c r="U27" s="15" t="s">
        <v>1695</v>
      </c>
      <c r="V27" s="16" t="s">
        <v>516</v>
      </c>
    </row>
    <row r="28" spans="1:22" x14ac:dyDescent="0.25">
      <c r="A28" s="15"/>
      <c r="B28" s="16"/>
      <c r="C28" s="24"/>
      <c r="D28" s="16"/>
      <c r="E28" s="15" t="s">
        <v>677</v>
      </c>
      <c r="F28" s="16" t="s">
        <v>295</v>
      </c>
      <c r="G28" s="15" t="s">
        <v>273</v>
      </c>
      <c r="H28" s="16" t="s">
        <v>628</v>
      </c>
      <c r="I28" s="15"/>
      <c r="J28" s="16"/>
      <c r="K28" s="16"/>
      <c r="L28" s="16"/>
      <c r="M28" s="15" t="s">
        <v>797</v>
      </c>
      <c r="N28" s="15" t="s">
        <v>378</v>
      </c>
      <c r="O28" s="16" t="s">
        <v>456</v>
      </c>
      <c r="P28" s="15" t="s">
        <v>1335</v>
      </c>
      <c r="Q28" s="16" t="s">
        <v>358</v>
      </c>
      <c r="R28" s="16"/>
      <c r="S28" s="16"/>
      <c r="T28" s="15" t="s">
        <v>844</v>
      </c>
      <c r="U28" s="15" t="s">
        <v>1695</v>
      </c>
      <c r="V28" s="16" t="s">
        <v>530</v>
      </c>
    </row>
    <row r="29" spans="1:22" x14ac:dyDescent="0.25">
      <c r="A29" s="15"/>
      <c r="B29" s="16"/>
      <c r="C29" s="24"/>
      <c r="D29" s="16"/>
      <c r="E29" s="15" t="s">
        <v>678</v>
      </c>
      <c r="F29" s="16" t="s">
        <v>295</v>
      </c>
      <c r="G29" s="15" t="s">
        <v>273</v>
      </c>
      <c r="H29" s="16" t="s">
        <v>629</v>
      </c>
      <c r="I29" s="15"/>
      <c r="J29" s="16"/>
      <c r="K29" s="16"/>
      <c r="L29" s="16"/>
      <c r="M29" s="15" t="s">
        <v>798</v>
      </c>
      <c r="N29" s="15" t="s">
        <v>378</v>
      </c>
      <c r="O29" s="16" t="s">
        <v>436</v>
      </c>
      <c r="P29" s="15" t="s">
        <v>1336</v>
      </c>
      <c r="Q29" s="16" t="s">
        <v>496</v>
      </c>
      <c r="R29" s="16"/>
      <c r="S29" s="16"/>
      <c r="T29" s="15" t="s">
        <v>845</v>
      </c>
      <c r="U29" s="15" t="s">
        <v>1695</v>
      </c>
      <c r="V29" s="16" t="s">
        <v>529</v>
      </c>
    </row>
    <row r="30" spans="1:22" x14ac:dyDescent="0.25">
      <c r="A30" s="15"/>
      <c r="B30" s="16"/>
      <c r="C30" s="24"/>
      <c r="D30" s="16"/>
      <c r="E30" s="15" t="s">
        <v>679</v>
      </c>
      <c r="F30" s="16" t="s">
        <v>295</v>
      </c>
      <c r="G30" s="15" t="s">
        <v>278</v>
      </c>
      <c r="H30" s="16" t="s">
        <v>630</v>
      </c>
      <c r="I30" s="15"/>
      <c r="J30" s="16"/>
      <c r="K30" s="16"/>
      <c r="L30" s="16"/>
      <c r="M30" s="15" t="s">
        <v>799</v>
      </c>
      <c r="N30" s="15" t="s">
        <v>378</v>
      </c>
      <c r="O30" s="16" t="s">
        <v>437</v>
      </c>
      <c r="P30" s="15" t="s">
        <v>1337</v>
      </c>
      <c r="Q30" s="16" t="s">
        <v>493</v>
      </c>
      <c r="R30" s="16"/>
      <c r="S30" s="16"/>
      <c r="T30" s="15" t="s">
        <v>846</v>
      </c>
      <c r="U30" s="15" t="s">
        <v>1695</v>
      </c>
      <c r="V30" s="16" t="s">
        <v>515</v>
      </c>
    </row>
    <row r="31" spans="1:22" x14ac:dyDescent="0.25">
      <c r="A31" s="15"/>
      <c r="B31" s="16"/>
      <c r="C31" s="24"/>
      <c r="D31" s="16"/>
      <c r="E31" s="15" t="s">
        <v>680</v>
      </c>
      <c r="F31" s="16" t="s">
        <v>295</v>
      </c>
      <c r="G31" s="15" t="s">
        <v>279</v>
      </c>
      <c r="H31" s="16" t="s">
        <v>631</v>
      </c>
      <c r="I31" s="15"/>
      <c r="J31" s="16"/>
      <c r="K31" s="16"/>
      <c r="L31" s="16"/>
      <c r="M31" s="15" t="s">
        <v>741</v>
      </c>
      <c r="N31" s="15" t="s">
        <v>378</v>
      </c>
      <c r="O31" s="16" t="s">
        <v>445</v>
      </c>
      <c r="P31" s="15" t="s">
        <v>1338</v>
      </c>
      <c r="Q31" s="16" t="s">
        <v>374</v>
      </c>
      <c r="R31" s="16"/>
      <c r="S31" s="16"/>
      <c r="T31" s="15" t="s">
        <v>847</v>
      </c>
      <c r="U31" s="15" t="s">
        <v>1695</v>
      </c>
      <c r="V31" s="16" t="s">
        <v>521</v>
      </c>
    </row>
    <row r="32" spans="1:22" x14ac:dyDescent="0.25">
      <c r="A32" s="15"/>
      <c r="B32" s="16"/>
      <c r="C32" s="24"/>
      <c r="D32" s="16"/>
      <c r="E32" s="15" t="s">
        <v>681</v>
      </c>
      <c r="F32" s="16" t="s">
        <v>295</v>
      </c>
      <c r="G32" s="15" t="s">
        <v>279</v>
      </c>
      <c r="H32" s="16" t="s">
        <v>632</v>
      </c>
      <c r="I32" s="15"/>
      <c r="J32" s="16"/>
      <c r="K32" s="16"/>
      <c r="L32" s="16"/>
      <c r="M32" s="15" t="s">
        <v>742</v>
      </c>
      <c r="N32" s="15" t="s">
        <v>378</v>
      </c>
      <c r="O32" s="16" t="s">
        <v>450</v>
      </c>
      <c r="P32" s="15" t="s">
        <v>1339</v>
      </c>
      <c r="Q32" s="16" t="s">
        <v>473</v>
      </c>
      <c r="R32" s="16"/>
      <c r="S32" s="16"/>
      <c r="T32" s="15" t="s">
        <v>848</v>
      </c>
      <c r="U32" s="15" t="s">
        <v>1695</v>
      </c>
      <c r="V32" s="16" t="s">
        <v>532</v>
      </c>
    </row>
    <row r="33" spans="1:22" x14ac:dyDescent="0.25">
      <c r="A33" s="15"/>
      <c r="B33" s="16"/>
      <c r="C33" s="24"/>
      <c r="D33" s="16"/>
      <c r="E33" s="15" t="s">
        <v>682</v>
      </c>
      <c r="F33" s="16" t="s">
        <v>295</v>
      </c>
      <c r="G33" s="15" t="s">
        <v>279</v>
      </c>
      <c r="H33" s="16" t="s">
        <v>633</v>
      </c>
      <c r="I33" s="15"/>
      <c r="J33" s="16"/>
      <c r="K33" s="16"/>
      <c r="L33" s="16"/>
      <c r="M33" s="15" t="s">
        <v>743</v>
      </c>
      <c r="N33" s="15" t="s">
        <v>378</v>
      </c>
      <c r="O33" s="16" t="s">
        <v>438</v>
      </c>
      <c r="P33" s="15" t="s">
        <v>1340</v>
      </c>
      <c r="Q33" s="16" t="s">
        <v>471</v>
      </c>
      <c r="R33" s="16"/>
      <c r="S33" s="16"/>
      <c r="T33" s="15" t="s">
        <v>849</v>
      </c>
      <c r="U33" s="15" t="s">
        <v>1695</v>
      </c>
      <c r="V33" s="16" t="s">
        <v>299</v>
      </c>
    </row>
    <row r="34" spans="1:22" x14ac:dyDescent="0.25">
      <c r="A34" s="15"/>
      <c r="B34" s="16"/>
      <c r="C34" s="24"/>
      <c r="D34" s="16"/>
      <c r="E34" s="15" t="s">
        <v>683</v>
      </c>
      <c r="F34" s="16" t="s">
        <v>295</v>
      </c>
      <c r="G34" s="15" t="s">
        <v>280</v>
      </c>
      <c r="H34" s="16" t="s">
        <v>634</v>
      </c>
      <c r="I34" s="15"/>
      <c r="J34" s="16"/>
      <c r="K34" s="16"/>
      <c r="L34" s="16"/>
      <c r="M34" s="15" t="s">
        <v>744</v>
      </c>
      <c r="N34" s="15" t="s">
        <v>378</v>
      </c>
      <c r="O34" s="16" t="s">
        <v>442</v>
      </c>
      <c r="P34" s="15" t="s">
        <v>1341</v>
      </c>
      <c r="Q34" s="16" t="s">
        <v>470</v>
      </c>
      <c r="R34" s="16"/>
      <c r="S34" s="16"/>
      <c r="T34" s="15" t="s">
        <v>850</v>
      </c>
      <c r="U34" s="15" t="s">
        <v>1695</v>
      </c>
      <c r="V34" s="16" t="s">
        <v>536</v>
      </c>
    </row>
    <row r="35" spans="1:22" x14ac:dyDescent="0.25">
      <c r="A35" s="15"/>
      <c r="B35" s="16"/>
      <c r="C35" s="24"/>
      <c r="D35" s="16"/>
      <c r="E35" s="15" t="s">
        <v>684</v>
      </c>
      <c r="F35" s="16" t="s">
        <v>295</v>
      </c>
      <c r="G35" s="15" t="s">
        <v>281</v>
      </c>
      <c r="H35" s="16" t="s">
        <v>635</v>
      </c>
      <c r="I35" s="15"/>
      <c r="J35" s="16"/>
      <c r="K35" s="16"/>
      <c r="L35" s="16"/>
      <c r="M35" s="15" t="s">
        <v>745</v>
      </c>
      <c r="N35" s="15" t="s">
        <v>378</v>
      </c>
      <c r="O35" s="16" t="s">
        <v>449</v>
      </c>
      <c r="P35" s="15" t="s">
        <v>1342</v>
      </c>
      <c r="Q35" s="16" t="s">
        <v>504</v>
      </c>
      <c r="R35" s="16"/>
      <c r="S35" s="16"/>
      <c r="T35" s="15" t="s">
        <v>851</v>
      </c>
      <c r="U35" s="15" t="s">
        <v>1695</v>
      </c>
      <c r="V35" s="16" t="s">
        <v>523</v>
      </c>
    </row>
    <row r="36" spans="1:22" x14ac:dyDescent="0.25">
      <c r="A36" s="15"/>
      <c r="B36" s="16"/>
      <c r="C36" s="24"/>
      <c r="D36" s="16"/>
      <c r="E36" s="15" t="s">
        <v>685</v>
      </c>
      <c r="F36" s="16" t="s">
        <v>295</v>
      </c>
      <c r="G36" s="15" t="s">
        <v>282</v>
      </c>
      <c r="H36" s="16" t="s">
        <v>636</v>
      </c>
      <c r="I36" s="15"/>
      <c r="J36" s="16"/>
      <c r="K36" s="16"/>
      <c r="L36" s="16"/>
      <c r="M36" s="15" t="s">
        <v>746</v>
      </c>
      <c r="N36" s="15" t="s">
        <v>378</v>
      </c>
      <c r="O36" s="16" t="s">
        <v>447</v>
      </c>
      <c r="P36" s="15" t="s">
        <v>1343</v>
      </c>
      <c r="Q36" s="16" t="s">
        <v>501</v>
      </c>
      <c r="R36" s="16"/>
      <c r="S36" s="16"/>
      <c r="T36" s="15" t="s">
        <v>852</v>
      </c>
      <c r="U36" s="15" t="s">
        <v>1695</v>
      </c>
      <c r="V36" s="16" t="s">
        <v>526</v>
      </c>
    </row>
    <row r="37" spans="1:22" x14ac:dyDescent="0.25">
      <c r="A37" s="15"/>
      <c r="B37" s="16"/>
      <c r="C37" s="24"/>
      <c r="D37" s="16"/>
      <c r="E37" s="15" t="s">
        <v>686</v>
      </c>
      <c r="F37" s="16" t="s">
        <v>295</v>
      </c>
      <c r="G37" s="15" t="s">
        <v>291</v>
      </c>
      <c r="H37" s="16" t="s">
        <v>637</v>
      </c>
      <c r="I37" s="15"/>
      <c r="J37" s="16"/>
      <c r="K37" s="16"/>
      <c r="L37" s="16"/>
      <c r="M37" s="15" t="s">
        <v>747</v>
      </c>
      <c r="N37" s="15" t="s">
        <v>378</v>
      </c>
      <c r="O37" s="16" t="s">
        <v>462</v>
      </c>
      <c r="P37" s="15" t="s">
        <v>1344</v>
      </c>
      <c r="Q37" s="16" t="s">
        <v>592</v>
      </c>
      <c r="R37" s="16"/>
      <c r="S37" s="16"/>
      <c r="T37" s="15" t="s">
        <v>853</v>
      </c>
      <c r="U37" s="15" t="s">
        <v>1695</v>
      </c>
      <c r="V37" s="16" t="s">
        <v>534</v>
      </c>
    </row>
    <row r="38" spans="1:22" x14ac:dyDescent="0.25">
      <c r="A38" s="15"/>
      <c r="B38" s="16"/>
      <c r="C38" s="24"/>
      <c r="D38" s="16"/>
      <c r="E38" s="15" t="s">
        <v>687</v>
      </c>
      <c r="F38" s="16" t="s">
        <v>297</v>
      </c>
      <c r="G38" s="15" t="s">
        <v>273</v>
      </c>
      <c r="H38" s="16" t="s">
        <v>638</v>
      </c>
      <c r="I38" s="15"/>
      <c r="J38" s="16"/>
      <c r="K38" s="16"/>
      <c r="L38" s="16"/>
      <c r="M38" s="15" t="s">
        <v>748</v>
      </c>
      <c r="N38" s="15" t="s">
        <v>378</v>
      </c>
      <c r="O38" s="16" t="s">
        <v>463</v>
      </c>
      <c r="P38" s="15" t="s">
        <v>1345</v>
      </c>
      <c r="Q38" s="16" t="s">
        <v>360</v>
      </c>
      <c r="R38" s="16"/>
      <c r="S38" s="16"/>
      <c r="T38" s="15" t="s">
        <v>878</v>
      </c>
      <c r="U38" s="15" t="s">
        <v>1696</v>
      </c>
      <c r="V38" s="16" t="s">
        <v>314</v>
      </c>
    </row>
    <row r="39" spans="1:22" x14ac:dyDescent="0.25">
      <c r="A39" s="15"/>
      <c r="B39" s="16"/>
      <c r="C39" s="24"/>
      <c r="D39" s="16"/>
      <c r="E39" s="15" t="s">
        <v>688</v>
      </c>
      <c r="F39" s="16" t="s">
        <v>297</v>
      </c>
      <c r="G39" s="15" t="s">
        <v>273</v>
      </c>
      <c r="H39" s="16" t="s">
        <v>639</v>
      </c>
      <c r="I39" s="15"/>
      <c r="J39" s="16"/>
      <c r="K39" s="16"/>
      <c r="L39" s="16"/>
      <c r="M39" s="15" t="s">
        <v>749</v>
      </c>
      <c r="N39" s="15" t="s">
        <v>378</v>
      </c>
      <c r="O39" s="16" t="s">
        <v>440</v>
      </c>
      <c r="P39" s="15" t="s">
        <v>1346</v>
      </c>
      <c r="Q39" s="16" t="s">
        <v>490</v>
      </c>
      <c r="R39" s="16"/>
      <c r="S39" s="16"/>
      <c r="T39" s="15" t="s">
        <v>879</v>
      </c>
      <c r="U39" s="15" t="s">
        <v>1696</v>
      </c>
      <c r="V39" s="16" t="s">
        <v>301</v>
      </c>
    </row>
    <row r="40" spans="1:22" x14ac:dyDescent="0.25">
      <c r="A40" s="15"/>
      <c r="B40" s="16"/>
      <c r="C40" s="24"/>
      <c r="D40" s="16"/>
      <c r="E40" s="15" t="s">
        <v>689</v>
      </c>
      <c r="F40" s="16" t="s">
        <v>297</v>
      </c>
      <c r="G40" s="15" t="s">
        <v>275</v>
      </c>
      <c r="H40" s="16" t="s">
        <v>640</v>
      </c>
      <c r="I40" s="15"/>
      <c r="J40" s="16"/>
      <c r="K40" s="16"/>
      <c r="L40" s="16"/>
      <c r="M40" s="15" t="s">
        <v>750</v>
      </c>
      <c r="N40" s="15" t="s">
        <v>378</v>
      </c>
      <c r="O40" s="16" t="s">
        <v>441</v>
      </c>
      <c r="P40" s="15" t="s">
        <v>1347</v>
      </c>
      <c r="Q40" s="16" t="s">
        <v>502</v>
      </c>
      <c r="R40" s="16"/>
      <c r="S40" s="16"/>
      <c r="T40" s="15" t="s">
        <v>880</v>
      </c>
      <c r="U40" s="15" t="s">
        <v>1696</v>
      </c>
      <c r="V40" s="16" t="s">
        <v>311</v>
      </c>
    </row>
    <row r="41" spans="1:22" x14ac:dyDescent="0.25">
      <c r="A41" s="15"/>
      <c r="B41" s="16"/>
      <c r="C41" s="24"/>
      <c r="D41" s="16"/>
      <c r="E41" s="15" t="s">
        <v>690</v>
      </c>
      <c r="F41" s="16" t="s">
        <v>297</v>
      </c>
      <c r="G41" s="15" t="s">
        <v>275</v>
      </c>
      <c r="H41" s="16" t="s">
        <v>641</v>
      </c>
      <c r="I41" s="15"/>
      <c r="J41" s="16"/>
      <c r="K41" s="16"/>
      <c r="L41" s="16"/>
      <c r="M41" s="15" t="s">
        <v>751</v>
      </c>
      <c r="N41" s="15" t="s">
        <v>378</v>
      </c>
      <c r="O41" s="16" t="s">
        <v>396</v>
      </c>
      <c r="P41" s="15" t="s">
        <v>1348</v>
      </c>
      <c r="Q41" s="16" t="s">
        <v>476</v>
      </c>
      <c r="R41" s="16"/>
      <c r="S41" s="16"/>
      <c r="T41" s="15" t="s">
        <v>881</v>
      </c>
      <c r="U41" s="15" t="s">
        <v>1696</v>
      </c>
      <c r="V41" s="16" t="s">
        <v>312</v>
      </c>
    </row>
    <row r="42" spans="1:22" x14ac:dyDescent="0.25">
      <c r="A42" s="15"/>
      <c r="B42" s="16"/>
      <c r="C42" s="24"/>
      <c r="D42" s="16"/>
      <c r="E42" s="15" t="s">
        <v>691</v>
      </c>
      <c r="F42" s="16" t="s">
        <v>297</v>
      </c>
      <c r="G42" s="15" t="s">
        <v>276</v>
      </c>
      <c r="H42" s="16" t="s">
        <v>642</v>
      </c>
      <c r="I42" s="15"/>
      <c r="J42" s="16"/>
      <c r="K42" s="16"/>
      <c r="L42" s="16"/>
      <c r="M42" s="15" t="s">
        <v>752</v>
      </c>
      <c r="N42" s="15" t="s">
        <v>378</v>
      </c>
      <c r="O42" s="16" t="s">
        <v>454</v>
      </c>
      <c r="P42" s="15" t="s">
        <v>1349</v>
      </c>
      <c r="Q42" s="16" t="s">
        <v>484</v>
      </c>
      <c r="R42" s="16"/>
      <c r="S42" s="16"/>
      <c r="T42" s="15" t="s">
        <v>882</v>
      </c>
      <c r="U42" s="15" t="s">
        <v>1696</v>
      </c>
      <c r="V42" s="16" t="s">
        <v>596</v>
      </c>
    </row>
    <row r="43" spans="1:22" x14ac:dyDescent="0.25">
      <c r="A43" s="15"/>
      <c r="B43" s="16"/>
      <c r="C43" s="24"/>
      <c r="D43" s="16"/>
      <c r="E43" s="15" t="s">
        <v>692</v>
      </c>
      <c r="F43" s="16" t="s">
        <v>297</v>
      </c>
      <c r="G43" s="15" t="s">
        <v>277</v>
      </c>
      <c r="H43" s="16" t="s">
        <v>643</v>
      </c>
      <c r="I43" s="15"/>
      <c r="J43" s="16"/>
      <c r="K43" s="16"/>
      <c r="L43" s="16"/>
      <c r="M43" s="15" t="s">
        <v>753</v>
      </c>
      <c r="N43" s="15" t="s">
        <v>378</v>
      </c>
      <c r="O43" s="16" t="s">
        <v>466</v>
      </c>
      <c r="P43" s="15" t="s">
        <v>1350</v>
      </c>
      <c r="Q43" s="16" t="s">
        <v>480</v>
      </c>
      <c r="R43" s="16"/>
      <c r="S43" s="16"/>
      <c r="T43" s="15" t="s">
        <v>883</v>
      </c>
      <c r="U43" s="15" t="s">
        <v>1696</v>
      </c>
      <c r="V43" s="16" t="s">
        <v>303</v>
      </c>
    </row>
    <row r="44" spans="1:22" x14ac:dyDescent="0.25">
      <c r="A44" s="15"/>
      <c r="B44" s="16"/>
      <c r="C44" s="24"/>
      <c r="D44" s="16"/>
      <c r="E44" s="15" t="s">
        <v>693</v>
      </c>
      <c r="F44" s="16" t="s">
        <v>297</v>
      </c>
      <c r="G44" s="15" t="s">
        <v>278</v>
      </c>
      <c r="H44" s="16" t="s">
        <v>602</v>
      </c>
      <c r="I44" s="15"/>
      <c r="J44" s="16"/>
      <c r="K44" s="16"/>
      <c r="L44" s="16"/>
      <c r="M44" s="15" t="s">
        <v>754</v>
      </c>
      <c r="N44" s="15" t="s">
        <v>378</v>
      </c>
      <c r="O44" s="16" t="s">
        <v>1138</v>
      </c>
      <c r="P44" s="15" t="s">
        <v>1351</v>
      </c>
      <c r="Q44" s="16" t="s">
        <v>482</v>
      </c>
      <c r="R44" s="16"/>
      <c r="S44" s="16"/>
      <c r="T44" s="15" t="s">
        <v>884</v>
      </c>
      <c r="U44" s="15" t="s">
        <v>1696</v>
      </c>
      <c r="V44" s="16" t="s">
        <v>309</v>
      </c>
    </row>
    <row r="45" spans="1:22" x14ac:dyDescent="0.25">
      <c r="A45" s="15"/>
      <c r="B45" s="16"/>
      <c r="C45" s="24"/>
      <c r="D45" s="16"/>
      <c r="E45" s="15" t="s">
        <v>694</v>
      </c>
      <c r="F45" s="16" t="s">
        <v>297</v>
      </c>
      <c r="G45" s="15" t="s">
        <v>279</v>
      </c>
      <c r="H45" s="16" t="s">
        <v>644</v>
      </c>
      <c r="I45" s="15"/>
      <c r="J45" s="16"/>
      <c r="K45" s="16"/>
      <c r="L45" s="16"/>
      <c r="M45" s="15" t="s">
        <v>755</v>
      </c>
      <c r="N45" s="15" t="s">
        <v>378</v>
      </c>
      <c r="O45" s="16" t="s">
        <v>459</v>
      </c>
      <c r="P45" s="15" t="s">
        <v>1352</v>
      </c>
      <c r="Q45" s="16" t="s">
        <v>506</v>
      </c>
      <c r="R45" s="16"/>
      <c r="S45" s="16"/>
      <c r="T45" s="15" t="s">
        <v>885</v>
      </c>
      <c r="U45" s="15" t="s">
        <v>1696</v>
      </c>
      <c r="V45" s="16" t="s">
        <v>317</v>
      </c>
    </row>
    <row r="46" spans="1:22" x14ac:dyDescent="0.25">
      <c r="A46" s="15"/>
      <c r="B46" s="16"/>
      <c r="C46" s="24"/>
      <c r="D46" s="16"/>
      <c r="E46" s="15" t="s">
        <v>695</v>
      </c>
      <c r="F46" s="16" t="s">
        <v>297</v>
      </c>
      <c r="G46" s="15" t="s">
        <v>280</v>
      </c>
      <c r="H46" s="16" t="s">
        <v>645</v>
      </c>
      <c r="I46" s="15"/>
      <c r="J46" s="16"/>
      <c r="K46" s="16"/>
      <c r="L46" s="16"/>
      <c r="M46" s="15" t="s">
        <v>756</v>
      </c>
      <c r="N46" s="15" t="s">
        <v>378</v>
      </c>
      <c r="O46" s="16" t="s">
        <v>1733</v>
      </c>
      <c r="P46" s="15" t="s">
        <v>1353</v>
      </c>
      <c r="Q46" s="16" t="s">
        <v>591</v>
      </c>
      <c r="R46" s="16"/>
      <c r="S46" s="16"/>
      <c r="T46" s="15" t="s">
        <v>886</v>
      </c>
      <c r="U46" s="15" t="s">
        <v>1696</v>
      </c>
      <c r="V46" s="16" t="s">
        <v>305</v>
      </c>
    </row>
    <row r="47" spans="1:22" x14ac:dyDescent="0.25">
      <c r="A47" s="15"/>
      <c r="B47" s="16"/>
      <c r="C47" s="24"/>
      <c r="D47" s="16"/>
      <c r="E47" s="15" t="s">
        <v>696</v>
      </c>
      <c r="F47" s="16" t="s">
        <v>297</v>
      </c>
      <c r="G47" s="15" t="s">
        <v>281</v>
      </c>
      <c r="H47" s="16" t="s">
        <v>646</v>
      </c>
      <c r="I47" s="15"/>
      <c r="J47" s="16"/>
      <c r="K47" s="16"/>
      <c r="L47" s="16"/>
      <c r="M47" s="15" t="s">
        <v>757</v>
      </c>
      <c r="N47" s="15" t="s">
        <v>378</v>
      </c>
      <c r="O47" s="16" t="s">
        <v>465</v>
      </c>
      <c r="P47" s="15" t="s">
        <v>1354</v>
      </c>
      <c r="Q47" s="16" t="s">
        <v>474</v>
      </c>
      <c r="R47" s="16"/>
      <c r="S47" s="16"/>
      <c r="T47" s="15" t="s">
        <v>854</v>
      </c>
      <c r="U47" s="15" t="s">
        <v>1696</v>
      </c>
      <c r="V47" s="16" t="s">
        <v>307</v>
      </c>
    </row>
    <row r="48" spans="1:22" x14ac:dyDescent="0.25">
      <c r="A48" s="15"/>
      <c r="B48" s="16"/>
      <c r="C48" s="24"/>
      <c r="D48" s="16"/>
      <c r="E48" s="15" t="s">
        <v>697</v>
      </c>
      <c r="F48" s="16" t="s">
        <v>297</v>
      </c>
      <c r="G48" s="15" t="s">
        <v>282</v>
      </c>
      <c r="H48" s="16" t="s">
        <v>647</v>
      </c>
      <c r="I48" s="15"/>
      <c r="J48" s="16"/>
      <c r="K48" s="16"/>
      <c r="L48" s="16"/>
      <c r="M48" s="15" t="s">
        <v>758</v>
      </c>
      <c r="N48" s="15" t="s">
        <v>378</v>
      </c>
      <c r="O48" s="16" t="s">
        <v>446</v>
      </c>
      <c r="P48" s="15" t="s">
        <v>1355</v>
      </c>
      <c r="Q48" s="16" t="s">
        <v>505</v>
      </c>
      <c r="R48" s="16"/>
      <c r="S48" s="16"/>
      <c r="T48" s="15" t="s">
        <v>855</v>
      </c>
      <c r="U48" s="15" t="s">
        <v>1696</v>
      </c>
      <c r="V48" s="16" t="s">
        <v>597</v>
      </c>
    </row>
    <row r="49" spans="1:22" x14ac:dyDescent="0.25">
      <c r="A49" s="15"/>
      <c r="B49" s="16"/>
      <c r="C49" s="24"/>
      <c r="D49" s="16"/>
      <c r="E49" s="15" t="s">
        <v>698</v>
      </c>
      <c r="F49" s="16" t="s">
        <v>297</v>
      </c>
      <c r="G49" s="15" t="s">
        <v>291</v>
      </c>
      <c r="H49" s="16" t="s">
        <v>648</v>
      </c>
      <c r="I49" s="15"/>
      <c r="J49" s="16"/>
      <c r="K49" s="16"/>
      <c r="L49" s="16"/>
      <c r="M49" s="15" t="s">
        <v>759</v>
      </c>
      <c r="N49" s="15" t="s">
        <v>378</v>
      </c>
      <c r="O49" s="16" t="s">
        <v>452</v>
      </c>
      <c r="P49" s="15" t="s">
        <v>1356</v>
      </c>
      <c r="Q49" s="16" t="s">
        <v>491</v>
      </c>
      <c r="R49" s="16"/>
      <c r="S49" s="16"/>
      <c r="T49" s="15" t="s">
        <v>856</v>
      </c>
      <c r="U49" s="15" t="s">
        <v>1696</v>
      </c>
      <c r="V49" s="16" t="s">
        <v>323</v>
      </c>
    </row>
    <row r="50" spans="1:22" x14ac:dyDescent="0.25">
      <c r="A50" s="15"/>
      <c r="B50" s="16"/>
      <c r="C50" s="24"/>
      <c r="D50" s="16"/>
      <c r="E50" s="15" t="s">
        <v>699</v>
      </c>
      <c r="F50" s="16" t="s">
        <v>298</v>
      </c>
      <c r="G50" s="15" t="s">
        <v>273</v>
      </c>
      <c r="H50" s="16" t="s">
        <v>649</v>
      </c>
      <c r="I50" s="15"/>
      <c r="J50" s="16"/>
      <c r="K50" s="16"/>
      <c r="L50" s="16"/>
      <c r="M50" s="15" t="s">
        <v>760</v>
      </c>
      <c r="N50" s="15" t="s">
        <v>378</v>
      </c>
      <c r="O50" s="16" t="s">
        <v>458</v>
      </c>
      <c r="P50" s="15" t="s">
        <v>1357</v>
      </c>
      <c r="Q50" s="16" t="s">
        <v>371</v>
      </c>
      <c r="R50" s="16"/>
      <c r="S50" s="16"/>
      <c r="T50" s="15" t="s">
        <v>857</v>
      </c>
      <c r="U50" s="15" t="s">
        <v>1696</v>
      </c>
      <c r="V50" s="16" t="s">
        <v>315</v>
      </c>
    </row>
    <row r="51" spans="1:22" x14ac:dyDescent="0.25">
      <c r="A51" s="15"/>
      <c r="B51" s="16"/>
      <c r="C51" s="24"/>
      <c r="D51" s="16"/>
      <c r="E51" s="15"/>
      <c r="F51" s="15"/>
      <c r="G51" s="15"/>
      <c r="H51" s="16"/>
      <c r="I51" s="15"/>
      <c r="J51" s="16"/>
      <c r="K51" s="16"/>
      <c r="L51" s="16"/>
      <c r="M51" s="15" t="s">
        <v>761</v>
      </c>
      <c r="N51" s="15" t="s">
        <v>378</v>
      </c>
      <c r="O51" s="16" t="s">
        <v>448</v>
      </c>
      <c r="P51" s="15" t="s">
        <v>1358</v>
      </c>
      <c r="Q51" s="16" t="s">
        <v>367</v>
      </c>
      <c r="R51" s="16"/>
      <c r="S51" s="16"/>
      <c r="T51" s="15" t="s">
        <v>858</v>
      </c>
      <c r="U51" s="15" t="s">
        <v>1696</v>
      </c>
      <c r="V51" s="16" t="s">
        <v>321</v>
      </c>
    </row>
    <row r="52" spans="1:22" x14ac:dyDescent="0.25">
      <c r="A52" s="15"/>
      <c r="B52" s="16"/>
      <c r="C52" s="24"/>
      <c r="D52" s="16"/>
      <c r="E52" s="15"/>
      <c r="F52" s="15"/>
      <c r="G52" s="15"/>
      <c r="H52" s="16"/>
      <c r="I52" s="15"/>
      <c r="J52" s="16"/>
      <c r="K52" s="16"/>
      <c r="L52" s="16"/>
      <c r="M52" s="15" t="s">
        <v>762</v>
      </c>
      <c r="N52" s="15" t="s">
        <v>378</v>
      </c>
      <c r="O52" s="16" t="s">
        <v>460</v>
      </c>
      <c r="P52" s="15" t="s">
        <v>1359</v>
      </c>
      <c r="Q52" s="16" t="s">
        <v>366</v>
      </c>
      <c r="R52" s="16"/>
      <c r="S52" s="16"/>
      <c r="T52" s="15" t="s">
        <v>859</v>
      </c>
      <c r="U52" s="15" t="s">
        <v>1696</v>
      </c>
      <c r="V52" s="16" t="s">
        <v>319</v>
      </c>
    </row>
    <row r="53" spans="1:22" x14ac:dyDescent="0.25">
      <c r="A53" s="15"/>
      <c r="B53" s="16"/>
      <c r="C53" s="24"/>
      <c r="D53" s="16"/>
      <c r="E53" s="15"/>
      <c r="F53" s="15"/>
      <c r="G53" s="15"/>
      <c r="H53" s="16"/>
      <c r="I53" s="15"/>
      <c r="J53" s="16"/>
      <c r="K53" s="16"/>
      <c r="L53" s="16"/>
      <c r="M53" s="15" t="s">
        <v>763</v>
      </c>
      <c r="N53" s="15" t="s">
        <v>378</v>
      </c>
      <c r="O53" s="16" t="s">
        <v>461</v>
      </c>
      <c r="P53" s="15" t="s">
        <v>1360</v>
      </c>
      <c r="Q53" s="16" t="s">
        <v>369</v>
      </c>
      <c r="R53" s="16"/>
      <c r="S53" s="16"/>
      <c r="T53" s="15" t="s">
        <v>887</v>
      </c>
      <c r="U53" s="15" t="s">
        <v>1697</v>
      </c>
      <c r="V53" s="16" t="s">
        <v>326</v>
      </c>
    </row>
    <row r="54" spans="1:22" x14ac:dyDescent="0.25">
      <c r="A54" s="15"/>
      <c r="B54" s="16"/>
      <c r="C54" s="24"/>
      <c r="D54" s="16"/>
      <c r="E54" s="15"/>
      <c r="F54" s="15"/>
      <c r="G54" s="15"/>
      <c r="H54" s="16"/>
      <c r="I54" s="15"/>
      <c r="J54" s="16"/>
      <c r="K54" s="16"/>
      <c r="L54" s="16"/>
      <c r="M54" s="15" t="s">
        <v>764</v>
      </c>
      <c r="N54" s="15" t="s">
        <v>378</v>
      </c>
      <c r="O54" s="16" t="s">
        <v>464</v>
      </c>
      <c r="P54" s="15" t="s">
        <v>1361</v>
      </c>
      <c r="Q54" s="16" t="s">
        <v>487</v>
      </c>
      <c r="R54" s="16"/>
      <c r="S54" s="16"/>
      <c r="T54" s="15" t="s">
        <v>888</v>
      </c>
      <c r="U54" s="15" t="s">
        <v>1697</v>
      </c>
      <c r="V54" s="16" t="s">
        <v>598</v>
      </c>
    </row>
    <row r="55" spans="1:22" x14ac:dyDescent="0.25">
      <c r="A55" s="15"/>
      <c r="B55" s="16"/>
      <c r="C55" s="24"/>
      <c r="D55" s="16"/>
      <c r="E55" s="15"/>
      <c r="F55" s="15"/>
      <c r="G55" s="15"/>
      <c r="H55" s="16"/>
      <c r="I55" s="15"/>
      <c r="J55" s="16"/>
      <c r="K55" s="16"/>
      <c r="L55" s="16"/>
      <c r="M55" s="15" t="s">
        <v>800</v>
      </c>
      <c r="N55" s="15" t="s">
        <v>402</v>
      </c>
      <c r="O55" s="16" t="s">
        <v>467</v>
      </c>
      <c r="P55" s="15" t="s">
        <v>1362</v>
      </c>
      <c r="Q55" s="16" t="s">
        <v>488</v>
      </c>
      <c r="R55" s="16"/>
      <c r="S55" s="16"/>
      <c r="T55" s="15" t="s">
        <v>889</v>
      </c>
      <c r="U55" s="15" t="s">
        <v>1697</v>
      </c>
      <c r="V55" s="16" t="s">
        <v>327</v>
      </c>
    </row>
    <row r="56" spans="1:22" x14ac:dyDescent="0.25">
      <c r="A56" s="15"/>
      <c r="B56" s="16"/>
      <c r="C56" s="24"/>
      <c r="D56" s="16"/>
      <c r="E56" s="15"/>
      <c r="F56" s="15"/>
      <c r="G56" s="15"/>
      <c r="H56" s="16"/>
      <c r="I56" s="15"/>
      <c r="J56" s="16"/>
      <c r="K56" s="16"/>
      <c r="L56" s="16"/>
      <c r="M56" s="15" t="s">
        <v>801</v>
      </c>
      <c r="N56" s="15" t="s">
        <v>1691</v>
      </c>
      <c r="O56" s="16" t="s">
        <v>393</v>
      </c>
      <c r="P56" s="15" t="s">
        <v>1363</v>
      </c>
      <c r="Q56" s="16" t="s">
        <v>494</v>
      </c>
      <c r="R56" s="16"/>
      <c r="S56" s="16"/>
      <c r="T56" s="15" t="s">
        <v>1915</v>
      </c>
      <c r="U56" s="15" t="s">
        <v>706</v>
      </c>
      <c r="V56" s="16" t="s">
        <v>583</v>
      </c>
    </row>
    <row r="57" spans="1:22" x14ac:dyDescent="0.25">
      <c r="A57" s="15"/>
      <c r="B57" s="16"/>
      <c r="C57" s="24"/>
      <c r="D57" s="16"/>
      <c r="E57" s="15"/>
      <c r="F57" s="15"/>
      <c r="G57" s="15"/>
      <c r="H57" s="16"/>
      <c r="I57" s="15"/>
      <c r="J57" s="16"/>
      <c r="K57" s="16"/>
      <c r="L57" s="16"/>
      <c r="M57" s="15" t="s">
        <v>802</v>
      </c>
      <c r="N57" s="15" t="s">
        <v>424</v>
      </c>
      <c r="O57" s="75" t="s">
        <v>417</v>
      </c>
      <c r="P57" s="15" t="s">
        <v>1364</v>
      </c>
      <c r="Q57" s="16" t="s">
        <v>492</v>
      </c>
      <c r="R57" s="16"/>
      <c r="S57" s="16"/>
      <c r="T57" s="15" t="s">
        <v>890</v>
      </c>
      <c r="U57" s="15" t="s">
        <v>707</v>
      </c>
      <c r="V57" s="16" t="s">
        <v>599</v>
      </c>
    </row>
    <row r="58" spans="1:22" x14ac:dyDescent="0.25">
      <c r="A58" s="15"/>
      <c r="B58" s="16"/>
      <c r="C58" s="24"/>
      <c r="D58" s="16"/>
      <c r="E58" s="15"/>
      <c r="F58" s="15"/>
      <c r="G58" s="15"/>
      <c r="H58" s="16"/>
      <c r="I58" s="15"/>
      <c r="J58" s="16"/>
      <c r="K58" s="16"/>
      <c r="L58" s="16"/>
      <c r="M58" s="15" t="s">
        <v>803</v>
      </c>
      <c r="N58" s="15" t="s">
        <v>424</v>
      </c>
      <c r="O58" s="79" t="s">
        <v>420</v>
      </c>
      <c r="P58" s="15" t="s">
        <v>1365</v>
      </c>
      <c r="Q58" s="16" t="s">
        <v>499</v>
      </c>
      <c r="R58" s="16"/>
      <c r="S58" s="16"/>
      <c r="T58" s="15" t="s">
        <v>891</v>
      </c>
      <c r="U58" s="15" t="s">
        <v>707</v>
      </c>
      <c r="V58" s="16" t="s">
        <v>328</v>
      </c>
    </row>
    <row r="59" spans="1:22" x14ac:dyDescent="0.25">
      <c r="A59" s="15"/>
      <c r="B59" s="16"/>
      <c r="C59" s="24"/>
      <c r="D59" s="16"/>
      <c r="E59" s="15"/>
      <c r="F59" s="15"/>
      <c r="G59" s="15"/>
      <c r="H59" s="16"/>
      <c r="I59" s="15"/>
      <c r="J59" s="16"/>
      <c r="K59" s="16"/>
      <c r="L59" s="16"/>
      <c r="M59" s="15" t="s">
        <v>804</v>
      </c>
      <c r="N59" s="15" t="s">
        <v>424</v>
      </c>
      <c r="O59" s="79" t="s">
        <v>423</v>
      </c>
      <c r="P59" s="15" t="s">
        <v>1366</v>
      </c>
      <c r="Q59" s="16" t="s">
        <v>373</v>
      </c>
      <c r="R59" s="16"/>
      <c r="S59" s="16"/>
      <c r="T59" s="15" t="s">
        <v>892</v>
      </c>
      <c r="U59" s="15" t="s">
        <v>707</v>
      </c>
      <c r="V59" s="16" t="s">
        <v>600</v>
      </c>
    </row>
    <row r="60" spans="1:22" x14ac:dyDescent="0.25">
      <c r="A60" s="15"/>
      <c r="B60" s="16"/>
      <c r="C60" s="24"/>
      <c r="D60" s="16"/>
      <c r="E60" s="15"/>
      <c r="F60" s="15"/>
      <c r="G60" s="15"/>
      <c r="H60" s="16"/>
      <c r="I60" s="15"/>
      <c r="J60" s="16"/>
      <c r="K60" s="16"/>
      <c r="L60" s="16"/>
      <c r="M60" s="15" t="s">
        <v>805</v>
      </c>
      <c r="N60" s="15" t="s">
        <v>424</v>
      </c>
      <c r="O60" s="79" t="s">
        <v>425</v>
      </c>
      <c r="P60" s="15" t="s">
        <v>1367</v>
      </c>
      <c r="Q60" s="16" t="s">
        <v>498</v>
      </c>
      <c r="R60" s="16"/>
      <c r="S60" s="16"/>
      <c r="T60" s="15" t="s">
        <v>893</v>
      </c>
      <c r="U60" s="15" t="s">
        <v>707</v>
      </c>
      <c r="V60" s="16" t="s">
        <v>330</v>
      </c>
    </row>
    <row r="61" spans="1:22" x14ac:dyDescent="0.25">
      <c r="A61" s="15"/>
      <c r="B61" s="16"/>
      <c r="C61" s="24"/>
      <c r="D61" s="16"/>
      <c r="E61" s="15"/>
      <c r="F61" s="15"/>
      <c r="G61" s="15"/>
      <c r="H61" s="16"/>
      <c r="I61" s="15"/>
      <c r="J61" s="16"/>
      <c r="K61" s="16"/>
      <c r="L61" s="16"/>
      <c r="M61" s="15"/>
      <c r="N61" s="15"/>
      <c r="O61" s="16"/>
      <c r="P61" s="15" t="s">
        <v>1368</v>
      </c>
      <c r="Q61" s="16" t="s">
        <v>500</v>
      </c>
      <c r="R61" s="16"/>
      <c r="S61" s="16"/>
      <c r="T61" s="15" t="s">
        <v>895</v>
      </c>
      <c r="U61" s="15" t="s">
        <v>395</v>
      </c>
      <c r="V61" s="16" t="s">
        <v>340</v>
      </c>
    </row>
    <row r="62" spans="1:22" x14ac:dyDescent="0.25">
      <c r="A62" s="15"/>
      <c r="B62" s="16"/>
      <c r="C62" s="24"/>
      <c r="D62" s="16"/>
      <c r="E62" s="15"/>
      <c r="F62" s="15"/>
      <c r="G62" s="15"/>
      <c r="H62" s="16"/>
      <c r="I62" s="15"/>
      <c r="J62" s="16"/>
      <c r="K62" s="16"/>
      <c r="L62" s="16"/>
      <c r="M62" s="15"/>
      <c r="N62" s="15"/>
      <c r="O62" s="16"/>
      <c r="P62" s="15" t="s">
        <v>1369</v>
      </c>
      <c r="Q62" s="16" t="s">
        <v>594</v>
      </c>
      <c r="R62" s="16"/>
      <c r="S62" s="16"/>
      <c r="T62" s="15" t="s">
        <v>896</v>
      </c>
      <c r="U62" s="15" t="s">
        <v>395</v>
      </c>
      <c r="V62" s="16" t="s">
        <v>344</v>
      </c>
    </row>
    <row r="63" spans="1:22" x14ac:dyDescent="0.25">
      <c r="A63" s="15"/>
      <c r="B63" s="16"/>
      <c r="C63" s="24"/>
      <c r="D63" s="16"/>
      <c r="E63" s="15"/>
      <c r="F63" s="15"/>
      <c r="G63" s="15"/>
      <c r="H63" s="16"/>
      <c r="I63" s="15"/>
      <c r="J63" s="16"/>
      <c r="K63" s="16"/>
      <c r="L63" s="16"/>
      <c r="M63" s="15"/>
      <c r="N63" s="15"/>
      <c r="O63" s="16"/>
      <c r="P63" s="15" t="s">
        <v>1370</v>
      </c>
      <c r="Q63" s="16" t="s">
        <v>357</v>
      </c>
      <c r="R63" s="16"/>
      <c r="S63" s="16"/>
      <c r="T63" s="15" t="s">
        <v>897</v>
      </c>
      <c r="U63" s="15" t="s">
        <v>395</v>
      </c>
      <c r="V63" s="16" t="s">
        <v>325</v>
      </c>
    </row>
    <row r="64" spans="1:22" x14ac:dyDescent="0.25">
      <c r="A64" s="15"/>
      <c r="B64" s="16"/>
      <c r="C64" s="24"/>
      <c r="D64" s="16"/>
      <c r="E64" s="15"/>
      <c r="F64" s="15"/>
      <c r="G64" s="15"/>
      <c r="H64" s="16"/>
      <c r="I64" s="15"/>
      <c r="J64" s="16"/>
      <c r="K64" s="16"/>
      <c r="L64" s="16"/>
      <c r="M64" s="15"/>
      <c r="N64" s="15"/>
      <c r="O64" s="16"/>
      <c r="P64" s="15" t="s">
        <v>1371</v>
      </c>
      <c r="Q64" s="16" t="s">
        <v>362</v>
      </c>
      <c r="R64" s="16"/>
      <c r="S64" s="16"/>
      <c r="T64" s="15" t="s">
        <v>898</v>
      </c>
      <c r="U64" s="15" t="s">
        <v>395</v>
      </c>
      <c r="V64" s="16" t="s">
        <v>351</v>
      </c>
    </row>
    <row r="65" spans="1:22" x14ac:dyDescent="0.25">
      <c r="A65" s="15"/>
      <c r="B65" s="16"/>
      <c r="C65" s="24"/>
      <c r="D65" s="16"/>
      <c r="E65" s="15"/>
      <c r="F65" s="15"/>
      <c r="G65" s="15"/>
      <c r="H65" s="16"/>
      <c r="I65" s="15"/>
      <c r="J65" s="16"/>
      <c r="K65" s="16"/>
      <c r="L65" s="16"/>
      <c r="M65" s="15"/>
      <c r="N65" s="15"/>
      <c r="O65" s="16"/>
      <c r="P65" s="15" t="s">
        <v>1372</v>
      </c>
      <c r="Q65" s="16" t="s">
        <v>364</v>
      </c>
      <c r="R65" s="16"/>
      <c r="S65" s="16"/>
      <c r="T65" s="15" t="s">
        <v>899</v>
      </c>
      <c r="U65" s="15" t="s">
        <v>395</v>
      </c>
      <c r="V65" s="16" t="s">
        <v>352</v>
      </c>
    </row>
    <row r="66" spans="1:22" x14ac:dyDescent="0.25">
      <c r="A66" s="15"/>
      <c r="B66" s="16"/>
      <c r="C66" s="24"/>
      <c r="D66" s="16"/>
      <c r="E66" s="15"/>
      <c r="F66" s="15"/>
      <c r="G66" s="15"/>
      <c r="H66" s="16"/>
      <c r="I66" s="15"/>
      <c r="J66" s="16"/>
      <c r="K66" s="16"/>
      <c r="L66" s="16"/>
      <c r="M66" s="15"/>
      <c r="N66" s="15"/>
      <c r="O66" s="16"/>
      <c r="P66" s="15" t="s">
        <v>1373</v>
      </c>
      <c r="Q66" s="16" t="s">
        <v>472</v>
      </c>
      <c r="R66" s="16"/>
      <c r="S66" s="16"/>
      <c r="T66" s="15" t="s">
        <v>900</v>
      </c>
      <c r="U66" s="15" t="s">
        <v>395</v>
      </c>
      <c r="V66" s="16" t="s">
        <v>332</v>
      </c>
    </row>
    <row r="67" spans="1:22" x14ac:dyDescent="0.25">
      <c r="A67" s="15"/>
      <c r="B67" s="16"/>
      <c r="C67" s="24"/>
      <c r="D67" s="16"/>
      <c r="E67" s="15"/>
      <c r="F67" s="15"/>
      <c r="G67" s="15"/>
      <c r="H67" s="16"/>
      <c r="I67" s="15"/>
      <c r="J67" s="16"/>
      <c r="K67" s="16"/>
      <c r="L67" s="16"/>
      <c r="M67" s="15"/>
      <c r="N67" s="15"/>
      <c r="O67" s="16"/>
      <c r="P67" s="15"/>
      <c r="Q67" s="16"/>
      <c r="R67" s="16"/>
      <c r="S67" s="16"/>
      <c r="T67" s="15" t="s">
        <v>901</v>
      </c>
      <c r="U67" s="15" t="s">
        <v>395</v>
      </c>
      <c r="V67" s="16" t="s">
        <v>333</v>
      </c>
    </row>
    <row r="68" spans="1:22" x14ac:dyDescent="0.25">
      <c r="A68" s="15"/>
      <c r="B68" s="16"/>
      <c r="C68" s="24"/>
      <c r="D68" s="16"/>
      <c r="E68" s="15"/>
      <c r="F68" s="15"/>
      <c r="G68" s="15"/>
      <c r="H68" s="16"/>
      <c r="I68" s="15"/>
      <c r="J68" s="16"/>
      <c r="K68" s="16"/>
      <c r="L68" s="16"/>
      <c r="M68" s="15"/>
      <c r="N68" s="15"/>
      <c r="O68" s="16"/>
      <c r="P68" s="15"/>
      <c r="Q68" s="16"/>
      <c r="R68" s="16"/>
      <c r="S68" s="16"/>
      <c r="T68" s="15" t="s">
        <v>902</v>
      </c>
      <c r="U68" s="15" t="s">
        <v>395</v>
      </c>
      <c r="V68" s="16" t="s">
        <v>355</v>
      </c>
    </row>
    <row r="69" spans="1:22" x14ac:dyDescent="0.25">
      <c r="A69" s="15"/>
      <c r="B69" s="16"/>
      <c r="C69" s="24"/>
      <c r="D69" s="16"/>
      <c r="E69" s="15"/>
      <c r="F69" s="15"/>
      <c r="G69" s="15"/>
      <c r="H69" s="16"/>
      <c r="I69" s="15"/>
      <c r="J69" s="16"/>
      <c r="K69" s="16"/>
      <c r="L69" s="16"/>
      <c r="M69" s="15"/>
      <c r="N69" s="15"/>
      <c r="O69" s="16"/>
      <c r="P69" s="15"/>
      <c r="Q69" s="16"/>
      <c r="R69" s="16"/>
      <c r="S69" s="16"/>
      <c r="T69" s="15" t="s">
        <v>903</v>
      </c>
      <c r="U69" s="15" t="s">
        <v>395</v>
      </c>
      <c r="V69" s="16" t="s">
        <v>335</v>
      </c>
    </row>
    <row r="70" spans="1:22" x14ac:dyDescent="0.25">
      <c r="A70" s="15"/>
      <c r="B70" s="16"/>
      <c r="C70" s="24"/>
      <c r="D70" s="16"/>
      <c r="E70" s="15"/>
      <c r="F70" s="15"/>
      <c r="G70" s="15"/>
      <c r="H70" s="16"/>
      <c r="I70" s="15"/>
      <c r="J70" s="16"/>
      <c r="K70" s="16"/>
      <c r="L70" s="16"/>
      <c r="M70" s="15"/>
      <c r="N70" s="15"/>
      <c r="O70" s="16"/>
      <c r="P70" s="15"/>
      <c r="Q70" s="16"/>
      <c r="R70" s="16"/>
      <c r="S70" s="16"/>
      <c r="T70" s="15" t="s">
        <v>860</v>
      </c>
      <c r="U70" s="15" t="s">
        <v>395</v>
      </c>
      <c r="V70" s="16" t="s">
        <v>338</v>
      </c>
    </row>
    <row r="71" spans="1:22" x14ac:dyDescent="0.25">
      <c r="A71" s="15"/>
      <c r="B71" s="16"/>
      <c r="C71" s="24"/>
      <c r="D71" s="16"/>
      <c r="E71" s="15"/>
      <c r="F71" s="15"/>
      <c r="G71" s="15"/>
      <c r="H71" s="16"/>
      <c r="I71" s="15"/>
      <c r="J71" s="16"/>
      <c r="K71" s="16"/>
      <c r="L71" s="16"/>
      <c r="M71" s="15"/>
      <c r="N71" s="15"/>
      <c r="O71" s="16"/>
      <c r="P71" s="15"/>
      <c r="Q71" s="16"/>
      <c r="R71" s="16"/>
      <c r="S71" s="16"/>
      <c r="T71" s="15" t="s">
        <v>861</v>
      </c>
      <c r="U71" s="15" t="s">
        <v>395</v>
      </c>
      <c r="V71" s="16" t="s">
        <v>336</v>
      </c>
    </row>
    <row r="72" spans="1:22" x14ac:dyDescent="0.25">
      <c r="A72" s="15"/>
      <c r="B72" s="16"/>
      <c r="C72" s="24"/>
      <c r="D72" s="16"/>
      <c r="E72" s="15"/>
      <c r="F72" s="15"/>
      <c r="G72" s="15"/>
      <c r="H72" s="16"/>
      <c r="I72" s="15"/>
      <c r="M72" s="15"/>
      <c r="N72" s="15"/>
      <c r="O72" s="16"/>
      <c r="P72" s="15"/>
      <c r="Q72" s="16"/>
      <c r="R72" s="16"/>
      <c r="S72" s="16"/>
      <c r="T72" s="15" t="s">
        <v>862</v>
      </c>
      <c r="U72" s="15" t="s">
        <v>395</v>
      </c>
      <c r="V72" s="16" t="s">
        <v>354</v>
      </c>
    </row>
    <row r="73" spans="1:22" x14ac:dyDescent="0.25">
      <c r="A73" s="15"/>
      <c r="B73" s="16"/>
      <c r="C73" s="24"/>
      <c r="D73" s="16"/>
      <c r="E73" s="15"/>
      <c r="F73" s="15"/>
      <c r="G73" s="15"/>
      <c r="H73" s="16"/>
      <c r="I73" s="15"/>
      <c r="J73" s="16"/>
      <c r="K73" s="16"/>
      <c r="L73" s="16"/>
      <c r="M73" s="15"/>
      <c r="N73" s="15"/>
      <c r="O73" s="16"/>
      <c r="P73" s="15"/>
      <c r="Q73" s="16"/>
      <c r="R73" s="16"/>
      <c r="S73" s="16"/>
      <c r="T73" s="15" t="s">
        <v>863</v>
      </c>
      <c r="U73" s="15" t="s">
        <v>395</v>
      </c>
      <c r="V73" s="16" t="s">
        <v>341</v>
      </c>
    </row>
    <row r="74" spans="1:22" x14ac:dyDescent="0.25">
      <c r="A74" s="15"/>
      <c r="B74" s="16"/>
      <c r="C74" s="24"/>
      <c r="D74" s="16"/>
      <c r="E74" s="15"/>
      <c r="F74" s="15"/>
      <c r="G74" s="15"/>
      <c r="H74" s="16"/>
      <c r="I74" s="15"/>
      <c r="J74" s="16"/>
      <c r="K74" s="16"/>
      <c r="L74" s="16"/>
      <c r="M74" s="15"/>
      <c r="N74" s="15"/>
      <c r="O74" s="16"/>
      <c r="P74" s="15"/>
      <c r="Q74" s="16"/>
      <c r="R74" s="16"/>
      <c r="S74" s="16"/>
      <c r="T74" s="15" t="s">
        <v>864</v>
      </c>
      <c r="U74" s="15" t="s">
        <v>395</v>
      </c>
      <c r="V74" s="16" t="s">
        <v>343</v>
      </c>
    </row>
    <row r="75" spans="1:22" x14ac:dyDescent="0.25">
      <c r="A75" s="15"/>
      <c r="B75" s="16"/>
      <c r="C75" s="24"/>
      <c r="D75" s="16"/>
      <c r="E75" s="15"/>
      <c r="F75" s="15"/>
      <c r="G75" s="15"/>
      <c r="H75" s="16"/>
      <c r="I75" s="15"/>
      <c r="J75" s="16"/>
      <c r="K75" s="16"/>
      <c r="L75" s="16"/>
      <c r="M75" s="15"/>
      <c r="N75" s="15"/>
      <c r="O75" s="16"/>
      <c r="P75" s="15"/>
      <c r="Q75" s="16"/>
      <c r="R75" s="16"/>
      <c r="S75" s="16"/>
      <c r="T75" s="15" t="s">
        <v>865</v>
      </c>
      <c r="U75" s="15" t="s">
        <v>395</v>
      </c>
      <c r="V75" s="16" t="s">
        <v>345</v>
      </c>
    </row>
    <row r="76" spans="1:22" x14ac:dyDescent="0.25">
      <c r="A76" s="15"/>
      <c r="B76" s="16"/>
      <c r="C76" s="24"/>
      <c r="D76" s="16"/>
      <c r="E76" s="15"/>
      <c r="F76" s="15"/>
      <c r="G76" s="15"/>
      <c r="H76" s="16"/>
      <c r="I76" s="15"/>
      <c r="J76" s="16"/>
      <c r="K76" s="16"/>
      <c r="L76" s="16"/>
      <c r="M76" s="15"/>
      <c r="N76" s="15"/>
      <c r="O76" s="16"/>
      <c r="P76" s="15"/>
      <c r="Q76" s="16"/>
      <c r="R76" s="16"/>
      <c r="S76" s="16"/>
      <c r="T76" s="15" t="s">
        <v>866</v>
      </c>
      <c r="U76" s="15" t="s">
        <v>395</v>
      </c>
      <c r="V76" s="16" t="s">
        <v>347</v>
      </c>
    </row>
    <row r="77" spans="1:22" x14ac:dyDescent="0.25">
      <c r="A77" s="15"/>
      <c r="B77" s="16"/>
      <c r="C77" s="24"/>
      <c r="D77" s="16"/>
      <c r="E77" s="15"/>
      <c r="F77" s="15"/>
      <c r="G77" s="15"/>
      <c r="H77" s="16"/>
      <c r="I77" s="15"/>
      <c r="J77" s="16"/>
      <c r="K77" s="16"/>
      <c r="L77" s="16"/>
      <c r="M77" s="15"/>
      <c r="N77" s="15"/>
      <c r="O77" s="16"/>
      <c r="P77" s="15"/>
      <c r="Q77" s="16"/>
      <c r="R77" s="16"/>
      <c r="S77" s="16"/>
      <c r="T77" s="15" t="s">
        <v>867</v>
      </c>
      <c r="U77" s="15" t="s">
        <v>395</v>
      </c>
      <c r="V77" s="16" t="s">
        <v>349</v>
      </c>
    </row>
  </sheetData>
  <phoneticPr fontId="3" type="noConversion"/>
  <conditionalFormatting sqref="Q2:Q66">
    <cfRule type="expression" dxfId="6" priority="5">
      <formula>s01_工具1=Q2</formula>
    </cfRule>
  </conditionalFormatting>
  <conditionalFormatting sqref="J2:J27">
    <cfRule type="expression" dxfId="5" priority="6">
      <formula>COUNTIF(s01_查找1,J2)</formula>
    </cfRule>
  </conditionalFormatting>
  <conditionalFormatting sqref="O2:O60">
    <cfRule type="expression" dxfId="4" priority="4">
      <formula>O2=s01d_查找</formula>
    </cfRule>
  </conditionalFormatting>
  <conditionalFormatting sqref="V2:V55 V57:V77">
    <cfRule type="expression" dxfId="3" priority="3">
      <formula>V2=s01d_工具</formula>
    </cfRule>
  </conditionalFormatting>
  <conditionalFormatting sqref="V56">
    <cfRule type="expression" dxfId="2" priority="1">
      <formula>V56=s01d_工具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B230"/>
  <sheetViews>
    <sheetView zoomScale="70" zoomScaleNormal="70" workbookViewId="0">
      <pane xSplit="2" ySplit="3" topLeftCell="C83" activePane="bottomRight" state="frozen"/>
      <selection pane="topRight" activeCell="C1" sqref="C1"/>
      <selection pane="bottomLeft" activeCell="A4" sqref="A4"/>
      <selection pane="bottomRight" activeCell="JG89" sqref="JG89"/>
    </sheetView>
  </sheetViews>
  <sheetFormatPr defaultRowHeight="16.5" x14ac:dyDescent="0.25"/>
  <cols>
    <col min="1" max="1" width="9" style="38"/>
    <col min="2" max="2" width="18.25" style="38" customWidth="1"/>
    <col min="3" max="3" width="9.5" hidden="1" customWidth="1"/>
    <col min="4" max="258" width="8.75" hidden="1" customWidth="1"/>
    <col min="259" max="259" width="8.75" customWidth="1"/>
  </cols>
  <sheetData>
    <row r="1" spans="1:262" ht="16.5" customHeight="1" x14ac:dyDescent="0.25">
      <c r="C1" s="253" t="s">
        <v>713</v>
      </c>
      <c r="D1" s="253" t="s">
        <v>713</v>
      </c>
      <c r="E1" s="253" t="s">
        <v>713</v>
      </c>
      <c r="F1" s="253" t="s">
        <v>713</v>
      </c>
      <c r="G1" s="253" t="s">
        <v>713</v>
      </c>
      <c r="H1" s="253" t="s">
        <v>713</v>
      </c>
      <c r="I1" s="253" t="s">
        <v>713</v>
      </c>
      <c r="J1" s="253" t="s">
        <v>713</v>
      </c>
      <c r="K1" s="253" t="s">
        <v>713</v>
      </c>
      <c r="L1" s="253" t="s">
        <v>713</v>
      </c>
      <c r="M1" s="253" t="s">
        <v>713</v>
      </c>
      <c r="N1" s="253" t="s">
        <v>713</v>
      </c>
      <c r="O1" s="253" t="s">
        <v>713</v>
      </c>
      <c r="P1" s="253" t="s">
        <v>713</v>
      </c>
      <c r="Q1" s="253" t="s">
        <v>713</v>
      </c>
      <c r="R1" s="253" t="s">
        <v>713</v>
      </c>
      <c r="S1" s="253" t="s">
        <v>713</v>
      </c>
      <c r="T1" s="253" t="s">
        <v>713</v>
      </c>
      <c r="U1" s="253" t="s">
        <v>713</v>
      </c>
      <c r="V1" s="253" t="s">
        <v>713</v>
      </c>
      <c r="W1" s="254" t="s">
        <v>1166</v>
      </c>
      <c r="X1" s="254" t="s">
        <v>66</v>
      </c>
      <c r="Y1" s="254" t="s">
        <v>66</v>
      </c>
      <c r="Z1" s="254" t="s">
        <v>66</v>
      </c>
      <c r="AA1" s="254" t="s">
        <v>66</v>
      </c>
      <c r="AB1" s="254" t="s">
        <v>66</v>
      </c>
      <c r="AC1" s="254" t="s">
        <v>66</v>
      </c>
      <c r="AD1" s="254" t="s">
        <v>66</v>
      </c>
      <c r="AE1" s="254" t="s">
        <v>66</v>
      </c>
      <c r="AF1" s="254" t="s">
        <v>66</v>
      </c>
      <c r="AG1" s="254" t="s">
        <v>66</v>
      </c>
      <c r="AH1" s="254" t="s">
        <v>66</v>
      </c>
      <c r="AI1" s="254" t="s">
        <v>66</v>
      </c>
      <c r="AJ1" s="254" t="s">
        <v>66</v>
      </c>
      <c r="AK1" s="254" t="s">
        <v>66</v>
      </c>
      <c r="AL1" s="254" t="s">
        <v>66</v>
      </c>
      <c r="AM1" s="254" t="s">
        <v>66</v>
      </c>
      <c r="AN1" s="254" t="s">
        <v>66</v>
      </c>
      <c r="AO1" s="254" t="s">
        <v>66</v>
      </c>
      <c r="AP1" s="254" t="s">
        <v>66</v>
      </c>
      <c r="AQ1" s="254" t="s">
        <v>66</v>
      </c>
      <c r="AR1" s="254" t="s">
        <v>66</v>
      </c>
      <c r="AS1" s="254" t="s">
        <v>66</v>
      </c>
      <c r="AT1" s="254" t="s">
        <v>66</v>
      </c>
      <c r="AU1" s="254" t="s">
        <v>66</v>
      </c>
      <c r="AV1" s="254" t="s">
        <v>66</v>
      </c>
      <c r="AW1" s="254" t="s">
        <v>66</v>
      </c>
      <c r="AX1" s="254" t="s">
        <v>66</v>
      </c>
      <c r="AY1" s="254" t="s">
        <v>66</v>
      </c>
      <c r="AZ1" s="254" t="s">
        <v>66</v>
      </c>
      <c r="BA1" s="254" t="s">
        <v>66</v>
      </c>
      <c r="BB1" s="254" t="s">
        <v>66</v>
      </c>
      <c r="BC1" s="254" t="s">
        <v>66</v>
      </c>
      <c r="BD1" s="254" t="s">
        <v>66</v>
      </c>
      <c r="BE1" s="254" t="s">
        <v>66</v>
      </c>
      <c r="BF1" s="254" t="s">
        <v>66</v>
      </c>
      <c r="BG1" s="254" t="s">
        <v>66</v>
      </c>
      <c r="BH1" s="254" t="s">
        <v>66</v>
      </c>
      <c r="BI1" s="254" t="s">
        <v>66</v>
      </c>
      <c r="BJ1" s="254" t="s">
        <v>66</v>
      </c>
      <c r="BK1" s="73">
        <f t="shared" ref="BK1:CP1" ca="1" si="0">IFERROR(MATCH(BK2,s01_程序清單,0),0)</f>
        <v>1</v>
      </c>
      <c r="BL1" s="73">
        <f t="shared" ca="1" si="0"/>
        <v>1</v>
      </c>
      <c r="BM1" s="73">
        <f t="shared" ca="1" si="0"/>
        <v>1</v>
      </c>
      <c r="BN1" s="73">
        <f t="shared" ca="1" si="0"/>
        <v>1</v>
      </c>
      <c r="BO1" s="73">
        <f t="shared" ca="1" si="0"/>
        <v>2</v>
      </c>
      <c r="BP1" s="73">
        <f t="shared" ca="1" si="0"/>
        <v>2</v>
      </c>
      <c r="BQ1" s="73">
        <f t="shared" ca="1" si="0"/>
        <v>2</v>
      </c>
      <c r="BR1" s="73">
        <f t="shared" ca="1" si="0"/>
        <v>2</v>
      </c>
      <c r="BS1" s="73">
        <f t="shared" ca="1" si="0"/>
        <v>3</v>
      </c>
      <c r="BT1" s="73">
        <f t="shared" ca="1" si="0"/>
        <v>3</v>
      </c>
      <c r="BU1" s="73">
        <f t="shared" ca="1" si="0"/>
        <v>3</v>
      </c>
      <c r="BV1" s="73">
        <f t="shared" ca="1" si="0"/>
        <v>3</v>
      </c>
      <c r="BW1" s="73">
        <f t="shared" ca="1" si="0"/>
        <v>4</v>
      </c>
      <c r="BX1" s="73">
        <f t="shared" ca="1" si="0"/>
        <v>4</v>
      </c>
      <c r="BY1" s="73">
        <f t="shared" ca="1" si="0"/>
        <v>4</v>
      </c>
      <c r="BZ1" s="73">
        <f t="shared" ca="1" si="0"/>
        <v>4</v>
      </c>
      <c r="CA1" s="73">
        <f t="shared" ca="1" si="0"/>
        <v>5</v>
      </c>
      <c r="CB1" s="73">
        <f t="shared" ca="1" si="0"/>
        <v>5</v>
      </c>
      <c r="CC1" s="73">
        <f t="shared" ca="1" si="0"/>
        <v>5</v>
      </c>
      <c r="CD1" s="73">
        <f t="shared" ca="1" si="0"/>
        <v>5</v>
      </c>
      <c r="CE1" s="73">
        <f t="shared" ca="1" si="0"/>
        <v>6</v>
      </c>
      <c r="CF1" s="73">
        <f t="shared" ca="1" si="0"/>
        <v>6</v>
      </c>
      <c r="CG1" s="73">
        <f t="shared" ca="1" si="0"/>
        <v>6</v>
      </c>
      <c r="CH1" s="73">
        <f t="shared" ca="1" si="0"/>
        <v>6</v>
      </c>
      <c r="CI1" s="73">
        <f t="shared" ca="1" si="0"/>
        <v>7</v>
      </c>
      <c r="CJ1" s="73">
        <f t="shared" ca="1" si="0"/>
        <v>7</v>
      </c>
      <c r="CK1" s="73">
        <f t="shared" ca="1" si="0"/>
        <v>7</v>
      </c>
      <c r="CL1" s="73">
        <f t="shared" ca="1" si="0"/>
        <v>7</v>
      </c>
      <c r="CM1" s="73">
        <f t="shared" ca="1" si="0"/>
        <v>8</v>
      </c>
      <c r="CN1" s="73">
        <f t="shared" ca="1" si="0"/>
        <v>8</v>
      </c>
      <c r="CO1" s="73">
        <f t="shared" ca="1" si="0"/>
        <v>8</v>
      </c>
      <c r="CP1" s="73">
        <f t="shared" ca="1" si="0"/>
        <v>8</v>
      </c>
      <c r="CQ1" s="73">
        <f t="shared" ref="CQ1:DV1" ca="1" si="1">IFERROR(MATCH(CQ2,s01_程序清單,0),0)</f>
        <v>9</v>
      </c>
      <c r="CR1" s="73">
        <f t="shared" ca="1" si="1"/>
        <v>9</v>
      </c>
      <c r="CS1" s="73">
        <f t="shared" ca="1" si="1"/>
        <v>9</v>
      </c>
      <c r="CT1" s="73">
        <f t="shared" ca="1" si="1"/>
        <v>9</v>
      </c>
      <c r="CU1" s="73">
        <f t="shared" ca="1" si="1"/>
        <v>10</v>
      </c>
      <c r="CV1" s="73">
        <f t="shared" ca="1" si="1"/>
        <v>10</v>
      </c>
      <c r="CW1" s="73">
        <f t="shared" ca="1" si="1"/>
        <v>10</v>
      </c>
      <c r="CX1" s="73">
        <f t="shared" ca="1" si="1"/>
        <v>10</v>
      </c>
      <c r="CY1" s="73">
        <f t="shared" ca="1" si="1"/>
        <v>11</v>
      </c>
      <c r="CZ1" s="73">
        <f t="shared" ca="1" si="1"/>
        <v>11</v>
      </c>
      <c r="DA1" s="73">
        <f t="shared" ca="1" si="1"/>
        <v>11</v>
      </c>
      <c r="DB1" s="73">
        <f t="shared" ca="1" si="1"/>
        <v>11</v>
      </c>
      <c r="DC1" s="73">
        <f t="shared" ca="1" si="1"/>
        <v>12</v>
      </c>
      <c r="DD1" s="73">
        <f t="shared" ca="1" si="1"/>
        <v>12</v>
      </c>
      <c r="DE1" s="73">
        <f t="shared" ca="1" si="1"/>
        <v>12</v>
      </c>
      <c r="DF1" s="73">
        <f t="shared" ca="1" si="1"/>
        <v>12</v>
      </c>
      <c r="DG1" s="73">
        <f t="shared" ca="1" si="1"/>
        <v>13</v>
      </c>
      <c r="DH1" s="73">
        <f t="shared" ca="1" si="1"/>
        <v>13</v>
      </c>
      <c r="DI1" s="73">
        <f t="shared" ca="1" si="1"/>
        <v>13</v>
      </c>
      <c r="DJ1" s="73">
        <f t="shared" ca="1" si="1"/>
        <v>13</v>
      </c>
      <c r="DK1" s="73">
        <f t="shared" ca="1" si="1"/>
        <v>14</v>
      </c>
      <c r="DL1" s="73">
        <f t="shared" ca="1" si="1"/>
        <v>14</v>
      </c>
      <c r="DM1" s="73">
        <f t="shared" ca="1" si="1"/>
        <v>14</v>
      </c>
      <c r="DN1" s="73">
        <f t="shared" ca="1" si="1"/>
        <v>14</v>
      </c>
      <c r="DO1" s="73">
        <f t="shared" ca="1" si="1"/>
        <v>15</v>
      </c>
      <c r="DP1" s="73">
        <f t="shared" ca="1" si="1"/>
        <v>15</v>
      </c>
      <c r="DQ1" s="73">
        <f t="shared" ca="1" si="1"/>
        <v>15</v>
      </c>
      <c r="DR1" s="73">
        <f t="shared" ca="1" si="1"/>
        <v>15</v>
      </c>
      <c r="DS1" s="73">
        <f t="shared" ca="1" si="1"/>
        <v>16</v>
      </c>
      <c r="DT1" s="73">
        <f t="shared" ca="1" si="1"/>
        <v>16</v>
      </c>
      <c r="DU1" s="73">
        <f t="shared" ca="1" si="1"/>
        <v>16</v>
      </c>
      <c r="DV1" s="73">
        <f t="shared" ca="1" si="1"/>
        <v>16</v>
      </c>
      <c r="DW1" s="73">
        <f t="shared" ref="DW1:FB1" ca="1" si="2">IFERROR(MATCH(DW2,s01_程序清單,0),0)</f>
        <v>17</v>
      </c>
      <c r="DX1" s="73">
        <f t="shared" ca="1" si="2"/>
        <v>17</v>
      </c>
      <c r="DY1" s="73">
        <f t="shared" ca="1" si="2"/>
        <v>17</v>
      </c>
      <c r="DZ1" s="73">
        <f t="shared" ca="1" si="2"/>
        <v>17</v>
      </c>
      <c r="EA1" s="73">
        <f t="shared" ca="1" si="2"/>
        <v>18</v>
      </c>
      <c r="EB1" s="73">
        <f t="shared" ca="1" si="2"/>
        <v>18</v>
      </c>
      <c r="EC1" s="73">
        <f t="shared" ca="1" si="2"/>
        <v>18</v>
      </c>
      <c r="ED1" s="73">
        <f t="shared" ca="1" si="2"/>
        <v>18</v>
      </c>
      <c r="EE1" s="73">
        <f t="shared" ca="1" si="2"/>
        <v>19</v>
      </c>
      <c r="EF1" s="73">
        <f t="shared" ca="1" si="2"/>
        <v>19</v>
      </c>
      <c r="EG1" s="73">
        <f t="shared" ca="1" si="2"/>
        <v>19</v>
      </c>
      <c r="EH1" s="73">
        <f t="shared" ca="1" si="2"/>
        <v>19</v>
      </c>
      <c r="EI1" s="73">
        <f t="shared" ca="1" si="2"/>
        <v>20</v>
      </c>
      <c r="EJ1" s="73">
        <f t="shared" ca="1" si="2"/>
        <v>20</v>
      </c>
      <c r="EK1" s="73">
        <f t="shared" ca="1" si="2"/>
        <v>20</v>
      </c>
      <c r="EL1" s="73">
        <f t="shared" ca="1" si="2"/>
        <v>20</v>
      </c>
      <c r="EM1" s="73">
        <f t="shared" ca="1" si="2"/>
        <v>21</v>
      </c>
      <c r="EN1" s="73">
        <f t="shared" ca="1" si="2"/>
        <v>21</v>
      </c>
      <c r="EO1" s="73">
        <f t="shared" ca="1" si="2"/>
        <v>21</v>
      </c>
      <c r="EP1" s="73">
        <f t="shared" ca="1" si="2"/>
        <v>21</v>
      </c>
      <c r="EQ1" s="73">
        <f t="shared" ca="1" si="2"/>
        <v>22</v>
      </c>
      <c r="ER1" s="73">
        <f t="shared" ca="1" si="2"/>
        <v>22</v>
      </c>
      <c r="ES1" s="73">
        <f t="shared" ca="1" si="2"/>
        <v>22</v>
      </c>
      <c r="ET1" s="73">
        <f t="shared" ca="1" si="2"/>
        <v>22</v>
      </c>
      <c r="EU1" s="73">
        <f t="shared" ca="1" si="2"/>
        <v>23</v>
      </c>
      <c r="EV1" s="73">
        <f t="shared" ca="1" si="2"/>
        <v>23</v>
      </c>
      <c r="EW1" s="73">
        <f t="shared" ca="1" si="2"/>
        <v>23</v>
      </c>
      <c r="EX1" s="73">
        <f t="shared" ca="1" si="2"/>
        <v>23</v>
      </c>
      <c r="EY1" s="73">
        <f t="shared" ca="1" si="2"/>
        <v>24</v>
      </c>
      <c r="EZ1" s="73">
        <f t="shared" ca="1" si="2"/>
        <v>24</v>
      </c>
      <c r="FA1" s="73">
        <f t="shared" ca="1" si="2"/>
        <v>24</v>
      </c>
      <c r="FB1" s="73">
        <f t="shared" ca="1" si="2"/>
        <v>24</v>
      </c>
      <c r="FC1" s="73">
        <f t="shared" ref="FC1:GH1" ca="1" si="3">IFERROR(MATCH(FC2,s01_程序清單,0),0)</f>
        <v>25</v>
      </c>
      <c r="FD1" s="73">
        <f t="shared" ca="1" si="3"/>
        <v>25</v>
      </c>
      <c r="FE1" s="73">
        <f t="shared" ca="1" si="3"/>
        <v>25</v>
      </c>
      <c r="FF1" s="73">
        <f t="shared" ca="1" si="3"/>
        <v>25</v>
      </c>
      <c r="FG1" s="73">
        <f t="shared" ca="1" si="3"/>
        <v>26</v>
      </c>
      <c r="FH1" s="73">
        <f t="shared" ca="1" si="3"/>
        <v>26</v>
      </c>
      <c r="FI1" s="73">
        <f t="shared" ca="1" si="3"/>
        <v>26</v>
      </c>
      <c r="FJ1" s="73">
        <f t="shared" ca="1" si="3"/>
        <v>26</v>
      </c>
      <c r="FK1" s="73">
        <f t="shared" ca="1" si="3"/>
        <v>27</v>
      </c>
      <c r="FL1" s="73">
        <f t="shared" ca="1" si="3"/>
        <v>27</v>
      </c>
      <c r="FM1" s="73">
        <f t="shared" ca="1" si="3"/>
        <v>27</v>
      </c>
      <c r="FN1" s="73">
        <f t="shared" ca="1" si="3"/>
        <v>27</v>
      </c>
      <c r="FO1" s="73">
        <f t="shared" ca="1" si="3"/>
        <v>28</v>
      </c>
      <c r="FP1" s="73">
        <f t="shared" ca="1" si="3"/>
        <v>28</v>
      </c>
      <c r="FQ1" s="73">
        <f t="shared" ca="1" si="3"/>
        <v>28</v>
      </c>
      <c r="FR1" s="73">
        <f t="shared" ca="1" si="3"/>
        <v>28</v>
      </c>
      <c r="FS1" s="73">
        <f t="shared" ca="1" si="3"/>
        <v>29</v>
      </c>
      <c r="FT1" s="73">
        <f t="shared" ca="1" si="3"/>
        <v>29</v>
      </c>
      <c r="FU1" s="73">
        <f t="shared" ca="1" si="3"/>
        <v>29</v>
      </c>
      <c r="FV1" s="73">
        <f t="shared" ca="1" si="3"/>
        <v>29</v>
      </c>
      <c r="FW1" s="73">
        <f t="shared" ca="1" si="3"/>
        <v>30</v>
      </c>
      <c r="FX1" s="73">
        <f t="shared" ca="1" si="3"/>
        <v>30</v>
      </c>
      <c r="FY1" s="73">
        <f t="shared" ca="1" si="3"/>
        <v>30</v>
      </c>
      <c r="FZ1" s="73">
        <f t="shared" ca="1" si="3"/>
        <v>30</v>
      </c>
      <c r="GA1" s="73">
        <f t="shared" ca="1" si="3"/>
        <v>31</v>
      </c>
      <c r="GB1" s="73">
        <f t="shared" ca="1" si="3"/>
        <v>31</v>
      </c>
      <c r="GC1" s="73">
        <f t="shared" ca="1" si="3"/>
        <v>31</v>
      </c>
      <c r="GD1" s="73">
        <f t="shared" ca="1" si="3"/>
        <v>31</v>
      </c>
      <c r="GE1" s="73">
        <f t="shared" ca="1" si="3"/>
        <v>32</v>
      </c>
      <c r="GF1" s="73">
        <f t="shared" ca="1" si="3"/>
        <v>32</v>
      </c>
      <c r="GG1" s="73">
        <f t="shared" ca="1" si="3"/>
        <v>32</v>
      </c>
      <c r="GH1" s="73">
        <f t="shared" ca="1" si="3"/>
        <v>32</v>
      </c>
      <c r="GI1" s="73">
        <f t="shared" ref="GI1:HN1" ca="1" si="4">IFERROR(MATCH(GI2,s01_程序清單,0),0)</f>
        <v>33</v>
      </c>
      <c r="GJ1" s="73">
        <f t="shared" ca="1" si="4"/>
        <v>33</v>
      </c>
      <c r="GK1" s="73">
        <f t="shared" ca="1" si="4"/>
        <v>33</v>
      </c>
      <c r="GL1" s="73">
        <f t="shared" ca="1" si="4"/>
        <v>33</v>
      </c>
      <c r="GM1" s="73">
        <f t="shared" ca="1" si="4"/>
        <v>34</v>
      </c>
      <c r="GN1" s="73">
        <f t="shared" ca="1" si="4"/>
        <v>34</v>
      </c>
      <c r="GO1" s="73">
        <f t="shared" ca="1" si="4"/>
        <v>34</v>
      </c>
      <c r="GP1" s="73">
        <f t="shared" ca="1" si="4"/>
        <v>34</v>
      </c>
      <c r="GQ1" s="73">
        <f t="shared" ca="1" si="4"/>
        <v>35</v>
      </c>
      <c r="GR1" s="73">
        <f t="shared" ca="1" si="4"/>
        <v>35</v>
      </c>
      <c r="GS1" s="73">
        <f t="shared" ca="1" si="4"/>
        <v>35</v>
      </c>
      <c r="GT1" s="73">
        <f t="shared" ca="1" si="4"/>
        <v>35</v>
      </c>
      <c r="GU1" s="73">
        <f t="shared" ca="1" si="4"/>
        <v>36</v>
      </c>
      <c r="GV1" s="73">
        <f t="shared" ca="1" si="4"/>
        <v>36</v>
      </c>
      <c r="GW1" s="73">
        <f t="shared" ca="1" si="4"/>
        <v>36</v>
      </c>
      <c r="GX1" s="73">
        <f t="shared" ca="1" si="4"/>
        <v>36</v>
      </c>
      <c r="GY1" s="73">
        <f t="shared" ca="1" si="4"/>
        <v>37</v>
      </c>
      <c r="GZ1" s="73">
        <f t="shared" ca="1" si="4"/>
        <v>37</v>
      </c>
      <c r="HA1" s="73">
        <f t="shared" ca="1" si="4"/>
        <v>37</v>
      </c>
      <c r="HB1" s="73">
        <f t="shared" ca="1" si="4"/>
        <v>37</v>
      </c>
      <c r="HC1" s="73">
        <f t="shared" ca="1" si="4"/>
        <v>38</v>
      </c>
      <c r="HD1" s="73">
        <f t="shared" ca="1" si="4"/>
        <v>38</v>
      </c>
      <c r="HE1" s="73">
        <f t="shared" ca="1" si="4"/>
        <v>38</v>
      </c>
      <c r="HF1" s="73">
        <f t="shared" ca="1" si="4"/>
        <v>38</v>
      </c>
      <c r="HG1" s="73">
        <f t="shared" ca="1" si="4"/>
        <v>39</v>
      </c>
      <c r="HH1" s="73">
        <f t="shared" ca="1" si="4"/>
        <v>39</v>
      </c>
      <c r="HI1" s="73">
        <f t="shared" ca="1" si="4"/>
        <v>39</v>
      </c>
      <c r="HJ1" s="73">
        <f t="shared" ca="1" si="4"/>
        <v>39</v>
      </c>
      <c r="HK1" s="73">
        <f t="shared" ca="1" si="4"/>
        <v>40</v>
      </c>
      <c r="HL1" s="73">
        <f t="shared" ca="1" si="4"/>
        <v>40</v>
      </c>
      <c r="HM1" s="73">
        <f t="shared" ca="1" si="4"/>
        <v>40</v>
      </c>
      <c r="HN1" s="73">
        <f t="shared" ca="1" si="4"/>
        <v>40</v>
      </c>
      <c r="HO1" s="73">
        <f t="shared" ref="HO1:IT1" ca="1" si="5">IFERROR(MATCH(HO2,s01_程序清單,0),0)</f>
        <v>41</v>
      </c>
      <c r="HP1" s="73">
        <f t="shared" ca="1" si="5"/>
        <v>41</v>
      </c>
      <c r="HQ1" s="73">
        <f t="shared" ca="1" si="5"/>
        <v>41</v>
      </c>
      <c r="HR1" s="73">
        <f t="shared" ca="1" si="5"/>
        <v>41</v>
      </c>
      <c r="HS1" s="73">
        <f t="shared" ca="1" si="5"/>
        <v>42</v>
      </c>
      <c r="HT1" s="73">
        <f t="shared" ca="1" si="5"/>
        <v>42</v>
      </c>
      <c r="HU1" s="73">
        <f t="shared" ca="1" si="5"/>
        <v>42</v>
      </c>
      <c r="HV1" s="73">
        <f t="shared" ca="1" si="5"/>
        <v>42</v>
      </c>
      <c r="HW1" s="73">
        <f t="shared" ca="1" si="5"/>
        <v>43</v>
      </c>
      <c r="HX1" s="73">
        <f t="shared" ca="1" si="5"/>
        <v>43</v>
      </c>
      <c r="HY1" s="73">
        <f t="shared" ca="1" si="5"/>
        <v>43</v>
      </c>
      <c r="HZ1" s="73">
        <f t="shared" ca="1" si="5"/>
        <v>43</v>
      </c>
      <c r="IA1" s="73">
        <f t="shared" ca="1" si="5"/>
        <v>44</v>
      </c>
      <c r="IB1" s="73">
        <f t="shared" ca="1" si="5"/>
        <v>44</v>
      </c>
      <c r="IC1" s="73">
        <f t="shared" ca="1" si="5"/>
        <v>44</v>
      </c>
      <c r="ID1" s="73">
        <f t="shared" ca="1" si="5"/>
        <v>44</v>
      </c>
      <c r="IE1" s="73">
        <f t="shared" ca="1" si="5"/>
        <v>45</v>
      </c>
      <c r="IF1" s="73">
        <f t="shared" ca="1" si="5"/>
        <v>45</v>
      </c>
      <c r="IG1" s="73">
        <f t="shared" ca="1" si="5"/>
        <v>45</v>
      </c>
      <c r="IH1" s="73">
        <f t="shared" ca="1" si="5"/>
        <v>45</v>
      </c>
      <c r="II1" s="73">
        <f t="shared" ca="1" si="5"/>
        <v>46</v>
      </c>
      <c r="IJ1" s="73">
        <f t="shared" ca="1" si="5"/>
        <v>46</v>
      </c>
      <c r="IK1" s="73">
        <f t="shared" ca="1" si="5"/>
        <v>46</v>
      </c>
      <c r="IL1" s="73">
        <f t="shared" ca="1" si="5"/>
        <v>46</v>
      </c>
      <c r="IM1" s="73">
        <f t="shared" ca="1" si="5"/>
        <v>47</v>
      </c>
      <c r="IN1" s="73">
        <f t="shared" ca="1" si="5"/>
        <v>47</v>
      </c>
      <c r="IO1" s="73">
        <f t="shared" ca="1" si="5"/>
        <v>47</v>
      </c>
      <c r="IP1" s="73">
        <f t="shared" ca="1" si="5"/>
        <v>47</v>
      </c>
      <c r="IQ1" s="73">
        <f t="shared" ca="1" si="5"/>
        <v>48</v>
      </c>
      <c r="IR1" s="73">
        <f t="shared" ca="1" si="5"/>
        <v>48</v>
      </c>
      <c r="IS1" s="73">
        <f t="shared" ca="1" si="5"/>
        <v>48</v>
      </c>
      <c r="IT1" s="73">
        <f t="shared" ca="1" si="5"/>
        <v>48</v>
      </c>
      <c r="IU1" s="73">
        <f t="shared" ref="IU1:IX1" ca="1" si="6">IFERROR(MATCH(IU2,s01_程序清單,0),0)</f>
        <v>49</v>
      </c>
      <c r="IV1" s="73">
        <f t="shared" ca="1" si="6"/>
        <v>49</v>
      </c>
      <c r="IW1" s="73">
        <f t="shared" ca="1" si="6"/>
        <v>49</v>
      </c>
      <c r="IX1" s="73">
        <f t="shared" ca="1" si="6"/>
        <v>49</v>
      </c>
    </row>
    <row r="2" spans="1:262" s="11" customFormat="1" ht="16.5" customHeight="1" x14ac:dyDescent="0.25">
      <c r="A2" s="74"/>
      <c r="B2" s="74"/>
      <c r="C2" s="253" t="s">
        <v>2</v>
      </c>
      <c r="D2" s="253" t="s">
        <v>2</v>
      </c>
      <c r="E2" s="253" t="s">
        <v>2</v>
      </c>
      <c r="F2" s="253" t="s">
        <v>2</v>
      </c>
      <c r="G2" s="253" t="s">
        <v>3</v>
      </c>
      <c r="H2" s="253" t="s">
        <v>3</v>
      </c>
      <c r="I2" s="253" t="s">
        <v>3</v>
      </c>
      <c r="J2" s="253" t="s">
        <v>3</v>
      </c>
      <c r="K2" s="253" t="s">
        <v>4</v>
      </c>
      <c r="L2" s="253" t="s">
        <v>4</v>
      </c>
      <c r="M2" s="253" t="s">
        <v>4</v>
      </c>
      <c r="N2" s="253" t="s">
        <v>4</v>
      </c>
      <c r="O2" s="253" t="s">
        <v>296</v>
      </c>
      <c r="P2" s="253" t="s">
        <v>296</v>
      </c>
      <c r="Q2" s="253" t="s">
        <v>296</v>
      </c>
      <c r="R2" s="253" t="s">
        <v>296</v>
      </c>
      <c r="S2" s="253" t="s">
        <v>6</v>
      </c>
      <c r="T2" s="253" t="s">
        <v>6</v>
      </c>
      <c r="U2" s="253" t="s">
        <v>6</v>
      </c>
      <c r="V2" s="253" t="s">
        <v>6</v>
      </c>
      <c r="W2" s="253" t="s">
        <v>273</v>
      </c>
      <c r="X2" s="253" t="s">
        <v>273</v>
      </c>
      <c r="Y2" s="253" t="s">
        <v>273</v>
      </c>
      <c r="Z2" s="253" t="s">
        <v>273</v>
      </c>
      <c r="AA2" s="253" t="s">
        <v>275</v>
      </c>
      <c r="AB2" s="253" t="s">
        <v>275</v>
      </c>
      <c r="AC2" s="253" t="s">
        <v>275</v>
      </c>
      <c r="AD2" s="253" t="s">
        <v>275</v>
      </c>
      <c r="AE2" s="253" t="s">
        <v>276</v>
      </c>
      <c r="AF2" s="253" t="s">
        <v>276</v>
      </c>
      <c r="AG2" s="253" t="s">
        <v>276</v>
      </c>
      <c r="AH2" s="253" t="s">
        <v>276</v>
      </c>
      <c r="AI2" s="253" t="s">
        <v>277</v>
      </c>
      <c r="AJ2" s="253" t="s">
        <v>277</v>
      </c>
      <c r="AK2" s="253" t="s">
        <v>277</v>
      </c>
      <c r="AL2" s="253" t="s">
        <v>277</v>
      </c>
      <c r="AM2" s="253" t="s">
        <v>278</v>
      </c>
      <c r="AN2" s="253" t="s">
        <v>278</v>
      </c>
      <c r="AO2" s="253" t="s">
        <v>278</v>
      </c>
      <c r="AP2" s="253" t="s">
        <v>278</v>
      </c>
      <c r="AQ2" s="253" t="s">
        <v>279</v>
      </c>
      <c r="AR2" s="253" t="s">
        <v>279</v>
      </c>
      <c r="AS2" s="253" t="s">
        <v>279</v>
      </c>
      <c r="AT2" s="253" t="s">
        <v>279</v>
      </c>
      <c r="AU2" s="253" t="s">
        <v>280</v>
      </c>
      <c r="AV2" s="253" t="s">
        <v>280</v>
      </c>
      <c r="AW2" s="253" t="s">
        <v>280</v>
      </c>
      <c r="AX2" s="253" t="s">
        <v>280</v>
      </c>
      <c r="AY2" s="253" t="s">
        <v>281</v>
      </c>
      <c r="AZ2" s="253" t="s">
        <v>281</v>
      </c>
      <c r="BA2" s="253" t="s">
        <v>281</v>
      </c>
      <c r="BB2" s="253" t="s">
        <v>281</v>
      </c>
      <c r="BC2" s="253" t="s">
        <v>282</v>
      </c>
      <c r="BD2" s="253" t="s">
        <v>282</v>
      </c>
      <c r="BE2" s="253" t="s">
        <v>282</v>
      </c>
      <c r="BF2" s="253" t="s">
        <v>282</v>
      </c>
      <c r="BG2" s="253" t="s">
        <v>291</v>
      </c>
      <c r="BH2" s="253" t="s">
        <v>291</v>
      </c>
      <c r="BI2" s="253" t="s">
        <v>291</v>
      </c>
      <c r="BJ2" s="253" t="s">
        <v>291</v>
      </c>
      <c r="BK2" s="253" t="s">
        <v>603</v>
      </c>
      <c r="BL2" s="253" t="s">
        <v>603</v>
      </c>
      <c r="BM2" s="253" t="s">
        <v>603</v>
      </c>
      <c r="BN2" s="253" t="s">
        <v>603</v>
      </c>
      <c r="BO2" s="253" t="s">
        <v>604</v>
      </c>
      <c r="BP2" s="253" t="s">
        <v>604</v>
      </c>
      <c r="BQ2" s="253" t="s">
        <v>604</v>
      </c>
      <c r="BR2" s="253" t="s">
        <v>604</v>
      </c>
      <c r="BS2" s="253" t="s">
        <v>1167</v>
      </c>
      <c r="BT2" s="253" t="s">
        <v>1167</v>
      </c>
      <c r="BU2" s="253" t="s">
        <v>1167</v>
      </c>
      <c r="BV2" s="253" t="s">
        <v>1167</v>
      </c>
      <c r="BW2" s="253" t="s">
        <v>605</v>
      </c>
      <c r="BX2" s="253" t="s">
        <v>605</v>
      </c>
      <c r="BY2" s="253" t="s">
        <v>605</v>
      </c>
      <c r="BZ2" s="253" t="s">
        <v>605</v>
      </c>
      <c r="CA2" s="253" t="s">
        <v>606</v>
      </c>
      <c r="CB2" s="253" t="s">
        <v>606</v>
      </c>
      <c r="CC2" s="253" t="s">
        <v>606</v>
      </c>
      <c r="CD2" s="253" t="s">
        <v>606</v>
      </c>
      <c r="CE2" s="253" t="s">
        <v>607</v>
      </c>
      <c r="CF2" s="253" t="s">
        <v>607</v>
      </c>
      <c r="CG2" s="253" t="s">
        <v>607</v>
      </c>
      <c r="CH2" s="253" t="s">
        <v>607</v>
      </c>
      <c r="CI2" s="253" t="s">
        <v>608</v>
      </c>
      <c r="CJ2" s="253" t="s">
        <v>608</v>
      </c>
      <c r="CK2" s="253" t="s">
        <v>608</v>
      </c>
      <c r="CL2" s="253" t="s">
        <v>608</v>
      </c>
      <c r="CM2" s="253" t="s">
        <v>609</v>
      </c>
      <c r="CN2" s="253" t="s">
        <v>609</v>
      </c>
      <c r="CO2" s="253" t="s">
        <v>609</v>
      </c>
      <c r="CP2" s="253" t="s">
        <v>609</v>
      </c>
      <c r="CQ2" s="253" t="s">
        <v>610</v>
      </c>
      <c r="CR2" s="253" t="s">
        <v>610</v>
      </c>
      <c r="CS2" s="253" t="s">
        <v>610</v>
      </c>
      <c r="CT2" s="253" t="s">
        <v>610</v>
      </c>
      <c r="CU2" s="253" t="s">
        <v>611</v>
      </c>
      <c r="CV2" s="253" t="s">
        <v>611</v>
      </c>
      <c r="CW2" s="253" t="s">
        <v>611</v>
      </c>
      <c r="CX2" s="253" t="s">
        <v>611</v>
      </c>
      <c r="CY2" s="253" t="s">
        <v>612</v>
      </c>
      <c r="CZ2" s="253" t="s">
        <v>612</v>
      </c>
      <c r="DA2" s="253" t="s">
        <v>612</v>
      </c>
      <c r="DB2" s="253" t="s">
        <v>612</v>
      </c>
      <c r="DC2" s="253" t="s">
        <v>613</v>
      </c>
      <c r="DD2" s="253" t="s">
        <v>613</v>
      </c>
      <c r="DE2" s="253" t="s">
        <v>613</v>
      </c>
      <c r="DF2" s="253" t="s">
        <v>613</v>
      </c>
      <c r="DG2" s="253" t="s">
        <v>614</v>
      </c>
      <c r="DH2" s="253" t="s">
        <v>614</v>
      </c>
      <c r="DI2" s="253" t="s">
        <v>614</v>
      </c>
      <c r="DJ2" s="253" t="s">
        <v>614</v>
      </c>
      <c r="DK2" s="253" t="s">
        <v>615</v>
      </c>
      <c r="DL2" s="253" t="s">
        <v>615</v>
      </c>
      <c r="DM2" s="253" t="s">
        <v>615</v>
      </c>
      <c r="DN2" s="253" t="s">
        <v>615</v>
      </c>
      <c r="DO2" s="253" t="s">
        <v>616</v>
      </c>
      <c r="DP2" s="253" t="s">
        <v>616</v>
      </c>
      <c r="DQ2" s="253" t="s">
        <v>616</v>
      </c>
      <c r="DR2" s="253" t="s">
        <v>616</v>
      </c>
      <c r="DS2" s="253" t="s">
        <v>617</v>
      </c>
      <c r="DT2" s="253" t="s">
        <v>617</v>
      </c>
      <c r="DU2" s="253" t="s">
        <v>617</v>
      </c>
      <c r="DV2" s="253" t="s">
        <v>617</v>
      </c>
      <c r="DW2" s="253" t="s">
        <v>618</v>
      </c>
      <c r="DX2" s="253" t="s">
        <v>618</v>
      </c>
      <c r="DY2" s="253" t="s">
        <v>618</v>
      </c>
      <c r="DZ2" s="253" t="s">
        <v>618</v>
      </c>
      <c r="EA2" s="253" t="s">
        <v>619</v>
      </c>
      <c r="EB2" s="253" t="s">
        <v>619</v>
      </c>
      <c r="EC2" s="253" t="s">
        <v>619</v>
      </c>
      <c r="ED2" s="253" t="s">
        <v>619</v>
      </c>
      <c r="EE2" s="253" t="s">
        <v>620</v>
      </c>
      <c r="EF2" s="253" t="s">
        <v>620</v>
      </c>
      <c r="EG2" s="253" t="s">
        <v>620</v>
      </c>
      <c r="EH2" s="253" t="s">
        <v>620</v>
      </c>
      <c r="EI2" s="253" t="s">
        <v>621</v>
      </c>
      <c r="EJ2" s="253" t="s">
        <v>621</v>
      </c>
      <c r="EK2" s="253" t="s">
        <v>621</v>
      </c>
      <c r="EL2" s="253" t="s">
        <v>621</v>
      </c>
      <c r="EM2" s="253" t="s">
        <v>622</v>
      </c>
      <c r="EN2" s="253" t="s">
        <v>622</v>
      </c>
      <c r="EO2" s="253" t="s">
        <v>622</v>
      </c>
      <c r="EP2" s="253" t="s">
        <v>622</v>
      </c>
      <c r="EQ2" s="253" t="s">
        <v>623</v>
      </c>
      <c r="ER2" s="253" t="s">
        <v>623</v>
      </c>
      <c r="ES2" s="253" t="s">
        <v>623</v>
      </c>
      <c r="ET2" s="253" t="s">
        <v>623</v>
      </c>
      <c r="EU2" s="253" t="s">
        <v>624</v>
      </c>
      <c r="EV2" s="253" t="s">
        <v>624</v>
      </c>
      <c r="EW2" s="253" t="s">
        <v>624</v>
      </c>
      <c r="EX2" s="253" t="s">
        <v>624</v>
      </c>
      <c r="EY2" s="253" t="s">
        <v>625</v>
      </c>
      <c r="EZ2" s="253" t="s">
        <v>625</v>
      </c>
      <c r="FA2" s="253" t="s">
        <v>625</v>
      </c>
      <c r="FB2" s="253" t="s">
        <v>625</v>
      </c>
      <c r="FC2" s="253" t="s">
        <v>626</v>
      </c>
      <c r="FD2" s="253" t="s">
        <v>626</v>
      </c>
      <c r="FE2" s="253" t="s">
        <v>626</v>
      </c>
      <c r="FF2" s="253" t="s">
        <v>626</v>
      </c>
      <c r="FG2" s="253" t="s">
        <v>627</v>
      </c>
      <c r="FH2" s="253" t="s">
        <v>627</v>
      </c>
      <c r="FI2" s="253" t="s">
        <v>627</v>
      </c>
      <c r="FJ2" s="253" t="s">
        <v>627</v>
      </c>
      <c r="FK2" s="253" t="s">
        <v>628</v>
      </c>
      <c r="FL2" s="253" t="s">
        <v>628</v>
      </c>
      <c r="FM2" s="253" t="s">
        <v>628</v>
      </c>
      <c r="FN2" s="253" t="s">
        <v>628</v>
      </c>
      <c r="FO2" s="253" t="s">
        <v>629</v>
      </c>
      <c r="FP2" s="253" t="s">
        <v>629</v>
      </c>
      <c r="FQ2" s="253" t="s">
        <v>629</v>
      </c>
      <c r="FR2" s="253" t="s">
        <v>629</v>
      </c>
      <c r="FS2" s="253" t="s">
        <v>630</v>
      </c>
      <c r="FT2" s="253" t="s">
        <v>630</v>
      </c>
      <c r="FU2" s="253" t="s">
        <v>630</v>
      </c>
      <c r="FV2" s="253" t="s">
        <v>630</v>
      </c>
      <c r="FW2" s="253" t="s">
        <v>631</v>
      </c>
      <c r="FX2" s="253" t="s">
        <v>631</v>
      </c>
      <c r="FY2" s="253" t="s">
        <v>631</v>
      </c>
      <c r="FZ2" s="253" t="s">
        <v>631</v>
      </c>
      <c r="GA2" s="253" t="s">
        <v>632</v>
      </c>
      <c r="GB2" s="253" t="s">
        <v>632</v>
      </c>
      <c r="GC2" s="253" t="s">
        <v>632</v>
      </c>
      <c r="GD2" s="253" t="s">
        <v>632</v>
      </c>
      <c r="GE2" s="253" t="s">
        <v>633</v>
      </c>
      <c r="GF2" s="253" t="s">
        <v>633</v>
      </c>
      <c r="GG2" s="253" t="s">
        <v>633</v>
      </c>
      <c r="GH2" s="253" t="s">
        <v>633</v>
      </c>
      <c r="GI2" s="253" t="s">
        <v>634</v>
      </c>
      <c r="GJ2" s="253" t="s">
        <v>634</v>
      </c>
      <c r="GK2" s="253" t="s">
        <v>634</v>
      </c>
      <c r="GL2" s="253" t="s">
        <v>634</v>
      </c>
      <c r="GM2" s="253" t="s">
        <v>635</v>
      </c>
      <c r="GN2" s="253" t="s">
        <v>635</v>
      </c>
      <c r="GO2" s="253" t="s">
        <v>635</v>
      </c>
      <c r="GP2" s="253" t="s">
        <v>635</v>
      </c>
      <c r="GQ2" s="253" t="s">
        <v>636</v>
      </c>
      <c r="GR2" s="253" t="s">
        <v>636</v>
      </c>
      <c r="GS2" s="253" t="s">
        <v>636</v>
      </c>
      <c r="GT2" s="253" t="s">
        <v>636</v>
      </c>
      <c r="GU2" s="253" t="s">
        <v>637</v>
      </c>
      <c r="GV2" s="253" t="s">
        <v>637</v>
      </c>
      <c r="GW2" s="253" t="s">
        <v>637</v>
      </c>
      <c r="GX2" s="253" t="s">
        <v>637</v>
      </c>
      <c r="GY2" s="253" t="s">
        <v>638</v>
      </c>
      <c r="GZ2" s="253" t="s">
        <v>638</v>
      </c>
      <c r="HA2" s="253" t="s">
        <v>638</v>
      </c>
      <c r="HB2" s="253" t="s">
        <v>638</v>
      </c>
      <c r="HC2" s="253" t="s">
        <v>639</v>
      </c>
      <c r="HD2" s="253" t="s">
        <v>639</v>
      </c>
      <c r="HE2" s="253" t="s">
        <v>639</v>
      </c>
      <c r="HF2" s="253" t="s">
        <v>639</v>
      </c>
      <c r="HG2" s="253" t="s">
        <v>640</v>
      </c>
      <c r="HH2" s="253" t="s">
        <v>640</v>
      </c>
      <c r="HI2" s="253" t="s">
        <v>640</v>
      </c>
      <c r="HJ2" s="253" t="s">
        <v>640</v>
      </c>
      <c r="HK2" s="253" t="s">
        <v>641</v>
      </c>
      <c r="HL2" s="253" t="s">
        <v>641</v>
      </c>
      <c r="HM2" s="253" t="s">
        <v>641</v>
      </c>
      <c r="HN2" s="253" t="s">
        <v>641</v>
      </c>
      <c r="HO2" s="253" t="s">
        <v>642</v>
      </c>
      <c r="HP2" s="253" t="s">
        <v>642</v>
      </c>
      <c r="HQ2" s="253" t="s">
        <v>642</v>
      </c>
      <c r="HR2" s="253" t="s">
        <v>642</v>
      </c>
      <c r="HS2" s="253" t="s">
        <v>643</v>
      </c>
      <c r="HT2" s="253" t="s">
        <v>643</v>
      </c>
      <c r="HU2" s="253" t="s">
        <v>643</v>
      </c>
      <c r="HV2" s="253" t="s">
        <v>643</v>
      </c>
      <c r="HW2" s="253" t="s">
        <v>602</v>
      </c>
      <c r="HX2" s="253" t="s">
        <v>602</v>
      </c>
      <c r="HY2" s="253" t="s">
        <v>602</v>
      </c>
      <c r="HZ2" s="253" t="s">
        <v>602</v>
      </c>
      <c r="IA2" s="253" t="s">
        <v>644</v>
      </c>
      <c r="IB2" s="253" t="s">
        <v>644</v>
      </c>
      <c r="IC2" s="253" t="s">
        <v>644</v>
      </c>
      <c r="ID2" s="253" t="s">
        <v>644</v>
      </c>
      <c r="IE2" s="253" t="s">
        <v>645</v>
      </c>
      <c r="IF2" s="253" t="s">
        <v>645</v>
      </c>
      <c r="IG2" s="253" t="s">
        <v>645</v>
      </c>
      <c r="IH2" s="253" t="s">
        <v>645</v>
      </c>
      <c r="II2" s="253" t="s">
        <v>646</v>
      </c>
      <c r="IJ2" s="253" t="s">
        <v>646</v>
      </c>
      <c r="IK2" s="253" t="s">
        <v>646</v>
      </c>
      <c r="IL2" s="253" t="s">
        <v>646</v>
      </c>
      <c r="IM2" s="253" t="s">
        <v>647</v>
      </c>
      <c r="IN2" s="253" t="s">
        <v>647</v>
      </c>
      <c r="IO2" s="253" t="s">
        <v>647</v>
      </c>
      <c r="IP2" s="253" t="s">
        <v>647</v>
      </c>
      <c r="IQ2" s="253" t="s">
        <v>648</v>
      </c>
      <c r="IR2" s="253" t="s">
        <v>648</v>
      </c>
      <c r="IS2" s="253" t="s">
        <v>648</v>
      </c>
      <c r="IT2" s="253" t="s">
        <v>648</v>
      </c>
      <c r="IU2" s="253" t="s">
        <v>649</v>
      </c>
      <c r="IV2" s="253" t="s">
        <v>649</v>
      </c>
      <c r="IW2" s="253" t="s">
        <v>649</v>
      </c>
      <c r="IX2" s="253" t="s">
        <v>649</v>
      </c>
    </row>
    <row r="3" spans="1:262" s="11" customFormat="1" x14ac:dyDescent="0.25">
      <c r="A3" s="74"/>
      <c r="B3" s="53"/>
      <c r="C3" s="11" t="s">
        <v>172</v>
      </c>
      <c r="D3" s="11" t="s">
        <v>173</v>
      </c>
      <c r="E3" s="11" t="s">
        <v>710</v>
      </c>
      <c r="F3" s="11" t="s">
        <v>701</v>
      </c>
      <c r="G3" s="11" t="s">
        <v>172</v>
      </c>
      <c r="H3" s="11" t="s">
        <v>173</v>
      </c>
      <c r="I3" s="11" t="s">
        <v>710</v>
      </c>
      <c r="J3" s="11" t="s">
        <v>701</v>
      </c>
      <c r="K3" s="11" t="s">
        <v>172</v>
      </c>
      <c r="L3" s="11" t="s">
        <v>173</v>
      </c>
      <c r="M3" s="11" t="s">
        <v>710</v>
      </c>
      <c r="N3" s="11" t="s">
        <v>701</v>
      </c>
      <c r="O3" s="11" t="s">
        <v>172</v>
      </c>
      <c r="P3" s="11" t="s">
        <v>173</v>
      </c>
      <c r="Q3" s="11" t="s">
        <v>710</v>
      </c>
      <c r="R3" s="11" t="s">
        <v>701</v>
      </c>
      <c r="S3" s="11" t="s">
        <v>172</v>
      </c>
      <c r="T3" s="11" t="s">
        <v>173</v>
      </c>
      <c r="U3" s="11" t="s">
        <v>710</v>
      </c>
      <c r="V3" s="11" t="s">
        <v>701</v>
      </c>
      <c r="W3" s="11" t="s">
        <v>172</v>
      </c>
      <c r="X3" s="11" t="s">
        <v>173</v>
      </c>
      <c r="Y3" s="11" t="s">
        <v>710</v>
      </c>
      <c r="Z3" s="11" t="s">
        <v>701</v>
      </c>
      <c r="AA3" s="11" t="s">
        <v>172</v>
      </c>
      <c r="AB3" s="11" t="s">
        <v>173</v>
      </c>
      <c r="AC3" s="11" t="s">
        <v>710</v>
      </c>
      <c r="AD3" s="11" t="s">
        <v>701</v>
      </c>
      <c r="AE3" s="11" t="s">
        <v>172</v>
      </c>
      <c r="AF3" s="11" t="s">
        <v>173</v>
      </c>
      <c r="AG3" s="11" t="s">
        <v>710</v>
      </c>
      <c r="AH3" s="11" t="s">
        <v>701</v>
      </c>
      <c r="AI3" s="11" t="s">
        <v>172</v>
      </c>
      <c r="AJ3" s="11" t="s">
        <v>173</v>
      </c>
      <c r="AK3" s="11" t="s">
        <v>710</v>
      </c>
      <c r="AL3" s="11" t="s">
        <v>701</v>
      </c>
      <c r="AM3" s="11" t="s">
        <v>172</v>
      </c>
      <c r="AN3" s="11" t="s">
        <v>173</v>
      </c>
      <c r="AO3" s="11" t="s">
        <v>710</v>
      </c>
      <c r="AP3" s="11" t="s">
        <v>701</v>
      </c>
      <c r="AQ3" s="11" t="s">
        <v>172</v>
      </c>
      <c r="AR3" s="11" t="s">
        <v>173</v>
      </c>
      <c r="AS3" s="11" t="s">
        <v>710</v>
      </c>
      <c r="AT3" s="11" t="s">
        <v>701</v>
      </c>
      <c r="AU3" s="11" t="s">
        <v>172</v>
      </c>
      <c r="AV3" s="11" t="s">
        <v>173</v>
      </c>
      <c r="AW3" s="11" t="s">
        <v>710</v>
      </c>
      <c r="AX3" s="11" t="s">
        <v>701</v>
      </c>
      <c r="AY3" s="11" t="s">
        <v>172</v>
      </c>
      <c r="AZ3" s="11" t="s">
        <v>173</v>
      </c>
      <c r="BA3" s="11" t="s">
        <v>710</v>
      </c>
      <c r="BB3" s="11" t="s">
        <v>701</v>
      </c>
      <c r="BC3" s="11" t="s">
        <v>172</v>
      </c>
      <c r="BD3" s="11" t="s">
        <v>173</v>
      </c>
      <c r="BE3" s="11" t="s">
        <v>710</v>
      </c>
      <c r="BF3" s="11" t="s">
        <v>701</v>
      </c>
      <c r="BG3" s="11" t="s">
        <v>172</v>
      </c>
      <c r="BH3" s="11" t="s">
        <v>173</v>
      </c>
      <c r="BI3" s="11" t="s">
        <v>710</v>
      </c>
      <c r="BJ3" s="11" t="s">
        <v>701</v>
      </c>
      <c r="BK3" s="11" t="s">
        <v>172</v>
      </c>
      <c r="BL3" s="11" t="s">
        <v>173</v>
      </c>
      <c r="BM3" s="11" t="s">
        <v>710</v>
      </c>
      <c r="BN3" s="11" t="s">
        <v>701</v>
      </c>
      <c r="BO3" s="11" t="s">
        <v>172</v>
      </c>
      <c r="BP3" s="11" t="s">
        <v>173</v>
      </c>
      <c r="BQ3" s="11" t="s">
        <v>710</v>
      </c>
      <c r="BR3" s="11" t="s">
        <v>701</v>
      </c>
      <c r="BS3" s="11" t="s">
        <v>172</v>
      </c>
      <c r="BT3" s="11" t="s">
        <v>173</v>
      </c>
      <c r="BU3" s="11" t="s">
        <v>710</v>
      </c>
      <c r="BV3" s="11" t="s">
        <v>701</v>
      </c>
      <c r="BW3" s="11" t="s">
        <v>172</v>
      </c>
      <c r="BX3" s="11" t="s">
        <v>173</v>
      </c>
      <c r="BY3" s="11" t="s">
        <v>710</v>
      </c>
      <c r="BZ3" s="11" t="s">
        <v>701</v>
      </c>
      <c r="CA3" s="11" t="s">
        <v>172</v>
      </c>
      <c r="CB3" s="11" t="s">
        <v>173</v>
      </c>
      <c r="CC3" s="11" t="s">
        <v>710</v>
      </c>
      <c r="CD3" s="11" t="s">
        <v>701</v>
      </c>
      <c r="CE3" s="11" t="s">
        <v>172</v>
      </c>
      <c r="CF3" s="11" t="s">
        <v>173</v>
      </c>
      <c r="CG3" s="11" t="s">
        <v>710</v>
      </c>
      <c r="CH3" s="11" t="s">
        <v>701</v>
      </c>
      <c r="CI3" s="11" t="s">
        <v>172</v>
      </c>
      <c r="CJ3" s="11" t="s">
        <v>173</v>
      </c>
      <c r="CK3" s="11" t="s">
        <v>710</v>
      </c>
      <c r="CL3" s="11" t="s">
        <v>701</v>
      </c>
      <c r="CM3" s="11" t="s">
        <v>172</v>
      </c>
      <c r="CN3" s="11" t="s">
        <v>173</v>
      </c>
      <c r="CO3" s="11" t="s">
        <v>710</v>
      </c>
      <c r="CP3" s="11" t="s">
        <v>701</v>
      </c>
      <c r="CQ3" s="11" t="s">
        <v>172</v>
      </c>
      <c r="CR3" s="11" t="s">
        <v>173</v>
      </c>
      <c r="CS3" s="11" t="s">
        <v>710</v>
      </c>
      <c r="CT3" s="11" t="s">
        <v>701</v>
      </c>
      <c r="CU3" s="11" t="s">
        <v>172</v>
      </c>
      <c r="CV3" s="11" t="s">
        <v>173</v>
      </c>
      <c r="CW3" s="11" t="s">
        <v>710</v>
      </c>
      <c r="CX3" s="11" t="s">
        <v>701</v>
      </c>
      <c r="CY3" s="11" t="s">
        <v>172</v>
      </c>
      <c r="CZ3" s="11" t="s">
        <v>173</v>
      </c>
      <c r="DA3" s="11" t="s">
        <v>710</v>
      </c>
      <c r="DB3" s="11" t="s">
        <v>701</v>
      </c>
      <c r="DC3" s="11" t="s">
        <v>172</v>
      </c>
      <c r="DD3" s="11" t="s">
        <v>173</v>
      </c>
      <c r="DE3" s="11" t="s">
        <v>710</v>
      </c>
      <c r="DF3" s="11" t="s">
        <v>701</v>
      </c>
      <c r="DG3" s="11" t="s">
        <v>172</v>
      </c>
      <c r="DH3" s="11" t="s">
        <v>173</v>
      </c>
      <c r="DI3" s="11" t="s">
        <v>710</v>
      </c>
      <c r="DJ3" s="11" t="s">
        <v>701</v>
      </c>
      <c r="DK3" s="11" t="s">
        <v>172</v>
      </c>
      <c r="DL3" s="11" t="s">
        <v>173</v>
      </c>
      <c r="DM3" s="11" t="s">
        <v>710</v>
      </c>
      <c r="DN3" s="11" t="s">
        <v>701</v>
      </c>
      <c r="DO3" s="11" t="s">
        <v>172</v>
      </c>
      <c r="DP3" s="11" t="s">
        <v>173</v>
      </c>
      <c r="DQ3" s="11" t="s">
        <v>710</v>
      </c>
      <c r="DR3" s="11" t="s">
        <v>701</v>
      </c>
      <c r="DS3" s="11" t="s">
        <v>172</v>
      </c>
      <c r="DT3" s="11" t="s">
        <v>173</v>
      </c>
      <c r="DU3" s="11" t="s">
        <v>710</v>
      </c>
      <c r="DV3" s="11" t="s">
        <v>701</v>
      </c>
      <c r="DW3" s="11" t="s">
        <v>172</v>
      </c>
      <c r="DX3" s="11" t="s">
        <v>173</v>
      </c>
      <c r="DY3" s="11" t="s">
        <v>710</v>
      </c>
      <c r="DZ3" s="11" t="s">
        <v>701</v>
      </c>
      <c r="EA3" s="11" t="s">
        <v>172</v>
      </c>
      <c r="EB3" s="11" t="s">
        <v>173</v>
      </c>
      <c r="EC3" s="11" t="s">
        <v>710</v>
      </c>
      <c r="ED3" s="11" t="s">
        <v>701</v>
      </c>
      <c r="EE3" s="11" t="s">
        <v>172</v>
      </c>
      <c r="EF3" s="11" t="s">
        <v>173</v>
      </c>
      <c r="EG3" s="11" t="s">
        <v>710</v>
      </c>
      <c r="EH3" s="11" t="s">
        <v>701</v>
      </c>
      <c r="EI3" s="11" t="s">
        <v>172</v>
      </c>
      <c r="EJ3" s="11" t="s">
        <v>173</v>
      </c>
      <c r="EK3" s="11" t="s">
        <v>710</v>
      </c>
      <c r="EL3" s="11" t="s">
        <v>701</v>
      </c>
      <c r="EM3" s="11" t="s">
        <v>172</v>
      </c>
      <c r="EN3" s="11" t="s">
        <v>173</v>
      </c>
      <c r="EO3" s="11" t="s">
        <v>710</v>
      </c>
      <c r="EP3" s="11" t="s">
        <v>701</v>
      </c>
      <c r="EQ3" s="11" t="s">
        <v>172</v>
      </c>
      <c r="ER3" s="11" t="s">
        <v>173</v>
      </c>
      <c r="ES3" s="11" t="s">
        <v>710</v>
      </c>
      <c r="ET3" s="11" t="s">
        <v>701</v>
      </c>
      <c r="EU3" s="11" t="s">
        <v>172</v>
      </c>
      <c r="EV3" s="11" t="s">
        <v>173</v>
      </c>
      <c r="EW3" s="11" t="s">
        <v>710</v>
      </c>
      <c r="EX3" s="11" t="s">
        <v>701</v>
      </c>
      <c r="EY3" s="11" t="s">
        <v>172</v>
      </c>
      <c r="EZ3" s="11" t="s">
        <v>173</v>
      </c>
      <c r="FA3" s="11" t="s">
        <v>710</v>
      </c>
      <c r="FB3" s="11" t="s">
        <v>701</v>
      </c>
      <c r="FC3" s="11" t="s">
        <v>172</v>
      </c>
      <c r="FD3" s="11" t="s">
        <v>173</v>
      </c>
      <c r="FE3" s="11" t="s">
        <v>710</v>
      </c>
      <c r="FF3" s="11" t="s">
        <v>701</v>
      </c>
      <c r="FG3" s="11" t="s">
        <v>172</v>
      </c>
      <c r="FH3" s="11" t="s">
        <v>173</v>
      </c>
      <c r="FI3" s="11" t="s">
        <v>710</v>
      </c>
      <c r="FJ3" s="11" t="s">
        <v>701</v>
      </c>
      <c r="FK3" s="11" t="s">
        <v>172</v>
      </c>
      <c r="FL3" s="11" t="s">
        <v>173</v>
      </c>
      <c r="FM3" s="11" t="s">
        <v>710</v>
      </c>
      <c r="FN3" s="11" t="s">
        <v>701</v>
      </c>
      <c r="FO3" s="11" t="s">
        <v>172</v>
      </c>
      <c r="FP3" s="11" t="s">
        <v>173</v>
      </c>
      <c r="FQ3" s="11" t="s">
        <v>710</v>
      </c>
      <c r="FR3" s="11" t="s">
        <v>701</v>
      </c>
      <c r="FS3" s="11" t="s">
        <v>172</v>
      </c>
      <c r="FT3" s="11" t="s">
        <v>173</v>
      </c>
      <c r="FU3" s="11" t="s">
        <v>710</v>
      </c>
      <c r="FV3" s="11" t="s">
        <v>701</v>
      </c>
      <c r="FW3" s="11" t="s">
        <v>172</v>
      </c>
      <c r="FX3" s="11" t="s">
        <v>173</v>
      </c>
      <c r="FY3" s="11" t="s">
        <v>710</v>
      </c>
      <c r="FZ3" s="11" t="s">
        <v>701</v>
      </c>
      <c r="GA3" s="11" t="s">
        <v>172</v>
      </c>
      <c r="GB3" s="11" t="s">
        <v>173</v>
      </c>
      <c r="GC3" s="11" t="s">
        <v>710</v>
      </c>
      <c r="GD3" s="11" t="s">
        <v>701</v>
      </c>
      <c r="GE3" s="11" t="s">
        <v>172</v>
      </c>
      <c r="GF3" s="11" t="s">
        <v>173</v>
      </c>
      <c r="GG3" s="11" t="s">
        <v>710</v>
      </c>
      <c r="GH3" s="11" t="s">
        <v>701</v>
      </c>
      <c r="GI3" s="11" t="s">
        <v>172</v>
      </c>
      <c r="GJ3" s="11" t="s">
        <v>173</v>
      </c>
      <c r="GK3" s="11" t="s">
        <v>710</v>
      </c>
      <c r="GL3" s="11" t="s">
        <v>701</v>
      </c>
      <c r="GM3" s="11" t="s">
        <v>172</v>
      </c>
      <c r="GN3" s="11" t="s">
        <v>173</v>
      </c>
      <c r="GO3" s="11" t="s">
        <v>710</v>
      </c>
      <c r="GP3" s="11" t="s">
        <v>701</v>
      </c>
      <c r="GQ3" s="11" t="s">
        <v>172</v>
      </c>
      <c r="GR3" s="11" t="s">
        <v>173</v>
      </c>
      <c r="GS3" s="11" t="s">
        <v>710</v>
      </c>
      <c r="GT3" s="11" t="s">
        <v>701</v>
      </c>
      <c r="GU3" s="11" t="s">
        <v>172</v>
      </c>
      <c r="GV3" s="11" t="s">
        <v>173</v>
      </c>
      <c r="GW3" s="11" t="s">
        <v>710</v>
      </c>
      <c r="GX3" s="11" t="s">
        <v>701</v>
      </c>
      <c r="GY3" s="11" t="s">
        <v>172</v>
      </c>
      <c r="GZ3" s="11" t="s">
        <v>173</v>
      </c>
      <c r="HA3" s="11" t="s">
        <v>710</v>
      </c>
      <c r="HB3" s="11" t="s">
        <v>701</v>
      </c>
      <c r="HC3" s="11" t="s">
        <v>172</v>
      </c>
      <c r="HD3" s="11" t="s">
        <v>173</v>
      </c>
      <c r="HE3" s="11" t="s">
        <v>710</v>
      </c>
      <c r="HF3" s="11" t="s">
        <v>701</v>
      </c>
      <c r="HG3" s="11" t="s">
        <v>172</v>
      </c>
      <c r="HH3" s="11" t="s">
        <v>173</v>
      </c>
      <c r="HI3" s="11" t="s">
        <v>710</v>
      </c>
      <c r="HJ3" s="11" t="s">
        <v>701</v>
      </c>
      <c r="HK3" s="11" t="s">
        <v>172</v>
      </c>
      <c r="HL3" s="11" t="s">
        <v>173</v>
      </c>
      <c r="HM3" s="11" t="s">
        <v>710</v>
      </c>
      <c r="HN3" s="11" t="s">
        <v>701</v>
      </c>
      <c r="HO3" s="11" t="s">
        <v>172</v>
      </c>
      <c r="HP3" s="11" t="s">
        <v>173</v>
      </c>
      <c r="HQ3" s="11" t="s">
        <v>710</v>
      </c>
      <c r="HR3" s="11" t="s">
        <v>701</v>
      </c>
      <c r="HS3" s="11" t="s">
        <v>172</v>
      </c>
      <c r="HT3" s="11" t="s">
        <v>173</v>
      </c>
      <c r="HU3" s="11" t="s">
        <v>710</v>
      </c>
      <c r="HV3" s="11" t="s">
        <v>701</v>
      </c>
      <c r="HW3" s="11" t="s">
        <v>172</v>
      </c>
      <c r="HX3" s="11" t="s">
        <v>173</v>
      </c>
      <c r="HY3" s="11" t="s">
        <v>710</v>
      </c>
      <c r="HZ3" s="11" t="s">
        <v>701</v>
      </c>
      <c r="IA3" s="11" t="s">
        <v>172</v>
      </c>
      <c r="IB3" s="11" t="s">
        <v>173</v>
      </c>
      <c r="IC3" s="11" t="s">
        <v>710</v>
      </c>
      <c r="ID3" s="11" t="s">
        <v>701</v>
      </c>
      <c r="IE3" s="11" t="s">
        <v>172</v>
      </c>
      <c r="IF3" s="11" t="s">
        <v>173</v>
      </c>
      <c r="IG3" s="11" t="s">
        <v>710</v>
      </c>
      <c r="IH3" s="11" t="s">
        <v>701</v>
      </c>
      <c r="II3" s="11" t="s">
        <v>172</v>
      </c>
      <c r="IJ3" s="11" t="s">
        <v>173</v>
      </c>
      <c r="IK3" s="11" t="s">
        <v>710</v>
      </c>
      <c r="IL3" s="11" t="s">
        <v>701</v>
      </c>
      <c r="IM3" s="11" t="s">
        <v>172</v>
      </c>
      <c r="IN3" s="11" t="s">
        <v>173</v>
      </c>
      <c r="IO3" s="11" t="s">
        <v>710</v>
      </c>
      <c r="IP3" s="11" t="s">
        <v>701</v>
      </c>
      <c r="IQ3" s="11" t="s">
        <v>172</v>
      </c>
      <c r="IR3" s="11" t="s">
        <v>173</v>
      </c>
      <c r="IS3" s="11" t="s">
        <v>710</v>
      </c>
      <c r="IT3" s="11" t="s">
        <v>701</v>
      </c>
      <c r="IU3" s="11" t="s">
        <v>172</v>
      </c>
      <c r="IV3" s="11" t="s">
        <v>173</v>
      </c>
      <c r="IW3" s="11" t="s">
        <v>710</v>
      </c>
      <c r="IX3" s="11" t="s">
        <v>701</v>
      </c>
      <c r="IY3" s="163" t="s">
        <v>172</v>
      </c>
      <c r="IZ3" s="163" t="s">
        <v>173</v>
      </c>
      <c r="JA3" s="163" t="s">
        <v>710</v>
      </c>
      <c r="JB3" s="163" t="s">
        <v>701</v>
      </c>
    </row>
    <row r="4" spans="1:262" ht="16.5" customHeight="1" x14ac:dyDescent="0.25">
      <c r="A4" s="177">
        <v>1</v>
      </c>
      <c r="B4" s="178" t="s">
        <v>379</v>
      </c>
      <c r="C4">
        <v>1</v>
      </c>
      <c r="D4">
        <v>0</v>
      </c>
      <c r="E4">
        <v>1</v>
      </c>
      <c r="F4">
        <v>2</v>
      </c>
      <c r="G4">
        <v>23</v>
      </c>
      <c r="H4">
        <v>13</v>
      </c>
      <c r="I4">
        <v>5</v>
      </c>
      <c r="J4">
        <v>41</v>
      </c>
      <c r="K4">
        <v>10</v>
      </c>
      <c r="L4">
        <v>0</v>
      </c>
      <c r="M4">
        <v>9</v>
      </c>
      <c r="N4">
        <v>19</v>
      </c>
      <c r="O4">
        <v>12</v>
      </c>
      <c r="P4">
        <v>0</v>
      </c>
      <c r="Q4">
        <v>11</v>
      </c>
      <c r="R4">
        <v>23</v>
      </c>
      <c r="S4">
        <v>1</v>
      </c>
      <c r="T4">
        <v>0</v>
      </c>
      <c r="U4">
        <v>0</v>
      </c>
      <c r="V4">
        <v>1</v>
      </c>
      <c r="W4">
        <v>5</v>
      </c>
      <c r="X4">
        <v>1</v>
      </c>
      <c r="Y4">
        <v>4</v>
      </c>
      <c r="Z4">
        <v>10</v>
      </c>
      <c r="AA4">
        <v>6</v>
      </c>
      <c r="AB4">
        <v>2</v>
      </c>
      <c r="AC4">
        <v>1</v>
      </c>
      <c r="AD4">
        <v>9</v>
      </c>
      <c r="AE4">
        <v>6</v>
      </c>
      <c r="AF4">
        <v>2</v>
      </c>
      <c r="AG4">
        <v>3</v>
      </c>
      <c r="AH4">
        <v>11</v>
      </c>
      <c r="AI4">
        <v>4</v>
      </c>
      <c r="AJ4">
        <v>2</v>
      </c>
      <c r="AK4">
        <v>1</v>
      </c>
      <c r="AL4">
        <v>7</v>
      </c>
      <c r="AM4">
        <v>3</v>
      </c>
      <c r="AN4">
        <v>1</v>
      </c>
      <c r="AO4">
        <v>3</v>
      </c>
      <c r="AP4">
        <v>7</v>
      </c>
      <c r="AQ4">
        <v>6</v>
      </c>
      <c r="AR4">
        <v>1</v>
      </c>
      <c r="AS4">
        <v>4</v>
      </c>
      <c r="AT4">
        <v>11</v>
      </c>
      <c r="AU4">
        <v>3</v>
      </c>
      <c r="AV4">
        <v>1</v>
      </c>
      <c r="AW4">
        <v>3</v>
      </c>
      <c r="AX4">
        <v>7</v>
      </c>
      <c r="AY4">
        <v>7</v>
      </c>
      <c r="AZ4">
        <v>1</v>
      </c>
      <c r="BA4">
        <v>2</v>
      </c>
      <c r="BB4">
        <v>10</v>
      </c>
      <c r="BC4">
        <v>3</v>
      </c>
      <c r="BD4">
        <v>1</v>
      </c>
      <c r="BE4">
        <v>2</v>
      </c>
      <c r="BF4">
        <v>6</v>
      </c>
      <c r="BG4">
        <v>4</v>
      </c>
      <c r="BH4">
        <v>1</v>
      </c>
      <c r="BI4">
        <v>3</v>
      </c>
      <c r="BJ4">
        <v>8</v>
      </c>
      <c r="BK4">
        <v>0</v>
      </c>
      <c r="BL4">
        <v>0</v>
      </c>
      <c r="BM4">
        <v>0</v>
      </c>
      <c r="BN4">
        <v>0</v>
      </c>
      <c r="BO4">
        <v>1</v>
      </c>
      <c r="BP4">
        <v>0</v>
      </c>
      <c r="BQ4">
        <v>1</v>
      </c>
      <c r="BR4">
        <v>2</v>
      </c>
      <c r="BS4">
        <v>0</v>
      </c>
      <c r="BT4">
        <v>1</v>
      </c>
      <c r="BU4">
        <v>0</v>
      </c>
      <c r="BV4">
        <v>1</v>
      </c>
      <c r="BW4">
        <v>1</v>
      </c>
      <c r="BX4">
        <v>1</v>
      </c>
      <c r="BY4">
        <v>0</v>
      </c>
      <c r="BZ4">
        <v>2</v>
      </c>
      <c r="CA4">
        <v>1</v>
      </c>
      <c r="CB4">
        <v>0</v>
      </c>
      <c r="CC4">
        <v>0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1</v>
      </c>
      <c r="CK4">
        <v>0</v>
      </c>
      <c r="CL4">
        <v>2</v>
      </c>
      <c r="CM4">
        <v>1</v>
      </c>
      <c r="CN4">
        <v>1</v>
      </c>
      <c r="CO4">
        <v>0</v>
      </c>
      <c r="CP4">
        <v>2</v>
      </c>
      <c r="CQ4">
        <v>1</v>
      </c>
      <c r="CR4">
        <v>0</v>
      </c>
      <c r="CS4">
        <v>1</v>
      </c>
      <c r="CT4">
        <v>2</v>
      </c>
      <c r="CU4">
        <v>1</v>
      </c>
      <c r="CV4">
        <v>0</v>
      </c>
      <c r="CW4">
        <v>0</v>
      </c>
      <c r="CX4">
        <v>1</v>
      </c>
      <c r="CY4">
        <v>1</v>
      </c>
      <c r="CZ4">
        <v>0</v>
      </c>
      <c r="DA4">
        <v>0</v>
      </c>
      <c r="DB4">
        <v>1</v>
      </c>
      <c r="DC4">
        <v>1</v>
      </c>
      <c r="DD4">
        <v>1</v>
      </c>
      <c r="DE4">
        <v>1</v>
      </c>
      <c r="DF4">
        <v>3</v>
      </c>
      <c r="DG4">
        <v>1</v>
      </c>
      <c r="DH4">
        <v>1</v>
      </c>
      <c r="DI4">
        <v>0</v>
      </c>
      <c r="DJ4">
        <v>2</v>
      </c>
      <c r="DK4">
        <v>1</v>
      </c>
      <c r="DL4">
        <v>0</v>
      </c>
      <c r="DM4">
        <v>0</v>
      </c>
      <c r="DN4">
        <v>1</v>
      </c>
      <c r="DO4">
        <v>1</v>
      </c>
      <c r="DP4">
        <v>1</v>
      </c>
      <c r="DQ4">
        <v>0</v>
      </c>
      <c r="DR4">
        <v>2</v>
      </c>
      <c r="DS4">
        <v>1</v>
      </c>
      <c r="DT4">
        <v>1</v>
      </c>
      <c r="DU4">
        <v>1</v>
      </c>
      <c r="DV4">
        <v>3</v>
      </c>
      <c r="DW4">
        <v>1</v>
      </c>
      <c r="DX4">
        <v>1</v>
      </c>
      <c r="DY4">
        <v>0</v>
      </c>
      <c r="DZ4">
        <v>2</v>
      </c>
      <c r="EA4">
        <v>1</v>
      </c>
      <c r="EB4">
        <v>0</v>
      </c>
      <c r="EC4">
        <v>0</v>
      </c>
      <c r="ED4">
        <v>1</v>
      </c>
      <c r="EE4">
        <v>1</v>
      </c>
      <c r="EF4">
        <v>1</v>
      </c>
      <c r="EG4">
        <v>1</v>
      </c>
      <c r="EH4">
        <v>3</v>
      </c>
      <c r="EI4">
        <v>1</v>
      </c>
      <c r="EJ4">
        <v>1</v>
      </c>
      <c r="EK4">
        <v>0</v>
      </c>
      <c r="EL4">
        <v>2</v>
      </c>
      <c r="EM4">
        <v>1</v>
      </c>
      <c r="EN4">
        <v>0</v>
      </c>
      <c r="EO4">
        <v>0</v>
      </c>
      <c r="EP4">
        <v>1</v>
      </c>
      <c r="EQ4">
        <v>1</v>
      </c>
      <c r="ER4">
        <v>0</v>
      </c>
      <c r="ES4">
        <v>0</v>
      </c>
      <c r="ET4">
        <v>1</v>
      </c>
      <c r="EU4">
        <v>1</v>
      </c>
      <c r="EV4">
        <v>0</v>
      </c>
      <c r="EW4">
        <v>0</v>
      </c>
      <c r="EX4">
        <v>1</v>
      </c>
      <c r="EY4">
        <v>1</v>
      </c>
      <c r="EZ4">
        <v>0</v>
      </c>
      <c r="FA4">
        <v>1</v>
      </c>
      <c r="FB4">
        <v>2</v>
      </c>
      <c r="FC4">
        <v>1</v>
      </c>
      <c r="FD4">
        <v>1</v>
      </c>
      <c r="FE4">
        <v>0</v>
      </c>
      <c r="FF4">
        <v>2</v>
      </c>
      <c r="FG4">
        <v>1</v>
      </c>
      <c r="FH4">
        <v>1</v>
      </c>
      <c r="FI4">
        <v>0</v>
      </c>
      <c r="FJ4">
        <v>2</v>
      </c>
      <c r="FK4">
        <v>1</v>
      </c>
      <c r="FL4">
        <v>0</v>
      </c>
      <c r="FM4">
        <v>1</v>
      </c>
      <c r="FN4">
        <v>2</v>
      </c>
      <c r="FO4">
        <v>1</v>
      </c>
      <c r="FP4">
        <v>0</v>
      </c>
      <c r="FQ4">
        <v>1</v>
      </c>
      <c r="FR4">
        <v>2</v>
      </c>
      <c r="FS4">
        <v>1</v>
      </c>
      <c r="FT4">
        <v>0</v>
      </c>
      <c r="FU4">
        <v>1</v>
      </c>
      <c r="FV4">
        <v>2</v>
      </c>
      <c r="FW4">
        <v>1</v>
      </c>
      <c r="FX4">
        <v>0</v>
      </c>
      <c r="FY4">
        <v>1</v>
      </c>
      <c r="FZ4">
        <v>2</v>
      </c>
      <c r="GA4">
        <v>1</v>
      </c>
      <c r="GB4">
        <v>0</v>
      </c>
      <c r="GC4">
        <v>1</v>
      </c>
      <c r="GD4">
        <v>2</v>
      </c>
      <c r="GE4">
        <v>1</v>
      </c>
      <c r="GF4">
        <v>0</v>
      </c>
      <c r="GG4">
        <v>1</v>
      </c>
      <c r="GH4">
        <v>2</v>
      </c>
      <c r="GI4">
        <v>1</v>
      </c>
      <c r="GJ4">
        <v>0</v>
      </c>
      <c r="GK4">
        <v>1</v>
      </c>
      <c r="GL4">
        <v>2</v>
      </c>
      <c r="GM4">
        <v>1</v>
      </c>
      <c r="GN4">
        <v>0</v>
      </c>
      <c r="GO4">
        <v>0</v>
      </c>
      <c r="GP4">
        <v>1</v>
      </c>
      <c r="GQ4">
        <v>1</v>
      </c>
      <c r="GR4">
        <v>0</v>
      </c>
      <c r="GS4">
        <v>1</v>
      </c>
      <c r="GT4">
        <v>2</v>
      </c>
      <c r="GU4">
        <v>1</v>
      </c>
      <c r="GV4">
        <v>0</v>
      </c>
      <c r="GW4">
        <v>1</v>
      </c>
      <c r="GX4">
        <v>2</v>
      </c>
      <c r="GY4">
        <v>1</v>
      </c>
      <c r="GZ4">
        <v>0</v>
      </c>
      <c r="HA4">
        <v>1</v>
      </c>
      <c r="HB4">
        <v>2</v>
      </c>
      <c r="HC4">
        <v>1</v>
      </c>
      <c r="HD4">
        <v>0</v>
      </c>
      <c r="HE4">
        <v>1</v>
      </c>
      <c r="HF4">
        <v>2</v>
      </c>
      <c r="HG4">
        <v>1</v>
      </c>
      <c r="HH4">
        <v>0</v>
      </c>
      <c r="HI4">
        <v>0</v>
      </c>
      <c r="HJ4">
        <v>1</v>
      </c>
      <c r="HK4">
        <v>1</v>
      </c>
      <c r="HL4">
        <v>0</v>
      </c>
      <c r="HM4">
        <v>1</v>
      </c>
      <c r="HN4">
        <v>2</v>
      </c>
      <c r="HO4">
        <v>1</v>
      </c>
      <c r="HP4">
        <v>0</v>
      </c>
      <c r="HQ4">
        <v>1</v>
      </c>
      <c r="HR4">
        <v>2</v>
      </c>
      <c r="HS4">
        <v>1</v>
      </c>
      <c r="HT4">
        <v>0</v>
      </c>
      <c r="HU4">
        <v>1</v>
      </c>
      <c r="HV4">
        <v>2</v>
      </c>
      <c r="HW4">
        <v>1</v>
      </c>
      <c r="HX4">
        <v>0</v>
      </c>
      <c r="HY4">
        <v>1</v>
      </c>
      <c r="HZ4">
        <v>2</v>
      </c>
      <c r="IA4">
        <v>1</v>
      </c>
      <c r="IB4">
        <v>0</v>
      </c>
      <c r="IC4">
        <v>1</v>
      </c>
      <c r="ID4">
        <v>2</v>
      </c>
      <c r="IE4">
        <v>1</v>
      </c>
      <c r="IF4">
        <v>0</v>
      </c>
      <c r="IG4">
        <v>1</v>
      </c>
      <c r="IH4">
        <v>2</v>
      </c>
      <c r="II4">
        <v>1</v>
      </c>
      <c r="IJ4">
        <v>0</v>
      </c>
      <c r="IK4">
        <v>1</v>
      </c>
      <c r="IL4">
        <v>2</v>
      </c>
      <c r="IM4">
        <v>1</v>
      </c>
      <c r="IN4">
        <v>0</v>
      </c>
      <c r="IO4">
        <v>1</v>
      </c>
      <c r="IP4">
        <v>2</v>
      </c>
      <c r="IQ4">
        <v>1</v>
      </c>
      <c r="IR4">
        <v>0</v>
      </c>
      <c r="IS4">
        <v>1</v>
      </c>
      <c r="IT4">
        <v>2</v>
      </c>
      <c r="IU4">
        <v>1</v>
      </c>
      <c r="IV4">
        <v>0</v>
      </c>
      <c r="IW4">
        <v>0</v>
      </c>
      <c r="IX4">
        <v>1</v>
      </c>
      <c r="IY4">
        <f t="shared" ref="IY4:JB23" ca="1" si="7">SUMIFS($BK4:$IX4,$BK$3:$IX$3,IY$3,$BK$1:$IX$1,"&gt;0")</f>
        <v>47</v>
      </c>
      <c r="IZ4">
        <f t="shared" ca="1" si="7"/>
        <v>13</v>
      </c>
      <c r="JA4">
        <f t="shared" ca="1" si="7"/>
        <v>26</v>
      </c>
      <c r="JB4">
        <f t="shared" ca="1" si="7"/>
        <v>86</v>
      </c>
    </row>
    <row r="5" spans="1:262" x14ac:dyDescent="0.25">
      <c r="A5" s="172">
        <v>2</v>
      </c>
      <c r="B5" s="179" t="s">
        <v>378</v>
      </c>
      <c r="C5">
        <v>1</v>
      </c>
      <c r="D5">
        <v>2</v>
      </c>
      <c r="E5">
        <v>1</v>
      </c>
      <c r="F5">
        <v>4</v>
      </c>
      <c r="G5">
        <v>19</v>
      </c>
      <c r="H5">
        <v>11</v>
      </c>
      <c r="I5">
        <v>16</v>
      </c>
      <c r="J5">
        <v>46</v>
      </c>
      <c r="K5">
        <v>10</v>
      </c>
      <c r="L5">
        <v>5</v>
      </c>
      <c r="M5">
        <v>9</v>
      </c>
      <c r="N5">
        <v>24</v>
      </c>
      <c r="O5">
        <v>12</v>
      </c>
      <c r="P5">
        <v>3</v>
      </c>
      <c r="Q5">
        <v>12</v>
      </c>
      <c r="R5">
        <v>27</v>
      </c>
      <c r="S5">
        <v>1</v>
      </c>
      <c r="T5">
        <v>0</v>
      </c>
      <c r="U5">
        <v>1</v>
      </c>
      <c r="V5">
        <v>2</v>
      </c>
      <c r="W5">
        <v>5</v>
      </c>
      <c r="X5">
        <v>3</v>
      </c>
      <c r="Y5">
        <v>4</v>
      </c>
      <c r="Z5">
        <v>12</v>
      </c>
      <c r="AA5">
        <v>5</v>
      </c>
      <c r="AB5">
        <v>2</v>
      </c>
      <c r="AC5">
        <v>4</v>
      </c>
      <c r="AD5">
        <v>11</v>
      </c>
      <c r="AE5">
        <v>4</v>
      </c>
      <c r="AF5">
        <v>5</v>
      </c>
      <c r="AG5">
        <v>4</v>
      </c>
      <c r="AH5">
        <v>13</v>
      </c>
      <c r="AI5">
        <v>3</v>
      </c>
      <c r="AJ5">
        <v>2</v>
      </c>
      <c r="AK5">
        <v>3</v>
      </c>
      <c r="AL5">
        <v>8</v>
      </c>
      <c r="AM5">
        <v>3</v>
      </c>
      <c r="AN5">
        <v>3</v>
      </c>
      <c r="AO5">
        <v>3</v>
      </c>
      <c r="AP5">
        <v>9</v>
      </c>
      <c r="AQ5">
        <v>6</v>
      </c>
      <c r="AR5">
        <v>3</v>
      </c>
      <c r="AS5">
        <v>6</v>
      </c>
      <c r="AT5">
        <v>15</v>
      </c>
      <c r="AU5">
        <v>3</v>
      </c>
      <c r="AV5">
        <v>1</v>
      </c>
      <c r="AW5">
        <v>3</v>
      </c>
      <c r="AX5">
        <v>7</v>
      </c>
      <c r="AY5">
        <v>7</v>
      </c>
      <c r="AZ5">
        <v>1</v>
      </c>
      <c r="BA5">
        <v>6</v>
      </c>
      <c r="BB5">
        <v>14</v>
      </c>
      <c r="BC5">
        <v>3</v>
      </c>
      <c r="BD5">
        <v>0</v>
      </c>
      <c r="BE5">
        <v>3</v>
      </c>
      <c r="BF5">
        <v>6</v>
      </c>
      <c r="BG5">
        <v>4</v>
      </c>
      <c r="BH5">
        <v>1</v>
      </c>
      <c r="BI5">
        <v>3</v>
      </c>
      <c r="BJ5">
        <v>8</v>
      </c>
      <c r="BK5">
        <v>0</v>
      </c>
      <c r="BL5">
        <v>1</v>
      </c>
      <c r="BM5">
        <v>0</v>
      </c>
      <c r="BN5">
        <v>1</v>
      </c>
      <c r="BO5">
        <v>1</v>
      </c>
      <c r="BP5">
        <v>1</v>
      </c>
      <c r="BQ5">
        <v>1</v>
      </c>
      <c r="BR5">
        <v>3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</v>
      </c>
      <c r="CB5">
        <v>1</v>
      </c>
      <c r="CC5">
        <v>0</v>
      </c>
      <c r="CD5">
        <v>2</v>
      </c>
      <c r="CE5">
        <v>1</v>
      </c>
      <c r="CF5">
        <v>1</v>
      </c>
      <c r="CG5">
        <v>1</v>
      </c>
      <c r="CH5">
        <v>3</v>
      </c>
      <c r="CI5">
        <v>1</v>
      </c>
      <c r="CJ5">
        <v>0</v>
      </c>
      <c r="CK5">
        <v>1</v>
      </c>
      <c r="CL5">
        <v>2</v>
      </c>
      <c r="CM5">
        <v>0</v>
      </c>
      <c r="CN5">
        <v>0</v>
      </c>
      <c r="CO5">
        <v>0</v>
      </c>
      <c r="CP5">
        <v>0</v>
      </c>
      <c r="CQ5">
        <v>0</v>
      </c>
      <c r="CR5">
        <v>1</v>
      </c>
      <c r="CS5">
        <v>0</v>
      </c>
      <c r="CT5">
        <v>1</v>
      </c>
      <c r="CU5">
        <v>1</v>
      </c>
      <c r="CV5">
        <v>1</v>
      </c>
      <c r="CW5">
        <v>1</v>
      </c>
      <c r="CX5">
        <v>3</v>
      </c>
      <c r="CY5">
        <v>1</v>
      </c>
      <c r="CZ5">
        <v>1</v>
      </c>
      <c r="DA5">
        <v>1</v>
      </c>
      <c r="DB5">
        <v>3</v>
      </c>
      <c r="DC5">
        <v>1</v>
      </c>
      <c r="DD5">
        <v>1</v>
      </c>
      <c r="DE5">
        <v>1</v>
      </c>
      <c r="DF5">
        <v>3</v>
      </c>
      <c r="DG5">
        <v>0</v>
      </c>
      <c r="DH5">
        <v>0</v>
      </c>
      <c r="DI5">
        <v>0</v>
      </c>
      <c r="DJ5">
        <v>0</v>
      </c>
      <c r="DK5">
        <v>1</v>
      </c>
      <c r="DL5">
        <v>1</v>
      </c>
      <c r="DM5">
        <v>1</v>
      </c>
      <c r="DN5">
        <v>3</v>
      </c>
      <c r="DO5">
        <v>1</v>
      </c>
      <c r="DP5">
        <v>0</v>
      </c>
      <c r="DQ5">
        <v>1</v>
      </c>
      <c r="DR5">
        <v>2</v>
      </c>
      <c r="DS5">
        <v>1</v>
      </c>
      <c r="DT5">
        <v>1</v>
      </c>
      <c r="DU5">
        <v>1</v>
      </c>
      <c r="DV5">
        <v>3</v>
      </c>
      <c r="DW5">
        <v>1</v>
      </c>
      <c r="DX5">
        <v>1</v>
      </c>
      <c r="DY5">
        <v>1</v>
      </c>
      <c r="DZ5">
        <v>3</v>
      </c>
      <c r="EA5">
        <v>1</v>
      </c>
      <c r="EB5">
        <v>1</v>
      </c>
      <c r="EC5">
        <v>1</v>
      </c>
      <c r="ED5">
        <v>3</v>
      </c>
      <c r="EE5">
        <v>1</v>
      </c>
      <c r="EF5">
        <v>0</v>
      </c>
      <c r="EG5">
        <v>1</v>
      </c>
      <c r="EH5">
        <v>2</v>
      </c>
      <c r="EI5">
        <v>1</v>
      </c>
      <c r="EJ5">
        <v>0</v>
      </c>
      <c r="EK5">
        <v>0</v>
      </c>
      <c r="EL5">
        <v>1</v>
      </c>
      <c r="EM5">
        <v>1</v>
      </c>
      <c r="EN5">
        <v>1</v>
      </c>
      <c r="EO5">
        <v>1</v>
      </c>
      <c r="EP5">
        <v>3</v>
      </c>
      <c r="EQ5">
        <v>1</v>
      </c>
      <c r="ER5">
        <v>0</v>
      </c>
      <c r="ES5">
        <v>1</v>
      </c>
      <c r="ET5">
        <v>2</v>
      </c>
      <c r="EU5">
        <v>1</v>
      </c>
      <c r="EV5">
        <v>0</v>
      </c>
      <c r="EW5">
        <v>1</v>
      </c>
      <c r="EX5">
        <v>2</v>
      </c>
      <c r="EY5">
        <v>1</v>
      </c>
      <c r="EZ5">
        <v>0</v>
      </c>
      <c r="FA5">
        <v>1</v>
      </c>
      <c r="FB5">
        <v>2</v>
      </c>
      <c r="FC5">
        <v>1</v>
      </c>
      <c r="FD5">
        <v>0</v>
      </c>
      <c r="FE5">
        <v>1</v>
      </c>
      <c r="FF5">
        <v>2</v>
      </c>
      <c r="FG5">
        <v>1</v>
      </c>
      <c r="FH5">
        <v>0</v>
      </c>
      <c r="FI5">
        <v>0</v>
      </c>
      <c r="FJ5">
        <v>1</v>
      </c>
      <c r="FK5">
        <v>1</v>
      </c>
      <c r="FL5">
        <v>1</v>
      </c>
      <c r="FM5">
        <v>1</v>
      </c>
      <c r="FN5">
        <v>3</v>
      </c>
      <c r="FO5">
        <v>1</v>
      </c>
      <c r="FP5">
        <v>1</v>
      </c>
      <c r="FQ5">
        <v>0</v>
      </c>
      <c r="FR5">
        <v>2</v>
      </c>
      <c r="FS5">
        <v>1</v>
      </c>
      <c r="FT5">
        <v>1</v>
      </c>
      <c r="FU5">
        <v>1</v>
      </c>
      <c r="FV5">
        <v>3</v>
      </c>
      <c r="FW5">
        <v>1</v>
      </c>
      <c r="FX5">
        <v>1</v>
      </c>
      <c r="FY5">
        <v>1</v>
      </c>
      <c r="FZ5">
        <v>3</v>
      </c>
      <c r="GA5">
        <v>1</v>
      </c>
      <c r="GB5">
        <v>0</v>
      </c>
      <c r="GC5">
        <v>1</v>
      </c>
      <c r="GD5">
        <v>2</v>
      </c>
      <c r="GE5">
        <v>1</v>
      </c>
      <c r="GF5">
        <v>0</v>
      </c>
      <c r="GG5">
        <v>1</v>
      </c>
      <c r="GH5">
        <v>2</v>
      </c>
      <c r="GI5">
        <v>1</v>
      </c>
      <c r="GJ5">
        <v>1</v>
      </c>
      <c r="GK5">
        <v>1</v>
      </c>
      <c r="GL5">
        <v>3</v>
      </c>
      <c r="GM5">
        <v>1</v>
      </c>
      <c r="GN5">
        <v>0</v>
      </c>
      <c r="GO5">
        <v>1</v>
      </c>
      <c r="GP5">
        <v>2</v>
      </c>
      <c r="GQ5">
        <v>1</v>
      </c>
      <c r="GR5">
        <v>0</v>
      </c>
      <c r="GS5">
        <v>1</v>
      </c>
      <c r="GT5">
        <v>2</v>
      </c>
      <c r="GU5">
        <v>1</v>
      </c>
      <c r="GV5">
        <v>0</v>
      </c>
      <c r="GW5">
        <v>1</v>
      </c>
      <c r="GX5">
        <v>2</v>
      </c>
      <c r="GY5">
        <v>1</v>
      </c>
      <c r="GZ5">
        <v>0</v>
      </c>
      <c r="HA5">
        <v>1</v>
      </c>
      <c r="HB5">
        <v>2</v>
      </c>
      <c r="HC5">
        <v>1</v>
      </c>
      <c r="HD5">
        <v>0</v>
      </c>
      <c r="HE5">
        <v>1</v>
      </c>
      <c r="HF5">
        <v>2</v>
      </c>
      <c r="HG5">
        <v>1</v>
      </c>
      <c r="HH5">
        <v>0</v>
      </c>
      <c r="HI5">
        <v>1</v>
      </c>
      <c r="HJ5">
        <v>2</v>
      </c>
      <c r="HK5">
        <v>1</v>
      </c>
      <c r="HL5">
        <v>0</v>
      </c>
      <c r="HM5">
        <v>1</v>
      </c>
      <c r="HN5">
        <v>2</v>
      </c>
      <c r="HO5">
        <v>1</v>
      </c>
      <c r="HP5">
        <v>1</v>
      </c>
      <c r="HQ5">
        <v>1</v>
      </c>
      <c r="HR5">
        <v>3</v>
      </c>
      <c r="HS5">
        <v>1</v>
      </c>
      <c r="HT5">
        <v>1</v>
      </c>
      <c r="HU5">
        <v>1</v>
      </c>
      <c r="HV5">
        <v>3</v>
      </c>
      <c r="HW5">
        <v>1</v>
      </c>
      <c r="HX5">
        <v>1</v>
      </c>
      <c r="HY5">
        <v>1</v>
      </c>
      <c r="HZ5">
        <v>3</v>
      </c>
      <c r="IA5">
        <v>1</v>
      </c>
      <c r="IB5">
        <v>0</v>
      </c>
      <c r="IC5">
        <v>1</v>
      </c>
      <c r="ID5">
        <v>2</v>
      </c>
      <c r="IE5">
        <v>1</v>
      </c>
      <c r="IF5">
        <v>0</v>
      </c>
      <c r="IG5">
        <v>1</v>
      </c>
      <c r="IH5">
        <v>2</v>
      </c>
      <c r="II5">
        <v>1</v>
      </c>
      <c r="IJ5">
        <v>0</v>
      </c>
      <c r="IK5">
        <v>1</v>
      </c>
      <c r="IL5">
        <v>2</v>
      </c>
      <c r="IM5">
        <v>1</v>
      </c>
      <c r="IN5">
        <v>0</v>
      </c>
      <c r="IO5">
        <v>1</v>
      </c>
      <c r="IP5">
        <v>2</v>
      </c>
      <c r="IQ5">
        <v>1</v>
      </c>
      <c r="IR5">
        <v>0</v>
      </c>
      <c r="IS5">
        <v>1</v>
      </c>
      <c r="IT5">
        <v>2</v>
      </c>
      <c r="IU5">
        <v>1</v>
      </c>
      <c r="IV5">
        <v>0</v>
      </c>
      <c r="IW5">
        <v>1</v>
      </c>
      <c r="IX5">
        <v>2</v>
      </c>
      <c r="IY5">
        <f t="shared" ca="1" si="7"/>
        <v>43</v>
      </c>
      <c r="IZ5">
        <f t="shared" ca="1" si="7"/>
        <v>21</v>
      </c>
      <c r="JA5">
        <f t="shared" ca="1" si="7"/>
        <v>39</v>
      </c>
      <c r="JB5">
        <f t="shared" ca="1" si="7"/>
        <v>103</v>
      </c>
    </row>
    <row r="6" spans="1:262" x14ac:dyDescent="0.25">
      <c r="A6" s="165">
        <v>3</v>
      </c>
      <c r="B6" s="168" t="s">
        <v>402</v>
      </c>
      <c r="C6">
        <v>2</v>
      </c>
      <c r="D6">
        <v>0</v>
      </c>
      <c r="E6">
        <v>0</v>
      </c>
      <c r="F6">
        <v>2</v>
      </c>
      <c r="G6">
        <v>3</v>
      </c>
      <c r="H6">
        <v>0</v>
      </c>
      <c r="I6">
        <v>0</v>
      </c>
      <c r="J6">
        <v>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1</v>
      </c>
      <c r="W6">
        <v>2</v>
      </c>
      <c r="X6">
        <v>0</v>
      </c>
      <c r="Y6">
        <v>0</v>
      </c>
      <c r="Z6">
        <v>2</v>
      </c>
      <c r="AA6">
        <v>1</v>
      </c>
      <c r="AB6">
        <v>0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1</v>
      </c>
      <c r="AJ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</v>
      </c>
      <c r="BD6">
        <v>0</v>
      </c>
      <c r="BE6">
        <v>0</v>
      </c>
      <c r="BF6">
        <v>1</v>
      </c>
      <c r="BG6">
        <v>1</v>
      </c>
      <c r="BH6">
        <v>0</v>
      </c>
      <c r="BI6">
        <v>0</v>
      </c>
      <c r="BJ6">
        <v>1</v>
      </c>
      <c r="BK6">
        <v>1</v>
      </c>
      <c r="BL6">
        <v>0</v>
      </c>
      <c r="BM6">
        <v>0</v>
      </c>
      <c r="BN6">
        <v>1</v>
      </c>
      <c r="BO6">
        <v>1</v>
      </c>
      <c r="BP6">
        <v>0</v>
      </c>
      <c r="BQ6">
        <v>0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1</v>
      </c>
      <c r="CB6">
        <v>0</v>
      </c>
      <c r="CC6">
        <v>0</v>
      </c>
      <c r="CD6">
        <v>1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1</v>
      </c>
      <c r="DP6">
        <v>0</v>
      </c>
      <c r="DQ6">
        <v>0</v>
      </c>
      <c r="DR6">
        <v>1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1</v>
      </c>
      <c r="FD6">
        <v>0</v>
      </c>
      <c r="FE6">
        <v>0</v>
      </c>
      <c r="FF6">
        <v>1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1</v>
      </c>
      <c r="IV6">
        <v>0</v>
      </c>
      <c r="IW6">
        <v>0</v>
      </c>
      <c r="IX6">
        <v>1</v>
      </c>
      <c r="IY6">
        <f t="shared" ca="1" si="7"/>
        <v>6</v>
      </c>
      <c r="IZ6">
        <f t="shared" ca="1" si="7"/>
        <v>0</v>
      </c>
      <c r="JA6">
        <f t="shared" ca="1" si="7"/>
        <v>0</v>
      </c>
      <c r="JB6">
        <f t="shared" ca="1" si="7"/>
        <v>6</v>
      </c>
    </row>
    <row r="7" spans="1:262" x14ac:dyDescent="0.25">
      <c r="A7" s="173">
        <v>4</v>
      </c>
      <c r="B7" s="174" t="s">
        <v>424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>
        <v>0</v>
      </c>
      <c r="J7">
        <v>2</v>
      </c>
      <c r="K7">
        <v>2</v>
      </c>
      <c r="L7">
        <v>0</v>
      </c>
      <c r="M7">
        <v>0</v>
      </c>
      <c r="N7">
        <v>2</v>
      </c>
      <c r="O7">
        <v>1</v>
      </c>
      <c r="P7">
        <v>0</v>
      </c>
      <c r="Q7">
        <v>1</v>
      </c>
      <c r="R7">
        <v>2</v>
      </c>
      <c r="S7">
        <v>1</v>
      </c>
      <c r="T7">
        <v>0</v>
      </c>
      <c r="U7">
        <v>0</v>
      </c>
      <c r="V7">
        <v>1</v>
      </c>
      <c r="W7">
        <v>2</v>
      </c>
      <c r="X7">
        <v>0</v>
      </c>
      <c r="Y7">
        <v>0</v>
      </c>
      <c r="Z7">
        <v>2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1</v>
      </c>
      <c r="AZ7">
        <v>0</v>
      </c>
      <c r="BA7">
        <v>0</v>
      </c>
      <c r="BB7">
        <v>1</v>
      </c>
      <c r="BC7">
        <v>2</v>
      </c>
      <c r="BD7">
        <v>1</v>
      </c>
      <c r="BE7">
        <v>1</v>
      </c>
      <c r="BF7">
        <v>4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1</v>
      </c>
      <c r="EN7">
        <v>0</v>
      </c>
      <c r="EO7">
        <v>0</v>
      </c>
      <c r="EP7">
        <v>1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1</v>
      </c>
      <c r="FE7">
        <v>0</v>
      </c>
      <c r="FF7">
        <v>1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1</v>
      </c>
      <c r="FP7">
        <v>0</v>
      </c>
      <c r="FQ7">
        <v>0</v>
      </c>
      <c r="FR7">
        <v>1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1</v>
      </c>
      <c r="GR7">
        <v>0</v>
      </c>
      <c r="GS7">
        <v>0</v>
      </c>
      <c r="GT7">
        <v>1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1</v>
      </c>
      <c r="IN7">
        <v>0</v>
      </c>
      <c r="IO7">
        <v>1</v>
      </c>
      <c r="IP7">
        <v>2</v>
      </c>
      <c r="IQ7">
        <v>0</v>
      </c>
      <c r="IR7">
        <v>0</v>
      </c>
      <c r="IS7">
        <v>0</v>
      </c>
      <c r="IT7">
        <v>0</v>
      </c>
      <c r="IU7">
        <v>1</v>
      </c>
      <c r="IV7">
        <v>0</v>
      </c>
      <c r="IW7">
        <v>0</v>
      </c>
      <c r="IX7">
        <v>1</v>
      </c>
      <c r="IY7">
        <f t="shared" ca="1" si="7"/>
        <v>5</v>
      </c>
      <c r="IZ7">
        <f t="shared" ca="1" si="7"/>
        <v>1</v>
      </c>
      <c r="JA7">
        <f t="shared" ca="1" si="7"/>
        <v>1</v>
      </c>
      <c r="JB7">
        <f t="shared" ca="1" si="7"/>
        <v>7</v>
      </c>
    </row>
    <row r="8" spans="1:262" x14ac:dyDescent="0.25">
      <c r="A8" s="169">
        <v>5</v>
      </c>
      <c r="B8" s="53" t="s">
        <v>403</v>
      </c>
      <c r="C8">
        <v>1</v>
      </c>
      <c r="D8">
        <v>1</v>
      </c>
      <c r="E8">
        <v>0</v>
      </c>
      <c r="F8">
        <v>2</v>
      </c>
      <c r="G8">
        <v>12</v>
      </c>
      <c r="H8">
        <v>0</v>
      </c>
      <c r="I8">
        <v>0</v>
      </c>
      <c r="J8">
        <v>12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0</v>
      </c>
      <c r="U8">
        <v>0</v>
      </c>
      <c r="V8">
        <v>1</v>
      </c>
      <c r="W8">
        <v>2</v>
      </c>
      <c r="X8">
        <v>1</v>
      </c>
      <c r="Y8">
        <v>0</v>
      </c>
      <c r="Z8">
        <v>3</v>
      </c>
      <c r="AA8">
        <v>3</v>
      </c>
      <c r="AB8">
        <v>0</v>
      </c>
      <c r="AC8">
        <v>0</v>
      </c>
      <c r="AD8">
        <v>3</v>
      </c>
      <c r="AE8">
        <v>1</v>
      </c>
      <c r="AF8">
        <v>0</v>
      </c>
      <c r="AG8">
        <v>0</v>
      </c>
      <c r="AH8">
        <v>1</v>
      </c>
      <c r="AI8">
        <v>1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1</v>
      </c>
      <c r="AQ8">
        <v>1</v>
      </c>
      <c r="AR8">
        <v>0</v>
      </c>
      <c r="AS8">
        <v>0</v>
      </c>
      <c r="AT8">
        <v>1</v>
      </c>
      <c r="AU8">
        <v>1</v>
      </c>
      <c r="AV8">
        <v>0</v>
      </c>
      <c r="AW8">
        <v>0</v>
      </c>
      <c r="AX8">
        <v>1</v>
      </c>
      <c r="AY8">
        <v>1</v>
      </c>
      <c r="AZ8">
        <v>0</v>
      </c>
      <c r="BA8">
        <v>0</v>
      </c>
      <c r="BB8">
        <v>1</v>
      </c>
      <c r="BC8">
        <v>1</v>
      </c>
      <c r="BD8">
        <v>0</v>
      </c>
      <c r="BE8">
        <v>0</v>
      </c>
      <c r="BF8">
        <v>1</v>
      </c>
      <c r="BG8">
        <v>2</v>
      </c>
      <c r="BH8">
        <v>0</v>
      </c>
      <c r="BI8">
        <v>0</v>
      </c>
      <c r="BJ8">
        <v>2</v>
      </c>
      <c r="BK8">
        <v>0</v>
      </c>
      <c r="BL8">
        <v>1</v>
      </c>
      <c r="BM8">
        <v>0</v>
      </c>
      <c r="BN8">
        <v>1</v>
      </c>
      <c r="BO8">
        <v>1</v>
      </c>
      <c r="BP8">
        <v>0</v>
      </c>
      <c r="BQ8">
        <v>0</v>
      </c>
      <c r="BR8">
        <v>1</v>
      </c>
      <c r="BS8">
        <v>1</v>
      </c>
      <c r="BT8">
        <v>0</v>
      </c>
      <c r="BU8">
        <v>0</v>
      </c>
      <c r="BV8">
        <v>1</v>
      </c>
      <c r="BW8">
        <v>1</v>
      </c>
      <c r="BX8">
        <v>0</v>
      </c>
      <c r="BY8">
        <v>0</v>
      </c>
      <c r="BZ8">
        <v>1</v>
      </c>
      <c r="CA8">
        <v>1</v>
      </c>
      <c r="CB8">
        <v>0</v>
      </c>
      <c r="CC8">
        <v>0</v>
      </c>
      <c r="CD8">
        <v>1</v>
      </c>
      <c r="CE8">
        <v>1</v>
      </c>
      <c r="CF8">
        <v>0</v>
      </c>
      <c r="CG8">
        <v>0</v>
      </c>
      <c r="CH8">
        <v>1</v>
      </c>
      <c r="CI8">
        <v>0</v>
      </c>
      <c r="CJ8">
        <v>0</v>
      </c>
      <c r="CK8">
        <v>0</v>
      </c>
      <c r="CL8">
        <v>0</v>
      </c>
      <c r="CM8">
        <v>1</v>
      </c>
      <c r="CN8">
        <v>0</v>
      </c>
      <c r="CO8">
        <v>0</v>
      </c>
      <c r="CP8">
        <v>1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1</v>
      </c>
      <c r="DH8">
        <v>0</v>
      </c>
      <c r="DI8">
        <v>0</v>
      </c>
      <c r="DJ8">
        <v>1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1</v>
      </c>
      <c r="DT8">
        <v>0</v>
      </c>
      <c r="DU8">
        <v>0</v>
      </c>
      <c r="DV8">
        <v>1</v>
      </c>
      <c r="DW8">
        <v>1</v>
      </c>
      <c r="DX8">
        <v>0</v>
      </c>
      <c r="DY8">
        <v>0</v>
      </c>
      <c r="DZ8">
        <v>1</v>
      </c>
      <c r="EA8">
        <v>0</v>
      </c>
      <c r="EB8">
        <v>0</v>
      </c>
      <c r="EC8">
        <v>0</v>
      </c>
      <c r="ED8">
        <v>0</v>
      </c>
      <c r="EE8">
        <v>1</v>
      </c>
      <c r="EF8">
        <v>0</v>
      </c>
      <c r="EG8">
        <v>0</v>
      </c>
      <c r="EH8">
        <v>1</v>
      </c>
      <c r="EI8">
        <v>1</v>
      </c>
      <c r="EJ8">
        <v>0</v>
      </c>
      <c r="EK8">
        <v>0</v>
      </c>
      <c r="EL8">
        <v>1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1</v>
      </c>
      <c r="FD8">
        <v>0</v>
      </c>
      <c r="FE8">
        <v>0</v>
      </c>
      <c r="FF8">
        <v>1</v>
      </c>
      <c r="FG8">
        <v>1</v>
      </c>
      <c r="FH8">
        <v>0</v>
      </c>
      <c r="FI8">
        <v>0</v>
      </c>
      <c r="FJ8">
        <v>1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1</v>
      </c>
      <c r="IV8">
        <v>0</v>
      </c>
      <c r="IW8">
        <v>0</v>
      </c>
      <c r="IX8">
        <v>1</v>
      </c>
      <c r="IY8">
        <f t="shared" ca="1" si="7"/>
        <v>14</v>
      </c>
      <c r="IZ8">
        <f t="shared" ca="1" si="7"/>
        <v>1</v>
      </c>
      <c r="JA8">
        <f t="shared" ca="1" si="7"/>
        <v>0</v>
      </c>
      <c r="JB8">
        <f t="shared" ca="1" si="7"/>
        <v>15</v>
      </c>
    </row>
    <row r="9" spans="1:262" x14ac:dyDescent="0.25">
      <c r="A9" s="169">
        <v>6</v>
      </c>
      <c r="B9" s="53" t="s">
        <v>407</v>
      </c>
      <c r="C9">
        <v>0</v>
      </c>
      <c r="D9">
        <v>1</v>
      </c>
      <c r="E9">
        <v>0</v>
      </c>
      <c r="F9">
        <v>1</v>
      </c>
      <c r="G9">
        <v>0</v>
      </c>
      <c r="H9">
        <v>4</v>
      </c>
      <c r="I9">
        <v>0</v>
      </c>
      <c r="J9">
        <v>4</v>
      </c>
      <c r="K9">
        <v>0</v>
      </c>
      <c r="L9">
        <v>8</v>
      </c>
      <c r="M9">
        <v>0</v>
      </c>
      <c r="N9">
        <v>8</v>
      </c>
      <c r="O9">
        <v>1</v>
      </c>
      <c r="P9">
        <v>11</v>
      </c>
      <c r="Q9">
        <v>0</v>
      </c>
      <c r="R9">
        <v>12</v>
      </c>
      <c r="S9">
        <v>0</v>
      </c>
      <c r="T9">
        <v>0</v>
      </c>
      <c r="U9">
        <v>0</v>
      </c>
      <c r="V9">
        <v>0</v>
      </c>
      <c r="W9">
        <v>1</v>
      </c>
      <c r="X9">
        <v>2</v>
      </c>
      <c r="Y9">
        <v>0</v>
      </c>
      <c r="Z9">
        <v>3</v>
      </c>
      <c r="AA9">
        <v>0</v>
      </c>
      <c r="AB9">
        <v>2</v>
      </c>
      <c r="AC9">
        <v>0</v>
      </c>
      <c r="AD9">
        <v>2</v>
      </c>
      <c r="AE9">
        <v>0</v>
      </c>
      <c r="AF9">
        <v>3</v>
      </c>
      <c r="AG9">
        <v>0</v>
      </c>
      <c r="AH9">
        <v>3</v>
      </c>
      <c r="AI9">
        <v>0</v>
      </c>
      <c r="AJ9">
        <v>1</v>
      </c>
      <c r="AK9">
        <v>0</v>
      </c>
      <c r="AL9">
        <v>1</v>
      </c>
      <c r="AM9">
        <v>0</v>
      </c>
      <c r="AN9">
        <v>2</v>
      </c>
      <c r="AO9">
        <v>0</v>
      </c>
      <c r="AP9">
        <v>2</v>
      </c>
      <c r="AQ9">
        <v>0</v>
      </c>
      <c r="AR9">
        <v>4</v>
      </c>
      <c r="AS9">
        <v>0</v>
      </c>
      <c r="AT9">
        <v>4</v>
      </c>
      <c r="AU9">
        <v>0</v>
      </c>
      <c r="AV9">
        <v>1</v>
      </c>
      <c r="AW9">
        <v>0</v>
      </c>
      <c r="AX9">
        <v>1</v>
      </c>
      <c r="AY9">
        <v>0</v>
      </c>
      <c r="AZ9">
        <v>3</v>
      </c>
      <c r="BA9">
        <v>0</v>
      </c>
      <c r="BB9">
        <v>3</v>
      </c>
      <c r="BC9">
        <v>0</v>
      </c>
      <c r="BD9">
        <v>3</v>
      </c>
      <c r="BE9">
        <v>0</v>
      </c>
      <c r="BF9">
        <v>3</v>
      </c>
      <c r="BG9">
        <v>0</v>
      </c>
      <c r="BH9">
        <v>3</v>
      </c>
      <c r="BI9">
        <v>0</v>
      </c>
      <c r="BJ9">
        <v>3</v>
      </c>
      <c r="BK9">
        <v>0</v>
      </c>
      <c r="BL9">
        <v>0</v>
      </c>
      <c r="BM9">
        <v>0</v>
      </c>
      <c r="BN9">
        <v>0</v>
      </c>
      <c r="BO9">
        <v>0</v>
      </c>
      <c r="BP9">
        <v>1</v>
      </c>
      <c r="BQ9">
        <v>0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1</v>
      </c>
      <c r="CS9">
        <v>0</v>
      </c>
      <c r="CT9">
        <v>1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1</v>
      </c>
      <c r="DE9">
        <v>0</v>
      </c>
      <c r="DF9">
        <v>1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1</v>
      </c>
      <c r="FA9">
        <v>0</v>
      </c>
      <c r="FB9">
        <v>1</v>
      </c>
      <c r="FC9">
        <v>0</v>
      </c>
      <c r="FD9">
        <v>1</v>
      </c>
      <c r="FE9">
        <v>0</v>
      </c>
      <c r="FF9">
        <v>1</v>
      </c>
      <c r="FG9">
        <v>0</v>
      </c>
      <c r="FH9">
        <v>0</v>
      </c>
      <c r="FI9">
        <v>0</v>
      </c>
      <c r="FJ9">
        <v>0</v>
      </c>
      <c r="FK9">
        <v>0</v>
      </c>
      <c r="FL9">
        <v>1</v>
      </c>
      <c r="FM9">
        <v>0</v>
      </c>
      <c r="FN9">
        <v>1</v>
      </c>
      <c r="FO9">
        <v>0</v>
      </c>
      <c r="FP9">
        <v>0</v>
      </c>
      <c r="FQ9">
        <v>0</v>
      </c>
      <c r="FR9">
        <v>0</v>
      </c>
      <c r="FS9">
        <v>0</v>
      </c>
      <c r="FT9">
        <v>1</v>
      </c>
      <c r="FU9">
        <v>0</v>
      </c>
      <c r="FV9">
        <v>1</v>
      </c>
      <c r="FW9">
        <v>0</v>
      </c>
      <c r="FX9">
        <v>1</v>
      </c>
      <c r="FY9">
        <v>0</v>
      </c>
      <c r="FZ9">
        <v>1</v>
      </c>
      <c r="GA9">
        <v>0</v>
      </c>
      <c r="GB9">
        <v>1</v>
      </c>
      <c r="GC9">
        <v>0</v>
      </c>
      <c r="GD9">
        <v>1</v>
      </c>
      <c r="GE9">
        <v>0</v>
      </c>
      <c r="GF9">
        <v>1</v>
      </c>
      <c r="GG9">
        <v>0</v>
      </c>
      <c r="GH9">
        <v>1</v>
      </c>
      <c r="GI9">
        <v>0</v>
      </c>
      <c r="GJ9">
        <v>0</v>
      </c>
      <c r="GK9">
        <v>0</v>
      </c>
      <c r="GL9">
        <v>0</v>
      </c>
      <c r="GM9">
        <v>0</v>
      </c>
      <c r="GN9">
        <v>1</v>
      </c>
      <c r="GO9">
        <v>0</v>
      </c>
      <c r="GP9">
        <v>1</v>
      </c>
      <c r="GQ9">
        <v>0</v>
      </c>
      <c r="GR9">
        <v>1</v>
      </c>
      <c r="GS9">
        <v>0</v>
      </c>
      <c r="GT9">
        <v>1</v>
      </c>
      <c r="GU9">
        <v>0</v>
      </c>
      <c r="GV9">
        <v>1</v>
      </c>
      <c r="GW9">
        <v>0</v>
      </c>
      <c r="GX9">
        <v>1</v>
      </c>
      <c r="GY9">
        <v>0</v>
      </c>
      <c r="GZ9">
        <v>1</v>
      </c>
      <c r="HA9">
        <v>0</v>
      </c>
      <c r="HB9">
        <v>1</v>
      </c>
      <c r="HC9">
        <v>1</v>
      </c>
      <c r="HD9">
        <v>0</v>
      </c>
      <c r="HE9">
        <v>0</v>
      </c>
      <c r="HF9">
        <v>1</v>
      </c>
      <c r="HG9">
        <v>0</v>
      </c>
      <c r="HH9">
        <v>1</v>
      </c>
      <c r="HI9">
        <v>0</v>
      </c>
      <c r="HJ9">
        <v>1</v>
      </c>
      <c r="HK9">
        <v>0</v>
      </c>
      <c r="HL9">
        <v>1</v>
      </c>
      <c r="HM9">
        <v>0</v>
      </c>
      <c r="HN9">
        <v>1</v>
      </c>
      <c r="HO9">
        <v>0</v>
      </c>
      <c r="HP9">
        <v>1</v>
      </c>
      <c r="HQ9">
        <v>0</v>
      </c>
      <c r="HR9">
        <v>1</v>
      </c>
      <c r="HS9">
        <v>0</v>
      </c>
      <c r="HT9">
        <v>1</v>
      </c>
      <c r="HU9">
        <v>0</v>
      </c>
      <c r="HV9">
        <v>1</v>
      </c>
      <c r="HW9">
        <v>0</v>
      </c>
      <c r="HX9">
        <v>1</v>
      </c>
      <c r="HY9">
        <v>0</v>
      </c>
      <c r="HZ9">
        <v>1</v>
      </c>
      <c r="IA9">
        <v>0</v>
      </c>
      <c r="IB9">
        <v>1</v>
      </c>
      <c r="IC9">
        <v>0</v>
      </c>
      <c r="ID9">
        <v>1</v>
      </c>
      <c r="IE9">
        <v>0</v>
      </c>
      <c r="IF9">
        <v>1</v>
      </c>
      <c r="IG9">
        <v>0</v>
      </c>
      <c r="IH9">
        <v>1</v>
      </c>
      <c r="II9">
        <v>0</v>
      </c>
      <c r="IJ9">
        <v>1</v>
      </c>
      <c r="IK9">
        <v>0</v>
      </c>
      <c r="IL9">
        <v>1</v>
      </c>
      <c r="IM9">
        <v>0</v>
      </c>
      <c r="IN9">
        <v>1</v>
      </c>
      <c r="IO9">
        <v>0</v>
      </c>
      <c r="IP9">
        <v>1</v>
      </c>
      <c r="IQ9">
        <v>0</v>
      </c>
      <c r="IR9">
        <v>1</v>
      </c>
      <c r="IS9">
        <v>0</v>
      </c>
      <c r="IT9">
        <v>1</v>
      </c>
      <c r="IU9">
        <v>0</v>
      </c>
      <c r="IV9">
        <v>0</v>
      </c>
      <c r="IW9">
        <v>0</v>
      </c>
      <c r="IX9">
        <v>0</v>
      </c>
      <c r="IY9">
        <f t="shared" ca="1" si="7"/>
        <v>1</v>
      </c>
      <c r="IZ9">
        <f t="shared" ca="1" si="7"/>
        <v>24</v>
      </c>
      <c r="JA9">
        <f t="shared" ca="1" si="7"/>
        <v>0</v>
      </c>
      <c r="JB9">
        <f t="shared" ca="1" si="7"/>
        <v>25</v>
      </c>
    </row>
    <row r="10" spans="1:262" x14ac:dyDescent="0.25">
      <c r="A10" s="169">
        <v>7</v>
      </c>
      <c r="B10" s="53" t="s">
        <v>408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0</v>
      </c>
      <c r="N10">
        <v>1</v>
      </c>
      <c r="O10">
        <v>2</v>
      </c>
      <c r="P10">
        <v>1</v>
      </c>
      <c r="Q10">
        <v>0</v>
      </c>
      <c r="R10">
        <v>3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0</v>
      </c>
      <c r="Z10">
        <v>2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0</v>
      </c>
      <c r="AO10">
        <v>0</v>
      </c>
      <c r="AP10">
        <v>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1</v>
      </c>
      <c r="BD10">
        <v>0</v>
      </c>
      <c r="BE10">
        <v>0</v>
      </c>
      <c r="BF10">
        <v>1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1</v>
      </c>
      <c r="FL10">
        <v>0</v>
      </c>
      <c r="FM10">
        <v>0</v>
      </c>
      <c r="FN10">
        <v>1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1</v>
      </c>
      <c r="HE10">
        <v>0</v>
      </c>
      <c r="HF10">
        <v>1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1</v>
      </c>
      <c r="HX10">
        <v>0</v>
      </c>
      <c r="HY10">
        <v>0</v>
      </c>
      <c r="HZ10">
        <v>1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1</v>
      </c>
      <c r="IN10">
        <v>0</v>
      </c>
      <c r="IO10">
        <v>0</v>
      </c>
      <c r="IP10">
        <v>1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f t="shared" ca="1" si="7"/>
        <v>3</v>
      </c>
      <c r="IZ10">
        <f t="shared" ca="1" si="7"/>
        <v>1</v>
      </c>
      <c r="JA10">
        <f t="shared" ca="1" si="7"/>
        <v>0</v>
      </c>
      <c r="JB10">
        <f t="shared" ca="1" si="7"/>
        <v>4</v>
      </c>
    </row>
    <row r="11" spans="1:262" x14ac:dyDescent="0.25">
      <c r="A11" s="169">
        <v>8</v>
      </c>
      <c r="B11" s="53" t="s">
        <v>406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2</v>
      </c>
      <c r="O11">
        <v>1</v>
      </c>
      <c r="P11">
        <v>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1</v>
      </c>
      <c r="X11">
        <v>1</v>
      </c>
      <c r="Y11">
        <v>0</v>
      </c>
      <c r="Z11">
        <v>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1</v>
      </c>
      <c r="AN11">
        <v>0</v>
      </c>
      <c r="AO11">
        <v>0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1</v>
      </c>
      <c r="FM11">
        <v>0</v>
      </c>
      <c r="FN11">
        <v>1</v>
      </c>
      <c r="FO11">
        <v>1</v>
      </c>
      <c r="FP11">
        <v>0</v>
      </c>
      <c r="FQ11">
        <v>0</v>
      </c>
      <c r="FR11">
        <v>1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1</v>
      </c>
      <c r="HX11">
        <v>0</v>
      </c>
      <c r="HY11">
        <v>0</v>
      </c>
      <c r="HZ11">
        <v>1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f t="shared" ca="1" si="7"/>
        <v>2</v>
      </c>
      <c r="IZ11">
        <f t="shared" ca="1" si="7"/>
        <v>1</v>
      </c>
      <c r="JA11">
        <f t="shared" ca="1" si="7"/>
        <v>0</v>
      </c>
      <c r="JB11">
        <f t="shared" ca="1" si="7"/>
        <v>3</v>
      </c>
    </row>
    <row r="12" spans="1:262" x14ac:dyDescent="0.25">
      <c r="A12" s="169">
        <v>9</v>
      </c>
      <c r="B12" s="53" t="s">
        <v>409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1</v>
      </c>
      <c r="Q12">
        <v>0</v>
      </c>
      <c r="R12">
        <v>2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0</v>
      </c>
      <c r="AC12">
        <v>0</v>
      </c>
      <c r="AD12">
        <v>1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1</v>
      </c>
      <c r="AO12">
        <v>0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1</v>
      </c>
      <c r="HH12">
        <v>0</v>
      </c>
      <c r="HI12">
        <v>0</v>
      </c>
      <c r="HJ12">
        <v>1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1</v>
      </c>
      <c r="HY12">
        <v>0</v>
      </c>
      <c r="HZ12">
        <v>1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f t="shared" ca="1" si="7"/>
        <v>1</v>
      </c>
      <c r="IZ12">
        <f t="shared" ca="1" si="7"/>
        <v>1</v>
      </c>
      <c r="JA12">
        <f t="shared" ca="1" si="7"/>
        <v>0</v>
      </c>
      <c r="JB12">
        <f t="shared" ca="1" si="7"/>
        <v>2</v>
      </c>
    </row>
    <row r="13" spans="1:262" x14ac:dyDescent="0.25">
      <c r="A13" s="169">
        <v>10</v>
      </c>
      <c r="B13" s="53" t="s">
        <v>410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1</v>
      </c>
      <c r="S13">
        <v>1</v>
      </c>
      <c r="T13">
        <v>0</v>
      </c>
      <c r="U13">
        <v>0</v>
      </c>
      <c r="V13">
        <v>1</v>
      </c>
      <c r="W13">
        <v>1</v>
      </c>
      <c r="X13">
        <v>0</v>
      </c>
      <c r="Y13">
        <v>0</v>
      </c>
      <c r="Z13">
        <v>1</v>
      </c>
      <c r="AA13">
        <v>0</v>
      </c>
      <c r="AB13">
        <v>1</v>
      </c>
      <c r="AC13">
        <v>0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1</v>
      </c>
      <c r="HI13">
        <v>0</v>
      </c>
      <c r="HJ13">
        <v>1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1</v>
      </c>
      <c r="IV13">
        <v>0</v>
      </c>
      <c r="IW13">
        <v>0</v>
      </c>
      <c r="IX13">
        <v>1</v>
      </c>
      <c r="IY13">
        <f t="shared" ca="1" si="7"/>
        <v>1</v>
      </c>
      <c r="IZ13">
        <f t="shared" ca="1" si="7"/>
        <v>1</v>
      </c>
      <c r="JA13">
        <f t="shared" ca="1" si="7"/>
        <v>0</v>
      </c>
      <c r="JB13">
        <f t="shared" ca="1" si="7"/>
        <v>2</v>
      </c>
    </row>
    <row r="14" spans="1:262" x14ac:dyDescent="0.25">
      <c r="A14" s="169">
        <v>11</v>
      </c>
      <c r="B14" s="53" t="s">
        <v>411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1</v>
      </c>
      <c r="W14">
        <v>0</v>
      </c>
      <c r="X14">
        <v>0</v>
      </c>
      <c r="Y14">
        <v>1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1</v>
      </c>
      <c r="IX14">
        <v>1</v>
      </c>
      <c r="IY14">
        <f t="shared" ca="1" si="7"/>
        <v>0</v>
      </c>
      <c r="IZ14">
        <f t="shared" ca="1" si="7"/>
        <v>0</v>
      </c>
      <c r="JA14">
        <f t="shared" ca="1" si="7"/>
        <v>1</v>
      </c>
      <c r="JB14">
        <f t="shared" ca="1" si="7"/>
        <v>1</v>
      </c>
    </row>
    <row r="15" spans="1:262" x14ac:dyDescent="0.25">
      <c r="A15" s="169">
        <v>12</v>
      </c>
      <c r="B15" s="53" t="s">
        <v>412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10</v>
      </c>
      <c r="P15">
        <v>0</v>
      </c>
      <c r="Q15">
        <v>0</v>
      </c>
      <c r="R15">
        <v>10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1</v>
      </c>
      <c r="AA15">
        <v>2</v>
      </c>
      <c r="AB15">
        <v>0</v>
      </c>
      <c r="AC15">
        <v>0</v>
      </c>
      <c r="AD15">
        <v>2</v>
      </c>
      <c r="AE15">
        <v>1</v>
      </c>
      <c r="AF15">
        <v>0</v>
      </c>
      <c r="AG15">
        <v>0</v>
      </c>
      <c r="AH15">
        <v>1</v>
      </c>
      <c r="AI15">
        <v>1</v>
      </c>
      <c r="AJ15">
        <v>0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1</v>
      </c>
      <c r="AQ15">
        <v>1</v>
      </c>
      <c r="AR15">
        <v>0</v>
      </c>
      <c r="AS15">
        <v>0</v>
      </c>
      <c r="AT15">
        <v>1</v>
      </c>
      <c r="AU15">
        <v>1</v>
      </c>
      <c r="AV15">
        <v>0</v>
      </c>
      <c r="AW15">
        <v>0</v>
      </c>
      <c r="AX15">
        <v>1</v>
      </c>
      <c r="AY15">
        <v>1</v>
      </c>
      <c r="AZ15">
        <v>0</v>
      </c>
      <c r="BA15">
        <v>0</v>
      </c>
      <c r="BB15">
        <v>1</v>
      </c>
      <c r="BC15">
        <v>1</v>
      </c>
      <c r="BD15">
        <v>0</v>
      </c>
      <c r="BE15">
        <v>0</v>
      </c>
      <c r="BF15">
        <v>1</v>
      </c>
      <c r="BG15">
        <v>1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1</v>
      </c>
      <c r="FM15">
        <v>0</v>
      </c>
      <c r="FN15">
        <v>1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1</v>
      </c>
      <c r="HH15">
        <v>0</v>
      </c>
      <c r="HI15">
        <v>0</v>
      </c>
      <c r="HJ15">
        <v>1</v>
      </c>
      <c r="HK15">
        <v>1</v>
      </c>
      <c r="HL15">
        <v>0</v>
      </c>
      <c r="HM15">
        <v>0</v>
      </c>
      <c r="HN15">
        <v>1</v>
      </c>
      <c r="HO15">
        <v>1</v>
      </c>
      <c r="HP15">
        <v>0</v>
      </c>
      <c r="HQ15">
        <v>0</v>
      </c>
      <c r="HR15">
        <v>1</v>
      </c>
      <c r="HS15">
        <v>1</v>
      </c>
      <c r="HT15">
        <v>0</v>
      </c>
      <c r="HU15">
        <v>0</v>
      </c>
      <c r="HV15">
        <v>1</v>
      </c>
      <c r="HW15">
        <v>1</v>
      </c>
      <c r="HX15">
        <v>0</v>
      </c>
      <c r="HY15">
        <v>0</v>
      </c>
      <c r="HZ15">
        <v>1</v>
      </c>
      <c r="IA15">
        <v>1</v>
      </c>
      <c r="IB15">
        <v>0</v>
      </c>
      <c r="IC15">
        <v>0</v>
      </c>
      <c r="ID15">
        <v>1</v>
      </c>
      <c r="IE15">
        <v>1</v>
      </c>
      <c r="IF15">
        <v>0</v>
      </c>
      <c r="IG15">
        <v>0</v>
      </c>
      <c r="IH15">
        <v>1</v>
      </c>
      <c r="II15">
        <v>1</v>
      </c>
      <c r="IJ15">
        <v>0</v>
      </c>
      <c r="IK15">
        <v>0</v>
      </c>
      <c r="IL15">
        <v>1</v>
      </c>
      <c r="IM15">
        <v>1</v>
      </c>
      <c r="IN15">
        <v>0</v>
      </c>
      <c r="IO15">
        <v>0</v>
      </c>
      <c r="IP15">
        <v>1</v>
      </c>
      <c r="IQ15">
        <v>1</v>
      </c>
      <c r="IR15">
        <v>0</v>
      </c>
      <c r="IS15">
        <v>0</v>
      </c>
      <c r="IT15">
        <v>1</v>
      </c>
      <c r="IU15">
        <v>0</v>
      </c>
      <c r="IV15">
        <v>0</v>
      </c>
      <c r="IW15">
        <v>0</v>
      </c>
      <c r="IX15">
        <v>0</v>
      </c>
      <c r="IY15">
        <f t="shared" ca="1" si="7"/>
        <v>10</v>
      </c>
      <c r="IZ15">
        <f t="shared" ca="1" si="7"/>
        <v>1</v>
      </c>
      <c r="JA15">
        <f t="shared" ca="1" si="7"/>
        <v>0</v>
      </c>
      <c r="JB15">
        <f t="shared" ca="1" si="7"/>
        <v>11</v>
      </c>
    </row>
    <row r="16" spans="1:262" x14ac:dyDescent="0.25">
      <c r="A16" s="169">
        <v>13</v>
      </c>
      <c r="B16" s="53" t="s">
        <v>413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10</v>
      </c>
      <c r="Q16">
        <v>0</v>
      </c>
      <c r="R16">
        <v>11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1</v>
      </c>
      <c r="AA16">
        <v>0</v>
      </c>
      <c r="AB16">
        <v>2</v>
      </c>
      <c r="AC16">
        <v>0</v>
      </c>
      <c r="AD16">
        <v>2</v>
      </c>
      <c r="AE16">
        <v>0</v>
      </c>
      <c r="AF16">
        <v>1</v>
      </c>
      <c r="AG16">
        <v>0</v>
      </c>
      <c r="AH16">
        <v>1</v>
      </c>
      <c r="AI16">
        <v>0</v>
      </c>
      <c r="AJ16">
        <v>1</v>
      </c>
      <c r="AK16">
        <v>0</v>
      </c>
      <c r="AL16">
        <v>1</v>
      </c>
      <c r="AM16">
        <v>0</v>
      </c>
      <c r="AN16">
        <v>1</v>
      </c>
      <c r="AO16">
        <v>0</v>
      </c>
      <c r="AP16">
        <v>1</v>
      </c>
      <c r="AQ16">
        <v>0</v>
      </c>
      <c r="AR16">
        <v>1</v>
      </c>
      <c r="AS16">
        <v>0</v>
      </c>
      <c r="AT16">
        <v>1</v>
      </c>
      <c r="AU16">
        <v>0</v>
      </c>
      <c r="AV16">
        <v>1</v>
      </c>
      <c r="AW16">
        <v>0</v>
      </c>
      <c r="AX16">
        <v>1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1</v>
      </c>
      <c r="BE16">
        <v>0</v>
      </c>
      <c r="BF16">
        <v>1</v>
      </c>
      <c r="BG16">
        <v>0</v>
      </c>
      <c r="BH16">
        <v>1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1</v>
      </c>
      <c r="GZ16">
        <v>0</v>
      </c>
      <c r="HA16">
        <v>0</v>
      </c>
      <c r="HB16">
        <v>1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1</v>
      </c>
      <c r="HI16">
        <v>0</v>
      </c>
      <c r="HJ16">
        <v>1</v>
      </c>
      <c r="HK16">
        <v>0</v>
      </c>
      <c r="HL16">
        <v>1</v>
      </c>
      <c r="HM16">
        <v>0</v>
      </c>
      <c r="HN16">
        <v>1</v>
      </c>
      <c r="HO16">
        <v>0</v>
      </c>
      <c r="HP16">
        <v>1</v>
      </c>
      <c r="HQ16">
        <v>0</v>
      </c>
      <c r="HR16">
        <v>1</v>
      </c>
      <c r="HS16">
        <v>0</v>
      </c>
      <c r="HT16">
        <v>1</v>
      </c>
      <c r="HU16">
        <v>0</v>
      </c>
      <c r="HV16">
        <v>1</v>
      </c>
      <c r="HW16">
        <v>0</v>
      </c>
      <c r="HX16">
        <v>1</v>
      </c>
      <c r="HY16">
        <v>0</v>
      </c>
      <c r="HZ16">
        <v>1</v>
      </c>
      <c r="IA16">
        <v>0</v>
      </c>
      <c r="IB16">
        <v>1</v>
      </c>
      <c r="IC16">
        <v>0</v>
      </c>
      <c r="ID16">
        <v>1</v>
      </c>
      <c r="IE16">
        <v>0</v>
      </c>
      <c r="IF16">
        <v>1</v>
      </c>
      <c r="IG16">
        <v>0</v>
      </c>
      <c r="IH16">
        <v>1</v>
      </c>
      <c r="II16">
        <v>0</v>
      </c>
      <c r="IJ16">
        <v>1</v>
      </c>
      <c r="IK16">
        <v>0</v>
      </c>
      <c r="IL16">
        <v>1</v>
      </c>
      <c r="IM16">
        <v>0</v>
      </c>
      <c r="IN16">
        <v>1</v>
      </c>
      <c r="IO16">
        <v>0</v>
      </c>
      <c r="IP16">
        <v>1</v>
      </c>
      <c r="IQ16">
        <v>0</v>
      </c>
      <c r="IR16">
        <v>1</v>
      </c>
      <c r="IS16">
        <v>0</v>
      </c>
      <c r="IT16">
        <v>1</v>
      </c>
      <c r="IU16">
        <v>0</v>
      </c>
      <c r="IV16">
        <v>0</v>
      </c>
      <c r="IW16">
        <v>0</v>
      </c>
      <c r="IX16">
        <v>0</v>
      </c>
      <c r="IY16">
        <f t="shared" ca="1" si="7"/>
        <v>1</v>
      </c>
      <c r="IZ16">
        <f t="shared" ca="1" si="7"/>
        <v>10</v>
      </c>
      <c r="JA16">
        <f t="shared" ca="1" si="7"/>
        <v>0</v>
      </c>
      <c r="JB16">
        <f t="shared" ca="1" si="7"/>
        <v>11</v>
      </c>
    </row>
    <row r="17" spans="1:262" x14ac:dyDescent="0.25">
      <c r="A17" s="169">
        <v>14</v>
      </c>
      <c r="B17" s="53" t="s">
        <v>414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0</v>
      </c>
      <c r="M17">
        <v>0</v>
      </c>
      <c r="N17">
        <v>2</v>
      </c>
      <c r="O17">
        <v>2</v>
      </c>
      <c r="P17">
        <v>1</v>
      </c>
      <c r="Q17">
        <v>0</v>
      </c>
      <c r="R17">
        <v>3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0</v>
      </c>
      <c r="Z17">
        <v>2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1</v>
      </c>
      <c r="AU17">
        <v>1</v>
      </c>
      <c r="AV17">
        <v>0</v>
      </c>
      <c r="AW17">
        <v>0</v>
      </c>
      <c r="AX17">
        <v>1</v>
      </c>
      <c r="AY17">
        <v>1</v>
      </c>
      <c r="AZ17">
        <v>0</v>
      </c>
      <c r="BA17">
        <v>0</v>
      </c>
      <c r="BB17">
        <v>1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1</v>
      </c>
      <c r="GF17">
        <v>0</v>
      </c>
      <c r="GG17">
        <v>0</v>
      </c>
      <c r="GH17">
        <v>1</v>
      </c>
      <c r="GI17">
        <v>1</v>
      </c>
      <c r="GJ17">
        <v>0</v>
      </c>
      <c r="GK17">
        <v>0</v>
      </c>
      <c r="GL17">
        <v>1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1</v>
      </c>
      <c r="HA17">
        <v>0</v>
      </c>
      <c r="HB17">
        <v>1</v>
      </c>
      <c r="HC17">
        <v>1</v>
      </c>
      <c r="HD17">
        <v>0</v>
      </c>
      <c r="HE17">
        <v>0</v>
      </c>
      <c r="HF17">
        <v>1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1</v>
      </c>
      <c r="IJ17">
        <v>0</v>
      </c>
      <c r="IK17">
        <v>0</v>
      </c>
      <c r="IL17">
        <v>1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f t="shared" ca="1" si="7"/>
        <v>4</v>
      </c>
      <c r="IZ17">
        <f t="shared" ca="1" si="7"/>
        <v>1</v>
      </c>
      <c r="JA17">
        <f t="shared" ca="1" si="7"/>
        <v>0</v>
      </c>
      <c r="JB17">
        <f t="shared" ca="1" si="7"/>
        <v>5</v>
      </c>
    </row>
    <row r="18" spans="1:262" x14ac:dyDescent="0.25">
      <c r="A18" s="169">
        <v>15</v>
      </c>
      <c r="B18" s="53" t="s">
        <v>415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V18">
        <v>1</v>
      </c>
      <c r="W18">
        <v>0</v>
      </c>
      <c r="X18">
        <v>0</v>
      </c>
      <c r="Y18">
        <v>1</v>
      </c>
      <c r="Z18">
        <v>1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1</v>
      </c>
      <c r="IX18">
        <v>1</v>
      </c>
      <c r="IY18">
        <f t="shared" ca="1" si="7"/>
        <v>0</v>
      </c>
      <c r="IZ18">
        <f t="shared" ca="1" si="7"/>
        <v>0</v>
      </c>
      <c r="JA18">
        <f t="shared" ca="1" si="7"/>
        <v>1</v>
      </c>
      <c r="JB18">
        <f t="shared" ca="1" si="7"/>
        <v>1</v>
      </c>
    </row>
    <row r="19" spans="1:262" x14ac:dyDescent="0.25">
      <c r="A19" s="169">
        <v>16</v>
      </c>
      <c r="B19" s="53" t="s">
        <v>404</v>
      </c>
      <c r="C19">
        <v>2</v>
      </c>
      <c r="D19">
        <v>0</v>
      </c>
      <c r="E19">
        <v>0</v>
      </c>
      <c r="F19">
        <v>2</v>
      </c>
      <c r="G19">
        <v>24</v>
      </c>
      <c r="H19">
        <v>0</v>
      </c>
      <c r="I19">
        <v>0</v>
      </c>
      <c r="J19">
        <v>24</v>
      </c>
      <c r="K19">
        <v>8</v>
      </c>
      <c r="L19">
        <v>0</v>
      </c>
      <c r="M19">
        <v>3</v>
      </c>
      <c r="N19">
        <v>11</v>
      </c>
      <c r="O19">
        <v>6</v>
      </c>
      <c r="P19">
        <v>0</v>
      </c>
      <c r="Q19">
        <v>0</v>
      </c>
      <c r="R19">
        <v>6</v>
      </c>
      <c r="S19">
        <v>0</v>
      </c>
      <c r="T19">
        <v>0</v>
      </c>
      <c r="U19">
        <v>0</v>
      </c>
      <c r="V19">
        <v>0</v>
      </c>
      <c r="W19">
        <v>6</v>
      </c>
      <c r="X19">
        <v>0</v>
      </c>
      <c r="Y19">
        <v>0</v>
      </c>
      <c r="Z19">
        <v>6</v>
      </c>
      <c r="AA19">
        <v>4</v>
      </c>
      <c r="AB19">
        <v>0</v>
      </c>
      <c r="AC19">
        <v>0</v>
      </c>
      <c r="AD19">
        <v>4</v>
      </c>
      <c r="AE19">
        <v>5</v>
      </c>
      <c r="AF19">
        <v>0</v>
      </c>
      <c r="AG19">
        <v>0</v>
      </c>
      <c r="AH19">
        <v>5</v>
      </c>
      <c r="AI19">
        <v>3</v>
      </c>
      <c r="AJ19">
        <v>0</v>
      </c>
      <c r="AK19">
        <v>0</v>
      </c>
      <c r="AL19">
        <v>3</v>
      </c>
      <c r="AM19">
        <v>2</v>
      </c>
      <c r="AN19">
        <v>0</v>
      </c>
      <c r="AO19">
        <v>0</v>
      </c>
      <c r="AP19">
        <v>2</v>
      </c>
      <c r="AQ19">
        <v>5</v>
      </c>
      <c r="AR19">
        <v>0</v>
      </c>
      <c r="AS19">
        <v>3</v>
      </c>
      <c r="AT19">
        <v>8</v>
      </c>
      <c r="AU19">
        <v>3</v>
      </c>
      <c r="AV19">
        <v>0</v>
      </c>
      <c r="AW19">
        <v>0</v>
      </c>
      <c r="AX19">
        <v>3</v>
      </c>
      <c r="AY19">
        <v>5</v>
      </c>
      <c r="AZ19">
        <v>0</v>
      </c>
      <c r="BA19">
        <v>0</v>
      </c>
      <c r="BB19">
        <v>5</v>
      </c>
      <c r="BC19">
        <v>3</v>
      </c>
      <c r="BD19">
        <v>0</v>
      </c>
      <c r="BE19">
        <v>0</v>
      </c>
      <c r="BF19">
        <v>3</v>
      </c>
      <c r="BG19">
        <v>4</v>
      </c>
      <c r="BH19">
        <v>0</v>
      </c>
      <c r="BI19">
        <v>0</v>
      </c>
      <c r="BJ19">
        <v>4</v>
      </c>
      <c r="BK19">
        <v>1</v>
      </c>
      <c r="BL19">
        <v>0</v>
      </c>
      <c r="BM19">
        <v>0</v>
      </c>
      <c r="BN19">
        <v>1</v>
      </c>
      <c r="BO19">
        <v>1</v>
      </c>
      <c r="BP19">
        <v>0</v>
      </c>
      <c r="BQ19">
        <v>0</v>
      </c>
      <c r="BR19">
        <v>1</v>
      </c>
      <c r="BS19">
        <v>1</v>
      </c>
      <c r="BT19">
        <v>0</v>
      </c>
      <c r="BU19">
        <v>0</v>
      </c>
      <c r="BV19">
        <v>1</v>
      </c>
      <c r="BW19">
        <v>1</v>
      </c>
      <c r="BX19">
        <v>0</v>
      </c>
      <c r="BY19">
        <v>0</v>
      </c>
      <c r="BZ19">
        <v>1</v>
      </c>
      <c r="CA19">
        <v>1</v>
      </c>
      <c r="CB19">
        <v>0</v>
      </c>
      <c r="CC19">
        <v>0</v>
      </c>
      <c r="CD19">
        <v>1</v>
      </c>
      <c r="CE19">
        <v>1</v>
      </c>
      <c r="CF19">
        <v>0</v>
      </c>
      <c r="CG19">
        <v>0</v>
      </c>
      <c r="CH19">
        <v>1</v>
      </c>
      <c r="CI19">
        <v>1</v>
      </c>
      <c r="CJ19">
        <v>0</v>
      </c>
      <c r="CK19">
        <v>0</v>
      </c>
      <c r="CL19">
        <v>1</v>
      </c>
      <c r="CM19">
        <v>1</v>
      </c>
      <c r="CN19">
        <v>0</v>
      </c>
      <c r="CO19">
        <v>0</v>
      </c>
      <c r="CP19">
        <v>1</v>
      </c>
      <c r="CQ19">
        <v>1</v>
      </c>
      <c r="CR19">
        <v>0</v>
      </c>
      <c r="CS19">
        <v>0</v>
      </c>
      <c r="CT19">
        <v>1</v>
      </c>
      <c r="CU19">
        <v>1</v>
      </c>
      <c r="CV19">
        <v>0</v>
      </c>
      <c r="CW19">
        <v>0</v>
      </c>
      <c r="CX19">
        <v>1</v>
      </c>
      <c r="CY19">
        <v>1</v>
      </c>
      <c r="CZ19">
        <v>0</v>
      </c>
      <c r="DA19">
        <v>0</v>
      </c>
      <c r="DB19">
        <v>1</v>
      </c>
      <c r="DC19">
        <v>1</v>
      </c>
      <c r="DD19">
        <v>0</v>
      </c>
      <c r="DE19">
        <v>0</v>
      </c>
      <c r="DF19">
        <v>1</v>
      </c>
      <c r="DG19">
        <v>1</v>
      </c>
      <c r="DH19">
        <v>0</v>
      </c>
      <c r="DI19">
        <v>0</v>
      </c>
      <c r="DJ19">
        <v>1</v>
      </c>
      <c r="DK19">
        <v>1</v>
      </c>
      <c r="DL19">
        <v>0</v>
      </c>
      <c r="DM19">
        <v>0</v>
      </c>
      <c r="DN19">
        <v>1</v>
      </c>
      <c r="DO19">
        <v>1</v>
      </c>
      <c r="DP19">
        <v>0</v>
      </c>
      <c r="DQ19">
        <v>0</v>
      </c>
      <c r="DR19">
        <v>1</v>
      </c>
      <c r="DS19">
        <v>1</v>
      </c>
      <c r="DT19">
        <v>0</v>
      </c>
      <c r="DU19">
        <v>0</v>
      </c>
      <c r="DV19">
        <v>1</v>
      </c>
      <c r="DW19">
        <v>1</v>
      </c>
      <c r="DX19">
        <v>0</v>
      </c>
      <c r="DY19">
        <v>0</v>
      </c>
      <c r="DZ19">
        <v>1</v>
      </c>
      <c r="EA19">
        <v>1</v>
      </c>
      <c r="EB19">
        <v>0</v>
      </c>
      <c r="EC19">
        <v>0</v>
      </c>
      <c r="ED19">
        <v>1</v>
      </c>
      <c r="EE19">
        <v>1</v>
      </c>
      <c r="EF19">
        <v>0</v>
      </c>
      <c r="EG19">
        <v>0</v>
      </c>
      <c r="EH19">
        <v>1</v>
      </c>
      <c r="EI19">
        <v>1</v>
      </c>
      <c r="EJ19">
        <v>0</v>
      </c>
      <c r="EK19">
        <v>0</v>
      </c>
      <c r="EL19">
        <v>1</v>
      </c>
      <c r="EM19">
        <v>1</v>
      </c>
      <c r="EN19">
        <v>0</v>
      </c>
      <c r="EO19">
        <v>0</v>
      </c>
      <c r="EP19">
        <v>1</v>
      </c>
      <c r="EQ19">
        <v>1</v>
      </c>
      <c r="ER19">
        <v>0</v>
      </c>
      <c r="ES19">
        <v>0</v>
      </c>
      <c r="ET19">
        <v>1</v>
      </c>
      <c r="EU19">
        <v>1</v>
      </c>
      <c r="EV19">
        <v>0</v>
      </c>
      <c r="EW19">
        <v>0</v>
      </c>
      <c r="EX19">
        <v>1</v>
      </c>
      <c r="EY19">
        <v>1</v>
      </c>
      <c r="EZ19">
        <v>0</v>
      </c>
      <c r="FA19">
        <v>0</v>
      </c>
      <c r="FB19">
        <v>1</v>
      </c>
      <c r="FC19">
        <v>1</v>
      </c>
      <c r="FD19">
        <v>0</v>
      </c>
      <c r="FE19">
        <v>0</v>
      </c>
      <c r="FF19">
        <v>1</v>
      </c>
      <c r="FG19">
        <v>1</v>
      </c>
      <c r="FH19">
        <v>0</v>
      </c>
      <c r="FI19">
        <v>0</v>
      </c>
      <c r="FJ19">
        <v>1</v>
      </c>
      <c r="FK19">
        <v>1</v>
      </c>
      <c r="FL19">
        <v>0</v>
      </c>
      <c r="FM19">
        <v>0</v>
      </c>
      <c r="FN19">
        <v>1</v>
      </c>
      <c r="FO19">
        <v>1</v>
      </c>
      <c r="FP19">
        <v>0</v>
      </c>
      <c r="FQ19">
        <v>0</v>
      </c>
      <c r="FR19">
        <v>1</v>
      </c>
      <c r="FS19">
        <v>0</v>
      </c>
      <c r="FT19">
        <v>0</v>
      </c>
      <c r="FU19">
        <v>0</v>
      </c>
      <c r="FV19">
        <v>0</v>
      </c>
      <c r="FW19">
        <v>1</v>
      </c>
      <c r="FX19">
        <v>0</v>
      </c>
      <c r="FY19">
        <v>1</v>
      </c>
      <c r="FZ19">
        <v>2</v>
      </c>
      <c r="GA19">
        <v>1</v>
      </c>
      <c r="GB19">
        <v>0</v>
      </c>
      <c r="GC19">
        <v>1</v>
      </c>
      <c r="GD19">
        <v>2</v>
      </c>
      <c r="GE19">
        <v>1</v>
      </c>
      <c r="GF19">
        <v>0</v>
      </c>
      <c r="GG19">
        <v>1</v>
      </c>
      <c r="GH19">
        <v>2</v>
      </c>
      <c r="GI19">
        <v>1</v>
      </c>
      <c r="GJ19">
        <v>0</v>
      </c>
      <c r="GK19">
        <v>0</v>
      </c>
      <c r="GL19">
        <v>1</v>
      </c>
      <c r="GM19">
        <v>0</v>
      </c>
      <c r="GN19">
        <v>0</v>
      </c>
      <c r="GO19">
        <v>0</v>
      </c>
      <c r="GP19">
        <v>0</v>
      </c>
      <c r="GQ19">
        <v>1</v>
      </c>
      <c r="GR19">
        <v>0</v>
      </c>
      <c r="GS19">
        <v>0</v>
      </c>
      <c r="GT19">
        <v>1</v>
      </c>
      <c r="GU19">
        <v>1</v>
      </c>
      <c r="GV19">
        <v>0</v>
      </c>
      <c r="GW19">
        <v>0</v>
      </c>
      <c r="GX19">
        <v>1</v>
      </c>
      <c r="GY19">
        <v>1</v>
      </c>
      <c r="GZ19">
        <v>0</v>
      </c>
      <c r="HA19">
        <v>0</v>
      </c>
      <c r="HB19">
        <v>1</v>
      </c>
      <c r="HC19">
        <v>1</v>
      </c>
      <c r="HD19">
        <v>0</v>
      </c>
      <c r="HE19">
        <v>0</v>
      </c>
      <c r="HF19">
        <v>1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1</v>
      </c>
      <c r="HX19">
        <v>0</v>
      </c>
      <c r="HY19">
        <v>0</v>
      </c>
      <c r="HZ19">
        <v>1</v>
      </c>
      <c r="IA19">
        <v>0</v>
      </c>
      <c r="IB19">
        <v>0</v>
      </c>
      <c r="IC19">
        <v>0</v>
      </c>
      <c r="ID19">
        <v>0</v>
      </c>
      <c r="IE19">
        <v>1</v>
      </c>
      <c r="IF19">
        <v>0</v>
      </c>
      <c r="IG19">
        <v>0</v>
      </c>
      <c r="IH19">
        <v>1</v>
      </c>
      <c r="II19">
        <v>0</v>
      </c>
      <c r="IJ19">
        <v>0</v>
      </c>
      <c r="IK19">
        <v>0</v>
      </c>
      <c r="IL19">
        <v>0</v>
      </c>
      <c r="IM19">
        <v>1</v>
      </c>
      <c r="IN19">
        <v>0</v>
      </c>
      <c r="IO19">
        <v>0</v>
      </c>
      <c r="IP19">
        <v>1</v>
      </c>
      <c r="IQ19">
        <v>1</v>
      </c>
      <c r="IR19">
        <v>0</v>
      </c>
      <c r="IS19">
        <v>0</v>
      </c>
      <c r="IT19">
        <v>1</v>
      </c>
      <c r="IU19">
        <v>0</v>
      </c>
      <c r="IV19">
        <v>0</v>
      </c>
      <c r="IW19">
        <v>0</v>
      </c>
      <c r="IX19">
        <v>0</v>
      </c>
      <c r="IY19">
        <f t="shared" ca="1" si="7"/>
        <v>40</v>
      </c>
      <c r="IZ19">
        <f t="shared" ca="1" si="7"/>
        <v>0</v>
      </c>
      <c r="JA19">
        <f t="shared" ca="1" si="7"/>
        <v>3</v>
      </c>
      <c r="JB19">
        <f t="shared" ca="1" si="7"/>
        <v>43</v>
      </c>
    </row>
    <row r="20" spans="1:262" x14ac:dyDescent="0.25">
      <c r="A20" s="169">
        <v>17</v>
      </c>
      <c r="B20" s="53" t="s">
        <v>405</v>
      </c>
      <c r="C20">
        <v>2</v>
      </c>
      <c r="D20">
        <v>0</v>
      </c>
      <c r="E20">
        <v>0</v>
      </c>
      <c r="F20">
        <v>2</v>
      </c>
      <c r="G20">
        <v>24</v>
      </c>
      <c r="H20">
        <v>0</v>
      </c>
      <c r="I20">
        <v>1</v>
      </c>
      <c r="J20">
        <v>25</v>
      </c>
      <c r="K20">
        <v>10</v>
      </c>
      <c r="L20">
        <v>0</v>
      </c>
      <c r="M20">
        <v>6</v>
      </c>
      <c r="N20">
        <v>16</v>
      </c>
      <c r="O20">
        <v>10</v>
      </c>
      <c r="P20">
        <v>0</v>
      </c>
      <c r="Q20">
        <v>1</v>
      </c>
      <c r="R20">
        <v>11</v>
      </c>
      <c r="S20">
        <v>1</v>
      </c>
      <c r="T20">
        <v>0</v>
      </c>
      <c r="U20">
        <v>1</v>
      </c>
      <c r="V20">
        <v>2</v>
      </c>
      <c r="W20">
        <v>7</v>
      </c>
      <c r="X20">
        <v>0</v>
      </c>
      <c r="Y20">
        <v>3</v>
      </c>
      <c r="Z20">
        <v>10</v>
      </c>
      <c r="AA20">
        <v>5</v>
      </c>
      <c r="AB20">
        <v>0</v>
      </c>
      <c r="AC20">
        <v>0</v>
      </c>
      <c r="AD20">
        <v>5</v>
      </c>
      <c r="AE20">
        <v>6</v>
      </c>
      <c r="AF20">
        <v>0</v>
      </c>
      <c r="AG20">
        <v>0</v>
      </c>
      <c r="AH20">
        <v>6</v>
      </c>
      <c r="AI20">
        <v>4</v>
      </c>
      <c r="AJ20">
        <v>0</v>
      </c>
      <c r="AK20">
        <v>0</v>
      </c>
      <c r="AL20">
        <v>4</v>
      </c>
      <c r="AM20">
        <v>3</v>
      </c>
      <c r="AN20">
        <v>0</v>
      </c>
      <c r="AO20">
        <v>0</v>
      </c>
      <c r="AP20">
        <v>3</v>
      </c>
      <c r="AQ20">
        <v>6</v>
      </c>
      <c r="AR20">
        <v>0</v>
      </c>
      <c r="AS20">
        <v>2</v>
      </c>
      <c r="AT20">
        <v>8</v>
      </c>
      <c r="AU20">
        <v>3</v>
      </c>
      <c r="AV20">
        <v>0</v>
      </c>
      <c r="AW20">
        <v>1</v>
      </c>
      <c r="AX20">
        <v>4</v>
      </c>
      <c r="AY20">
        <v>6</v>
      </c>
      <c r="AZ20">
        <v>0</v>
      </c>
      <c r="BA20">
        <v>0</v>
      </c>
      <c r="BB20">
        <v>6</v>
      </c>
      <c r="BC20">
        <v>3</v>
      </c>
      <c r="BD20">
        <v>0</v>
      </c>
      <c r="BE20">
        <v>3</v>
      </c>
      <c r="BF20">
        <v>6</v>
      </c>
      <c r="BG20">
        <v>4</v>
      </c>
      <c r="BH20">
        <v>0</v>
      </c>
      <c r="BI20">
        <v>0</v>
      </c>
      <c r="BJ20">
        <v>4</v>
      </c>
      <c r="BK20">
        <v>1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1</v>
      </c>
      <c r="BS20">
        <v>1</v>
      </c>
      <c r="BT20">
        <v>0</v>
      </c>
      <c r="BU20">
        <v>0</v>
      </c>
      <c r="BV20">
        <v>1</v>
      </c>
      <c r="BW20">
        <v>1</v>
      </c>
      <c r="BX20">
        <v>0</v>
      </c>
      <c r="BY20">
        <v>0</v>
      </c>
      <c r="BZ20">
        <v>1</v>
      </c>
      <c r="CA20">
        <v>1</v>
      </c>
      <c r="CB20">
        <v>0</v>
      </c>
      <c r="CC20">
        <v>0</v>
      </c>
      <c r="CD20">
        <v>1</v>
      </c>
      <c r="CE20">
        <v>1</v>
      </c>
      <c r="CF20">
        <v>0</v>
      </c>
      <c r="CG20">
        <v>0</v>
      </c>
      <c r="CH20">
        <v>1</v>
      </c>
      <c r="CI20">
        <v>1</v>
      </c>
      <c r="CJ20">
        <v>0</v>
      </c>
      <c r="CK20">
        <v>0</v>
      </c>
      <c r="CL20">
        <v>1</v>
      </c>
      <c r="CM20">
        <v>1</v>
      </c>
      <c r="CN20">
        <v>0</v>
      </c>
      <c r="CO20">
        <v>0</v>
      </c>
      <c r="CP20">
        <v>1</v>
      </c>
      <c r="CQ20">
        <v>1</v>
      </c>
      <c r="CR20">
        <v>0</v>
      </c>
      <c r="CS20">
        <v>0</v>
      </c>
      <c r="CT20">
        <v>1</v>
      </c>
      <c r="CU20">
        <v>1</v>
      </c>
      <c r="CV20">
        <v>0</v>
      </c>
      <c r="CW20">
        <v>0</v>
      </c>
      <c r="CX20">
        <v>1</v>
      </c>
      <c r="CY20">
        <v>1</v>
      </c>
      <c r="CZ20">
        <v>0</v>
      </c>
      <c r="DA20">
        <v>0</v>
      </c>
      <c r="DB20">
        <v>1</v>
      </c>
      <c r="DC20">
        <v>1</v>
      </c>
      <c r="DD20">
        <v>0</v>
      </c>
      <c r="DE20">
        <v>0</v>
      </c>
      <c r="DF20">
        <v>1</v>
      </c>
      <c r="DG20">
        <v>1</v>
      </c>
      <c r="DH20">
        <v>0</v>
      </c>
      <c r="DI20">
        <v>0</v>
      </c>
      <c r="DJ20">
        <v>1</v>
      </c>
      <c r="DK20">
        <v>1</v>
      </c>
      <c r="DL20">
        <v>0</v>
      </c>
      <c r="DM20">
        <v>0</v>
      </c>
      <c r="DN20">
        <v>1</v>
      </c>
      <c r="DO20">
        <v>1</v>
      </c>
      <c r="DP20">
        <v>0</v>
      </c>
      <c r="DQ20">
        <v>0</v>
      </c>
      <c r="DR20">
        <v>1</v>
      </c>
      <c r="DS20">
        <v>1</v>
      </c>
      <c r="DT20">
        <v>0</v>
      </c>
      <c r="DU20">
        <v>0</v>
      </c>
      <c r="DV20">
        <v>1</v>
      </c>
      <c r="DW20">
        <v>1</v>
      </c>
      <c r="DX20">
        <v>0</v>
      </c>
      <c r="DY20">
        <v>0</v>
      </c>
      <c r="DZ20">
        <v>1</v>
      </c>
      <c r="EA20">
        <v>1</v>
      </c>
      <c r="EB20">
        <v>0</v>
      </c>
      <c r="EC20">
        <v>0</v>
      </c>
      <c r="ED20">
        <v>1</v>
      </c>
      <c r="EE20">
        <v>1</v>
      </c>
      <c r="EF20">
        <v>0</v>
      </c>
      <c r="EG20">
        <v>0</v>
      </c>
      <c r="EH20">
        <v>1</v>
      </c>
      <c r="EI20">
        <v>1</v>
      </c>
      <c r="EJ20">
        <v>0</v>
      </c>
      <c r="EK20">
        <v>0</v>
      </c>
      <c r="EL20">
        <v>1</v>
      </c>
      <c r="EM20">
        <v>1</v>
      </c>
      <c r="EN20">
        <v>0</v>
      </c>
      <c r="EO20">
        <v>0</v>
      </c>
      <c r="EP20">
        <v>1</v>
      </c>
      <c r="EQ20">
        <v>1</v>
      </c>
      <c r="ER20">
        <v>0</v>
      </c>
      <c r="ES20">
        <v>0</v>
      </c>
      <c r="ET20">
        <v>1</v>
      </c>
      <c r="EU20">
        <v>1</v>
      </c>
      <c r="EV20">
        <v>0</v>
      </c>
      <c r="EW20">
        <v>0</v>
      </c>
      <c r="EX20">
        <v>1</v>
      </c>
      <c r="EY20">
        <v>1</v>
      </c>
      <c r="EZ20">
        <v>0</v>
      </c>
      <c r="FA20">
        <v>0</v>
      </c>
      <c r="FB20">
        <v>1</v>
      </c>
      <c r="FC20">
        <v>1</v>
      </c>
      <c r="FD20">
        <v>0</v>
      </c>
      <c r="FE20">
        <v>1</v>
      </c>
      <c r="FF20">
        <v>2</v>
      </c>
      <c r="FG20">
        <v>1</v>
      </c>
      <c r="FH20">
        <v>0</v>
      </c>
      <c r="FI20">
        <v>0</v>
      </c>
      <c r="FJ20">
        <v>1</v>
      </c>
      <c r="FK20">
        <v>1</v>
      </c>
      <c r="FL20">
        <v>0</v>
      </c>
      <c r="FM20">
        <v>1</v>
      </c>
      <c r="FN20">
        <v>2</v>
      </c>
      <c r="FO20">
        <v>1</v>
      </c>
      <c r="FP20">
        <v>0</v>
      </c>
      <c r="FQ20">
        <v>1</v>
      </c>
      <c r="FR20">
        <v>2</v>
      </c>
      <c r="FS20">
        <v>1</v>
      </c>
      <c r="FT20">
        <v>0</v>
      </c>
      <c r="FU20">
        <v>0</v>
      </c>
      <c r="FV20">
        <v>1</v>
      </c>
      <c r="FW20">
        <v>1</v>
      </c>
      <c r="FX20">
        <v>0</v>
      </c>
      <c r="FY20">
        <v>1</v>
      </c>
      <c r="FZ20">
        <v>2</v>
      </c>
      <c r="GA20">
        <v>1</v>
      </c>
      <c r="GB20">
        <v>0</v>
      </c>
      <c r="GC20">
        <v>1</v>
      </c>
      <c r="GD20">
        <v>2</v>
      </c>
      <c r="GE20">
        <v>1</v>
      </c>
      <c r="GF20">
        <v>0</v>
      </c>
      <c r="GG20">
        <v>0</v>
      </c>
      <c r="GH20">
        <v>1</v>
      </c>
      <c r="GI20">
        <v>1</v>
      </c>
      <c r="GJ20">
        <v>0</v>
      </c>
      <c r="GK20">
        <v>1</v>
      </c>
      <c r="GL20">
        <v>2</v>
      </c>
      <c r="GM20">
        <v>1</v>
      </c>
      <c r="GN20">
        <v>0</v>
      </c>
      <c r="GO20">
        <v>0</v>
      </c>
      <c r="GP20">
        <v>1</v>
      </c>
      <c r="GQ20">
        <v>1</v>
      </c>
      <c r="GR20">
        <v>0</v>
      </c>
      <c r="GS20">
        <v>1</v>
      </c>
      <c r="GT20">
        <v>2</v>
      </c>
      <c r="GU20">
        <v>1</v>
      </c>
      <c r="GV20">
        <v>0</v>
      </c>
      <c r="GW20">
        <v>0</v>
      </c>
      <c r="GX20">
        <v>1</v>
      </c>
      <c r="GY20">
        <v>1</v>
      </c>
      <c r="GZ20">
        <v>0</v>
      </c>
      <c r="HA20">
        <v>0</v>
      </c>
      <c r="HB20">
        <v>1</v>
      </c>
      <c r="HC20">
        <v>1</v>
      </c>
      <c r="HD20">
        <v>0</v>
      </c>
      <c r="HE20">
        <v>0</v>
      </c>
      <c r="HF20">
        <v>1</v>
      </c>
      <c r="HG20">
        <v>0</v>
      </c>
      <c r="HH20">
        <v>0</v>
      </c>
      <c r="HI20">
        <v>0</v>
      </c>
      <c r="HJ20">
        <v>0</v>
      </c>
      <c r="HK20">
        <v>1</v>
      </c>
      <c r="HL20">
        <v>0</v>
      </c>
      <c r="HM20">
        <v>0</v>
      </c>
      <c r="HN20">
        <v>1</v>
      </c>
      <c r="HO20">
        <v>1</v>
      </c>
      <c r="HP20">
        <v>0</v>
      </c>
      <c r="HQ20">
        <v>0</v>
      </c>
      <c r="HR20">
        <v>1</v>
      </c>
      <c r="HS20">
        <v>1</v>
      </c>
      <c r="HT20">
        <v>0</v>
      </c>
      <c r="HU20">
        <v>0</v>
      </c>
      <c r="HV20">
        <v>1</v>
      </c>
      <c r="HW20">
        <v>1</v>
      </c>
      <c r="HX20">
        <v>0</v>
      </c>
      <c r="HY20">
        <v>0</v>
      </c>
      <c r="HZ20">
        <v>1</v>
      </c>
      <c r="IA20">
        <v>1</v>
      </c>
      <c r="IB20">
        <v>0</v>
      </c>
      <c r="IC20">
        <v>0</v>
      </c>
      <c r="ID20">
        <v>1</v>
      </c>
      <c r="IE20">
        <v>1</v>
      </c>
      <c r="IF20">
        <v>0</v>
      </c>
      <c r="IG20">
        <v>0</v>
      </c>
      <c r="IH20">
        <v>1</v>
      </c>
      <c r="II20">
        <v>0</v>
      </c>
      <c r="IJ20">
        <v>0</v>
      </c>
      <c r="IK20">
        <v>0</v>
      </c>
      <c r="IL20">
        <v>0</v>
      </c>
      <c r="IM20">
        <v>1</v>
      </c>
      <c r="IN20">
        <v>0</v>
      </c>
      <c r="IO20">
        <v>1</v>
      </c>
      <c r="IP20">
        <v>2</v>
      </c>
      <c r="IQ20">
        <v>1</v>
      </c>
      <c r="IR20">
        <v>0</v>
      </c>
      <c r="IS20">
        <v>0</v>
      </c>
      <c r="IT20">
        <v>1</v>
      </c>
      <c r="IU20">
        <v>1</v>
      </c>
      <c r="IV20">
        <v>0</v>
      </c>
      <c r="IW20">
        <v>1</v>
      </c>
      <c r="IX20">
        <v>2</v>
      </c>
      <c r="IY20">
        <f t="shared" ca="1" si="7"/>
        <v>47</v>
      </c>
      <c r="IZ20">
        <f t="shared" ca="1" si="7"/>
        <v>0</v>
      </c>
      <c r="JA20">
        <f t="shared" ca="1" si="7"/>
        <v>9</v>
      </c>
      <c r="JB20">
        <f t="shared" ca="1" si="7"/>
        <v>56</v>
      </c>
    </row>
    <row r="21" spans="1:262" x14ac:dyDescent="0.25">
      <c r="A21" s="169">
        <v>18</v>
      </c>
      <c r="B21" s="53" t="s">
        <v>418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1</v>
      </c>
      <c r="AJ21">
        <v>1</v>
      </c>
      <c r="AK21">
        <v>0</v>
      </c>
      <c r="AL21">
        <v>2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1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1</v>
      </c>
      <c r="HT21">
        <v>0</v>
      </c>
      <c r="HU21">
        <v>0</v>
      </c>
      <c r="HV21">
        <v>1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f t="shared" ca="1" si="7"/>
        <v>1</v>
      </c>
      <c r="IZ21">
        <f t="shared" ca="1" si="7"/>
        <v>1</v>
      </c>
      <c r="JA21">
        <f t="shared" ca="1" si="7"/>
        <v>0</v>
      </c>
      <c r="JB21">
        <f t="shared" ca="1" si="7"/>
        <v>2</v>
      </c>
    </row>
    <row r="22" spans="1:262" x14ac:dyDescent="0.25">
      <c r="A22" s="169">
        <v>19</v>
      </c>
      <c r="B22" s="53" t="s">
        <v>416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1</v>
      </c>
      <c r="M22">
        <v>0</v>
      </c>
      <c r="N22">
        <v>2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1</v>
      </c>
      <c r="AR22">
        <v>1</v>
      </c>
      <c r="AS22">
        <v>0</v>
      </c>
      <c r="AT22">
        <v>2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1</v>
      </c>
      <c r="GC22">
        <v>0</v>
      </c>
      <c r="GD22">
        <v>1</v>
      </c>
      <c r="GE22">
        <v>1</v>
      </c>
      <c r="GF22">
        <v>0</v>
      </c>
      <c r="GG22">
        <v>0</v>
      </c>
      <c r="GH22">
        <v>1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f t="shared" ca="1" si="7"/>
        <v>1</v>
      </c>
      <c r="IZ22">
        <f t="shared" ca="1" si="7"/>
        <v>1</v>
      </c>
      <c r="JA22">
        <f t="shared" ca="1" si="7"/>
        <v>0</v>
      </c>
      <c r="JB22">
        <f t="shared" ca="1" si="7"/>
        <v>2</v>
      </c>
    </row>
    <row r="23" spans="1:262" x14ac:dyDescent="0.25">
      <c r="A23" s="169">
        <v>20</v>
      </c>
      <c r="B23" s="53" t="s">
        <v>421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  <c r="I23">
        <v>0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1</v>
      </c>
      <c r="BE23">
        <v>0</v>
      </c>
      <c r="BF23">
        <v>1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1</v>
      </c>
      <c r="FE23">
        <v>0</v>
      </c>
      <c r="FF23">
        <v>1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f t="shared" ca="1" si="7"/>
        <v>0</v>
      </c>
      <c r="IZ23">
        <f t="shared" ca="1" si="7"/>
        <v>1</v>
      </c>
      <c r="JA23">
        <f t="shared" ca="1" si="7"/>
        <v>0</v>
      </c>
      <c r="JB23">
        <f t="shared" ca="1" si="7"/>
        <v>1</v>
      </c>
    </row>
    <row r="24" spans="1:262" x14ac:dyDescent="0.25">
      <c r="A24" s="169">
        <v>21</v>
      </c>
      <c r="B24" s="53" t="s">
        <v>422</v>
      </c>
      <c r="C24">
        <v>0</v>
      </c>
      <c r="D24">
        <v>0</v>
      </c>
      <c r="E24">
        <v>0</v>
      </c>
      <c r="F24">
        <v>0</v>
      </c>
      <c r="G24">
        <v>0</v>
      </c>
      <c r="H24">
        <v>1</v>
      </c>
      <c r="I24">
        <v>0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1</v>
      </c>
      <c r="BE24">
        <v>0</v>
      </c>
      <c r="BF24">
        <v>1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1</v>
      </c>
      <c r="FE24">
        <v>0</v>
      </c>
      <c r="FF24">
        <v>1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f t="shared" ref="IY24:JB43" ca="1" si="8">SUMIFS($BK24:$IX24,$BK$3:$IX$3,IY$3,$BK$1:$IX$1,"&gt;0")</f>
        <v>0</v>
      </c>
      <c r="IZ24">
        <f t="shared" ca="1" si="8"/>
        <v>1</v>
      </c>
      <c r="JA24">
        <f t="shared" ca="1" si="8"/>
        <v>0</v>
      </c>
      <c r="JB24">
        <f t="shared" ca="1" si="8"/>
        <v>1</v>
      </c>
    </row>
    <row r="25" spans="1:262" x14ac:dyDescent="0.25">
      <c r="A25" s="169">
        <v>22</v>
      </c>
      <c r="B25" s="53" t="s">
        <v>426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1</v>
      </c>
      <c r="BD25">
        <v>0</v>
      </c>
      <c r="BE25">
        <v>0</v>
      </c>
      <c r="BF25">
        <v>1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1</v>
      </c>
      <c r="GR25">
        <v>0</v>
      </c>
      <c r="GS25">
        <v>0</v>
      </c>
      <c r="GT25">
        <v>1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f t="shared" ca="1" si="8"/>
        <v>1</v>
      </c>
      <c r="IZ25">
        <f t="shared" ca="1" si="8"/>
        <v>0</v>
      </c>
      <c r="JA25">
        <f t="shared" ca="1" si="8"/>
        <v>0</v>
      </c>
      <c r="JB25">
        <f t="shared" ca="1" si="8"/>
        <v>1</v>
      </c>
    </row>
    <row r="26" spans="1:262" x14ac:dyDescent="0.25">
      <c r="A26" s="169">
        <v>23</v>
      </c>
      <c r="B26" s="53" t="s">
        <v>427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1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1</v>
      </c>
      <c r="GS26">
        <v>0</v>
      </c>
      <c r="GT26">
        <v>1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f t="shared" ca="1" si="8"/>
        <v>0</v>
      </c>
      <c r="IZ26">
        <f t="shared" ca="1" si="8"/>
        <v>1</v>
      </c>
      <c r="JA26">
        <f t="shared" ca="1" si="8"/>
        <v>0</v>
      </c>
      <c r="JB26">
        <f t="shared" ca="1" si="8"/>
        <v>1</v>
      </c>
    </row>
    <row r="27" spans="1:262" x14ac:dyDescent="0.25">
      <c r="A27" s="169">
        <v>24</v>
      </c>
      <c r="B27" s="53" t="s">
        <v>419</v>
      </c>
      <c r="C27">
        <v>2</v>
      </c>
      <c r="D27">
        <v>0</v>
      </c>
      <c r="E27">
        <v>0</v>
      </c>
      <c r="F27">
        <v>2</v>
      </c>
      <c r="G27">
        <v>5</v>
      </c>
      <c r="H27">
        <v>0</v>
      </c>
      <c r="I27">
        <v>0</v>
      </c>
      <c r="J27">
        <v>5</v>
      </c>
      <c r="K27">
        <v>0</v>
      </c>
      <c r="L27">
        <v>1</v>
      </c>
      <c r="M27">
        <v>0</v>
      </c>
      <c r="N27">
        <v>1</v>
      </c>
      <c r="O27">
        <v>3</v>
      </c>
      <c r="P27">
        <v>0</v>
      </c>
      <c r="Q27">
        <v>0</v>
      </c>
      <c r="R27">
        <v>3</v>
      </c>
      <c r="S27">
        <v>1</v>
      </c>
      <c r="T27">
        <v>0</v>
      </c>
      <c r="U27">
        <v>0</v>
      </c>
      <c r="V27">
        <v>1</v>
      </c>
      <c r="W27">
        <v>3</v>
      </c>
      <c r="X27">
        <v>0</v>
      </c>
      <c r="Y27">
        <v>0</v>
      </c>
      <c r="Z27">
        <v>3</v>
      </c>
      <c r="AA27">
        <v>1</v>
      </c>
      <c r="AB27">
        <v>0</v>
      </c>
      <c r="AC27">
        <v>0</v>
      </c>
      <c r="AD27">
        <v>1</v>
      </c>
      <c r="AE27">
        <v>1</v>
      </c>
      <c r="AF27">
        <v>0</v>
      </c>
      <c r="AG27">
        <v>0</v>
      </c>
      <c r="AH27">
        <v>1</v>
      </c>
      <c r="AI27">
        <v>1</v>
      </c>
      <c r="AJ27">
        <v>0</v>
      </c>
      <c r="AK27">
        <v>0</v>
      </c>
      <c r="AL27">
        <v>1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0</v>
      </c>
      <c r="AS27">
        <v>0</v>
      </c>
      <c r="AT27">
        <v>1</v>
      </c>
      <c r="AU27">
        <v>0</v>
      </c>
      <c r="AV27">
        <v>0</v>
      </c>
      <c r="AW27">
        <v>0</v>
      </c>
      <c r="AX27">
        <v>0</v>
      </c>
      <c r="AY27">
        <v>1</v>
      </c>
      <c r="AZ27">
        <v>0</v>
      </c>
      <c r="BA27">
        <v>0</v>
      </c>
      <c r="BB27">
        <v>1</v>
      </c>
      <c r="BC27">
        <v>1</v>
      </c>
      <c r="BD27">
        <v>1</v>
      </c>
      <c r="BE27">
        <v>0</v>
      </c>
      <c r="BF27">
        <v>2</v>
      </c>
      <c r="BG27">
        <v>2</v>
      </c>
      <c r="BH27">
        <v>0</v>
      </c>
      <c r="BI27">
        <v>0</v>
      </c>
      <c r="BJ27">
        <v>2</v>
      </c>
      <c r="BK27">
        <v>1</v>
      </c>
      <c r="BL27">
        <v>0</v>
      </c>
      <c r="BM27">
        <v>0</v>
      </c>
      <c r="BN27">
        <v>1</v>
      </c>
      <c r="BO27">
        <v>1</v>
      </c>
      <c r="BP27">
        <v>0</v>
      </c>
      <c r="BQ27">
        <v>0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1</v>
      </c>
      <c r="CB27">
        <v>0</v>
      </c>
      <c r="CC27">
        <v>0</v>
      </c>
      <c r="CD27">
        <v>1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</v>
      </c>
      <c r="DD27">
        <v>0</v>
      </c>
      <c r="DE27">
        <v>0</v>
      </c>
      <c r="DF27">
        <v>1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1</v>
      </c>
      <c r="DP27">
        <v>0</v>
      </c>
      <c r="DQ27">
        <v>0</v>
      </c>
      <c r="DR27">
        <v>1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1</v>
      </c>
      <c r="EN27">
        <v>0</v>
      </c>
      <c r="EO27">
        <v>0</v>
      </c>
      <c r="EP27">
        <v>1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1</v>
      </c>
      <c r="FH27">
        <v>0</v>
      </c>
      <c r="FI27">
        <v>0</v>
      </c>
      <c r="FJ27">
        <v>1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1</v>
      </c>
      <c r="GS27">
        <v>0</v>
      </c>
      <c r="GT27">
        <v>1</v>
      </c>
      <c r="GU27">
        <v>0</v>
      </c>
      <c r="GV27">
        <v>0</v>
      </c>
      <c r="GW27">
        <v>0</v>
      </c>
      <c r="GX27">
        <v>0</v>
      </c>
      <c r="GY27">
        <v>1</v>
      </c>
      <c r="GZ27">
        <v>0</v>
      </c>
      <c r="HA27">
        <v>0</v>
      </c>
      <c r="HB27">
        <v>1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1</v>
      </c>
      <c r="IB27">
        <v>0</v>
      </c>
      <c r="IC27">
        <v>0</v>
      </c>
      <c r="ID27">
        <v>1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1</v>
      </c>
      <c r="IN27">
        <v>0</v>
      </c>
      <c r="IO27">
        <v>0</v>
      </c>
      <c r="IP27">
        <v>1</v>
      </c>
      <c r="IQ27">
        <v>0</v>
      </c>
      <c r="IR27">
        <v>0</v>
      </c>
      <c r="IS27">
        <v>0</v>
      </c>
      <c r="IT27">
        <v>0</v>
      </c>
      <c r="IU27">
        <v>1</v>
      </c>
      <c r="IV27">
        <v>0</v>
      </c>
      <c r="IW27">
        <v>0</v>
      </c>
      <c r="IX27">
        <v>1</v>
      </c>
      <c r="IY27">
        <f t="shared" ca="1" si="8"/>
        <v>11</v>
      </c>
      <c r="IZ27">
        <f t="shared" ca="1" si="8"/>
        <v>1</v>
      </c>
      <c r="JA27">
        <f t="shared" ca="1" si="8"/>
        <v>0</v>
      </c>
      <c r="JB27">
        <f t="shared" ca="1" si="8"/>
        <v>12</v>
      </c>
    </row>
    <row r="28" spans="1:262" x14ac:dyDescent="0.25">
      <c r="A28" s="169">
        <v>25</v>
      </c>
      <c r="B28" s="53" t="s">
        <v>428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1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1</v>
      </c>
      <c r="BE28">
        <v>0</v>
      </c>
      <c r="BF28">
        <v>1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1</v>
      </c>
      <c r="IO28">
        <v>0</v>
      </c>
      <c r="IP28">
        <v>1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f t="shared" ca="1" si="8"/>
        <v>0</v>
      </c>
      <c r="IZ28">
        <f t="shared" ca="1" si="8"/>
        <v>1</v>
      </c>
      <c r="JA28">
        <f t="shared" ca="1" si="8"/>
        <v>0</v>
      </c>
      <c r="JB28">
        <f t="shared" ca="1" si="8"/>
        <v>1</v>
      </c>
    </row>
    <row r="29" spans="1:262" x14ac:dyDescent="0.25">
      <c r="A29" s="169">
        <v>26</v>
      </c>
      <c r="B29" s="53" t="s">
        <v>429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1</v>
      </c>
      <c r="BT29">
        <v>0</v>
      </c>
      <c r="BU29">
        <v>0</v>
      </c>
      <c r="BV29">
        <v>1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f t="shared" ca="1" si="8"/>
        <v>1</v>
      </c>
      <c r="IZ29">
        <f t="shared" ca="1" si="8"/>
        <v>0</v>
      </c>
      <c r="JA29">
        <f t="shared" ca="1" si="8"/>
        <v>0</v>
      </c>
      <c r="JB29">
        <f t="shared" ca="1" si="8"/>
        <v>1</v>
      </c>
    </row>
    <row r="30" spans="1:262" x14ac:dyDescent="0.25">
      <c r="A30" s="177">
        <v>27</v>
      </c>
      <c r="B30" s="178" t="s">
        <v>380</v>
      </c>
      <c r="C30">
        <v>0</v>
      </c>
      <c r="D30">
        <v>0</v>
      </c>
      <c r="E30">
        <v>0</v>
      </c>
      <c r="F30">
        <v>0</v>
      </c>
      <c r="G30">
        <v>5</v>
      </c>
      <c r="H30">
        <v>1</v>
      </c>
      <c r="I30">
        <v>0</v>
      </c>
      <c r="J30">
        <v>6</v>
      </c>
      <c r="K30">
        <v>1</v>
      </c>
      <c r="L30">
        <v>0</v>
      </c>
      <c r="M30">
        <v>0</v>
      </c>
      <c r="N30">
        <v>1</v>
      </c>
      <c r="O30">
        <v>2</v>
      </c>
      <c r="P30">
        <v>0</v>
      </c>
      <c r="Q30">
        <v>1</v>
      </c>
      <c r="R30">
        <v>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5</v>
      </c>
      <c r="AB30">
        <v>1</v>
      </c>
      <c r="AC30">
        <v>1</v>
      </c>
      <c r="AD30">
        <v>7</v>
      </c>
      <c r="AE30">
        <v>1</v>
      </c>
      <c r="AF30">
        <v>0</v>
      </c>
      <c r="AG30">
        <v>0</v>
      </c>
      <c r="AH30">
        <v>1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2</v>
      </c>
      <c r="BD30">
        <v>0</v>
      </c>
      <c r="BE30">
        <v>0</v>
      </c>
      <c r="BF30">
        <v>2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1</v>
      </c>
      <c r="BY30">
        <v>0</v>
      </c>
      <c r="BZ30">
        <v>1</v>
      </c>
      <c r="CA30">
        <v>1</v>
      </c>
      <c r="CB30">
        <v>0</v>
      </c>
      <c r="CC30">
        <v>0</v>
      </c>
      <c r="CD30">
        <v>1</v>
      </c>
      <c r="CE30">
        <v>1</v>
      </c>
      <c r="CF30">
        <v>0</v>
      </c>
      <c r="CG30">
        <v>0</v>
      </c>
      <c r="CH30">
        <v>1</v>
      </c>
      <c r="CI30">
        <v>1</v>
      </c>
      <c r="CJ30">
        <v>0</v>
      </c>
      <c r="CK30">
        <v>0</v>
      </c>
      <c r="CL30">
        <v>1</v>
      </c>
      <c r="CM30">
        <v>1</v>
      </c>
      <c r="CN30">
        <v>0</v>
      </c>
      <c r="CO30">
        <v>0</v>
      </c>
      <c r="CP30">
        <v>1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1</v>
      </c>
      <c r="FD30">
        <v>0</v>
      </c>
      <c r="FE30">
        <v>0</v>
      </c>
      <c r="FF30">
        <v>1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1</v>
      </c>
      <c r="GR30">
        <v>0</v>
      </c>
      <c r="GS30">
        <v>0</v>
      </c>
      <c r="GT30">
        <v>1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1</v>
      </c>
      <c r="HH30">
        <v>0</v>
      </c>
      <c r="HI30">
        <v>0</v>
      </c>
      <c r="HJ30">
        <v>1</v>
      </c>
      <c r="HK30">
        <v>1</v>
      </c>
      <c r="HL30">
        <v>0</v>
      </c>
      <c r="HM30">
        <v>1</v>
      </c>
      <c r="HN30">
        <v>2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f t="shared" ca="1" si="8"/>
        <v>8</v>
      </c>
      <c r="IZ30">
        <f t="shared" ca="1" si="8"/>
        <v>1</v>
      </c>
      <c r="JA30">
        <f t="shared" ca="1" si="8"/>
        <v>1</v>
      </c>
      <c r="JB30">
        <f t="shared" ca="1" si="8"/>
        <v>10</v>
      </c>
    </row>
    <row r="31" spans="1:262" x14ac:dyDescent="0.25">
      <c r="A31" s="177">
        <v>28</v>
      </c>
      <c r="B31" s="178" t="s">
        <v>381</v>
      </c>
      <c r="C31">
        <v>0</v>
      </c>
      <c r="D31">
        <v>0</v>
      </c>
      <c r="E31">
        <v>1</v>
      </c>
      <c r="F31">
        <v>1</v>
      </c>
      <c r="G31">
        <v>3</v>
      </c>
      <c r="H31">
        <v>1</v>
      </c>
      <c r="I31">
        <v>0</v>
      </c>
      <c r="J31">
        <v>4</v>
      </c>
      <c r="K31">
        <v>1</v>
      </c>
      <c r="L31">
        <v>0</v>
      </c>
      <c r="M31">
        <v>1</v>
      </c>
      <c r="N31">
        <v>2</v>
      </c>
      <c r="O31">
        <v>3</v>
      </c>
      <c r="P31">
        <v>0</v>
      </c>
      <c r="Q31">
        <v>0</v>
      </c>
      <c r="R31">
        <v>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3</v>
      </c>
      <c r="AB31">
        <v>1</v>
      </c>
      <c r="AC31">
        <v>0</v>
      </c>
      <c r="AD31">
        <v>4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0</v>
      </c>
      <c r="AO31">
        <v>0</v>
      </c>
      <c r="AP31">
        <v>1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1</v>
      </c>
      <c r="AZ31">
        <v>0</v>
      </c>
      <c r="BA31">
        <v>0</v>
      </c>
      <c r="BB31">
        <v>1</v>
      </c>
      <c r="BC31">
        <v>2</v>
      </c>
      <c r="BD31">
        <v>0</v>
      </c>
      <c r="BE31">
        <v>1</v>
      </c>
      <c r="BF31">
        <v>3</v>
      </c>
      <c r="BG31">
        <v>0</v>
      </c>
      <c r="BH31">
        <v>0</v>
      </c>
      <c r="BI31">
        <v>1</v>
      </c>
      <c r="BJ31">
        <v>1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1</v>
      </c>
      <c r="BY31">
        <v>0</v>
      </c>
      <c r="BZ31">
        <v>1</v>
      </c>
      <c r="CA31">
        <v>1</v>
      </c>
      <c r="CB31">
        <v>0</v>
      </c>
      <c r="CC31">
        <v>0</v>
      </c>
      <c r="CD31">
        <v>1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1</v>
      </c>
      <c r="DT31">
        <v>0</v>
      </c>
      <c r="DU31">
        <v>0</v>
      </c>
      <c r="DV31">
        <v>1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1</v>
      </c>
      <c r="EN31">
        <v>0</v>
      </c>
      <c r="EO31">
        <v>0</v>
      </c>
      <c r="EP31">
        <v>1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1</v>
      </c>
      <c r="GR31">
        <v>0</v>
      </c>
      <c r="GS31">
        <v>1</v>
      </c>
      <c r="GT31">
        <v>2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1</v>
      </c>
      <c r="HH31">
        <v>0</v>
      </c>
      <c r="HI31">
        <v>0</v>
      </c>
      <c r="HJ31">
        <v>1</v>
      </c>
      <c r="HK31">
        <v>1</v>
      </c>
      <c r="HL31">
        <v>0</v>
      </c>
      <c r="HM31">
        <v>0</v>
      </c>
      <c r="HN31">
        <v>1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1</v>
      </c>
      <c r="IN31">
        <v>0</v>
      </c>
      <c r="IO31">
        <v>0</v>
      </c>
      <c r="IP31">
        <v>1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f t="shared" ca="1" si="8"/>
        <v>7</v>
      </c>
      <c r="IZ31">
        <f t="shared" ca="1" si="8"/>
        <v>1</v>
      </c>
      <c r="JA31">
        <f t="shared" ca="1" si="8"/>
        <v>2</v>
      </c>
      <c r="JB31">
        <f t="shared" ca="1" si="8"/>
        <v>10</v>
      </c>
    </row>
    <row r="32" spans="1:262" x14ac:dyDescent="0.25">
      <c r="A32" s="177">
        <v>29</v>
      </c>
      <c r="B32" s="178" t="s">
        <v>382</v>
      </c>
      <c r="C32">
        <v>0</v>
      </c>
      <c r="D32">
        <v>0</v>
      </c>
      <c r="E32">
        <v>0</v>
      </c>
      <c r="F32">
        <v>0</v>
      </c>
      <c r="G32">
        <v>6</v>
      </c>
      <c r="H32">
        <v>1</v>
      </c>
      <c r="I32">
        <v>2</v>
      </c>
      <c r="J32">
        <v>9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1</v>
      </c>
      <c r="R32">
        <v>2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5</v>
      </c>
      <c r="AF32">
        <v>1</v>
      </c>
      <c r="AG32">
        <v>2</v>
      </c>
      <c r="AH32">
        <v>8</v>
      </c>
      <c r="AI32">
        <v>1</v>
      </c>
      <c r="AJ32">
        <v>0</v>
      </c>
      <c r="AK32">
        <v>0</v>
      </c>
      <c r="AL32">
        <v>1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1</v>
      </c>
      <c r="AZ32">
        <v>0</v>
      </c>
      <c r="BA32">
        <v>1</v>
      </c>
      <c r="BB32">
        <v>2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1</v>
      </c>
      <c r="CO32">
        <v>0</v>
      </c>
      <c r="CP32">
        <v>1</v>
      </c>
      <c r="CQ32">
        <v>1</v>
      </c>
      <c r="CR32">
        <v>0</v>
      </c>
      <c r="CS32">
        <v>0</v>
      </c>
      <c r="CT32">
        <v>1</v>
      </c>
      <c r="CU32">
        <v>1</v>
      </c>
      <c r="CV32">
        <v>0</v>
      </c>
      <c r="CW32">
        <v>0</v>
      </c>
      <c r="CX32">
        <v>1</v>
      </c>
      <c r="CY32">
        <v>1</v>
      </c>
      <c r="CZ32">
        <v>0</v>
      </c>
      <c r="DA32">
        <v>0</v>
      </c>
      <c r="DB32">
        <v>1</v>
      </c>
      <c r="DC32">
        <v>1</v>
      </c>
      <c r="DD32">
        <v>0</v>
      </c>
      <c r="DE32">
        <v>1</v>
      </c>
      <c r="DF32">
        <v>2</v>
      </c>
      <c r="DG32">
        <v>1</v>
      </c>
      <c r="DH32">
        <v>0</v>
      </c>
      <c r="DI32">
        <v>0</v>
      </c>
      <c r="DJ32">
        <v>1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1</v>
      </c>
      <c r="EN32">
        <v>0</v>
      </c>
      <c r="EO32">
        <v>0</v>
      </c>
      <c r="EP32">
        <v>1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1</v>
      </c>
      <c r="FB32">
        <v>1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1</v>
      </c>
      <c r="HP32">
        <v>0</v>
      </c>
      <c r="HQ32">
        <v>1</v>
      </c>
      <c r="HR32">
        <v>2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f t="shared" ca="1" si="8"/>
        <v>7</v>
      </c>
      <c r="IZ32">
        <f t="shared" ca="1" si="8"/>
        <v>1</v>
      </c>
      <c r="JA32">
        <f t="shared" ca="1" si="8"/>
        <v>3</v>
      </c>
      <c r="JB32">
        <f t="shared" ca="1" si="8"/>
        <v>11</v>
      </c>
    </row>
    <row r="33" spans="1:262" x14ac:dyDescent="0.25">
      <c r="A33" s="177">
        <v>30</v>
      </c>
      <c r="B33" s="178" t="s">
        <v>383</v>
      </c>
      <c r="C33">
        <v>0</v>
      </c>
      <c r="D33">
        <v>0</v>
      </c>
      <c r="E33">
        <v>0</v>
      </c>
      <c r="F33">
        <v>0</v>
      </c>
      <c r="G33">
        <v>3</v>
      </c>
      <c r="H33">
        <v>1</v>
      </c>
      <c r="I33">
        <v>1</v>
      </c>
      <c r="J33">
        <v>5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1</v>
      </c>
      <c r="R33">
        <v>2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3</v>
      </c>
      <c r="AJ33">
        <v>1</v>
      </c>
      <c r="AK33">
        <v>1</v>
      </c>
      <c r="AL33">
        <v>5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0</v>
      </c>
      <c r="BA33">
        <v>1</v>
      </c>
      <c r="BB33">
        <v>2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1</v>
      </c>
      <c r="DI33">
        <v>0</v>
      </c>
      <c r="DJ33">
        <v>1</v>
      </c>
      <c r="DK33">
        <v>1</v>
      </c>
      <c r="DL33">
        <v>0</v>
      </c>
      <c r="DM33">
        <v>0</v>
      </c>
      <c r="DN33">
        <v>1</v>
      </c>
      <c r="DO33">
        <v>1</v>
      </c>
      <c r="DP33">
        <v>0</v>
      </c>
      <c r="DQ33">
        <v>0</v>
      </c>
      <c r="DR33">
        <v>1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1</v>
      </c>
      <c r="EN33">
        <v>0</v>
      </c>
      <c r="EO33">
        <v>0</v>
      </c>
      <c r="EP33">
        <v>1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1</v>
      </c>
      <c r="FB33">
        <v>1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1</v>
      </c>
      <c r="HT33">
        <v>0</v>
      </c>
      <c r="HU33">
        <v>1</v>
      </c>
      <c r="HV33">
        <v>2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f t="shared" ca="1" si="8"/>
        <v>4</v>
      </c>
      <c r="IZ33">
        <f t="shared" ca="1" si="8"/>
        <v>1</v>
      </c>
      <c r="JA33">
        <f t="shared" ca="1" si="8"/>
        <v>2</v>
      </c>
      <c r="JB33">
        <f t="shared" ca="1" si="8"/>
        <v>7</v>
      </c>
    </row>
    <row r="34" spans="1:262" x14ac:dyDescent="0.25">
      <c r="A34" s="177">
        <v>31</v>
      </c>
      <c r="B34" s="178" t="s">
        <v>384</v>
      </c>
      <c r="C34">
        <v>0</v>
      </c>
      <c r="D34">
        <v>0</v>
      </c>
      <c r="E34">
        <v>0</v>
      </c>
      <c r="F34">
        <v>0</v>
      </c>
      <c r="G34">
        <v>5</v>
      </c>
      <c r="H34">
        <v>1</v>
      </c>
      <c r="I34">
        <v>1</v>
      </c>
      <c r="J34">
        <v>7</v>
      </c>
      <c r="K34">
        <v>1</v>
      </c>
      <c r="L34">
        <v>0</v>
      </c>
      <c r="M34">
        <v>2</v>
      </c>
      <c r="N34">
        <v>3</v>
      </c>
      <c r="O34">
        <v>1</v>
      </c>
      <c r="P34">
        <v>0</v>
      </c>
      <c r="Q34">
        <v>1</v>
      </c>
      <c r="R34">
        <v>2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1</v>
      </c>
      <c r="AJ34">
        <v>0</v>
      </c>
      <c r="AK34">
        <v>0</v>
      </c>
      <c r="AL34">
        <v>1</v>
      </c>
      <c r="AM34">
        <v>2</v>
      </c>
      <c r="AN34">
        <v>1</v>
      </c>
      <c r="AO34">
        <v>2</v>
      </c>
      <c r="AP34">
        <v>5</v>
      </c>
      <c r="AQ34">
        <v>1</v>
      </c>
      <c r="AR34">
        <v>0</v>
      </c>
      <c r="AS34">
        <v>0</v>
      </c>
      <c r="AT34">
        <v>1</v>
      </c>
      <c r="AU34">
        <v>0</v>
      </c>
      <c r="AV34">
        <v>0</v>
      </c>
      <c r="AW34">
        <v>0</v>
      </c>
      <c r="AX34">
        <v>0</v>
      </c>
      <c r="AY34">
        <v>1</v>
      </c>
      <c r="AZ34">
        <v>0</v>
      </c>
      <c r="BA34">
        <v>1</v>
      </c>
      <c r="BB34">
        <v>2</v>
      </c>
      <c r="BC34">
        <v>1</v>
      </c>
      <c r="BD34">
        <v>0</v>
      </c>
      <c r="BE34">
        <v>1</v>
      </c>
      <c r="BF34">
        <v>2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1</v>
      </c>
      <c r="BX34">
        <v>0</v>
      </c>
      <c r="BY34">
        <v>0</v>
      </c>
      <c r="BZ34">
        <v>1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1</v>
      </c>
      <c r="DL34">
        <v>0</v>
      </c>
      <c r="DM34">
        <v>0</v>
      </c>
      <c r="DN34">
        <v>1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1</v>
      </c>
      <c r="DU34">
        <v>0</v>
      </c>
      <c r="DV34">
        <v>1</v>
      </c>
      <c r="DW34">
        <v>1</v>
      </c>
      <c r="DX34">
        <v>0</v>
      </c>
      <c r="DY34">
        <v>0</v>
      </c>
      <c r="DZ34">
        <v>1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1</v>
      </c>
      <c r="EN34">
        <v>0</v>
      </c>
      <c r="EO34">
        <v>0</v>
      </c>
      <c r="EP34">
        <v>1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1</v>
      </c>
      <c r="FB34">
        <v>1</v>
      </c>
      <c r="FC34">
        <v>1</v>
      </c>
      <c r="FD34">
        <v>0</v>
      </c>
      <c r="FE34">
        <v>0</v>
      </c>
      <c r="FF34">
        <v>1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1</v>
      </c>
      <c r="FT34">
        <v>0</v>
      </c>
      <c r="FU34">
        <v>1</v>
      </c>
      <c r="FV34">
        <v>2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1</v>
      </c>
      <c r="GT34">
        <v>1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1</v>
      </c>
      <c r="HX34">
        <v>0</v>
      </c>
      <c r="HY34">
        <v>1</v>
      </c>
      <c r="HZ34">
        <v>2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f t="shared" ca="1" si="8"/>
        <v>7</v>
      </c>
      <c r="IZ34">
        <f t="shared" ca="1" si="8"/>
        <v>1</v>
      </c>
      <c r="JA34">
        <f t="shared" ca="1" si="8"/>
        <v>4</v>
      </c>
      <c r="JB34">
        <f t="shared" ca="1" si="8"/>
        <v>12</v>
      </c>
    </row>
    <row r="35" spans="1:262" x14ac:dyDescent="0.25">
      <c r="A35" s="177">
        <v>32</v>
      </c>
      <c r="B35" s="178" t="s">
        <v>385</v>
      </c>
      <c r="C35">
        <v>0</v>
      </c>
      <c r="D35">
        <v>0</v>
      </c>
      <c r="E35">
        <v>0</v>
      </c>
      <c r="F35">
        <v>0</v>
      </c>
      <c r="G35">
        <v>7</v>
      </c>
      <c r="H35">
        <v>1</v>
      </c>
      <c r="I35">
        <v>1</v>
      </c>
      <c r="J35">
        <v>9</v>
      </c>
      <c r="K35">
        <v>4</v>
      </c>
      <c r="L35">
        <v>0</v>
      </c>
      <c r="M35">
        <v>3</v>
      </c>
      <c r="N35">
        <v>7</v>
      </c>
      <c r="O35">
        <v>3</v>
      </c>
      <c r="P35">
        <v>0</v>
      </c>
      <c r="Q35">
        <v>2</v>
      </c>
      <c r="R35">
        <v>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0</v>
      </c>
      <c r="AK35">
        <v>0</v>
      </c>
      <c r="AL35">
        <v>1</v>
      </c>
      <c r="AM35">
        <v>0</v>
      </c>
      <c r="AN35">
        <v>0</v>
      </c>
      <c r="AO35">
        <v>0</v>
      </c>
      <c r="AP35">
        <v>0</v>
      </c>
      <c r="AQ35">
        <v>5</v>
      </c>
      <c r="AR35">
        <v>1</v>
      </c>
      <c r="AS35">
        <v>4</v>
      </c>
      <c r="AT35">
        <v>10</v>
      </c>
      <c r="AU35">
        <v>3</v>
      </c>
      <c r="AV35">
        <v>0</v>
      </c>
      <c r="AW35">
        <v>0</v>
      </c>
      <c r="AX35">
        <v>3</v>
      </c>
      <c r="AY35">
        <v>2</v>
      </c>
      <c r="AZ35">
        <v>0</v>
      </c>
      <c r="BA35">
        <v>1</v>
      </c>
      <c r="BB35">
        <v>3</v>
      </c>
      <c r="BC35">
        <v>1</v>
      </c>
      <c r="BD35">
        <v>0</v>
      </c>
      <c r="BE35">
        <v>0</v>
      </c>
      <c r="BF35">
        <v>1</v>
      </c>
      <c r="BG35">
        <v>2</v>
      </c>
      <c r="BH35">
        <v>0</v>
      </c>
      <c r="BI35">
        <v>1</v>
      </c>
      <c r="BJ35">
        <v>3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1</v>
      </c>
      <c r="DP35">
        <v>0</v>
      </c>
      <c r="DQ35">
        <v>0</v>
      </c>
      <c r="DR35">
        <v>1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1</v>
      </c>
      <c r="DY35">
        <v>0</v>
      </c>
      <c r="DZ35">
        <v>1</v>
      </c>
      <c r="EA35">
        <v>1</v>
      </c>
      <c r="EB35">
        <v>0</v>
      </c>
      <c r="EC35">
        <v>0</v>
      </c>
      <c r="ED35">
        <v>1</v>
      </c>
      <c r="EE35">
        <v>1</v>
      </c>
      <c r="EF35">
        <v>0</v>
      </c>
      <c r="EG35">
        <v>0</v>
      </c>
      <c r="EH35">
        <v>1</v>
      </c>
      <c r="EI35">
        <v>0</v>
      </c>
      <c r="EJ35">
        <v>0</v>
      </c>
      <c r="EK35">
        <v>0</v>
      </c>
      <c r="EL35">
        <v>0</v>
      </c>
      <c r="EM35">
        <v>1</v>
      </c>
      <c r="EN35">
        <v>0</v>
      </c>
      <c r="EO35">
        <v>0</v>
      </c>
      <c r="EP35">
        <v>1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1</v>
      </c>
      <c r="EZ35">
        <v>0</v>
      </c>
      <c r="FA35">
        <v>1</v>
      </c>
      <c r="FB35">
        <v>2</v>
      </c>
      <c r="FC35">
        <v>1</v>
      </c>
      <c r="FD35">
        <v>0</v>
      </c>
      <c r="FE35">
        <v>0</v>
      </c>
      <c r="FF35">
        <v>1</v>
      </c>
      <c r="FG35">
        <v>1</v>
      </c>
      <c r="FH35">
        <v>0</v>
      </c>
      <c r="FI35">
        <v>0</v>
      </c>
      <c r="FJ35">
        <v>1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1</v>
      </c>
      <c r="FX35">
        <v>0</v>
      </c>
      <c r="FY35">
        <v>1</v>
      </c>
      <c r="FZ35">
        <v>2</v>
      </c>
      <c r="GA35">
        <v>1</v>
      </c>
      <c r="GB35">
        <v>0</v>
      </c>
      <c r="GC35">
        <v>1</v>
      </c>
      <c r="GD35">
        <v>2</v>
      </c>
      <c r="GE35">
        <v>1</v>
      </c>
      <c r="GF35">
        <v>0</v>
      </c>
      <c r="GG35">
        <v>1</v>
      </c>
      <c r="GH35">
        <v>2</v>
      </c>
      <c r="GI35">
        <v>1</v>
      </c>
      <c r="GJ35">
        <v>0</v>
      </c>
      <c r="GK35">
        <v>0</v>
      </c>
      <c r="GL35">
        <v>1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1</v>
      </c>
      <c r="IB35">
        <v>0</v>
      </c>
      <c r="IC35">
        <v>1</v>
      </c>
      <c r="ID35">
        <v>2</v>
      </c>
      <c r="IE35">
        <v>1</v>
      </c>
      <c r="IF35">
        <v>0</v>
      </c>
      <c r="IG35">
        <v>0</v>
      </c>
      <c r="IH35">
        <v>1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1</v>
      </c>
      <c r="IR35">
        <v>0</v>
      </c>
      <c r="IS35">
        <v>1</v>
      </c>
      <c r="IT35">
        <v>2</v>
      </c>
      <c r="IU35">
        <v>0</v>
      </c>
      <c r="IV35">
        <v>0</v>
      </c>
      <c r="IW35">
        <v>0</v>
      </c>
      <c r="IX35">
        <v>0</v>
      </c>
      <c r="IY35">
        <f t="shared" ca="1" si="8"/>
        <v>14</v>
      </c>
      <c r="IZ35">
        <f t="shared" ca="1" si="8"/>
        <v>1</v>
      </c>
      <c r="JA35">
        <f t="shared" ca="1" si="8"/>
        <v>6</v>
      </c>
      <c r="JB35">
        <f t="shared" ca="1" si="8"/>
        <v>21</v>
      </c>
    </row>
    <row r="36" spans="1:262" x14ac:dyDescent="0.25">
      <c r="A36" s="177">
        <v>33</v>
      </c>
      <c r="B36" s="178" t="s">
        <v>386</v>
      </c>
      <c r="C36">
        <v>1</v>
      </c>
      <c r="D36">
        <v>0</v>
      </c>
      <c r="E36">
        <v>1</v>
      </c>
      <c r="F36">
        <v>2</v>
      </c>
      <c r="G36">
        <v>1</v>
      </c>
      <c r="H36">
        <v>1</v>
      </c>
      <c r="I36">
        <v>0</v>
      </c>
      <c r="J36">
        <v>2</v>
      </c>
      <c r="K36">
        <v>3</v>
      </c>
      <c r="L36">
        <v>0</v>
      </c>
      <c r="M36">
        <v>3</v>
      </c>
      <c r="N36">
        <v>6</v>
      </c>
      <c r="O36">
        <v>2</v>
      </c>
      <c r="P36">
        <v>0</v>
      </c>
      <c r="Q36">
        <v>2</v>
      </c>
      <c r="R36">
        <v>4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2</v>
      </c>
      <c r="AV36">
        <v>1</v>
      </c>
      <c r="AW36">
        <v>2</v>
      </c>
      <c r="AX36">
        <v>5</v>
      </c>
      <c r="AY36">
        <v>0</v>
      </c>
      <c r="AZ36">
        <v>0</v>
      </c>
      <c r="BA36">
        <v>0</v>
      </c>
      <c r="BB36">
        <v>0</v>
      </c>
      <c r="BC36">
        <v>1</v>
      </c>
      <c r="BD36">
        <v>0</v>
      </c>
      <c r="BE36">
        <v>1</v>
      </c>
      <c r="BF36">
        <v>2</v>
      </c>
      <c r="BG36">
        <v>4</v>
      </c>
      <c r="BH36">
        <v>0</v>
      </c>
      <c r="BI36">
        <v>3</v>
      </c>
      <c r="BJ36">
        <v>7</v>
      </c>
      <c r="BK36">
        <v>0</v>
      </c>
      <c r="BL36">
        <v>0</v>
      </c>
      <c r="BM36">
        <v>0</v>
      </c>
      <c r="BN36">
        <v>0</v>
      </c>
      <c r="BO36">
        <v>1</v>
      </c>
      <c r="BP36">
        <v>0</v>
      </c>
      <c r="BQ36">
        <v>1</v>
      </c>
      <c r="BR36">
        <v>2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1</v>
      </c>
      <c r="EG36">
        <v>0</v>
      </c>
      <c r="EH36">
        <v>1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1</v>
      </c>
      <c r="FH36">
        <v>0</v>
      </c>
      <c r="FI36">
        <v>0</v>
      </c>
      <c r="FJ36">
        <v>1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1</v>
      </c>
      <c r="GJ36">
        <v>0</v>
      </c>
      <c r="GK36">
        <v>1</v>
      </c>
      <c r="GL36">
        <v>2</v>
      </c>
      <c r="GM36">
        <v>0</v>
      </c>
      <c r="GN36">
        <v>0</v>
      </c>
      <c r="GO36">
        <v>0</v>
      </c>
      <c r="GP36">
        <v>0</v>
      </c>
      <c r="GQ36">
        <v>1</v>
      </c>
      <c r="GR36">
        <v>0</v>
      </c>
      <c r="GS36">
        <v>1</v>
      </c>
      <c r="GT36">
        <v>2</v>
      </c>
      <c r="GU36">
        <v>1</v>
      </c>
      <c r="GV36">
        <v>0</v>
      </c>
      <c r="GW36">
        <v>1</v>
      </c>
      <c r="GX36">
        <v>2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1</v>
      </c>
      <c r="IF36">
        <v>0</v>
      </c>
      <c r="IG36">
        <v>1</v>
      </c>
      <c r="IH36">
        <v>2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1</v>
      </c>
      <c r="IR36">
        <v>0</v>
      </c>
      <c r="IS36">
        <v>1</v>
      </c>
      <c r="IT36">
        <v>2</v>
      </c>
      <c r="IU36">
        <v>0</v>
      </c>
      <c r="IV36">
        <v>0</v>
      </c>
      <c r="IW36">
        <v>0</v>
      </c>
      <c r="IX36">
        <v>0</v>
      </c>
      <c r="IY36">
        <f t="shared" ca="1" si="8"/>
        <v>7</v>
      </c>
      <c r="IZ36">
        <f t="shared" ca="1" si="8"/>
        <v>1</v>
      </c>
      <c r="JA36">
        <f t="shared" ca="1" si="8"/>
        <v>6</v>
      </c>
      <c r="JB36">
        <f t="shared" ca="1" si="8"/>
        <v>14</v>
      </c>
    </row>
    <row r="37" spans="1:262" x14ac:dyDescent="0.25">
      <c r="A37" s="177">
        <v>34</v>
      </c>
      <c r="B37" s="178" t="s">
        <v>387</v>
      </c>
      <c r="C37">
        <v>0</v>
      </c>
      <c r="D37">
        <v>0</v>
      </c>
      <c r="E37">
        <v>1</v>
      </c>
      <c r="F37">
        <v>1</v>
      </c>
      <c r="G37">
        <v>7</v>
      </c>
      <c r="H37">
        <v>1</v>
      </c>
      <c r="I37">
        <v>1</v>
      </c>
      <c r="J37">
        <v>9</v>
      </c>
      <c r="K37">
        <v>3</v>
      </c>
      <c r="L37">
        <v>0</v>
      </c>
      <c r="M37">
        <v>1</v>
      </c>
      <c r="N37">
        <v>4</v>
      </c>
      <c r="O37">
        <v>2</v>
      </c>
      <c r="P37">
        <v>0</v>
      </c>
      <c r="Q37">
        <v>1</v>
      </c>
      <c r="R37">
        <v>3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</v>
      </c>
      <c r="AJ37">
        <v>0</v>
      </c>
      <c r="AK37">
        <v>0</v>
      </c>
      <c r="AL37">
        <v>1</v>
      </c>
      <c r="AM37">
        <v>1</v>
      </c>
      <c r="AN37">
        <v>0</v>
      </c>
      <c r="AO37">
        <v>1</v>
      </c>
      <c r="AP37">
        <v>2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6</v>
      </c>
      <c r="AZ37">
        <v>1</v>
      </c>
      <c r="BA37">
        <v>0</v>
      </c>
      <c r="BB37">
        <v>7</v>
      </c>
      <c r="BC37">
        <v>2</v>
      </c>
      <c r="BD37">
        <v>0</v>
      </c>
      <c r="BE37">
        <v>2</v>
      </c>
      <c r="BF37">
        <v>4</v>
      </c>
      <c r="BG37">
        <v>2</v>
      </c>
      <c r="BH37">
        <v>0</v>
      </c>
      <c r="BI37">
        <v>1</v>
      </c>
      <c r="BJ37">
        <v>3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1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1</v>
      </c>
      <c r="DH37">
        <v>0</v>
      </c>
      <c r="DI37">
        <v>0</v>
      </c>
      <c r="DJ37">
        <v>1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1</v>
      </c>
      <c r="DT37">
        <v>0</v>
      </c>
      <c r="DU37">
        <v>1</v>
      </c>
      <c r="DV37">
        <v>2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1</v>
      </c>
      <c r="EK37">
        <v>0</v>
      </c>
      <c r="EL37">
        <v>1</v>
      </c>
      <c r="EM37">
        <v>1</v>
      </c>
      <c r="EN37">
        <v>0</v>
      </c>
      <c r="EO37">
        <v>0</v>
      </c>
      <c r="EP37">
        <v>1</v>
      </c>
      <c r="EQ37">
        <v>1</v>
      </c>
      <c r="ER37">
        <v>0</v>
      </c>
      <c r="ES37">
        <v>0</v>
      </c>
      <c r="ET37">
        <v>1</v>
      </c>
      <c r="EU37">
        <v>1</v>
      </c>
      <c r="EV37">
        <v>0</v>
      </c>
      <c r="EW37">
        <v>0</v>
      </c>
      <c r="EX37">
        <v>1</v>
      </c>
      <c r="EY37">
        <v>1</v>
      </c>
      <c r="EZ37">
        <v>0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0</v>
      </c>
      <c r="FG37">
        <v>1</v>
      </c>
      <c r="FH37">
        <v>0</v>
      </c>
      <c r="FI37">
        <v>0</v>
      </c>
      <c r="FJ37">
        <v>1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1</v>
      </c>
      <c r="GN37">
        <v>0</v>
      </c>
      <c r="GO37">
        <v>0</v>
      </c>
      <c r="GP37">
        <v>1</v>
      </c>
      <c r="GQ37">
        <v>1</v>
      </c>
      <c r="GR37">
        <v>0</v>
      </c>
      <c r="GS37">
        <v>1</v>
      </c>
      <c r="GT37">
        <v>2</v>
      </c>
      <c r="GU37">
        <v>1</v>
      </c>
      <c r="GV37">
        <v>0</v>
      </c>
      <c r="GW37">
        <v>0</v>
      </c>
      <c r="GX37">
        <v>1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1</v>
      </c>
      <c r="IJ37">
        <v>0</v>
      </c>
      <c r="IK37">
        <v>0</v>
      </c>
      <c r="IL37">
        <v>1</v>
      </c>
      <c r="IM37">
        <v>1</v>
      </c>
      <c r="IN37">
        <v>0</v>
      </c>
      <c r="IO37">
        <v>1</v>
      </c>
      <c r="IP37">
        <v>2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f t="shared" ca="1" si="8"/>
        <v>12</v>
      </c>
      <c r="IZ37">
        <f t="shared" ca="1" si="8"/>
        <v>1</v>
      </c>
      <c r="JA37">
        <f t="shared" ca="1" si="8"/>
        <v>4</v>
      </c>
      <c r="JB37">
        <f t="shared" ca="1" si="8"/>
        <v>17</v>
      </c>
    </row>
    <row r="38" spans="1:262" ht="16.5" customHeight="1" x14ac:dyDescent="0.25">
      <c r="A38" s="177">
        <v>35</v>
      </c>
      <c r="B38" s="178" t="s">
        <v>388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1</v>
      </c>
      <c r="J38">
        <v>2</v>
      </c>
      <c r="K38">
        <v>2</v>
      </c>
      <c r="L38">
        <v>0</v>
      </c>
      <c r="M38">
        <v>1</v>
      </c>
      <c r="N38">
        <v>3</v>
      </c>
      <c r="O38">
        <v>1</v>
      </c>
      <c r="P38">
        <v>0</v>
      </c>
      <c r="Q38">
        <v>1</v>
      </c>
      <c r="R38">
        <v>2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1</v>
      </c>
      <c r="AR38">
        <v>0</v>
      </c>
      <c r="AS38">
        <v>0</v>
      </c>
      <c r="AT38">
        <v>1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1</v>
      </c>
      <c r="BB38">
        <v>1</v>
      </c>
      <c r="BC38">
        <v>2</v>
      </c>
      <c r="BD38">
        <v>1</v>
      </c>
      <c r="BE38">
        <v>2</v>
      </c>
      <c r="BF38">
        <v>5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1</v>
      </c>
      <c r="FB38">
        <v>1</v>
      </c>
      <c r="FC38">
        <v>0</v>
      </c>
      <c r="FD38">
        <v>1</v>
      </c>
      <c r="FE38">
        <v>0</v>
      </c>
      <c r="FF38">
        <v>1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1</v>
      </c>
      <c r="FX38">
        <v>0</v>
      </c>
      <c r="FY38">
        <v>0</v>
      </c>
      <c r="FZ38">
        <v>1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1</v>
      </c>
      <c r="GR38">
        <v>0</v>
      </c>
      <c r="GS38">
        <v>1</v>
      </c>
      <c r="GT38">
        <v>2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1</v>
      </c>
      <c r="IN38">
        <v>0</v>
      </c>
      <c r="IO38">
        <v>1</v>
      </c>
      <c r="IP38">
        <v>2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f t="shared" ca="1" si="8"/>
        <v>3</v>
      </c>
      <c r="IZ38">
        <f t="shared" ca="1" si="8"/>
        <v>1</v>
      </c>
      <c r="JA38">
        <f t="shared" ca="1" si="8"/>
        <v>3</v>
      </c>
      <c r="JB38">
        <f t="shared" ca="1" si="8"/>
        <v>7</v>
      </c>
    </row>
    <row r="39" spans="1:262" x14ac:dyDescent="0.25">
      <c r="A39" s="177">
        <v>36</v>
      </c>
      <c r="B39" s="178" t="s">
        <v>389</v>
      </c>
      <c r="C39">
        <v>1</v>
      </c>
      <c r="D39">
        <v>0</v>
      </c>
      <c r="E39">
        <v>1</v>
      </c>
      <c r="F39">
        <v>2</v>
      </c>
      <c r="G39">
        <v>3</v>
      </c>
      <c r="H39">
        <v>1</v>
      </c>
      <c r="I39">
        <v>1</v>
      </c>
      <c r="J39">
        <v>5</v>
      </c>
      <c r="K39">
        <v>2</v>
      </c>
      <c r="L39">
        <v>0</v>
      </c>
      <c r="M39">
        <v>2</v>
      </c>
      <c r="N39">
        <v>4</v>
      </c>
      <c r="O39">
        <v>2</v>
      </c>
      <c r="P39">
        <v>0</v>
      </c>
      <c r="Q39">
        <v>2</v>
      </c>
      <c r="R39">
        <v>4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0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1</v>
      </c>
      <c r="AN39">
        <v>0</v>
      </c>
      <c r="AO39">
        <v>0</v>
      </c>
      <c r="AP39">
        <v>1</v>
      </c>
      <c r="AQ39">
        <v>0</v>
      </c>
      <c r="AR39">
        <v>0</v>
      </c>
      <c r="AS39">
        <v>0</v>
      </c>
      <c r="AT39">
        <v>0</v>
      </c>
      <c r="AU39">
        <v>3</v>
      </c>
      <c r="AV39">
        <v>0</v>
      </c>
      <c r="AW39">
        <v>3</v>
      </c>
      <c r="AX39">
        <v>6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3</v>
      </c>
      <c r="BH39">
        <v>1</v>
      </c>
      <c r="BI39">
        <v>3</v>
      </c>
      <c r="BJ39">
        <v>7</v>
      </c>
      <c r="BK39">
        <v>0</v>
      </c>
      <c r="BL39">
        <v>0</v>
      </c>
      <c r="BM39">
        <v>0</v>
      </c>
      <c r="BN39">
        <v>0</v>
      </c>
      <c r="BO39">
        <v>1</v>
      </c>
      <c r="BP39">
        <v>0</v>
      </c>
      <c r="BQ39">
        <v>1</v>
      </c>
      <c r="BR39">
        <v>2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1</v>
      </c>
      <c r="CB39">
        <v>0</v>
      </c>
      <c r="CC39">
        <v>0</v>
      </c>
      <c r="CD39">
        <v>1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1</v>
      </c>
      <c r="DT39">
        <v>0</v>
      </c>
      <c r="DU39">
        <v>0</v>
      </c>
      <c r="DV39">
        <v>1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1</v>
      </c>
      <c r="EF39">
        <v>0</v>
      </c>
      <c r="EG39">
        <v>1</v>
      </c>
      <c r="EH39">
        <v>2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1</v>
      </c>
      <c r="FI39">
        <v>0</v>
      </c>
      <c r="FJ39">
        <v>1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1</v>
      </c>
      <c r="GJ39">
        <v>0</v>
      </c>
      <c r="GK39">
        <v>1</v>
      </c>
      <c r="GL39">
        <v>2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1</v>
      </c>
      <c r="GV39">
        <v>0</v>
      </c>
      <c r="GW39">
        <v>1</v>
      </c>
      <c r="GX39">
        <v>2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1</v>
      </c>
      <c r="IF39">
        <v>0</v>
      </c>
      <c r="IG39">
        <v>1</v>
      </c>
      <c r="IH39">
        <v>2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1</v>
      </c>
      <c r="IR39">
        <v>0</v>
      </c>
      <c r="IS39">
        <v>1</v>
      </c>
      <c r="IT39">
        <v>2</v>
      </c>
      <c r="IU39">
        <v>0</v>
      </c>
      <c r="IV39">
        <v>0</v>
      </c>
      <c r="IW39">
        <v>0</v>
      </c>
      <c r="IX39">
        <v>0</v>
      </c>
      <c r="IY39">
        <f t="shared" ca="1" si="8"/>
        <v>8</v>
      </c>
      <c r="IZ39">
        <f t="shared" ca="1" si="8"/>
        <v>1</v>
      </c>
      <c r="JA39">
        <f t="shared" ca="1" si="8"/>
        <v>6</v>
      </c>
      <c r="JB39">
        <f t="shared" ca="1" si="8"/>
        <v>15</v>
      </c>
    </row>
    <row r="40" spans="1:262" x14ac:dyDescent="0.25">
      <c r="A40" s="177">
        <v>37</v>
      </c>
      <c r="B40" s="178" t="s">
        <v>390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</v>
      </c>
      <c r="L40">
        <v>0</v>
      </c>
      <c r="M40">
        <v>0</v>
      </c>
      <c r="N40">
        <v>1</v>
      </c>
      <c r="O40">
        <v>3</v>
      </c>
      <c r="P40">
        <v>0</v>
      </c>
      <c r="Q40">
        <v>0</v>
      </c>
      <c r="R40">
        <v>3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1</v>
      </c>
      <c r="AA40">
        <v>1</v>
      </c>
      <c r="AB40">
        <v>0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1</v>
      </c>
      <c r="BD40">
        <v>0</v>
      </c>
      <c r="BE40">
        <v>0</v>
      </c>
      <c r="BF40">
        <v>1</v>
      </c>
      <c r="BG40">
        <v>1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1</v>
      </c>
      <c r="GV40">
        <v>0</v>
      </c>
      <c r="GW40">
        <v>0</v>
      </c>
      <c r="GX40">
        <v>1</v>
      </c>
      <c r="GY40">
        <v>0</v>
      </c>
      <c r="GZ40">
        <v>0</v>
      </c>
      <c r="HA40">
        <v>0</v>
      </c>
      <c r="HB40">
        <v>0</v>
      </c>
      <c r="HC40">
        <v>1</v>
      </c>
      <c r="HD40">
        <v>0</v>
      </c>
      <c r="HE40">
        <v>0</v>
      </c>
      <c r="HF40">
        <v>1</v>
      </c>
      <c r="HG40">
        <v>0</v>
      </c>
      <c r="HH40">
        <v>0</v>
      </c>
      <c r="HI40">
        <v>0</v>
      </c>
      <c r="HJ40">
        <v>0</v>
      </c>
      <c r="HK40">
        <v>1</v>
      </c>
      <c r="HL40">
        <v>0</v>
      </c>
      <c r="HM40">
        <v>0</v>
      </c>
      <c r="HN40">
        <v>1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1</v>
      </c>
      <c r="IN40">
        <v>0</v>
      </c>
      <c r="IO40">
        <v>0</v>
      </c>
      <c r="IP40">
        <v>1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f t="shared" ca="1" si="8"/>
        <v>4</v>
      </c>
      <c r="IZ40">
        <f t="shared" ca="1" si="8"/>
        <v>0</v>
      </c>
      <c r="JA40">
        <f t="shared" ca="1" si="8"/>
        <v>0</v>
      </c>
      <c r="JB40">
        <f t="shared" ca="1" si="8"/>
        <v>4</v>
      </c>
    </row>
    <row r="41" spans="1:262" x14ac:dyDescent="0.25">
      <c r="A41" s="177">
        <v>38</v>
      </c>
      <c r="B41" s="178" t="s">
        <v>391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2</v>
      </c>
      <c r="P41">
        <v>0</v>
      </c>
      <c r="Q41">
        <v>0</v>
      </c>
      <c r="R41">
        <v>2</v>
      </c>
      <c r="S41">
        <v>0</v>
      </c>
      <c r="T41">
        <v>0</v>
      </c>
      <c r="U41">
        <v>0</v>
      </c>
      <c r="V41">
        <v>0</v>
      </c>
      <c r="W41">
        <v>1</v>
      </c>
      <c r="X41">
        <v>0</v>
      </c>
      <c r="Y41">
        <v>0</v>
      </c>
      <c r="Z41">
        <v>1</v>
      </c>
      <c r="AA41">
        <v>1</v>
      </c>
      <c r="AB41">
        <v>0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1</v>
      </c>
      <c r="BD41">
        <v>0</v>
      </c>
      <c r="BE41">
        <v>0</v>
      </c>
      <c r="BF41">
        <v>1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1</v>
      </c>
      <c r="GR41">
        <v>0</v>
      </c>
      <c r="GS41">
        <v>0</v>
      </c>
      <c r="GT41">
        <v>1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1</v>
      </c>
      <c r="HD41">
        <v>0</v>
      </c>
      <c r="HE41">
        <v>0</v>
      </c>
      <c r="HF41">
        <v>1</v>
      </c>
      <c r="HG41">
        <v>0</v>
      </c>
      <c r="HH41">
        <v>0</v>
      </c>
      <c r="HI41">
        <v>0</v>
      </c>
      <c r="HJ41">
        <v>0</v>
      </c>
      <c r="HK41">
        <v>1</v>
      </c>
      <c r="HL41">
        <v>0</v>
      </c>
      <c r="HM41">
        <v>0</v>
      </c>
      <c r="HN41">
        <v>1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f t="shared" ca="1" si="8"/>
        <v>3</v>
      </c>
      <c r="IZ41">
        <f t="shared" ca="1" si="8"/>
        <v>0</v>
      </c>
      <c r="JA41">
        <f t="shared" ca="1" si="8"/>
        <v>0</v>
      </c>
      <c r="JB41">
        <f t="shared" ca="1" si="8"/>
        <v>3</v>
      </c>
    </row>
    <row r="42" spans="1:262" x14ac:dyDescent="0.25">
      <c r="A42" s="177">
        <v>39</v>
      </c>
      <c r="B42" s="178" t="s">
        <v>430</v>
      </c>
      <c r="C42">
        <v>0</v>
      </c>
      <c r="D42">
        <v>0</v>
      </c>
      <c r="E42">
        <v>0</v>
      </c>
      <c r="F42">
        <v>0</v>
      </c>
      <c r="G42">
        <v>12</v>
      </c>
      <c r="H42">
        <v>1</v>
      </c>
      <c r="I42">
        <v>2</v>
      </c>
      <c r="J42">
        <v>15</v>
      </c>
      <c r="K42">
        <v>0</v>
      </c>
      <c r="L42">
        <v>0</v>
      </c>
      <c r="M42">
        <v>2</v>
      </c>
      <c r="N42">
        <v>2</v>
      </c>
      <c r="O42">
        <v>4</v>
      </c>
      <c r="P42">
        <v>0</v>
      </c>
      <c r="Q42">
        <v>1</v>
      </c>
      <c r="R42">
        <v>5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1</v>
      </c>
      <c r="AA42">
        <v>2</v>
      </c>
      <c r="AB42">
        <v>1</v>
      </c>
      <c r="AC42">
        <v>1</v>
      </c>
      <c r="AD42">
        <v>4</v>
      </c>
      <c r="AE42">
        <v>5</v>
      </c>
      <c r="AF42">
        <v>0</v>
      </c>
      <c r="AG42">
        <v>0</v>
      </c>
      <c r="AH42">
        <v>5</v>
      </c>
      <c r="AI42">
        <v>2</v>
      </c>
      <c r="AJ42">
        <v>0</v>
      </c>
      <c r="AK42">
        <v>0</v>
      </c>
      <c r="AL42">
        <v>2</v>
      </c>
      <c r="AM42">
        <v>1</v>
      </c>
      <c r="AN42">
        <v>0</v>
      </c>
      <c r="AO42">
        <v>2</v>
      </c>
      <c r="AP42">
        <v>3</v>
      </c>
      <c r="AQ42">
        <v>2</v>
      </c>
      <c r="AR42">
        <v>0</v>
      </c>
      <c r="AS42">
        <v>0</v>
      </c>
      <c r="AT42">
        <v>2</v>
      </c>
      <c r="AU42">
        <v>0</v>
      </c>
      <c r="AV42">
        <v>0</v>
      </c>
      <c r="AW42">
        <v>0</v>
      </c>
      <c r="AX42">
        <v>0</v>
      </c>
      <c r="AY42">
        <v>2</v>
      </c>
      <c r="AZ42">
        <v>0</v>
      </c>
      <c r="BA42">
        <v>1</v>
      </c>
      <c r="BB42">
        <v>3</v>
      </c>
      <c r="BC42">
        <v>1</v>
      </c>
      <c r="BD42">
        <v>0</v>
      </c>
      <c r="BE42">
        <v>1</v>
      </c>
      <c r="BF42">
        <v>2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1</v>
      </c>
      <c r="CK42">
        <v>0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1</v>
      </c>
      <c r="CR42">
        <v>0</v>
      </c>
      <c r="CS42">
        <v>0</v>
      </c>
      <c r="CT42">
        <v>1</v>
      </c>
      <c r="CU42">
        <v>1</v>
      </c>
      <c r="CV42">
        <v>0</v>
      </c>
      <c r="CW42">
        <v>0</v>
      </c>
      <c r="CX42">
        <v>1</v>
      </c>
      <c r="CY42">
        <v>1</v>
      </c>
      <c r="CZ42">
        <v>0</v>
      </c>
      <c r="DA42">
        <v>0</v>
      </c>
      <c r="DB42">
        <v>1</v>
      </c>
      <c r="DC42">
        <v>1</v>
      </c>
      <c r="DD42">
        <v>0</v>
      </c>
      <c r="DE42">
        <v>0</v>
      </c>
      <c r="DF42">
        <v>1</v>
      </c>
      <c r="DG42">
        <v>0</v>
      </c>
      <c r="DH42">
        <v>0</v>
      </c>
      <c r="DI42">
        <v>0</v>
      </c>
      <c r="DJ42">
        <v>0</v>
      </c>
      <c r="DK42">
        <v>1</v>
      </c>
      <c r="DL42">
        <v>0</v>
      </c>
      <c r="DM42">
        <v>0</v>
      </c>
      <c r="DN42">
        <v>1</v>
      </c>
      <c r="DO42">
        <v>1</v>
      </c>
      <c r="DP42">
        <v>0</v>
      </c>
      <c r="DQ42">
        <v>0</v>
      </c>
      <c r="DR42">
        <v>1</v>
      </c>
      <c r="DS42">
        <v>1</v>
      </c>
      <c r="DT42">
        <v>0</v>
      </c>
      <c r="DU42">
        <v>1</v>
      </c>
      <c r="DV42">
        <v>2</v>
      </c>
      <c r="DW42">
        <v>1</v>
      </c>
      <c r="DX42">
        <v>0</v>
      </c>
      <c r="DY42">
        <v>0</v>
      </c>
      <c r="DZ42">
        <v>1</v>
      </c>
      <c r="EA42">
        <v>1</v>
      </c>
      <c r="EB42">
        <v>0</v>
      </c>
      <c r="EC42">
        <v>0</v>
      </c>
      <c r="ED42">
        <v>1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1</v>
      </c>
      <c r="EN42">
        <v>0</v>
      </c>
      <c r="EO42">
        <v>0</v>
      </c>
      <c r="EP42">
        <v>1</v>
      </c>
      <c r="EQ42">
        <v>0</v>
      </c>
      <c r="ER42">
        <v>0</v>
      </c>
      <c r="ES42">
        <v>0</v>
      </c>
      <c r="ET42">
        <v>0</v>
      </c>
      <c r="EU42">
        <v>1</v>
      </c>
      <c r="EV42">
        <v>0</v>
      </c>
      <c r="EW42">
        <v>0</v>
      </c>
      <c r="EX42">
        <v>1</v>
      </c>
      <c r="EY42">
        <v>0</v>
      </c>
      <c r="EZ42">
        <v>0</v>
      </c>
      <c r="FA42">
        <v>1</v>
      </c>
      <c r="FB42">
        <v>1</v>
      </c>
      <c r="FC42">
        <v>1</v>
      </c>
      <c r="FD42">
        <v>0</v>
      </c>
      <c r="FE42">
        <v>0</v>
      </c>
      <c r="FF42">
        <v>1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1</v>
      </c>
      <c r="FV42">
        <v>1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1</v>
      </c>
      <c r="GT42">
        <v>1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1</v>
      </c>
      <c r="HD42">
        <v>0</v>
      </c>
      <c r="HE42">
        <v>0</v>
      </c>
      <c r="HF42">
        <v>1</v>
      </c>
      <c r="HG42">
        <v>1</v>
      </c>
      <c r="HH42">
        <v>0</v>
      </c>
      <c r="HI42">
        <v>0</v>
      </c>
      <c r="HJ42">
        <v>1</v>
      </c>
      <c r="HK42">
        <v>1</v>
      </c>
      <c r="HL42">
        <v>0</v>
      </c>
      <c r="HM42">
        <v>1</v>
      </c>
      <c r="HN42">
        <v>2</v>
      </c>
      <c r="HO42">
        <v>1</v>
      </c>
      <c r="HP42">
        <v>0</v>
      </c>
      <c r="HQ42">
        <v>0</v>
      </c>
      <c r="HR42">
        <v>1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f t="shared" ca="1" si="8"/>
        <v>16</v>
      </c>
      <c r="IZ42">
        <f t="shared" ca="1" si="8"/>
        <v>1</v>
      </c>
      <c r="JA42">
        <f t="shared" ca="1" si="8"/>
        <v>5</v>
      </c>
      <c r="JB42">
        <f t="shared" ca="1" si="8"/>
        <v>22</v>
      </c>
    </row>
    <row r="43" spans="1:262" x14ac:dyDescent="0.25">
      <c r="A43" s="177">
        <v>40</v>
      </c>
      <c r="B43" s="178" t="s">
        <v>431</v>
      </c>
      <c r="C43">
        <v>0</v>
      </c>
      <c r="D43">
        <v>0</v>
      </c>
      <c r="E43">
        <v>0</v>
      </c>
      <c r="F43">
        <v>0</v>
      </c>
      <c r="G43">
        <v>2</v>
      </c>
      <c r="H43">
        <v>1</v>
      </c>
      <c r="I43">
        <v>2</v>
      </c>
      <c r="J43">
        <v>5</v>
      </c>
      <c r="K43">
        <v>0</v>
      </c>
      <c r="L43">
        <v>0</v>
      </c>
      <c r="M43">
        <v>3</v>
      </c>
      <c r="N43">
        <v>3</v>
      </c>
      <c r="O43">
        <v>3</v>
      </c>
      <c r="P43">
        <v>0</v>
      </c>
      <c r="Q43">
        <v>4</v>
      </c>
      <c r="R43">
        <v>7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  <c r="Z43">
        <v>1</v>
      </c>
      <c r="AA43">
        <v>0</v>
      </c>
      <c r="AB43">
        <v>0</v>
      </c>
      <c r="AC43">
        <v>1</v>
      </c>
      <c r="AD43">
        <v>1</v>
      </c>
      <c r="AE43">
        <v>1</v>
      </c>
      <c r="AF43">
        <v>1</v>
      </c>
      <c r="AG43">
        <v>2</v>
      </c>
      <c r="AH43">
        <v>4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0</v>
      </c>
      <c r="AR43">
        <v>0</v>
      </c>
      <c r="AS43">
        <v>2</v>
      </c>
      <c r="AT43">
        <v>2</v>
      </c>
      <c r="AU43">
        <v>0</v>
      </c>
      <c r="AV43">
        <v>0</v>
      </c>
      <c r="AW43">
        <v>0</v>
      </c>
      <c r="AX43">
        <v>0</v>
      </c>
      <c r="AY43">
        <v>2</v>
      </c>
      <c r="AZ43">
        <v>0</v>
      </c>
      <c r="BA43">
        <v>1</v>
      </c>
      <c r="BB43">
        <v>3</v>
      </c>
      <c r="BC43">
        <v>1</v>
      </c>
      <c r="BD43">
        <v>0</v>
      </c>
      <c r="BE43">
        <v>2</v>
      </c>
      <c r="BF43">
        <v>3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1</v>
      </c>
      <c r="CT43">
        <v>1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1</v>
      </c>
      <c r="DE43">
        <v>0</v>
      </c>
      <c r="DF43">
        <v>1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1</v>
      </c>
      <c r="EN43">
        <v>0</v>
      </c>
      <c r="EO43">
        <v>0</v>
      </c>
      <c r="EP43">
        <v>1</v>
      </c>
      <c r="EQ43">
        <v>0</v>
      </c>
      <c r="ER43">
        <v>0</v>
      </c>
      <c r="ES43">
        <v>0</v>
      </c>
      <c r="ET43">
        <v>0</v>
      </c>
      <c r="EU43">
        <v>1</v>
      </c>
      <c r="EV43">
        <v>0</v>
      </c>
      <c r="EW43">
        <v>0</v>
      </c>
      <c r="EX43">
        <v>1</v>
      </c>
      <c r="EY43">
        <v>0</v>
      </c>
      <c r="EZ43">
        <v>0</v>
      </c>
      <c r="FA43">
        <v>1</v>
      </c>
      <c r="FB43">
        <v>1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1</v>
      </c>
      <c r="FV43">
        <v>1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1</v>
      </c>
      <c r="GH43">
        <v>1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1</v>
      </c>
      <c r="GT43">
        <v>1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1</v>
      </c>
      <c r="HD43">
        <v>0</v>
      </c>
      <c r="HE43">
        <v>0</v>
      </c>
      <c r="HF43">
        <v>1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1</v>
      </c>
      <c r="HN43">
        <v>1</v>
      </c>
      <c r="HO43">
        <v>1</v>
      </c>
      <c r="HP43">
        <v>0</v>
      </c>
      <c r="HQ43">
        <v>1</v>
      </c>
      <c r="HR43">
        <v>2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1</v>
      </c>
      <c r="ID43">
        <v>1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1</v>
      </c>
      <c r="IN43">
        <v>0</v>
      </c>
      <c r="IO43">
        <v>1</v>
      </c>
      <c r="IP43">
        <v>2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f t="shared" ca="1" si="8"/>
        <v>5</v>
      </c>
      <c r="IZ43">
        <f t="shared" ca="1" si="8"/>
        <v>1</v>
      </c>
      <c r="JA43">
        <f t="shared" ca="1" si="8"/>
        <v>9</v>
      </c>
      <c r="JB43">
        <f t="shared" ca="1" si="8"/>
        <v>15</v>
      </c>
    </row>
    <row r="44" spans="1:262" x14ac:dyDescent="0.25">
      <c r="A44" s="177">
        <v>41</v>
      </c>
      <c r="B44" s="178" t="s">
        <v>432</v>
      </c>
      <c r="C44">
        <v>0</v>
      </c>
      <c r="D44">
        <v>0</v>
      </c>
      <c r="E44">
        <v>0</v>
      </c>
      <c r="F44">
        <v>0</v>
      </c>
      <c r="G44">
        <v>3</v>
      </c>
      <c r="H44">
        <v>1</v>
      </c>
      <c r="I44">
        <v>3</v>
      </c>
      <c r="J44">
        <v>7</v>
      </c>
      <c r="K44">
        <v>2</v>
      </c>
      <c r="L44">
        <v>0</v>
      </c>
      <c r="M44">
        <v>4</v>
      </c>
      <c r="N44">
        <v>6</v>
      </c>
      <c r="O44">
        <v>2</v>
      </c>
      <c r="P44">
        <v>0</v>
      </c>
      <c r="Q44">
        <v>5</v>
      </c>
      <c r="R44">
        <v>7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1</v>
      </c>
      <c r="AA44">
        <v>0</v>
      </c>
      <c r="AB44">
        <v>0</v>
      </c>
      <c r="AC44">
        <v>1</v>
      </c>
      <c r="AD44">
        <v>1</v>
      </c>
      <c r="AE44">
        <v>0</v>
      </c>
      <c r="AF44">
        <v>0</v>
      </c>
      <c r="AG44">
        <v>3</v>
      </c>
      <c r="AH44">
        <v>3</v>
      </c>
      <c r="AI44">
        <v>1</v>
      </c>
      <c r="AJ44">
        <v>1</v>
      </c>
      <c r="AK44">
        <v>1</v>
      </c>
      <c r="AL44">
        <v>3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0</v>
      </c>
      <c r="AS44">
        <v>3</v>
      </c>
      <c r="AT44">
        <v>4</v>
      </c>
      <c r="AU44">
        <v>0</v>
      </c>
      <c r="AV44">
        <v>0</v>
      </c>
      <c r="AW44">
        <v>0</v>
      </c>
      <c r="AX44">
        <v>0</v>
      </c>
      <c r="AY44">
        <v>3</v>
      </c>
      <c r="AZ44">
        <v>0</v>
      </c>
      <c r="BA44">
        <v>1</v>
      </c>
      <c r="BB44">
        <v>4</v>
      </c>
      <c r="BC44">
        <v>1</v>
      </c>
      <c r="BD44">
        <v>0</v>
      </c>
      <c r="BE44">
        <v>2</v>
      </c>
      <c r="BF44">
        <v>3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1</v>
      </c>
      <c r="CT44">
        <v>1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1</v>
      </c>
      <c r="DF44">
        <v>1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1</v>
      </c>
      <c r="DQ44">
        <v>0</v>
      </c>
      <c r="DR44">
        <v>1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1</v>
      </c>
      <c r="EN44">
        <v>0</v>
      </c>
      <c r="EO44">
        <v>0</v>
      </c>
      <c r="EP44">
        <v>1</v>
      </c>
      <c r="EQ44">
        <v>0</v>
      </c>
      <c r="ER44">
        <v>0</v>
      </c>
      <c r="ES44">
        <v>0</v>
      </c>
      <c r="ET44">
        <v>0</v>
      </c>
      <c r="EU44">
        <v>1</v>
      </c>
      <c r="EV44">
        <v>0</v>
      </c>
      <c r="EW44">
        <v>0</v>
      </c>
      <c r="EX44">
        <v>1</v>
      </c>
      <c r="EY44">
        <v>1</v>
      </c>
      <c r="EZ44">
        <v>0</v>
      </c>
      <c r="FA44">
        <v>1</v>
      </c>
      <c r="FB44">
        <v>2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1</v>
      </c>
      <c r="FV44">
        <v>1</v>
      </c>
      <c r="FW44">
        <v>1</v>
      </c>
      <c r="FX44">
        <v>0</v>
      </c>
      <c r="FY44">
        <v>1</v>
      </c>
      <c r="FZ44">
        <v>2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1</v>
      </c>
      <c r="GH44">
        <v>1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1</v>
      </c>
      <c r="GR44">
        <v>0</v>
      </c>
      <c r="GS44">
        <v>1</v>
      </c>
      <c r="GT44">
        <v>2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1</v>
      </c>
      <c r="HD44">
        <v>0</v>
      </c>
      <c r="HE44">
        <v>0</v>
      </c>
      <c r="HF44">
        <v>1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1</v>
      </c>
      <c r="HN44">
        <v>1</v>
      </c>
      <c r="HO44">
        <v>0</v>
      </c>
      <c r="HP44">
        <v>0</v>
      </c>
      <c r="HQ44">
        <v>1</v>
      </c>
      <c r="HR44">
        <v>1</v>
      </c>
      <c r="HS44">
        <v>1</v>
      </c>
      <c r="HT44">
        <v>0</v>
      </c>
      <c r="HU44">
        <v>1</v>
      </c>
      <c r="HV44">
        <v>2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1</v>
      </c>
      <c r="ID44">
        <v>1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1</v>
      </c>
      <c r="IP44">
        <v>1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f t="shared" ref="IY44:JB63" ca="1" si="9">SUMIFS($BK44:$IX44,$BK$3:$IX$3,IY$3,$BK$1:$IX$1,"&gt;0")</f>
        <v>7</v>
      </c>
      <c r="IZ44">
        <f t="shared" ca="1" si="9"/>
        <v>1</v>
      </c>
      <c r="JA44">
        <f t="shared" ca="1" si="9"/>
        <v>12</v>
      </c>
      <c r="JB44">
        <f t="shared" ca="1" si="9"/>
        <v>20</v>
      </c>
    </row>
    <row r="45" spans="1:262" x14ac:dyDescent="0.25">
      <c r="A45" s="177">
        <v>42</v>
      </c>
      <c r="B45" s="178" t="s">
        <v>433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3</v>
      </c>
      <c r="P45">
        <v>0</v>
      </c>
      <c r="Q45">
        <v>3</v>
      </c>
      <c r="R45">
        <v>6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0</v>
      </c>
      <c r="AC45">
        <v>1</v>
      </c>
      <c r="AD45">
        <v>2</v>
      </c>
      <c r="AE45">
        <v>1</v>
      </c>
      <c r="AF45">
        <v>0</v>
      </c>
      <c r="AG45">
        <v>1</v>
      </c>
      <c r="AH45">
        <v>2</v>
      </c>
      <c r="AI45">
        <v>1</v>
      </c>
      <c r="AJ45">
        <v>0</v>
      </c>
      <c r="AK45">
        <v>1</v>
      </c>
      <c r="AL45">
        <v>2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1</v>
      </c>
      <c r="HL45">
        <v>0</v>
      </c>
      <c r="HM45">
        <v>1</v>
      </c>
      <c r="HN45">
        <v>2</v>
      </c>
      <c r="HO45">
        <v>1</v>
      </c>
      <c r="HP45">
        <v>0</v>
      </c>
      <c r="HQ45">
        <v>1</v>
      </c>
      <c r="HR45">
        <v>2</v>
      </c>
      <c r="HS45">
        <v>1</v>
      </c>
      <c r="HT45">
        <v>0</v>
      </c>
      <c r="HU45">
        <v>1</v>
      </c>
      <c r="HV45">
        <v>2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f t="shared" ca="1" si="9"/>
        <v>3</v>
      </c>
      <c r="IZ45">
        <f t="shared" ca="1" si="9"/>
        <v>0</v>
      </c>
      <c r="JA45">
        <f t="shared" ca="1" si="9"/>
        <v>3</v>
      </c>
      <c r="JB45">
        <f t="shared" ca="1" si="9"/>
        <v>6</v>
      </c>
    </row>
    <row r="46" spans="1:262" x14ac:dyDescent="0.25">
      <c r="A46" s="177">
        <v>43</v>
      </c>
      <c r="B46" s="178" t="s">
        <v>434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0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1</v>
      </c>
      <c r="BX46">
        <v>0</v>
      </c>
      <c r="BY46">
        <v>0</v>
      </c>
      <c r="BZ46">
        <v>1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f t="shared" ca="1" si="9"/>
        <v>1</v>
      </c>
      <c r="IZ46">
        <f t="shared" ca="1" si="9"/>
        <v>0</v>
      </c>
      <c r="JA46">
        <f t="shared" ca="1" si="9"/>
        <v>0</v>
      </c>
      <c r="JB46">
        <f t="shared" ca="1" si="9"/>
        <v>1</v>
      </c>
    </row>
    <row r="47" spans="1:262" x14ac:dyDescent="0.25">
      <c r="A47" s="177">
        <v>44</v>
      </c>
      <c r="B47" s="178" t="s">
        <v>435</v>
      </c>
      <c r="C47">
        <v>0</v>
      </c>
      <c r="D47">
        <v>0</v>
      </c>
      <c r="E47">
        <v>0</v>
      </c>
      <c r="F47">
        <v>0</v>
      </c>
      <c r="G47">
        <v>2</v>
      </c>
      <c r="H47">
        <v>0</v>
      </c>
      <c r="I47">
        <v>0</v>
      </c>
      <c r="J47">
        <v>2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0</v>
      </c>
      <c r="AC47">
        <v>0</v>
      </c>
      <c r="AD47">
        <v>1</v>
      </c>
      <c r="AE47">
        <v>1</v>
      </c>
      <c r="AF47">
        <v>0</v>
      </c>
      <c r="AG47">
        <v>0</v>
      </c>
      <c r="AH47">
        <v>1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1</v>
      </c>
      <c r="BX47">
        <v>0</v>
      </c>
      <c r="BY47">
        <v>0</v>
      </c>
      <c r="BZ47">
        <v>1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1</v>
      </c>
      <c r="CN47">
        <v>0</v>
      </c>
      <c r="CO47">
        <v>0</v>
      </c>
      <c r="CP47">
        <v>1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f t="shared" ca="1" si="9"/>
        <v>2</v>
      </c>
      <c r="IZ47">
        <f t="shared" ca="1" si="9"/>
        <v>0</v>
      </c>
      <c r="JA47">
        <f t="shared" ca="1" si="9"/>
        <v>0</v>
      </c>
      <c r="JB47">
        <f t="shared" ca="1" si="9"/>
        <v>2</v>
      </c>
    </row>
    <row r="48" spans="1:262" x14ac:dyDescent="0.25">
      <c r="A48" s="177">
        <v>45</v>
      </c>
      <c r="B48" s="178" t="s">
        <v>574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1</v>
      </c>
      <c r="K48">
        <v>2</v>
      </c>
      <c r="L48">
        <v>0</v>
      </c>
      <c r="M48">
        <v>2</v>
      </c>
      <c r="N48">
        <v>4</v>
      </c>
      <c r="O48">
        <v>1</v>
      </c>
      <c r="P48">
        <v>0</v>
      </c>
      <c r="Q48">
        <v>3</v>
      </c>
      <c r="R48">
        <v>4</v>
      </c>
      <c r="S48">
        <v>1</v>
      </c>
      <c r="T48">
        <v>0</v>
      </c>
      <c r="U48">
        <v>0</v>
      </c>
      <c r="V48">
        <v>1</v>
      </c>
      <c r="W48">
        <v>4</v>
      </c>
      <c r="X48">
        <v>0</v>
      </c>
      <c r="Y48">
        <v>4</v>
      </c>
      <c r="Z48">
        <v>8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1</v>
      </c>
      <c r="AZ48">
        <v>0</v>
      </c>
      <c r="BA48">
        <v>1</v>
      </c>
      <c r="BB48">
        <v>2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1</v>
      </c>
      <c r="EJ48">
        <v>0</v>
      </c>
      <c r="EK48">
        <v>0</v>
      </c>
      <c r="EL48">
        <v>1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1</v>
      </c>
      <c r="FL48">
        <v>0</v>
      </c>
      <c r="FM48">
        <v>1</v>
      </c>
      <c r="FN48">
        <v>2</v>
      </c>
      <c r="FO48">
        <v>1</v>
      </c>
      <c r="FP48">
        <v>0</v>
      </c>
      <c r="FQ48">
        <v>1</v>
      </c>
      <c r="FR48">
        <v>2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1</v>
      </c>
      <c r="GZ48">
        <v>0</v>
      </c>
      <c r="HA48">
        <v>1</v>
      </c>
      <c r="HB48">
        <v>2</v>
      </c>
      <c r="HC48">
        <v>0</v>
      </c>
      <c r="HD48">
        <v>0</v>
      </c>
      <c r="HE48">
        <v>1</v>
      </c>
      <c r="HF48">
        <v>1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1</v>
      </c>
      <c r="IL48">
        <v>1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1</v>
      </c>
      <c r="IV48">
        <v>0</v>
      </c>
      <c r="IW48">
        <v>0</v>
      </c>
      <c r="IX48">
        <v>1</v>
      </c>
      <c r="IY48">
        <f t="shared" ca="1" si="9"/>
        <v>5</v>
      </c>
      <c r="IZ48">
        <f t="shared" ca="1" si="9"/>
        <v>0</v>
      </c>
      <c r="JA48">
        <f t="shared" ca="1" si="9"/>
        <v>5</v>
      </c>
      <c r="JB48">
        <f t="shared" ca="1" si="9"/>
        <v>10</v>
      </c>
    </row>
    <row r="49" spans="1:262" x14ac:dyDescent="0.25">
      <c r="A49" s="180">
        <v>46</v>
      </c>
      <c r="B49" s="181" t="s">
        <v>397</v>
      </c>
      <c r="C49">
        <v>0</v>
      </c>
      <c r="D49">
        <v>1</v>
      </c>
      <c r="E49">
        <v>1</v>
      </c>
      <c r="F49">
        <v>2</v>
      </c>
      <c r="G49">
        <v>11</v>
      </c>
      <c r="H49">
        <v>0</v>
      </c>
      <c r="I49">
        <v>11</v>
      </c>
      <c r="J49">
        <v>22</v>
      </c>
      <c r="K49">
        <v>0</v>
      </c>
      <c r="L49">
        <v>0</v>
      </c>
      <c r="M49">
        <v>1</v>
      </c>
      <c r="N49">
        <v>1</v>
      </c>
      <c r="O49">
        <v>2</v>
      </c>
      <c r="P49">
        <v>0</v>
      </c>
      <c r="Q49">
        <v>4</v>
      </c>
      <c r="R49">
        <v>6</v>
      </c>
      <c r="S49">
        <v>1</v>
      </c>
      <c r="T49">
        <v>0</v>
      </c>
      <c r="U49">
        <v>0</v>
      </c>
      <c r="V49">
        <v>1</v>
      </c>
      <c r="W49">
        <v>2</v>
      </c>
      <c r="X49">
        <v>1</v>
      </c>
      <c r="Y49">
        <v>1</v>
      </c>
      <c r="Z49">
        <v>4</v>
      </c>
      <c r="AA49">
        <v>2</v>
      </c>
      <c r="AB49">
        <v>0</v>
      </c>
      <c r="AC49">
        <v>2</v>
      </c>
      <c r="AD49">
        <v>4</v>
      </c>
      <c r="AE49">
        <v>3</v>
      </c>
      <c r="AF49">
        <v>0</v>
      </c>
      <c r="AG49">
        <v>4</v>
      </c>
      <c r="AH49">
        <v>7</v>
      </c>
      <c r="AI49">
        <v>0</v>
      </c>
      <c r="AJ49">
        <v>0</v>
      </c>
      <c r="AK49">
        <v>2</v>
      </c>
      <c r="AL49">
        <v>2</v>
      </c>
      <c r="AM49">
        <v>1</v>
      </c>
      <c r="AN49">
        <v>0</v>
      </c>
      <c r="AO49">
        <v>0</v>
      </c>
      <c r="AP49">
        <v>1</v>
      </c>
      <c r="AQ49">
        <v>1</v>
      </c>
      <c r="AR49">
        <v>0</v>
      </c>
      <c r="AS49">
        <v>3</v>
      </c>
      <c r="AT49">
        <v>4</v>
      </c>
      <c r="AU49">
        <v>0</v>
      </c>
      <c r="AV49">
        <v>0</v>
      </c>
      <c r="AW49">
        <v>0</v>
      </c>
      <c r="AX49">
        <v>0</v>
      </c>
      <c r="AY49">
        <v>3</v>
      </c>
      <c r="AZ49">
        <v>0</v>
      </c>
      <c r="BA49">
        <v>4</v>
      </c>
      <c r="BB49">
        <v>7</v>
      </c>
      <c r="BC49">
        <v>1</v>
      </c>
      <c r="BD49">
        <v>0</v>
      </c>
      <c r="BE49">
        <v>0</v>
      </c>
      <c r="BF49">
        <v>1</v>
      </c>
      <c r="BG49">
        <v>1</v>
      </c>
      <c r="BH49">
        <v>0</v>
      </c>
      <c r="BI49">
        <v>1</v>
      </c>
      <c r="BJ49">
        <v>2</v>
      </c>
      <c r="BK49">
        <v>0</v>
      </c>
      <c r="BL49">
        <v>1</v>
      </c>
      <c r="BM49">
        <v>0</v>
      </c>
      <c r="BN49">
        <v>1</v>
      </c>
      <c r="BO49">
        <v>0</v>
      </c>
      <c r="BP49">
        <v>0</v>
      </c>
      <c r="BQ49">
        <v>1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1</v>
      </c>
      <c r="CB49">
        <v>0</v>
      </c>
      <c r="CC49">
        <v>0</v>
      </c>
      <c r="CD49">
        <v>1</v>
      </c>
      <c r="CE49">
        <v>1</v>
      </c>
      <c r="CF49">
        <v>0</v>
      </c>
      <c r="CG49">
        <v>1</v>
      </c>
      <c r="CH49">
        <v>2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1</v>
      </c>
      <c r="CV49">
        <v>0</v>
      </c>
      <c r="CW49">
        <v>1</v>
      </c>
      <c r="CX49">
        <v>2</v>
      </c>
      <c r="CY49">
        <v>1</v>
      </c>
      <c r="CZ49">
        <v>0</v>
      </c>
      <c r="DA49">
        <v>1</v>
      </c>
      <c r="DB49">
        <v>2</v>
      </c>
      <c r="DC49">
        <v>1</v>
      </c>
      <c r="DD49">
        <v>0</v>
      </c>
      <c r="DE49">
        <v>1</v>
      </c>
      <c r="DF49">
        <v>2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1</v>
      </c>
      <c r="DN49">
        <v>1</v>
      </c>
      <c r="DO49">
        <v>0</v>
      </c>
      <c r="DP49">
        <v>0</v>
      </c>
      <c r="DQ49">
        <v>0</v>
      </c>
      <c r="DR49">
        <v>0</v>
      </c>
      <c r="DS49">
        <v>1</v>
      </c>
      <c r="DT49">
        <v>0</v>
      </c>
      <c r="DU49">
        <v>0</v>
      </c>
      <c r="DV49">
        <v>1</v>
      </c>
      <c r="DW49">
        <v>0</v>
      </c>
      <c r="DX49">
        <v>0</v>
      </c>
      <c r="DY49">
        <v>1</v>
      </c>
      <c r="DZ49">
        <v>1</v>
      </c>
      <c r="EA49">
        <v>1</v>
      </c>
      <c r="EB49">
        <v>0</v>
      </c>
      <c r="EC49">
        <v>1</v>
      </c>
      <c r="ED49">
        <v>2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1</v>
      </c>
      <c r="EN49">
        <v>0</v>
      </c>
      <c r="EO49">
        <v>1</v>
      </c>
      <c r="EP49">
        <v>2</v>
      </c>
      <c r="EQ49">
        <v>1</v>
      </c>
      <c r="ER49">
        <v>0</v>
      </c>
      <c r="ES49">
        <v>1</v>
      </c>
      <c r="ET49">
        <v>2</v>
      </c>
      <c r="EU49">
        <v>1</v>
      </c>
      <c r="EV49">
        <v>0</v>
      </c>
      <c r="EW49">
        <v>0</v>
      </c>
      <c r="EX49">
        <v>1</v>
      </c>
      <c r="EY49">
        <v>0</v>
      </c>
      <c r="EZ49">
        <v>0</v>
      </c>
      <c r="FA49">
        <v>1</v>
      </c>
      <c r="FB49">
        <v>1</v>
      </c>
      <c r="FC49">
        <v>0</v>
      </c>
      <c r="FD49">
        <v>0</v>
      </c>
      <c r="FE49">
        <v>0</v>
      </c>
      <c r="FF49">
        <v>0</v>
      </c>
      <c r="FG49">
        <v>1</v>
      </c>
      <c r="FH49">
        <v>0</v>
      </c>
      <c r="FI49">
        <v>0</v>
      </c>
      <c r="FJ49">
        <v>1</v>
      </c>
      <c r="FK49">
        <v>0</v>
      </c>
      <c r="FL49">
        <v>0</v>
      </c>
      <c r="FM49">
        <v>1</v>
      </c>
      <c r="FN49">
        <v>1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1</v>
      </c>
      <c r="GZ49">
        <v>0</v>
      </c>
      <c r="HA49">
        <v>0</v>
      </c>
      <c r="HB49">
        <v>1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1</v>
      </c>
      <c r="HR49">
        <v>1</v>
      </c>
      <c r="HS49">
        <v>0</v>
      </c>
      <c r="HT49">
        <v>0</v>
      </c>
      <c r="HU49">
        <v>1</v>
      </c>
      <c r="HV49">
        <v>1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1</v>
      </c>
      <c r="ID49">
        <v>1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1</v>
      </c>
      <c r="IL49">
        <v>1</v>
      </c>
      <c r="IM49">
        <v>1</v>
      </c>
      <c r="IN49">
        <v>0</v>
      </c>
      <c r="IO49">
        <v>0</v>
      </c>
      <c r="IP49">
        <v>1</v>
      </c>
      <c r="IQ49">
        <v>0</v>
      </c>
      <c r="IR49">
        <v>0</v>
      </c>
      <c r="IS49">
        <v>0</v>
      </c>
      <c r="IT49">
        <v>0</v>
      </c>
      <c r="IU49">
        <v>1</v>
      </c>
      <c r="IV49">
        <v>0</v>
      </c>
      <c r="IW49">
        <v>0</v>
      </c>
      <c r="IX49">
        <v>1</v>
      </c>
      <c r="IY49">
        <f t="shared" ca="1" si="9"/>
        <v>14</v>
      </c>
      <c r="IZ49">
        <f t="shared" ca="1" si="9"/>
        <v>1</v>
      </c>
      <c r="JA49">
        <f t="shared" ca="1" si="9"/>
        <v>17</v>
      </c>
      <c r="JB49">
        <f t="shared" ca="1" si="9"/>
        <v>32</v>
      </c>
    </row>
    <row r="50" spans="1:262" x14ac:dyDescent="0.25">
      <c r="A50" s="180">
        <v>47</v>
      </c>
      <c r="B50" s="181" t="s">
        <v>443</v>
      </c>
      <c r="C50">
        <v>1</v>
      </c>
      <c r="D50">
        <v>0</v>
      </c>
      <c r="E50">
        <v>1</v>
      </c>
      <c r="F50">
        <v>2</v>
      </c>
      <c r="G50">
        <v>2</v>
      </c>
      <c r="H50">
        <v>0</v>
      </c>
      <c r="I50">
        <v>2</v>
      </c>
      <c r="J50">
        <v>4</v>
      </c>
      <c r="K50">
        <v>3</v>
      </c>
      <c r="L50">
        <v>1</v>
      </c>
      <c r="M50">
        <v>5</v>
      </c>
      <c r="N50">
        <v>9</v>
      </c>
      <c r="O50">
        <v>5</v>
      </c>
      <c r="P50">
        <v>0</v>
      </c>
      <c r="Q50">
        <v>6</v>
      </c>
      <c r="R50">
        <v>11</v>
      </c>
      <c r="S50">
        <v>1</v>
      </c>
      <c r="T50">
        <v>0</v>
      </c>
      <c r="U50">
        <v>0</v>
      </c>
      <c r="V50">
        <v>1</v>
      </c>
      <c r="W50">
        <v>2</v>
      </c>
      <c r="X50">
        <v>1</v>
      </c>
      <c r="Y50">
        <v>1</v>
      </c>
      <c r="Z50">
        <v>4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2</v>
      </c>
      <c r="AP50">
        <v>2</v>
      </c>
      <c r="AQ50">
        <v>2</v>
      </c>
      <c r="AR50">
        <v>0</v>
      </c>
      <c r="AS50">
        <v>2</v>
      </c>
      <c r="AT50">
        <v>4</v>
      </c>
      <c r="AU50">
        <v>2</v>
      </c>
      <c r="AV50">
        <v>0</v>
      </c>
      <c r="AW50">
        <v>2</v>
      </c>
      <c r="AX50">
        <v>4</v>
      </c>
      <c r="AY50">
        <v>2</v>
      </c>
      <c r="AZ50">
        <v>0</v>
      </c>
      <c r="BA50">
        <v>4</v>
      </c>
      <c r="BB50">
        <v>6</v>
      </c>
      <c r="BC50">
        <v>0</v>
      </c>
      <c r="BD50">
        <v>0</v>
      </c>
      <c r="BE50">
        <v>0</v>
      </c>
      <c r="BF50">
        <v>0</v>
      </c>
      <c r="BG50">
        <v>4</v>
      </c>
      <c r="BH50">
        <v>0</v>
      </c>
      <c r="BI50">
        <v>3</v>
      </c>
      <c r="BJ50">
        <v>7</v>
      </c>
      <c r="BK50">
        <v>0</v>
      </c>
      <c r="BL50">
        <v>0</v>
      </c>
      <c r="BM50">
        <v>0</v>
      </c>
      <c r="BN50">
        <v>0</v>
      </c>
      <c r="BO50">
        <v>1</v>
      </c>
      <c r="BP50">
        <v>0</v>
      </c>
      <c r="BQ50">
        <v>1</v>
      </c>
      <c r="BR50">
        <v>2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1</v>
      </c>
      <c r="EN50">
        <v>0</v>
      </c>
      <c r="EO50">
        <v>1</v>
      </c>
      <c r="EP50">
        <v>2</v>
      </c>
      <c r="EQ50">
        <v>0</v>
      </c>
      <c r="ER50">
        <v>0</v>
      </c>
      <c r="ES50">
        <v>1</v>
      </c>
      <c r="ET50">
        <v>1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1</v>
      </c>
      <c r="FH50">
        <v>0</v>
      </c>
      <c r="FI50">
        <v>0</v>
      </c>
      <c r="FJ50">
        <v>1</v>
      </c>
      <c r="FK50">
        <v>0</v>
      </c>
      <c r="FL50">
        <v>1</v>
      </c>
      <c r="FM50">
        <v>0</v>
      </c>
      <c r="FN50">
        <v>1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1</v>
      </c>
      <c r="FV50">
        <v>1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1</v>
      </c>
      <c r="GF50">
        <v>0</v>
      </c>
      <c r="GG50">
        <v>1</v>
      </c>
      <c r="GH50">
        <v>2</v>
      </c>
      <c r="GI50">
        <v>1</v>
      </c>
      <c r="GJ50">
        <v>0</v>
      </c>
      <c r="GK50">
        <v>1</v>
      </c>
      <c r="GL50">
        <v>2</v>
      </c>
      <c r="GM50">
        <v>0</v>
      </c>
      <c r="GN50">
        <v>0</v>
      </c>
      <c r="GO50">
        <v>1</v>
      </c>
      <c r="GP50">
        <v>1</v>
      </c>
      <c r="GQ50">
        <v>0</v>
      </c>
      <c r="GR50">
        <v>0</v>
      </c>
      <c r="GS50">
        <v>0</v>
      </c>
      <c r="GT50">
        <v>0</v>
      </c>
      <c r="GU50">
        <v>1</v>
      </c>
      <c r="GV50">
        <v>0</v>
      </c>
      <c r="GW50">
        <v>1</v>
      </c>
      <c r="GX50">
        <v>2</v>
      </c>
      <c r="GY50">
        <v>1</v>
      </c>
      <c r="GZ50">
        <v>0</v>
      </c>
      <c r="HA50">
        <v>1</v>
      </c>
      <c r="HB50">
        <v>2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1</v>
      </c>
      <c r="HZ50">
        <v>1</v>
      </c>
      <c r="IA50">
        <v>1</v>
      </c>
      <c r="IB50">
        <v>0</v>
      </c>
      <c r="IC50">
        <v>1</v>
      </c>
      <c r="ID50">
        <v>2</v>
      </c>
      <c r="IE50">
        <v>1</v>
      </c>
      <c r="IF50">
        <v>0</v>
      </c>
      <c r="IG50">
        <v>1</v>
      </c>
      <c r="IH50">
        <v>2</v>
      </c>
      <c r="II50">
        <v>1</v>
      </c>
      <c r="IJ50">
        <v>0</v>
      </c>
      <c r="IK50">
        <v>1</v>
      </c>
      <c r="IL50">
        <v>2</v>
      </c>
      <c r="IM50">
        <v>0</v>
      </c>
      <c r="IN50">
        <v>0</v>
      </c>
      <c r="IO50">
        <v>0</v>
      </c>
      <c r="IP50">
        <v>0</v>
      </c>
      <c r="IQ50">
        <v>1</v>
      </c>
      <c r="IR50">
        <v>0</v>
      </c>
      <c r="IS50">
        <v>1</v>
      </c>
      <c r="IT50">
        <v>2</v>
      </c>
      <c r="IU50">
        <v>1</v>
      </c>
      <c r="IV50">
        <v>0</v>
      </c>
      <c r="IW50">
        <v>0</v>
      </c>
      <c r="IX50">
        <v>1</v>
      </c>
      <c r="IY50">
        <f t="shared" ca="1" si="9"/>
        <v>12</v>
      </c>
      <c r="IZ50">
        <f t="shared" ca="1" si="9"/>
        <v>1</v>
      </c>
      <c r="JA50">
        <f t="shared" ca="1" si="9"/>
        <v>14</v>
      </c>
      <c r="JB50">
        <f t="shared" ca="1" si="9"/>
        <v>27</v>
      </c>
    </row>
    <row r="51" spans="1:262" x14ac:dyDescent="0.25">
      <c r="A51" s="180">
        <v>48</v>
      </c>
      <c r="B51" s="181" t="s">
        <v>439</v>
      </c>
      <c r="C51">
        <v>1</v>
      </c>
      <c r="D51">
        <v>0</v>
      </c>
      <c r="E51">
        <v>0</v>
      </c>
      <c r="F51">
        <v>1</v>
      </c>
      <c r="G51">
        <v>1</v>
      </c>
      <c r="H51">
        <v>0</v>
      </c>
      <c r="I51">
        <v>0</v>
      </c>
      <c r="J51">
        <v>1</v>
      </c>
      <c r="K51">
        <v>3</v>
      </c>
      <c r="L51">
        <v>0</v>
      </c>
      <c r="M51">
        <v>1</v>
      </c>
      <c r="N51">
        <v>4</v>
      </c>
      <c r="O51">
        <v>0</v>
      </c>
      <c r="P51">
        <v>0</v>
      </c>
      <c r="Q51">
        <v>1</v>
      </c>
      <c r="R51">
        <v>1</v>
      </c>
      <c r="S51">
        <v>1</v>
      </c>
      <c r="T51">
        <v>0</v>
      </c>
      <c r="U51">
        <v>0</v>
      </c>
      <c r="V51">
        <v>1</v>
      </c>
      <c r="W51">
        <v>2</v>
      </c>
      <c r="X51">
        <v>0</v>
      </c>
      <c r="Y51">
        <v>1</v>
      </c>
      <c r="Z51">
        <v>3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1</v>
      </c>
      <c r="AV51">
        <v>0</v>
      </c>
      <c r="AW51">
        <v>0</v>
      </c>
      <c r="AX51">
        <v>1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3</v>
      </c>
      <c r="BH51">
        <v>0</v>
      </c>
      <c r="BI51">
        <v>1</v>
      </c>
      <c r="BJ51">
        <v>4</v>
      </c>
      <c r="BK51">
        <v>0</v>
      </c>
      <c r="BL51">
        <v>0</v>
      </c>
      <c r="BM51">
        <v>0</v>
      </c>
      <c r="BN51">
        <v>0</v>
      </c>
      <c r="BO51">
        <v>1</v>
      </c>
      <c r="BP51">
        <v>0</v>
      </c>
      <c r="BQ51">
        <v>0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1</v>
      </c>
      <c r="FH51">
        <v>0</v>
      </c>
      <c r="FI51">
        <v>0</v>
      </c>
      <c r="FJ51">
        <v>1</v>
      </c>
      <c r="FK51">
        <v>1</v>
      </c>
      <c r="FL51">
        <v>0</v>
      </c>
      <c r="FM51">
        <v>0</v>
      </c>
      <c r="FN51">
        <v>1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1</v>
      </c>
      <c r="GJ51">
        <v>0</v>
      </c>
      <c r="GK51">
        <v>0</v>
      </c>
      <c r="GL51">
        <v>1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1</v>
      </c>
      <c r="GV51">
        <v>0</v>
      </c>
      <c r="GW51">
        <v>1</v>
      </c>
      <c r="GX51">
        <v>2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1</v>
      </c>
      <c r="HF51">
        <v>1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1</v>
      </c>
      <c r="IV51">
        <v>0</v>
      </c>
      <c r="IW51">
        <v>0</v>
      </c>
      <c r="IX51">
        <v>1</v>
      </c>
      <c r="IY51">
        <f t="shared" ca="1" si="9"/>
        <v>6</v>
      </c>
      <c r="IZ51">
        <f t="shared" ca="1" si="9"/>
        <v>0</v>
      </c>
      <c r="JA51">
        <f t="shared" ca="1" si="9"/>
        <v>2</v>
      </c>
      <c r="JB51">
        <f t="shared" ca="1" si="9"/>
        <v>8</v>
      </c>
    </row>
    <row r="52" spans="1:262" x14ac:dyDescent="0.25">
      <c r="A52" s="180">
        <v>49</v>
      </c>
      <c r="B52" s="181" t="s">
        <v>444</v>
      </c>
      <c r="C52">
        <v>0</v>
      </c>
      <c r="D52">
        <v>0</v>
      </c>
      <c r="E52">
        <v>0</v>
      </c>
      <c r="F52">
        <v>0</v>
      </c>
      <c r="G52">
        <v>6</v>
      </c>
      <c r="H52">
        <v>0</v>
      </c>
      <c r="I52">
        <v>8</v>
      </c>
      <c r="J52">
        <v>14</v>
      </c>
      <c r="K52">
        <v>9</v>
      </c>
      <c r="L52">
        <v>1</v>
      </c>
      <c r="M52">
        <v>9</v>
      </c>
      <c r="N52">
        <v>19</v>
      </c>
      <c r="O52">
        <v>11</v>
      </c>
      <c r="P52">
        <v>0</v>
      </c>
      <c r="Q52">
        <v>11</v>
      </c>
      <c r="R52">
        <v>22</v>
      </c>
      <c r="S52">
        <v>1</v>
      </c>
      <c r="T52">
        <v>0</v>
      </c>
      <c r="U52">
        <v>1</v>
      </c>
      <c r="V52">
        <v>2</v>
      </c>
      <c r="W52">
        <v>4</v>
      </c>
      <c r="X52">
        <v>1</v>
      </c>
      <c r="Y52">
        <v>3</v>
      </c>
      <c r="Z52">
        <v>8</v>
      </c>
      <c r="AA52">
        <v>3</v>
      </c>
      <c r="AB52">
        <v>0</v>
      </c>
      <c r="AC52">
        <v>2</v>
      </c>
      <c r="AD52">
        <v>5</v>
      </c>
      <c r="AE52">
        <v>3</v>
      </c>
      <c r="AF52">
        <v>0</v>
      </c>
      <c r="AG52">
        <v>3</v>
      </c>
      <c r="AH52">
        <v>6</v>
      </c>
      <c r="AI52">
        <v>2</v>
      </c>
      <c r="AJ52">
        <v>0</v>
      </c>
      <c r="AK52">
        <v>2</v>
      </c>
      <c r="AL52">
        <v>4</v>
      </c>
      <c r="AM52">
        <v>2</v>
      </c>
      <c r="AN52">
        <v>0</v>
      </c>
      <c r="AO52">
        <v>3</v>
      </c>
      <c r="AP52">
        <v>5</v>
      </c>
      <c r="AQ52">
        <v>3</v>
      </c>
      <c r="AR52">
        <v>0</v>
      </c>
      <c r="AS52">
        <v>5</v>
      </c>
      <c r="AT52">
        <v>8</v>
      </c>
      <c r="AU52">
        <v>2</v>
      </c>
      <c r="AV52">
        <v>0</v>
      </c>
      <c r="AW52">
        <v>2</v>
      </c>
      <c r="AX52">
        <v>4</v>
      </c>
      <c r="AY52">
        <v>4</v>
      </c>
      <c r="AZ52">
        <v>0</v>
      </c>
      <c r="BA52">
        <v>4</v>
      </c>
      <c r="BB52">
        <v>8</v>
      </c>
      <c r="BC52">
        <v>2</v>
      </c>
      <c r="BD52">
        <v>0</v>
      </c>
      <c r="BE52">
        <v>3</v>
      </c>
      <c r="BF52">
        <v>5</v>
      </c>
      <c r="BG52">
        <v>2</v>
      </c>
      <c r="BH52">
        <v>0</v>
      </c>
      <c r="BI52">
        <v>2</v>
      </c>
      <c r="BJ52">
        <v>4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1</v>
      </c>
      <c r="CB52">
        <v>0</v>
      </c>
      <c r="CC52">
        <v>0</v>
      </c>
      <c r="CD52">
        <v>1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1</v>
      </c>
      <c r="CZ52">
        <v>0</v>
      </c>
      <c r="DA52">
        <v>1</v>
      </c>
      <c r="DB52">
        <v>2</v>
      </c>
      <c r="DC52">
        <v>1</v>
      </c>
      <c r="DD52">
        <v>0</v>
      </c>
      <c r="DE52">
        <v>1</v>
      </c>
      <c r="DF52">
        <v>2</v>
      </c>
      <c r="DG52">
        <v>0</v>
      </c>
      <c r="DH52">
        <v>0</v>
      </c>
      <c r="DI52">
        <v>0</v>
      </c>
      <c r="DJ52">
        <v>0</v>
      </c>
      <c r="DK52">
        <v>1</v>
      </c>
      <c r="DL52">
        <v>0</v>
      </c>
      <c r="DM52">
        <v>1</v>
      </c>
      <c r="DN52">
        <v>2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1</v>
      </c>
      <c r="DV52">
        <v>1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1</v>
      </c>
      <c r="ED52">
        <v>1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1</v>
      </c>
      <c r="EN52">
        <v>0</v>
      </c>
      <c r="EO52">
        <v>1</v>
      </c>
      <c r="EP52">
        <v>2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1</v>
      </c>
      <c r="EZ52">
        <v>0</v>
      </c>
      <c r="FA52">
        <v>1</v>
      </c>
      <c r="FB52">
        <v>2</v>
      </c>
      <c r="FC52">
        <v>0</v>
      </c>
      <c r="FD52">
        <v>0</v>
      </c>
      <c r="FE52">
        <v>1</v>
      </c>
      <c r="FF52">
        <v>1</v>
      </c>
      <c r="FG52">
        <v>0</v>
      </c>
      <c r="FH52">
        <v>0</v>
      </c>
      <c r="FI52">
        <v>0</v>
      </c>
      <c r="FJ52">
        <v>0</v>
      </c>
      <c r="FK52">
        <v>1</v>
      </c>
      <c r="FL52">
        <v>0</v>
      </c>
      <c r="FM52">
        <v>1</v>
      </c>
      <c r="FN52">
        <v>2</v>
      </c>
      <c r="FO52">
        <v>1</v>
      </c>
      <c r="FP52">
        <v>1</v>
      </c>
      <c r="FQ52">
        <v>0</v>
      </c>
      <c r="FR52">
        <v>2</v>
      </c>
      <c r="FS52">
        <v>1</v>
      </c>
      <c r="FT52">
        <v>0</v>
      </c>
      <c r="FU52">
        <v>1</v>
      </c>
      <c r="FV52">
        <v>2</v>
      </c>
      <c r="FW52">
        <v>0</v>
      </c>
      <c r="FX52">
        <v>0</v>
      </c>
      <c r="FY52">
        <v>1</v>
      </c>
      <c r="FZ52">
        <v>1</v>
      </c>
      <c r="GA52">
        <v>1</v>
      </c>
      <c r="GB52">
        <v>0</v>
      </c>
      <c r="GC52">
        <v>1</v>
      </c>
      <c r="GD52">
        <v>2</v>
      </c>
      <c r="GE52">
        <v>1</v>
      </c>
      <c r="GF52">
        <v>0</v>
      </c>
      <c r="GG52">
        <v>1</v>
      </c>
      <c r="GH52">
        <v>2</v>
      </c>
      <c r="GI52">
        <v>1</v>
      </c>
      <c r="GJ52">
        <v>0</v>
      </c>
      <c r="GK52">
        <v>1</v>
      </c>
      <c r="GL52">
        <v>2</v>
      </c>
      <c r="GM52">
        <v>1</v>
      </c>
      <c r="GN52">
        <v>0</v>
      </c>
      <c r="GO52">
        <v>1</v>
      </c>
      <c r="GP52">
        <v>2</v>
      </c>
      <c r="GQ52">
        <v>1</v>
      </c>
      <c r="GR52">
        <v>0</v>
      </c>
      <c r="GS52">
        <v>1</v>
      </c>
      <c r="GT52">
        <v>2</v>
      </c>
      <c r="GU52">
        <v>1</v>
      </c>
      <c r="GV52">
        <v>0</v>
      </c>
      <c r="GW52">
        <v>1</v>
      </c>
      <c r="GX52">
        <v>2</v>
      </c>
      <c r="GY52">
        <v>1</v>
      </c>
      <c r="GZ52">
        <v>0</v>
      </c>
      <c r="HA52">
        <v>1</v>
      </c>
      <c r="HB52">
        <v>2</v>
      </c>
      <c r="HC52">
        <v>0</v>
      </c>
      <c r="HD52">
        <v>0</v>
      </c>
      <c r="HE52">
        <v>0</v>
      </c>
      <c r="HF52">
        <v>0</v>
      </c>
      <c r="HG52">
        <v>1</v>
      </c>
      <c r="HH52">
        <v>0</v>
      </c>
      <c r="HI52">
        <v>1</v>
      </c>
      <c r="HJ52">
        <v>2</v>
      </c>
      <c r="HK52">
        <v>1</v>
      </c>
      <c r="HL52">
        <v>0</v>
      </c>
      <c r="HM52">
        <v>1</v>
      </c>
      <c r="HN52">
        <v>2</v>
      </c>
      <c r="HO52">
        <v>1</v>
      </c>
      <c r="HP52">
        <v>0</v>
      </c>
      <c r="HQ52">
        <v>1</v>
      </c>
      <c r="HR52">
        <v>2</v>
      </c>
      <c r="HS52">
        <v>1</v>
      </c>
      <c r="HT52">
        <v>0</v>
      </c>
      <c r="HU52">
        <v>1</v>
      </c>
      <c r="HV52">
        <v>2</v>
      </c>
      <c r="HW52">
        <v>1</v>
      </c>
      <c r="HX52">
        <v>0</v>
      </c>
      <c r="HY52">
        <v>1</v>
      </c>
      <c r="HZ52">
        <v>2</v>
      </c>
      <c r="IA52">
        <v>1</v>
      </c>
      <c r="IB52">
        <v>0</v>
      </c>
      <c r="IC52">
        <v>1</v>
      </c>
      <c r="ID52">
        <v>2</v>
      </c>
      <c r="IE52">
        <v>1</v>
      </c>
      <c r="IF52">
        <v>0</v>
      </c>
      <c r="IG52">
        <v>1</v>
      </c>
      <c r="IH52">
        <v>2</v>
      </c>
      <c r="II52">
        <v>1</v>
      </c>
      <c r="IJ52">
        <v>0</v>
      </c>
      <c r="IK52">
        <v>1</v>
      </c>
      <c r="IL52">
        <v>2</v>
      </c>
      <c r="IM52">
        <v>1</v>
      </c>
      <c r="IN52">
        <v>0</v>
      </c>
      <c r="IO52">
        <v>1</v>
      </c>
      <c r="IP52">
        <v>2</v>
      </c>
      <c r="IQ52">
        <v>1</v>
      </c>
      <c r="IR52">
        <v>0</v>
      </c>
      <c r="IS52">
        <v>1</v>
      </c>
      <c r="IT52">
        <v>2</v>
      </c>
      <c r="IU52">
        <v>1</v>
      </c>
      <c r="IV52">
        <v>0</v>
      </c>
      <c r="IW52">
        <v>1</v>
      </c>
      <c r="IX52">
        <v>2</v>
      </c>
      <c r="IY52">
        <f t="shared" ca="1" si="9"/>
        <v>27</v>
      </c>
      <c r="IZ52">
        <f t="shared" ca="1" si="9"/>
        <v>1</v>
      </c>
      <c r="JA52">
        <f t="shared" ca="1" si="9"/>
        <v>29</v>
      </c>
      <c r="JB52">
        <f t="shared" ca="1" si="9"/>
        <v>57</v>
      </c>
    </row>
    <row r="53" spans="1:262" x14ac:dyDescent="0.25">
      <c r="A53" s="180">
        <v>50</v>
      </c>
      <c r="B53" s="181" t="s">
        <v>451</v>
      </c>
      <c r="C53">
        <v>0</v>
      </c>
      <c r="D53">
        <v>0</v>
      </c>
      <c r="E53">
        <v>0</v>
      </c>
      <c r="F53">
        <v>0</v>
      </c>
      <c r="G53">
        <v>1</v>
      </c>
      <c r="H53">
        <v>1</v>
      </c>
      <c r="I53">
        <v>0</v>
      </c>
      <c r="J53">
        <v>2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0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1</v>
      </c>
      <c r="CG53">
        <v>0</v>
      </c>
      <c r="CH53">
        <v>1</v>
      </c>
      <c r="CI53">
        <v>1</v>
      </c>
      <c r="CJ53">
        <v>0</v>
      </c>
      <c r="CK53">
        <v>0</v>
      </c>
      <c r="CL53">
        <v>1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f t="shared" ca="1" si="9"/>
        <v>1</v>
      </c>
      <c r="IZ53">
        <f t="shared" ca="1" si="9"/>
        <v>1</v>
      </c>
      <c r="JA53">
        <f t="shared" ca="1" si="9"/>
        <v>0</v>
      </c>
      <c r="JB53">
        <f t="shared" ca="1" si="9"/>
        <v>2</v>
      </c>
    </row>
    <row r="54" spans="1:262" x14ac:dyDescent="0.25">
      <c r="A54" s="180">
        <v>51</v>
      </c>
      <c r="B54" s="181" t="s">
        <v>455</v>
      </c>
      <c r="C54">
        <v>1</v>
      </c>
      <c r="D54">
        <v>0</v>
      </c>
      <c r="E54">
        <v>0</v>
      </c>
      <c r="F54">
        <v>1</v>
      </c>
      <c r="G54">
        <v>7</v>
      </c>
      <c r="H54">
        <v>1</v>
      </c>
      <c r="I54">
        <v>3</v>
      </c>
      <c r="J54">
        <v>11</v>
      </c>
      <c r="K54">
        <v>1</v>
      </c>
      <c r="L54">
        <v>0</v>
      </c>
      <c r="M54">
        <v>2</v>
      </c>
      <c r="N54">
        <v>3</v>
      </c>
      <c r="O54">
        <v>3</v>
      </c>
      <c r="P54">
        <v>0</v>
      </c>
      <c r="Q54">
        <v>2</v>
      </c>
      <c r="R54">
        <v>5</v>
      </c>
      <c r="S54">
        <v>1</v>
      </c>
      <c r="T54">
        <v>0</v>
      </c>
      <c r="U54">
        <v>0</v>
      </c>
      <c r="V54">
        <v>1</v>
      </c>
      <c r="W54">
        <v>1</v>
      </c>
      <c r="X54">
        <v>0</v>
      </c>
      <c r="Y54">
        <v>1</v>
      </c>
      <c r="Z54">
        <v>2</v>
      </c>
      <c r="AA54">
        <v>4</v>
      </c>
      <c r="AB54">
        <v>1</v>
      </c>
      <c r="AC54">
        <v>4</v>
      </c>
      <c r="AD54">
        <v>9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1</v>
      </c>
      <c r="AN54">
        <v>0</v>
      </c>
      <c r="AO54">
        <v>0</v>
      </c>
      <c r="AP54">
        <v>1</v>
      </c>
      <c r="AQ54">
        <v>1</v>
      </c>
      <c r="AR54">
        <v>0</v>
      </c>
      <c r="AS54">
        <v>0</v>
      </c>
      <c r="AT54">
        <v>1</v>
      </c>
      <c r="AU54">
        <v>1</v>
      </c>
      <c r="AV54">
        <v>0</v>
      </c>
      <c r="AW54">
        <v>0</v>
      </c>
      <c r="AX54">
        <v>1</v>
      </c>
      <c r="AY54">
        <v>1</v>
      </c>
      <c r="AZ54">
        <v>0</v>
      </c>
      <c r="BA54">
        <v>0</v>
      </c>
      <c r="BB54">
        <v>1</v>
      </c>
      <c r="BC54">
        <v>3</v>
      </c>
      <c r="BD54">
        <v>0</v>
      </c>
      <c r="BE54">
        <v>2</v>
      </c>
      <c r="BF54">
        <v>5</v>
      </c>
      <c r="BG54">
        <v>1</v>
      </c>
      <c r="BH54">
        <v>0</v>
      </c>
      <c r="BI54">
        <v>0</v>
      </c>
      <c r="BJ54">
        <v>1</v>
      </c>
      <c r="BK54">
        <v>0</v>
      </c>
      <c r="BL54">
        <v>0</v>
      </c>
      <c r="BM54">
        <v>0</v>
      </c>
      <c r="BN54">
        <v>0</v>
      </c>
      <c r="BO54">
        <v>1</v>
      </c>
      <c r="BP54">
        <v>0</v>
      </c>
      <c r="BQ54">
        <v>0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1</v>
      </c>
      <c r="CC54">
        <v>0</v>
      </c>
      <c r="CD54">
        <v>1</v>
      </c>
      <c r="CE54">
        <v>1</v>
      </c>
      <c r="CF54">
        <v>0</v>
      </c>
      <c r="CG54">
        <v>1</v>
      </c>
      <c r="CH54">
        <v>2</v>
      </c>
      <c r="CI54">
        <v>1</v>
      </c>
      <c r="CJ54">
        <v>0</v>
      </c>
      <c r="CK54">
        <v>1</v>
      </c>
      <c r="CL54">
        <v>2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1</v>
      </c>
      <c r="DT54">
        <v>0</v>
      </c>
      <c r="DU54">
        <v>0</v>
      </c>
      <c r="DV54">
        <v>1</v>
      </c>
      <c r="DW54">
        <v>1</v>
      </c>
      <c r="DX54">
        <v>0</v>
      </c>
      <c r="DY54">
        <v>0</v>
      </c>
      <c r="DZ54">
        <v>1</v>
      </c>
      <c r="EA54">
        <v>0</v>
      </c>
      <c r="EB54">
        <v>0</v>
      </c>
      <c r="EC54">
        <v>0</v>
      </c>
      <c r="ED54">
        <v>0</v>
      </c>
      <c r="EE54">
        <v>1</v>
      </c>
      <c r="EF54">
        <v>0</v>
      </c>
      <c r="EG54">
        <v>0</v>
      </c>
      <c r="EH54">
        <v>1</v>
      </c>
      <c r="EI54">
        <v>0</v>
      </c>
      <c r="EJ54">
        <v>0</v>
      </c>
      <c r="EK54">
        <v>0</v>
      </c>
      <c r="EL54">
        <v>0</v>
      </c>
      <c r="EM54">
        <v>1</v>
      </c>
      <c r="EN54">
        <v>0</v>
      </c>
      <c r="EO54">
        <v>0</v>
      </c>
      <c r="EP54">
        <v>1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1</v>
      </c>
      <c r="FD54">
        <v>0</v>
      </c>
      <c r="FE54">
        <v>1</v>
      </c>
      <c r="FF54">
        <v>2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1</v>
      </c>
      <c r="FN54">
        <v>1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1</v>
      </c>
      <c r="GR54">
        <v>0</v>
      </c>
      <c r="GS54">
        <v>1</v>
      </c>
      <c r="GT54">
        <v>2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1</v>
      </c>
      <c r="HH54">
        <v>0</v>
      </c>
      <c r="HI54">
        <v>1</v>
      </c>
      <c r="HJ54">
        <v>2</v>
      </c>
      <c r="HK54">
        <v>1</v>
      </c>
      <c r="HL54">
        <v>0</v>
      </c>
      <c r="HM54">
        <v>1</v>
      </c>
      <c r="HN54">
        <v>2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1</v>
      </c>
      <c r="IN54">
        <v>0</v>
      </c>
      <c r="IO54">
        <v>0</v>
      </c>
      <c r="IP54">
        <v>1</v>
      </c>
      <c r="IQ54">
        <v>0</v>
      </c>
      <c r="IR54">
        <v>0</v>
      </c>
      <c r="IS54">
        <v>0</v>
      </c>
      <c r="IT54">
        <v>0</v>
      </c>
      <c r="IU54">
        <v>1</v>
      </c>
      <c r="IV54">
        <v>0</v>
      </c>
      <c r="IW54">
        <v>0</v>
      </c>
      <c r="IX54">
        <v>1</v>
      </c>
      <c r="IY54">
        <f t="shared" ca="1" si="9"/>
        <v>13</v>
      </c>
      <c r="IZ54">
        <f t="shared" ca="1" si="9"/>
        <v>1</v>
      </c>
      <c r="JA54">
        <f t="shared" ca="1" si="9"/>
        <v>7</v>
      </c>
      <c r="JB54">
        <f t="shared" ca="1" si="9"/>
        <v>21</v>
      </c>
    </row>
    <row r="55" spans="1:262" x14ac:dyDescent="0.25">
      <c r="A55" s="180">
        <v>52</v>
      </c>
      <c r="B55" s="181" t="s">
        <v>456</v>
      </c>
      <c r="C55">
        <v>0</v>
      </c>
      <c r="D55">
        <v>0</v>
      </c>
      <c r="E55">
        <v>0</v>
      </c>
      <c r="F55">
        <v>0</v>
      </c>
      <c r="G55">
        <v>2</v>
      </c>
      <c r="H55">
        <v>1</v>
      </c>
      <c r="I55">
        <v>3</v>
      </c>
      <c r="J55">
        <v>6</v>
      </c>
      <c r="K55">
        <v>1</v>
      </c>
      <c r="L55">
        <v>0</v>
      </c>
      <c r="M55">
        <v>1</v>
      </c>
      <c r="N55">
        <v>2</v>
      </c>
      <c r="O55">
        <v>4</v>
      </c>
      <c r="P55">
        <v>0</v>
      </c>
      <c r="Q55">
        <v>3</v>
      </c>
      <c r="R55">
        <v>7</v>
      </c>
      <c r="S55">
        <v>0</v>
      </c>
      <c r="T55">
        <v>0</v>
      </c>
      <c r="U55">
        <v>0</v>
      </c>
      <c r="V55">
        <v>0</v>
      </c>
      <c r="W55">
        <v>2</v>
      </c>
      <c r="X55">
        <v>0</v>
      </c>
      <c r="Y55">
        <v>0</v>
      </c>
      <c r="Z55">
        <v>2</v>
      </c>
      <c r="AA55">
        <v>2</v>
      </c>
      <c r="AB55">
        <v>1</v>
      </c>
      <c r="AC55">
        <v>3</v>
      </c>
      <c r="AD55">
        <v>6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1</v>
      </c>
      <c r="AN55">
        <v>0</v>
      </c>
      <c r="AO55">
        <v>1</v>
      </c>
      <c r="AP55">
        <v>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2</v>
      </c>
      <c r="BD55">
        <v>0</v>
      </c>
      <c r="BE55">
        <v>3</v>
      </c>
      <c r="BF55">
        <v>5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1</v>
      </c>
      <c r="CC55">
        <v>0</v>
      </c>
      <c r="CD55">
        <v>1</v>
      </c>
      <c r="CE55">
        <v>0</v>
      </c>
      <c r="CF55">
        <v>0</v>
      </c>
      <c r="CG55">
        <v>1</v>
      </c>
      <c r="CH55">
        <v>1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1</v>
      </c>
      <c r="DT55">
        <v>0</v>
      </c>
      <c r="DU55">
        <v>1</v>
      </c>
      <c r="DV55">
        <v>2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1</v>
      </c>
      <c r="FD55">
        <v>0</v>
      </c>
      <c r="FE55">
        <v>1</v>
      </c>
      <c r="FF55">
        <v>2</v>
      </c>
      <c r="FG55">
        <v>0</v>
      </c>
      <c r="FH55">
        <v>0</v>
      </c>
      <c r="FI55">
        <v>0</v>
      </c>
      <c r="FJ55">
        <v>0</v>
      </c>
      <c r="FK55">
        <v>1</v>
      </c>
      <c r="FL55">
        <v>0</v>
      </c>
      <c r="FM55">
        <v>0</v>
      </c>
      <c r="FN55">
        <v>1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1</v>
      </c>
      <c r="GT55">
        <v>1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1</v>
      </c>
      <c r="HD55">
        <v>0</v>
      </c>
      <c r="HE55">
        <v>0</v>
      </c>
      <c r="HF55">
        <v>1</v>
      </c>
      <c r="HG55">
        <v>1</v>
      </c>
      <c r="HH55">
        <v>0</v>
      </c>
      <c r="HI55">
        <v>1</v>
      </c>
      <c r="HJ55">
        <v>2</v>
      </c>
      <c r="HK55">
        <v>1</v>
      </c>
      <c r="HL55">
        <v>0</v>
      </c>
      <c r="HM55">
        <v>1</v>
      </c>
      <c r="HN55">
        <v>2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1</v>
      </c>
      <c r="IN55">
        <v>0</v>
      </c>
      <c r="IO55">
        <v>1</v>
      </c>
      <c r="IP55">
        <v>2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f t="shared" ca="1" si="9"/>
        <v>7</v>
      </c>
      <c r="IZ55">
        <f t="shared" ca="1" si="9"/>
        <v>1</v>
      </c>
      <c r="JA55">
        <f t="shared" ca="1" si="9"/>
        <v>7</v>
      </c>
      <c r="JB55">
        <f t="shared" ca="1" si="9"/>
        <v>15</v>
      </c>
    </row>
    <row r="56" spans="1:262" x14ac:dyDescent="0.25">
      <c r="A56" s="180">
        <v>53</v>
      </c>
      <c r="B56" s="181" t="s">
        <v>436</v>
      </c>
      <c r="C56">
        <v>0</v>
      </c>
      <c r="D56">
        <v>0</v>
      </c>
      <c r="E56">
        <v>0</v>
      </c>
      <c r="F56">
        <v>0</v>
      </c>
      <c r="G56">
        <v>4</v>
      </c>
      <c r="H56">
        <v>1</v>
      </c>
      <c r="I56">
        <v>4</v>
      </c>
      <c r="J56">
        <v>9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3</v>
      </c>
      <c r="AF56">
        <v>1</v>
      </c>
      <c r="AG56">
        <v>3</v>
      </c>
      <c r="AH56">
        <v>7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1</v>
      </c>
      <c r="AR56">
        <v>0</v>
      </c>
      <c r="AS56">
        <v>1</v>
      </c>
      <c r="AT56">
        <v>2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1</v>
      </c>
      <c r="CS56">
        <v>0</v>
      </c>
      <c r="CT56">
        <v>1</v>
      </c>
      <c r="CU56">
        <v>1</v>
      </c>
      <c r="CV56">
        <v>0</v>
      </c>
      <c r="CW56">
        <v>1</v>
      </c>
      <c r="CX56">
        <v>2</v>
      </c>
      <c r="CY56">
        <v>1</v>
      </c>
      <c r="CZ56">
        <v>0</v>
      </c>
      <c r="DA56">
        <v>1</v>
      </c>
      <c r="DB56">
        <v>2</v>
      </c>
      <c r="DC56">
        <v>1</v>
      </c>
      <c r="DD56">
        <v>0</v>
      </c>
      <c r="DE56">
        <v>1</v>
      </c>
      <c r="DF56">
        <v>2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1</v>
      </c>
      <c r="EB56">
        <v>0</v>
      </c>
      <c r="EC56">
        <v>1</v>
      </c>
      <c r="ED56">
        <v>2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f t="shared" ca="1" si="9"/>
        <v>4</v>
      </c>
      <c r="IZ56">
        <f t="shared" ca="1" si="9"/>
        <v>1</v>
      </c>
      <c r="JA56">
        <f t="shared" ca="1" si="9"/>
        <v>4</v>
      </c>
      <c r="JB56">
        <f t="shared" ca="1" si="9"/>
        <v>9</v>
      </c>
    </row>
    <row r="57" spans="1:262" x14ac:dyDescent="0.25">
      <c r="A57" s="180">
        <v>54</v>
      </c>
      <c r="B57" s="181" t="s">
        <v>437</v>
      </c>
      <c r="C57">
        <v>0</v>
      </c>
      <c r="D57">
        <v>0</v>
      </c>
      <c r="E57">
        <v>0</v>
      </c>
      <c r="F57">
        <v>0</v>
      </c>
      <c r="G57">
        <v>4</v>
      </c>
      <c r="H57">
        <v>1</v>
      </c>
      <c r="I57">
        <v>1</v>
      </c>
      <c r="J57">
        <v>6</v>
      </c>
      <c r="K57">
        <v>0</v>
      </c>
      <c r="L57">
        <v>0</v>
      </c>
      <c r="M57">
        <v>1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1</v>
      </c>
      <c r="Z57">
        <v>1</v>
      </c>
      <c r="AA57">
        <v>0</v>
      </c>
      <c r="AB57">
        <v>0</v>
      </c>
      <c r="AC57">
        <v>0</v>
      </c>
      <c r="AD57">
        <v>0</v>
      </c>
      <c r="AE57">
        <v>3</v>
      </c>
      <c r="AF57">
        <v>1</v>
      </c>
      <c r="AG57">
        <v>1</v>
      </c>
      <c r="AH57">
        <v>5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1</v>
      </c>
      <c r="AR57">
        <v>0</v>
      </c>
      <c r="AS57">
        <v>0</v>
      </c>
      <c r="AT57">
        <v>1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1</v>
      </c>
      <c r="CS57">
        <v>0</v>
      </c>
      <c r="CT57">
        <v>1</v>
      </c>
      <c r="CU57">
        <v>1</v>
      </c>
      <c r="CV57">
        <v>0</v>
      </c>
      <c r="CW57">
        <v>1</v>
      </c>
      <c r="CX57">
        <v>2</v>
      </c>
      <c r="CY57">
        <v>1</v>
      </c>
      <c r="CZ57">
        <v>0</v>
      </c>
      <c r="DA57">
        <v>0</v>
      </c>
      <c r="DB57">
        <v>1</v>
      </c>
      <c r="DC57">
        <v>1</v>
      </c>
      <c r="DD57">
        <v>0</v>
      </c>
      <c r="DE57">
        <v>0</v>
      </c>
      <c r="DF57">
        <v>1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1</v>
      </c>
      <c r="EB57">
        <v>0</v>
      </c>
      <c r="EC57">
        <v>0</v>
      </c>
      <c r="ED57">
        <v>1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1</v>
      </c>
      <c r="FN57">
        <v>1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f t="shared" ca="1" si="9"/>
        <v>4</v>
      </c>
      <c r="IZ57">
        <f t="shared" ca="1" si="9"/>
        <v>1</v>
      </c>
      <c r="JA57">
        <f t="shared" ca="1" si="9"/>
        <v>2</v>
      </c>
      <c r="JB57">
        <f t="shared" ca="1" si="9"/>
        <v>7</v>
      </c>
    </row>
    <row r="58" spans="1:262" x14ac:dyDescent="0.25">
      <c r="A58" s="180">
        <v>55</v>
      </c>
      <c r="B58" s="181" t="s">
        <v>445</v>
      </c>
      <c r="C58">
        <v>0</v>
      </c>
      <c r="D58">
        <v>0</v>
      </c>
      <c r="E58">
        <v>0</v>
      </c>
      <c r="F58">
        <v>0</v>
      </c>
      <c r="G58">
        <v>5</v>
      </c>
      <c r="H58">
        <v>1</v>
      </c>
      <c r="I58">
        <v>2</v>
      </c>
      <c r="J58">
        <v>8</v>
      </c>
      <c r="K58">
        <v>1</v>
      </c>
      <c r="L58">
        <v>0</v>
      </c>
      <c r="M58">
        <v>0</v>
      </c>
      <c r="N58">
        <v>1</v>
      </c>
      <c r="O58">
        <v>2</v>
      </c>
      <c r="P58">
        <v>0</v>
      </c>
      <c r="Q58">
        <v>0</v>
      </c>
      <c r="R58">
        <v>2</v>
      </c>
      <c r="S58">
        <v>1</v>
      </c>
      <c r="T58">
        <v>0</v>
      </c>
      <c r="U58">
        <v>0</v>
      </c>
      <c r="V58">
        <v>1</v>
      </c>
      <c r="W58">
        <v>3</v>
      </c>
      <c r="X58">
        <v>0</v>
      </c>
      <c r="Y58">
        <v>0</v>
      </c>
      <c r="Z58">
        <v>3</v>
      </c>
      <c r="AA58">
        <v>0</v>
      </c>
      <c r="AB58">
        <v>0</v>
      </c>
      <c r="AC58">
        <v>0</v>
      </c>
      <c r="AD58">
        <v>0</v>
      </c>
      <c r="AE58">
        <v>3</v>
      </c>
      <c r="AF58">
        <v>1</v>
      </c>
      <c r="AG58">
        <v>1</v>
      </c>
      <c r="AH58">
        <v>5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1</v>
      </c>
      <c r="AZ58">
        <v>0</v>
      </c>
      <c r="BA58">
        <v>0</v>
      </c>
      <c r="BB58">
        <v>1</v>
      </c>
      <c r="BC58">
        <v>2</v>
      </c>
      <c r="BD58">
        <v>0</v>
      </c>
      <c r="BE58">
        <v>1</v>
      </c>
      <c r="BF58">
        <v>3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1</v>
      </c>
      <c r="CS58">
        <v>0</v>
      </c>
      <c r="CT58">
        <v>1</v>
      </c>
      <c r="CU58">
        <v>1</v>
      </c>
      <c r="CV58">
        <v>0</v>
      </c>
      <c r="CW58">
        <v>1</v>
      </c>
      <c r="CX58">
        <v>2</v>
      </c>
      <c r="CY58">
        <v>1</v>
      </c>
      <c r="CZ58">
        <v>0</v>
      </c>
      <c r="DA58">
        <v>0</v>
      </c>
      <c r="DB58">
        <v>1</v>
      </c>
      <c r="DC58">
        <v>1</v>
      </c>
      <c r="DD58">
        <v>0</v>
      </c>
      <c r="DE58">
        <v>0</v>
      </c>
      <c r="DF58">
        <v>1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1</v>
      </c>
      <c r="EV58">
        <v>0</v>
      </c>
      <c r="EW58">
        <v>0</v>
      </c>
      <c r="EX58">
        <v>1</v>
      </c>
      <c r="EY58">
        <v>0</v>
      </c>
      <c r="EZ58">
        <v>0</v>
      </c>
      <c r="FA58">
        <v>0</v>
      </c>
      <c r="FB58">
        <v>0</v>
      </c>
      <c r="FC58">
        <v>1</v>
      </c>
      <c r="FD58">
        <v>0</v>
      </c>
      <c r="FE58">
        <v>1</v>
      </c>
      <c r="FF58">
        <v>2</v>
      </c>
      <c r="FG58">
        <v>0</v>
      </c>
      <c r="FH58">
        <v>0</v>
      </c>
      <c r="FI58">
        <v>0</v>
      </c>
      <c r="FJ58">
        <v>0</v>
      </c>
      <c r="FK58">
        <v>1</v>
      </c>
      <c r="FL58">
        <v>0</v>
      </c>
      <c r="FM58">
        <v>0</v>
      </c>
      <c r="FN58">
        <v>1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1</v>
      </c>
      <c r="GZ58">
        <v>0</v>
      </c>
      <c r="HA58">
        <v>0</v>
      </c>
      <c r="HB58">
        <v>1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1</v>
      </c>
      <c r="IN58">
        <v>0</v>
      </c>
      <c r="IO58">
        <v>0</v>
      </c>
      <c r="IP58">
        <v>1</v>
      </c>
      <c r="IQ58">
        <v>0</v>
      </c>
      <c r="IR58">
        <v>0</v>
      </c>
      <c r="IS58">
        <v>0</v>
      </c>
      <c r="IT58">
        <v>0</v>
      </c>
      <c r="IU58">
        <v>1</v>
      </c>
      <c r="IV58">
        <v>0</v>
      </c>
      <c r="IW58">
        <v>0</v>
      </c>
      <c r="IX58">
        <v>1</v>
      </c>
      <c r="IY58">
        <f t="shared" ca="1" si="9"/>
        <v>9</v>
      </c>
      <c r="IZ58">
        <f t="shared" ca="1" si="9"/>
        <v>1</v>
      </c>
      <c r="JA58">
        <f t="shared" ca="1" si="9"/>
        <v>2</v>
      </c>
      <c r="JB58">
        <f t="shared" ca="1" si="9"/>
        <v>12</v>
      </c>
    </row>
    <row r="59" spans="1:262" x14ac:dyDescent="0.25">
      <c r="A59" s="180">
        <v>56</v>
      </c>
      <c r="B59" s="180" t="s">
        <v>450</v>
      </c>
      <c r="C59">
        <v>0</v>
      </c>
      <c r="D59">
        <v>0</v>
      </c>
      <c r="E59">
        <v>0</v>
      </c>
      <c r="F59">
        <v>0</v>
      </c>
      <c r="G59">
        <v>1</v>
      </c>
      <c r="H59">
        <v>1</v>
      </c>
      <c r="I59">
        <v>0</v>
      </c>
      <c r="J59">
        <v>2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</v>
      </c>
      <c r="AF59">
        <v>1</v>
      </c>
      <c r="AG59">
        <v>0</v>
      </c>
      <c r="AH59">
        <v>2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1</v>
      </c>
      <c r="CW59">
        <v>0</v>
      </c>
      <c r="CX59">
        <v>1</v>
      </c>
      <c r="CY59">
        <v>0</v>
      </c>
      <c r="CZ59">
        <v>0</v>
      </c>
      <c r="DA59">
        <v>0</v>
      </c>
      <c r="DB59">
        <v>0</v>
      </c>
      <c r="DC59">
        <v>1</v>
      </c>
      <c r="DD59">
        <v>0</v>
      </c>
      <c r="DE59">
        <v>0</v>
      </c>
      <c r="DF59">
        <v>1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f t="shared" ca="1" si="9"/>
        <v>1</v>
      </c>
      <c r="IZ59">
        <f t="shared" ca="1" si="9"/>
        <v>1</v>
      </c>
      <c r="JA59">
        <f t="shared" ca="1" si="9"/>
        <v>0</v>
      </c>
      <c r="JB59">
        <f t="shared" ca="1" si="9"/>
        <v>2</v>
      </c>
    </row>
    <row r="60" spans="1:262" x14ac:dyDescent="0.25">
      <c r="A60" s="180">
        <v>57</v>
      </c>
      <c r="B60" s="181" t="s">
        <v>438</v>
      </c>
      <c r="C60">
        <v>0</v>
      </c>
      <c r="D60">
        <v>0</v>
      </c>
      <c r="E60">
        <v>0</v>
      </c>
      <c r="F60">
        <v>0</v>
      </c>
      <c r="G60">
        <v>3</v>
      </c>
      <c r="H60">
        <v>3</v>
      </c>
      <c r="I60">
        <v>0</v>
      </c>
      <c r="J60">
        <v>6</v>
      </c>
      <c r="K60">
        <v>0</v>
      </c>
      <c r="L60">
        <v>0</v>
      </c>
      <c r="M60">
        <v>0</v>
      </c>
      <c r="N60">
        <v>0</v>
      </c>
      <c r="O60">
        <v>2</v>
      </c>
      <c r="P60">
        <v>0</v>
      </c>
      <c r="Q60">
        <v>2</v>
      </c>
      <c r="R60">
        <v>4</v>
      </c>
      <c r="S60">
        <v>1</v>
      </c>
      <c r="T60">
        <v>0</v>
      </c>
      <c r="U60">
        <v>0</v>
      </c>
      <c r="V60">
        <v>1</v>
      </c>
      <c r="W60">
        <v>3</v>
      </c>
      <c r="X60">
        <v>0</v>
      </c>
      <c r="Y60">
        <v>0</v>
      </c>
      <c r="Z60">
        <v>3</v>
      </c>
      <c r="AA60">
        <v>0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  <c r="AH60">
        <v>3</v>
      </c>
      <c r="AI60">
        <v>1</v>
      </c>
      <c r="AJ60">
        <v>1</v>
      </c>
      <c r="AK60">
        <v>1</v>
      </c>
      <c r="AL60">
        <v>3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1</v>
      </c>
      <c r="AS60">
        <v>0</v>
      </c>
      <c r="AT60">
        <v>1</v>
      </c>
      <c r="AU60">
        <v>0</v>
      </c>
      <c r="AV60">
        <v>0</v>
      </c>
      <c r="AW60">
        <v>0</v>
      </c>
      <c r="AX60">
        <v>0</v>
      </c>
      <c r="AY60">
        <v>1</v>
      </c>
      <c r="AZ60">
        <v>0</v>
      </c>
      <c r="BA60">
        <v>0</v>
      </c>
      <c r="BB60">
        <v>1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1</v>
      </c>
      <c r="DA60">
        <v>0</v>
      </c>
      <c r="DB60">
        <v>1</v>
      </c>
      <c r="DC60">
        <v>1</v>
      </c>
      <c r="DD60">
        <v>0</v>
      </c>
      <c r="DE60">
        <v>0</v>
      </c>
      <c r="DF60">
        <v>1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1</v>
      </c>
      <c r="DM60">
        <v>0</v>
      </c>
      <c r="DN60">
        <v>1</v>
      </c>
      <c r="DO60">
        <v>1</v>
      </c>
      <c r="DP60">
        <v>0</v>
      </c>
      <c r="DQ60">
        <v>0</v>
      </c>
      <c r="DR60">
        <v>1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1</v>
      </c>
      <c r="EC60">
        <v>0</v>
      </c>
      <c r="ED60">
        <v>1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1</v>
      </c>
      <c r="EV60">
        <v>0</v>
      </c>
      <c r="EW60">
        <v>0</v>
      </c>
      <c r="EX60">
        <v>1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1</v>
      </c>
      <c r="GZ60">
        <v>0</v>
      </c>
      <c r="HA60">
        <v>0</v>
      </c>
      <c r="HB60">
        <v>1</v>
      </c>
      <c r="HC60">
        <v>1</v>
      </c>
      <c r="HD60">
        <v>0</v>
      </c>
      <c r="HE60">
        <v>0</v>
      </c>
      <c r="HF60">
        <v>1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1</v>
      </c>
      <c r="HR60">
        <v>1</v>
      </c>
      <c r="HS60">
        <v>0</v>
      </c>
      <c r="HT60">
        <v>0</v>
      </c>
      <c r="HU60">
        <v>1</v>
      </c>
      <c r="HV60">
        <v>1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1</v>
      </c>
      <c r="IV60">
        <v>0</v>
      </c>
      <c r="IW60">
        <v>0</v>
      </c>
      <c r="IX60">
        <v>1</v>
      </c>
      <c r="IY60">
        <f t="shared" ca="1" si="9"/>
        <v>6</v>
      </c>
      <c r="IZ60">
        <f t="shared" ca="1" si="9"/>
        <v>3</v>
      </c>
      <c r="JA60">
        <f t="shared" ca="1" si="9"/>
        <v>2</v>
      </c>
      <c r="JB60">
        <f t="shared" ca="1" si="9"/>
        <v>11</v>
      </c>
    </row>
    <row r="61" spans="1:262" x14ac:dyDescent="0.25">
      <c r="A61" s="180">
        <v>58</v>
      </c>
      <c r="B61" s="181" t="s">
        <v>442</v>
      </c>
      <c r="C61">
        <v>0</v>
      </c>
      <c r="D61">
        <v>0</v>
      </c>
      <c r="E61">
        <v>0</v>
      </c>
      <c r="F61">
        <v>0</v>
      </c>
      <c r="G61">
        <v>3</v>
      </c>
      <c r="H61">
        <v>1</v>
      </c>
      <c r="I61">
        <v>1</v>
      </c>
      <c r="J61">
        <v>5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1</v>
      </c>
      <c r="AG61">
        <v>1</v>
      </c>
      <c r="AH61">
        <v>3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2</v>
      </c>
      <c r="AZ61">
        <v>0</v>
      </c>
      <c r="BA61">
        <v>0</v>
      </c>
      <c r="BB61">
        <v>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1</v>
      </c>
      <c r="DA61">
        <v>0</v>
      </c>
      <c r="DB61">
        <v>1</v>
      </c>
      <c r="DC61">
        <v>1</v>
      </c>
      <c r="DD61">
        <v>0</v>
      </c>
      <c r="DE61">
        <v>1</v>
      </c>
      <c r="DF61">
        <v>2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1</v>
      </c>
      <c r="EN61">
        <v>0</v>
      </c>
      <c r="EO61">
        <v>0</v>
      </c>
      <c r="EP61">
        <v>1</v>
      </c>
      <c r="EQ61">
        <v>0</v>
      </c>
      <c r="ER61">
        <v>0</v>
      </c>
      <c r="ES61">
        <v>0</v>
      </c>
      <c r="ET61">
        <v>0</v>
      </c>
      <c r="EU61">
        <v>1</v>
      </c>
      <c r="EV61">
        <v>0</v>
      </c>
      <c r="EW61">
        <v>0</v>
      </c>
      <c r="EX61">
        <v>1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f t="shared" ca="1" si="9"/>
        <v>3</v>
      </c>
      <c r="IZ61">
        <f t="shared" ca="1" si="9"/>
        <v>1</v>
      </c>
      <c r="JA61">
        <f t="shared" ca="1" si="9"/>
        <v>1</v>
      </c>
      <c r="JB61">
        <f t="shared" ca="1" si="9"/>
        <v>5</v>
      </c>
    </row>
    <row r="62" spans="1:262" x14ac:dyDescent="0.25">
      <c r="A62" s="180">
        <v>59</v>
      </c>
      <c r="B62" s="180" t="s">
        <v>449</v>
      </c>
      <c r="C62">
        <v>0</v>
      </c>
      <c r="D62">
        <v>0</v>
      </c>
      <c r="E62">
        <v>0</v>
      </c>
      <c r="F62">
        <v>0</v>
      </c>
      <c r="G62">
        <v>5</v>
      </c>
      <c r="H62">
        <v>1</v>
      </c>
      <c r="I62">
        <v>3</v>
      </c>
      <c r="J62">
        <v>9</v>
      </c>
      <c r="K62">
        <v>4</v>
      </c>
      <c r="L62">
        <v>0</v>
      </c>
      <c r="M62">
        <v>3</v>
      </c>
      <c r="N62">
        <v>7</v>
      </c>
      <c r="O62">
        <v>2</v>
      </c>
      <c r="P62">
        <v>0</v>
      </c>
      <c r="Q62">
        <v>1</v>
      </c>
      <c r="R62">
        <v>3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0</v>
      </c>
      <c r="AE62">
        <v>1</v>
      </c>
      <c r="AF62">
        <v>1</v>
      </c>
      <c r="AG62">
        <v>1</v>
      </c>
      <c r="AH62">
        <v>3</v>
      </c>
      <c r="AI62">
        <v>2</v>
      </c>
      <c r="AJ62">
        <v>0</v>
      </c>
      <c r="AK62">
        <v>1</v>
      </c>
      <c r="AL62">
        <v>3</v>
      </c>
      <c r="AM62">
        <v>0</v>
      </c>
      <c r="AN62">
        <v>0</v>
      </c>
      <c r="AO62">
        <v>0</v>
      </c>
      <c r="AP62">
        <v>0</v>
      </c>
      <c r="AQ62">
        <v>4</v>
      </c>
      <c r="AR62">
        <v>0</v>
      </c>
      <c r="AS62">
        <v>2</v>
      </c>
      <c r="AT62">
        <v>6</v>
      </c>
      <c r="AU62">
        <v>0</v>
      </c>
      <c r="AV62">
        <v>0</v>
      </c>
      <c r="AW62">
        <v>2</v>
      </c>
      <c r="AX62">
        <v>2</v>
      </c>
      <c r="AY62">
        <v>1</v>
      </c>
      <c r="AZ62">
        <v>0</v>
      </c>
      <c r="BA62">
        <v>1</v>
      </c>
      <c r="BB62">
        <v>2</v>
      </c>
      <c r="BC62">
        <v>1</v>
      </c>
      <c r="BD62">
        <v>0</v>
      </c>
      <c r="BE62">
        <v>0</v>
      </c>
      <c r="BF62">
        <v>1</v>
      </c>
      <c r="BG62">
        <v>1</v>
      </c>
      <c r="BH62">
        <v>0</v>
      </c>
      <c r="BI62">
        <v>0</v>
      </c>
      <c r="BJ62">
        <v>1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1</v>
      </c>
      <c r="DE62">
        <v>0</v>
      </c>
      <c r="DF62">
        <v>1</v>
      </c>
      <c r="DG62">
        <v>0</v>
      </c>
      <c r="DH62">
        <v>0</v>
      </c>
      <c r="DI62">
        <v>0</v>
      </c>
      <c r="DJ62">
        <v>0</v>
      </c>
      <c r="DK62">
        <v>1</v>
      </c>
      <c r="DL62">
        <v>0</v>
      </c>
      <c r="DM62">
        <v>0</v>
      </c>
      <c r="DN62">
        <v>1</v>
      </c>
      <c r="DO62">
        <v>1</v>
      </c>
      <c r="DP62">
        <v>0</v>
      </c>
      <c r="DQ62">
        <v>1</v>
      </c>
      <c r="DR62">
        <v>2</v>
      </c>
      <c r="DS62">
        <v>0</v>
      </c>
      <c r="DT62">
        <v>0</v>
      </c>
      <c r="DU62">
        <v>0</v>
      </c>
      <c r="DV62">
        <v>0</v>
      </c>
      <c r="DW62">
        <v>1</v>
      </c>
      <c r="DX62">
        <v>0</v>
      </c>
      <c r="DY62">
        <v>0</v>
      </c>
      <c r="DZ62">
        <v>1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1</v>
      </c>
      <c r="EH62">
        <v>1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1</v>
      </c>
      <c r="EZ62">
        <v>0</v>
      </c>
      <c r="FA62">
        <v>1</v>
      </c>
      <c r="FB62">
        <v>2</v>
      </c>
      <c r="FC62">
        <v>0</v>
      </c>
      <c r="FD62">
        <v>0</v>
      </c>
      <c r="FE62">
        <v>0</v>
      </c>
      <c r="FF62">
        <v>0</v>
      </c>
      <c r="FG62">
        <v>1</v>
      </c>
      <c r="FH62">
        <v>0</v>
      </c>
      <c r="FI62">
        <v>0</v>
      </c>
      <c r="FJ62">
        <v>1</v>
      </c>
      <c r="FK62">
        <v>1</v>
      </c>
      <c r="FL62">
        <v>0</v>
      </c>
      <c r="FM62">
        <v>0</v>
      </c>
      <c r="FN62">
        <v>1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1</v>
      </c>
      <c r="FX62">
        <v>0</v>
      </c>
      <c r="FY62">
        <v>1</v>
      </c>
      <c r="FZ62">
        <v>2</v>
      </c>
      <c r="GA62">
        <v>1</v>
      </c>
      <c r="GB62">
        <v>0</v>
      </c>
      <c r="GC62">
        <v>1</v>
      </c>
      <c r="GD62">
        <v>2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1</v>
      </c>
      <c r="GL62">
        <v>1</v>
      </c>
      <c r="GM62">
        <v>0</v>
      </c>
      <c r="GN62">
        <v>0</v>
      </c>
      <c r="GO62">
        <v>0</v>
      </c>
      <c r="GP62">
        <v>0</v>
      </c>
      <c r="GQ62">
        <v>1</v>
      </c>
      <c r="GR62">
        <v>0</v>
      </c>
      <c r="GS62">
        <v>0</v>
      </c>
      <c r="GT62">
        <v>1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1</v>
      </c>
      <c r="HP62">
        <v>0</v>
      </c>
      <c r="HQ62">
        <v>1</v>
      </c>
      <c r="HR62">
        <v>2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1</v>
      </c>
      <c r="IB62">
        <v>0</v>
      </c>
      <c r="IC62">
        <v>0</v>
      </c>
      <c r="ID62">
        <v>1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f t="shared" ca="1" si="9"/>
        <v>11</v>
      </c>
      <c r="IZ62">
        <f t="shared" ca="1" si="9"/>
        <v>1</v>
      </c>
      <c r="JA62">
        <f t="shared" ca="1" si="9"/>
        <v>7</v>
      </c>
      <c r="JB62">
        <f t="shared" ca="1" si="9"/>
        <v>19</v>
      </c>
    </row>
    <row r="63" spans="1:262" x14ac:dyDescent="0.25">
      <c r="A63" s="180">
        <v>60</v>
      </c>
      <c r="B63" s="180" t="s">
        <v>447</v>
      </c>
      <c r="C63">
        <v>0</v>
      </c>
      <c r="D63">
        <v>0</v>
      </c>
      <c r="E63">
        <v>0</v>
      </c>
      <c r="F63">
        <v>0</v>
      </c>
      <c r="G63">
        <v>0</v>
      </c>
      <c r="H63">
        <v>1</v>
      </c>
      <c r="I63">
        <v>0</v>
      </c>
      <c r="J63">
        <v>1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1</v>
      </c>
      <c r="AF63">
        <v>1</v>
      </c>
      <c r="AG63">
        <v>0</v>
      </c>
      <c r="AH63">
        <v>2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1</v>
      </c>
      <c r="DE63">
        <v>0</v>
      </c>
      <c r="DF63">
        <v>1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1</v>
      </c>
      <c r="HP63">
        <v>0</v>
      </c>
      <c r="HQ63">
        <v>0</v>
      </c>
      <c r="HR63">
        <v>1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f t="shared" ca="1" si="9"/>
        <v>1</v>
      </c>
      <c r="IZ63">
        <f t="shared" ca="1" si="9"/>
        <v>1</v>
      </c>
      <c r="JA63">
        <f t="shared" ca="1" si="9"/>
        <v>0</v>
      </c>
      <c r="JB63">
        <f t="shared" ca="1" si="9"/>
        <v>2</v>
      </c>
    </row>
    <row r="64" spans="1:262" x14ac:dyDescent="0.25">
      <c r="A64" s="180">
        <v>61</v>
      </c>
      <c r="B64" s="181" t="s">
        <v>462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I64">
        <v>0</v>
      </c>
      <c r="J64">
        <v>1</v>
      </c>
      <c r="K64">
        <v>0</v>
      </c>
      <c r="L64">
        <v>0</v>
      </c>
      <c r="M64">
        <v>0</v>
      </c>
      <c r="N64">
        <v>0</v>
      </c>
      <c r="O64">
        <v>1</v>
      </c>
      <c r="P64">
        <v>0</v>
      </c>
      <c r="Q64">
        <v>1</v>
      </c>
      <c r="R64">
        <v>2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1</v>
      </c>
      <c r="AF64">
        <v>1</v>
      </c>
      <c r="AG64">
        <v>1</v>
      </c>
      <c r="AH64">
        <v>3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1</v>
      </c>
      <c r="DE64">
        <v>0</v>
      </c>
      <c r="DF64">
        <v>1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1</v>
      </c>
      <c r="HP64">
        <v>0</v>
      </c>
      <c r="HQ64">
        <v>1</v>
      </c>
      <c r="HR64">
        <v>2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f t="shared" ref="IY64:JB83" ca="1" si="10">SUMIFS($BK64:$IX64,$BK$3:$IX$3,IY$3,$BK$1:$IX$1,"&gt;0")</f>
        <v>1</v>
      </c>
      <c r="IZ64">
        <f t="shared" ca="1" si="10"/>
        <v>1</v>
      </c>
      <c r="JA64">
        <f t="shared" ca="1" si="10"/>
        <v>1</v>
      </c>
      <c r="JB64">
        <f t="shared" ca="1" si="10"/>
        <v>3</v>
      </c>
    </row>
    <row r="65" spans="1:262" x14ac:dyDescent="0.25">
      <c r="A65" s="180">
        <v>62</v>
      </c>
      <c r="B65" s="181" t="s">
        <v>463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0</v>
      </c>
      <c r="O65">
        <v>1</v>
      </c>
      <c r="P65">
        <v>1</v>
      </c>
      <c r="Q65">
        <v>1</v>
      </c>
      <c r="R65">
        <v>3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1</v>
      </c>
      <c r="Z65">
        <v>2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1</v>
      </c>
      <c r="AG65">
        <v>0</v>
      </c>
      <c r="AH65">
        <v>1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1</v>
      </c>
      <c r="AZ65">
        <v>0</v>
      </c>
      <c r="BA65">
        <v>0</v>
      </c>
      <c r="BB65">
        <v>1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1</v>
      </c>
      <c r="EV65">
        <v>0</v>
      </c>
      <c r="EW65">
        <v>0</v>
      </c>
      <c r="EX65">
        <v>1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1</v>
      </c>
      <c r="GZ65">
        <v>0</v>
      </c>
      <c r="HA65">
        <v>1</v>
      </c>
      <c r="HB65">
        <v>2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1</v>
      </c>
      <c r="HQ65">
        <v>0</v>
      </c>
      <c r="HR65">
        <v>1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f t="shared" ca="1" si="10"/>
        <v>2</v>
      </c>
      <c r="IZ65">
        <f t="shared" ca="1" si="10"/>
        <v>1</v>
      </c>
      <c r="JA65">
        <f t="shared" ca="1" si="10"/>
        <v>1</v>
      </c>
      <c r="JB65">
        <f t="shared" ca="1" si="10"/>
        <v>4</v>
      </c>
    </row>
    <row r="66" spans="1:262" x14ac:dyDescent="0.25">
      <c r="A66" s="180">
        <v>63</v>
      </c>
      <c r="B66" s="181" t="s">
        <v>440</v>
      </c>
      <c r="C66">
        <v>0</v>
      </c>
      <c r="D66">
        <v>0</v>
      </c>
      <c r="E66">
        <v>0</v>
      </c>
      <c r="F66">
        <v>0</v>
      </c>
      <c r="G66">
        <v>4</v>
      </c>
      <c r="H66">
        <v>1</v>
      </c>
      <c r="I66">
        <v>1</v>
      </c>
      <c r="J66">
        <v>6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1</v>
      </c>
      <c r="AJ66">
        <v>1</v>
      </c>
      <c r="AK66">
        <v>2</v>
      </c>
      <c r="AL66">
        <v>4</v>
      </c>
      <c r="AM66">
        <v>0</v>
      </c>
      <c r="AN66">
        <v>0</v>
      </c>
      <c r="AO66">
        <v>0</v>
      </c>
      <c r="AP66">
        <v>0</v>
      </c>
      <c r="AQ66">
        <v>1</v>
      </c>
      <c r="AR66">
        <v>0</v>
      </c>
      <c r="AS66">
        <v>0</v>
      </c>
      <c r="AT66">
        <v>1</v>
      </c>
      <c r="AU66">
        <v>0</v>
      </c>
      <c r="AV66">
        <v>0</v>
      </c>
      <c r="AW66">
        <v>0</v>
      </c>
      <c r="AX66">
        <v>0</v>
      </c>
      <c r="AY66">
        <v>2</v>
      </c>
      <c r="AZ66">
        <v>0</v>
      </c>
      <c r="BA66">
        <v>0</v>
      </c>
      <c r="BB66">
        <v>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1</v>
      </c>
      <c r="DM66">
        <v>0</v>
      </c>
      <c r="DN66">
        <v>1</v>
      </c>
      <c r="DO66">
        <v>1</v>
      </c>
      <c r="DP66">
        <v>0</v>
      </c>
      <c r="DQ66">
        <v>1</v>
      </c>
      <c r="DR66">
        <v>2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1</v>
      </c>
      <c r="EB66">
        <v>0</v>
      </c>
      <c r="EC66">
        <v>0</v>
      </c>
      <c r="ED66">
        <v>1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1</v>
      </c>
      <c r="EN66">
        <v>0</v>
      </c>
      <c r="EO66">
        <v>0</v>
      </c>
      <c r="EP66">
        <v>1</v>
      </c>
      <c r="EQ66">
        <v>0</v>
      </c>
      <c r="ER66">
        <v>0</v>
      </c>
      <c r="ES66">
        <v>0</v>
      </c>
      <c r="ET66">
        <v>0</v>
      </c>
      <c r="EU66">
        <v>1</v>
      </c>
      <c r="EV66">
        <v>0</v>
      </c>
      <c r="EW66">
        <v>0</v>
      </c>
      <c r="EX66">
        <v>1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1</v>
      </c>
      <c r="HV66">
        <v>1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f t="shared" ca="1" si="10"/>
        <v>4</v>
      </c>
      <c r="IZ66">
        <f t="shared" ca="1" si="10"/>
        <v>1</v>
      </c>
      <c r="JA66">
        <f t="shared" ca="1" si="10"/>
        <v>2</v>
      </c>
      <c r="JB66">
        <f t="shared" ca="1" si="10"/>
        <v>7</v>
      </c>
    </row>
    <row r="67" spans="1:262" x14ac:dyDescent="0.25">
      <c r="A67" s="180">
        <v>64</v>
      </c>
      <c r="B67" s="181" t="s">
        <v>441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>
        <v>1</v>
      </c>
      <c r="J67">
        <v>2</v>
      </c>
      <c r="K67">
        <v>0</v>
      </c>
      <c r="L67">
        <v>0</v>
      </c>
      <c r="M67">
        <v>0</v>
      </c>
      <c r="N67">
        <v>0</v>
      </c>
      <c r="O67">
        <v>1</v>
      </c>
      <c r="P67">
        <v>1</v>
      </c>
      <c r="Q67">
        <v>1</v>
      </c>
      <c r="R67">
        <v>3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1</v>
      </c>
      <c r="Z67">
        <v>2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1</v>
      </c>
      <c r="AK67">
        <v>0</v>
      </c>
      <c r="AL67">
        <v>1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0</v>
      </c>
      <c r="BA67">
        <v>1</v>
      </c>
      <c r="BB67">
        <v>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1</v>
      </c>
      <c r="EV67">
        <v>0</v>
      </c>
      <c r="EW67">
        <v>0</v>
      </c>
      <c r="EX67">
        <v>1</v>
      </c>
      <c r="EY67">
        <v>0</v>
      </c>
      <c r="EZ67">
        <v>0</v>
      </c>
      <c r="FA67">
        <v>1</v>
      </c>
      <c r="FB67">
        <v>1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1</v>
      </c>
      <c r="GZ67">
        <v>0</v>
      </c>
      <c r="HA67">
        <v>1</v>
      </c>
      <c r="HB67">
        <v>2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1</v>
      </c>
      <c r="HU67">
        <v>0</v>
      </c>
      <c r="HV67">
        <v>1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f t="shared" ca="1" si="10"/>
        <v>2</v>
      </c>
      <c r="IZ67">
        <f t="shared" ca="1" si="10"/>
        <v>1</v>
      </c>
      <c r="JA67">
        <f t="shared" ca="1" si="10"/>
        <v>2</v>
      </c>
      <c r="JB67">
        <f t="shared" ca="1" si="10"/>
        <v>5</v>
      </c>
    </row>
    <row r="68" spans="1:262" x14ac:dyDescent="0.25">
      <c r="A68" s="180">
        <v>65</v>
      </c>
      <c r="B68" s="181" t="s">
        <v>396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1</v>
      </c>
      <c r="K68">
        <v>1</v>
      </c>
      <c r="L68">
        <v>0</v>
      </c>
      <c r="M68">
        <v>0</v>
      </c>
      <c r="N68">
        <v>1</v>
      </c>
      <c r="O68">
        <v>1</v>
      </c>
      <c r="P68">
        <v>0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2</v>
      </c>
      <c r="AN68">
        <v>1</v>
      </c>
      <c r="AO68">
        <v>0</v>
      </c>
      <c r="AP68">
        <v>3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1</v>
      </c>
      <c r="DU68">
        <v>0</v>
      </c>
      <c r="DV68">
        <v>1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1</v>
      </c>
      <c r="FT68">
        <v>0</v>
      </c>
      <c r="FU68">
        <v>0</v>
      </c>
      <c r="FV68">
        <v>1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1</v>
      </c>
      <c r="HX68">
        <v>0</v>
      </c>
      <c r="HY68">
        <v>0</v>
      </c>
      <c r="HZ68">
        <v>1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f t="shared" ca="1" si="10"/>
        <v>2</v>
      </c>
      <c r="IZ68">
        <f t="shared" ca="1" si="10"/>
        <v>1</v>
      </c>
      <c r="JA68">
        <f t="shared" ca="1" si="10"/>
        <v>0</v>
      </c>
      <c r="JB68">
        <f t="shared" ca="1" si="10"/>
        <v>3</v>
      </c>
    </row>
    <row r="69" spans="1:262" x14ac:dyDescent="0.25">
      <c r="A69" s="180">
        <v>66</v>
      </c>
      <c r="B69" s="181" t="s">
        <v>454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1</v>
      </c>
      <c r="M69">
        <v>0</v>
      </c>
      <c r="N69">
        <v>2</v>
      </c>
      <c r="O69">
        <v>3</v>
      </c>
      <c r="P69">
        <v>0</v>
      </c>
      <c r="Q69">
        <v>0</v>
      </c>
      <c r="R69">
        <v>3</v>
      </c>
      <c r="S69">
        <v>1</v>
      </c>
      <c r="T69">
        <v>0</v>
      </c>
      <c r="U69">
        <v>0</v>
      </c>
      <c r="V69">
        <v>1</v>
      </c>
      <c r="W69">
        <v>2</v>
      </c>
      <c r="X69">
        <v>0</v>
      </c>
      <c r="Y69">
        <v>0</v>
      </c>
      <c r="Z69">
        <v>2</v>
      </c>
      <c r="AA69">
        <v>1</v>
      </c>
      <c r="AB69">
        <v>0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1</v>
      </c>
      <c r="AO69">
        <v>0</v>
      </c>
      <c r="AP69">
        <v>1</v>
      </c>
      <c r="AQ69">
        <v>0</v>
      </c>
      <c r="AR69">
        <v>0</v>
      </c>
      <c r="AS69">
        <v>0</v>
      </c>
      <c r="AT69">
        <v>0</v>
      </c>
      <c r="AU69">
        <v>1</v>
      </c>
      <c r="AV69">
        <v>0</v>
      </c>
      <c r="AW69">
        <v>0</v>
      </c>
      <c r="AX69">
        <v>1</v>
      </c>
      <c r="AY69">
        <v>0</v>
      </c>
      <c r="AZ69">
        <v>0</v>
      </c>
      <c r="BA69">
        <v>0</v>
      </c>
      <c r="BB69">
        <v>0</v>
      </c>
      <c r="BC69">
        <v>1</v>
      </c>
      <c r="BD69">
        <v>0</v>
      </c>
      <c r="BE69">
        <v>0</v>
      </c>
      <c r="BF69">
        <v>1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1</v>
      </c>
      <c r="FU69">
        <v>0</v>
      </c>
      <c r="FV69">
        <v>1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1</v>
      </c>
      <c r="GJ69">
        <v>0</v>
      </c>
      <c r="GK69">
        <v>0</v>
      </c>
      <c r="GL69">
        <v>1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1</v>
      </c>
      <c r="GZ69">
        <v>0</v>
      </c>
      <c r="HA69">
        <v>0</v>
      </c>
      <c r="HB69">
        <v>1</v>
      </c>
      <c r="HC69">
        <v>0</v>
      </c>
      <c r="HD69">
        <v>0</v>
      </c>
      <c r="HE69">
        <v>0</v>
      </c>
      <c r="HF69">
        <v>0</v>
      </c>
      <c r="HG69">
        <v>1</v>
      </c>
      <c r="HH69">
        <v>0</v>
      </c>
      <c r="HI69">
        <v>0</v>
      </c>
      <c r="HJ69">
        <v>1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1</v>
      </c>
      <c r="IN69">
        <v>0</v>
      </c>
      <c r="IO69">
        <v>0</v>
      </c>
      <c r="IP69">
        <v>1</v>
      </c>
      <c r="IQ69">
        <v>0</v>
      </c>
      <c r="IR69">
        <v>0</v>
      </c>
      <c r="IS69">
        <v>0</v>
      </c>
      <c r="IT69">
        <v>0</v>
      </c>
      <c r="IU69">
        <v>1</v>
      </c>
      <c r="IV69">
        <v>0</v>
      </c>
      <c r="IW69">
        <v>0</v>
      </c>
      <c r="IX69">
        <v>1</v>
      </c>
      <c r="IY69">
        <f t="shared" ca="1" si="10"/>
        <v>5</v>
      </c>
      <c r="IZ69">
        <f t="shared" ca="1" si="10"/>
        <v>1</v>
      </c>
      <c r="JA69">
        <f t="shared" ca="1" si="10"/>
        <v>0</v>
      </c>
      <c r="JB69">
        <f t="shared" ca="1" si="10"/>
        <v>6</v>
      </c>
    </row>
    <row r="70" spans="1:262" x14ac:dyDescent="0.25">
      <c r="A70" s="180">
        <v>67</v>
      </c>
      <c r="B70" s="181" t="s">
        <v>466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1</v>
      </c>
      <c r="O70">
        <v>1</v>
      </c>
      <c r="P70">
        <v>0</v>
      </c>
      <c r="Q70">
        <v>1</v>
      </c>
      <c r="R70">
        <v>2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1</v>
      </c>
      <c r="AN70">
        <v>1</v>
      </c>
      <c r="AO70">
        <v>1</v>
      </c>
      <c r="AP70">
        <v>3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1</v>
      </c>
      <c r="FU70">
        <v>0</v>
      </c>
      <c r="FV70">
        <v>1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1</v>
      </c>
      <c r="HX70">
        <v>0</v>
      </c>
      <c r="HY70">
        <v>1</v>
      </c>
      <c r="HZ70">
        <v>2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f t="shared" ca="1" si="10"/>
        <v>1</v>
      </c>
      <c r="IZ70">
        <f t="shared" ca="1" si="10"/>
        <v>1</v>
      </c>
      <c r="JA70">
        <f t="shared" ca="1" si="10"/>
        <v>1</v>
      </c>
      <c r="JB70">
        <f t="shared" ca="1" si="10"/>
        <v>3</v>
      </c>
    </row>
    <row r="71" spans="1:262" x14ac:dyDescent="0.25">
      <c r="A71" s="180">
        <v>68</v>
      </c>
      <c r="B71" s="181" t="s">
        <v>453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</v>
      </c>
      <c r="L71">
        <v>0</v>
      </c>
      <c r="M71">
        <v>0</v>
      </c>
      <c r="N71">
        <v>1</v>
      </c>
      <c r="O71">
        <v>0</v>
      </c>
      <c r="P71">
        <v>1</v>
      </c>
      <c r="Q71">
        <v>0</v>
      </c>
      <c r="R71">
        <v>1</v>
      </c>
      <c r="S71">
        <v>1</v>
      </c>
      <c r="T71">
        <v>0</v>
      </c>
      <c r="U71">
        <v>0</v>
      </c>
      <c r="V71">
        <v>1</v>
      </c>
      <c r="W71">
        <v>1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1</v>
      </c>
      <c r="AN71">
        <v>1</v>
      </c>
      <c r="AO71">
        <v>0</v>
      </c>
      <c r="AP71">
        <v>2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1</v>
      </c>
      <c r="FT71">
        <v>0</v>
      </c>
      <c r="FU71">
        <v>0</v>
      </c>
      <c r="FV71">
        <v>1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1</v>
      </c>
      <c r="HY71">
        <v>0</v>
      </c>
      <c r="HZ71">
        <v>1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1</v>
      </c>
      <c r="IV71">
        <v>0</v>
      </c>
      <c r="IW71">
        <v>0</v>
      </c>
      <c r="IX71">
        <v>1</v>
      </c>
      <c r="IY71">
        <f t="shared" ca="1" si="10"/>
        <v>2</v>
      </c>
      <c r="IZ71">
        <f t="shared" ca="1" si="10"/>
        <v>1</v>
      </c>
      <c r="JA71">
        <f t="shared" ca="1" si="10"/>
        <v>0</v>
      </c>
      <c r="JB71">
        <f t="shared" ca="1" si="10"/>
        <v>3</v>
      </c>
    </row>
    <row r="72" spans="1:262" x14ac:dyDescent="0.25">
      <c r="A72" s="180">
        <v>69</v>
      </c>
      <c r="B72" s="181" t="s">
        <v>459</v>
      </c>
      <c r="C72">
        <v>0</v>
      </c>
      <c r="D72">
        <v>0</v>
      </c>
      <c r="E72">
        <v>0</v>
      </c>
      <c r="F72">
        <v>0</v>
      </c>
      <c r="G72">
        <v>6</v>
      </c>
      <c r="H72">
        <v>1</v>
      </c>
      <c r="I72">
        <v>1</v>
      </c>
      <c r="J72">
        <v>8</v>
      </c>
      <c r="K72">
        <v>1</v>
      </c>
      <c r="L72">
        <v>0</v>
      </c>
      <c r="M72">
        <v>1</v>
      </c>
      <c r="N72">
        <v>2</v>
      </c>
      <c r="O72">
        <v>1</v>
      </c>
      <c r="P72">
        <v>0</v>
      </c>
      <c r="Q72">
        <v>1</v>
      </c>
      <c r="R72">
        <v>2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2</v>
      </c>
      <c r="AF72">
        <v>0</v>
      </c>
      <c r="AG72">
        <v>1</v>
      </c>
      <c r="AH72">
        <v>3</v>
      </c>
      <c r="AI72">
        <v>1</v>
      </c>
      <c r="AJ72">
        <v>0</v>
      </c>
      <c r="AK72">
        <v>0</v>
      </c>
      <c r="AL72">
        <v>1</v>
      </c>
      <c r="AM72">
        <v>0</v>
      </c>
      <c r="AN72">
        <v>0</v>
      </c>
      <c r="AO72">
        <v>0</v>
      </c>
      <c r="AP72">
        <v>0</v>
      </c>
      <c r="AQ72">
        <v>2</v>
      </c>
      <c r="AR72">
        <v>1</v>
      </c>
      <c r="AS72">
        <v>1</v>
      </c>
      <c r="AT72">
        <v>4</v>
      </c>
      <c r="AU72">
        <v>0</v>
      </c>
      <c r="AV72">
        <v>0</v>
      </c>
      <c r="AW72">
        <v>0</v>
      </c>
      <c r="AX72">
        <v>0</v>
      </c>
      <c r="AY72">
        <v>2</v>
      </c>
      <c r="AZ72">
        <v>0</v>
      </c>
      <c r="BA72">
        <v>0</v>
      </c>
      <c r="BB72">
        <v>2</v>
      </c>
      <c r="BC72">
        <v>1</v>
      </c>
      <c r="BD72">
        <v>0</v>
      </c>
      <c r="BE72">
        <v>1</v>
      </c>
      <c r="BF72">
        <v>2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1</v>
      </c>
      <c r="CZ72">
        <v>0</v>
      </c>
      <c r="DA72">
        <v>0</v>
      </c>
      <c r="DB72">
        <v>1</v>
      </c>
      <c r="DC72">
        <v>1</v>
      </c>
      <c r="DD72">
        <v>0</v>
      </c>
      <c r="DE72">
        <v>1</v>
      </c>
      <c r="DF72">
        <v>2</v>
      </c>
      <c r="DG72">
        <v>0</v>
      </c>
      <c r="DH72">
        <v>0</v>
      </c>
      <c r="DI72">
        <v>0</v>
      </c>
      <c r="DJ72">
        <v>0</v>
      </c>
      <c r="DK72">
        <v>1</v>
      </c>
      <c r="DL72">
        <v>0</v>
      </c>
      <c r="DM72">
        <v>0</v>
      </c>
      <c r="DN72">
        <v>1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1</v>
      </c>
      <c r="EC72">
        <v>0</v>
      </c>
      <c r="ED72">
        <v>1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1</v>
      </c>
      <c r="EN72">
        <v>0</v>
      </c>
      <c r="EO72">
        <v>0</v>
      </c>
      <c r="EP72">
        <v>1</v>
      </c>
      <c r="EQ72">
        <v>0</v>
      </c>
      <c r="ER72">
        <v>0</v>
      </c>
      <c r="ES72">
        <v>0</v>
      </c>
      <c r="ET72">
        <v>0</v>
      </c>
      <c r="EU72">
        <v>1</v>
      </c>
      <c r="EV72">
        <v>0</v>
      </c>
      <c r="EW72">
        <v>0</v>
      </c>
      <c r="EX72">
        <v>1</v>
      </c>
      <c r="EY72">
        <v>0</v>
      </c>
      <c r="EZ72">
        <v>0</v>
      </c>
      <c r="FA72">
        <v>0</v>
      </c>
      <c r="FB72">
        <v>0</v>
      </c>
      <c r="FC72">
        <v>1</v>
      </c>
      <c r="FD72">
        <v>0</v>
      </c>
      <c r="FE72">
        <v>0</v>
      </c>
      <c r="FF72">
        <v>1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1</v>
      </c>
      <c r="FX72">
        <v>0</v>
      </c>
      <c r="FY72">
        <v>1</v>
      </c>
      <c r="FZ72">
        <v>2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1</v>
      </c>
      <c r="IB72">
        <v>0</v>
      </c>
      <c r="IC72">
        <v>0</v>
      </c>
      <c r="ID72">
        <v>1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1</v>
      </c>
      <c r="IP72">
        <v>1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f t="shared" ca="1" si="10"/>
        <v>8</v>
      </c>
      <c r="IZ72">
        <f t="shared" ca="1" si="10"/>
        <v>1</v>
      </c>
      <c r="JA72">
        <f t="shared" ca="1" si="10"/>
        <v>3</v>
      </c>
      <c r="JB72">
        <f t="shared" ca="1" si="10"/>
        <v>12</v>
      </c>
    </row>
    <row r="73" spans="1:262" x14ac:dyDescent="0.25">
      <c r="A73" s="180">
        <v>70</v>
      </c>
      <c r="B73" s="181" t="s">
        <v>457</v>
      </c>
      <c r="C73">
        <v>0</v>
      </c>
      <c r="D73">
        <v>0</v>
      </c>
      <c r="E73">
        <v>0</v>
      </c>
      <c r="F73">
        <v>0</v>
      </c>
      <c r="G73">
        <v>1</v>
      </c>
      <c r="H73">
        <v>1</v>
      </c>
      <c r="I73">
        <v>0</v>
      </c>
      <c r="J73">
        <v>2</v>
      </c>
      <c r="K73">
        <v>1</v>
      </c>
      <c r="L73">
        <v>0</v>
      </c>
      <c r="M73">
        <v>1</v>
      </c>
      <c r="N73">
        <v>2</v>
      </c>
      <c r="O73">
        <v>1</v>
      </c>
      <c r="P73">
        <v>0</v>
      </c>
      <c r="Q73">
        <v>1</v>
      </c>
      <c r="R73">
        <v>2</v>
      </c>
      <c r="S73">
        <v>0</v>
      </c>
      <c r="T73">
        <v>0</v>
      </c>
      <c r="U73">
        <v>0</v>
      </c>
      <c r="V73">
        <v>0</v>
      </c>
      <c r="W73">
        <v>1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0</v>
      </c>
      <c r="AE73">
        <v>1</v>
      </c>
      <c r="AF73">
        <v>0</v>
      </c>
      <c r="AG73">
        <v>0</v>
      </c>
      <c r="AH73">
        <v>1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1</v>
      </c>
      <c r="AR73">
        <v>1</v>
      </c>
      <c r="AS73">
        <v>2</v>
      </c>
      <c r="AT73">
        <v>4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1</v>
      </c>
      <c r="CZ73">
        <v>0</v>
      </c>
      <c r="DA73">
        <v>0</v>
      </c>
      <c r="DB73">
        <v>1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1</v>
      </c>
      <c r="EC73">
        <v>0</v>
      </c>
      <c r="ED73">
        <v>1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1</v>
      </c>
      <c r="FP73">
        <v>0</v>
      </c>
      <c r="FQ73">
        <v>0</v>
      </c>
      <c r="FR73">
        <v>1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1</v>
      </c>
      <c r="FZ73">
        <v>1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1</v>
      </c>
      <c r="IB73">
        <v>0</v>
      </c>
      <c r="IC73">
        <v>1</v>
      </c>
      <c r="ID73">
        <v>2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f t="shared" ca="1" si="10"/>
        <v>3</v>
      </c>
      <c r="IZ73">
        <f t="shared" ca="1" si="10"/>
        <v>1</v>
      </c>
      <c r="JA73">
        <f t="shared" ca="1" si="10"/>
        <v>2</v>
      </c>
      <c r="JB73">
        <f t="shared" ca="1" si="10"/>
        <v>6</v>
      </c>
    </row>
    <row r="74" spans="1:262" x14ac:dyDescent="0.25">
      <c r="A74" s="180">
        <v>71</v>
      </c>
      <c r="B74" s="181" t="s">
        <v>465</v>
      </c>
      <c r="C74">
        <v>0</v>
      </c>
      <c r="D74">
        <v>0</v>
      </c>
      <c r="E74">
        <v>0</v>
      </c>
      <c r="F74">
        <v>0</v>
      </c>
      <c r="G74">
        <v>0</v>
      </c>
      <c r="H74">
        <v>1</v>
      </c>
      <c r="I74">
        <v>0</v>
      </c>
      <c r="J74">
        <v>1</v>
      </c>
      <c r="K74">
        <v>2</v>
      </c>
      <c r="L74">
        <v>0</v>
      </c>
      <c r="M74">
        <v>1</v>
      </c>
      <c r="N74">
        <v>3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2</v>
      </c>
      <c r="AR74">
        <v>1</v>
      </c>
      <c r="AS74">
        <v>1</v>
      </c>
      <c r="AT74">
        <v>4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1</v>
      </c>
      <c r="DY74">
        <v>0</v>
      </c>
      <c r="DZ74">
        <v>1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1</v>
      </c>
      <c r="GB74">
        <v>0</v>
      </c>
      <c r="GC74">
        <v>1</v>
      </c>
      <c r="GD74">
        <v>2</v>
      </c>
      <c r="GE74">
        <v>1</v>
      </c>
      <c r="GF74">
        <v>0</v>
      </c>
      <c r="GG74">
        <v>0</v>
      </c>
      <c r="GH74">
        <v>1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f t="shared" ca="1" si="10"/>
        <v>2</v>
      </c>
      <c r="IZ74">
        <f t="shared" ca="1" si="10"/>
        <v>1</v>
      </c>
      <c r="JA74">
        <f t="shared" ca="1" si="10"/>
        <v>1</v>
      </c>
      <c r="JB74">
        <f t="shared" ca="1" si="10"/>
        <v>4</v>
      </c>
    </row>
    <row r="75" spans="1:262" x14ac:dyDescent="0.25">
      <c r="A75" s="180">
        <v>72</v>
      </c>
      <c r="B75" s="181" t="s">
        <v>446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1</v>
      </c>
      <c r="O75">
        <v>1</v>
      </c>
      <c r="P75">
        <v>0</v>
      </c>
      <c r="Q75">
        <v>1</v>
      </c>
      <c r="R75">
        <v>2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1</v>
      </c>
      <c r="AR75">
        <v>1</v>
      </c>
      <c r="AS75">
        <v>1</v>
      </c>
      <c r="AT75">
        <v>3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1</v>
      </c>
      <c r="FY75">
        <v>0</v>
      </c>
      <c r="FZ75">
        <v>1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1</v>
      </c>
      <c r="IB75">
        <v>0</v>
      </c>
      <c r="IC75">
        <v>1</v>
      </c>
      <c r="ID75">
        <v>2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f t="shared" ca="1" si="10"/>
        <v>1</v>
      </c>
      <c r="IZ75">
        <f t="shared" ca="1" si="10"/>
        <v>1</v>
      </c>
      <c r="JA75">
        <f t="shared" ca="1" si="10"/>
        <v>1</v>
      </c>
      <c r="JB75">
        <f t="shared" ca="1" si="10"/>
        <v>3</v>
      </c>
    </row>
    <row r="76" spans="1:262" x14ac:dyDescent="0.25">
      <c r="A76" s="180">
        <v>73</v>
      </c>
      <c r="B76" s="181" t="s">
        <v>452</v>
      </c>
      <c r="C76">
        <v>0</v>
      </c>
      <c r="D76">
        <v>0</v>
      </c>
      <c r="E76">
        <v>0</v>
      </c>
      <c r="F76">
        <v>0</v>
      </c>
      <c r="G76">
        <v>4</v>
      </c>
      <c r="H76">
        <v>0</v>
      </c>
      <c r="I76">
        <v>1</v>
      </c>
      <c r="J76">
        <v>5</v>
      </c>
      <c r="K76">
        <v>3</v>
      </c>
      <c r="L76">
        <v>1</v>
      </c>
      <c r="M76">
        <v>3</v>
      </c>
      <c r="N76">
        <v>7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0</v>
      </c>
      <c r="AE76">
        <v>2</v>
      </c>
      <c r="AF76">
        <v>0</v>
      </c>
      <c r="AG76">
        <v>0</v>
      </c>
      <c r="AH76">
        <v>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2</v>
      </c>
      <c r="AR76">
        <v>1</v>
      </c>
      <c r="AS76">
        <v>2</v>
      </c>
      <c r="AT76">
        <v>5</v>
      </c>
      <c r="AU76">
        <v>0</v>
      </c>
      <c r="AV76">
        <v>0</v>
      </c>
      <c r="AW76">
        <v>0</v>
      </c>
      <c r="AX76">
        <v>0</v>
      </c>
      <c r="AY76">
        <v>1</v>
      </c>
      <c r="AZ76">
        <v>0</v>
      </c>
      <c r="BA76">
        <v>2</v>
      </c>
      <c r="BB76">
        <v>3</v>
      </c>
      <c r="BC76">
        <v>1</v>
      </c>
      <c r="BD76">
        <v>0</v>
      </c>
      <c r="BE76">
        <v>0</v>
      </c>
      <c r="BF76">
        <v>1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1</v>
      </c>
      <c r="CZ76">
        <v>0</v>
      </c>
      <c r="DA76">
        <v>0</v>
      </c>
      <c r="DB76">
        <v>1</v>
      </c>
      <c r="DC76">
        <v>1</v>
      </c>
      <c r="DD76">
        <v>0</v>
      </c>
      <c r="DE76">
        <v>0</v>
      </c>
      <c r="DF76">
        <v>1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1</v>
      </c>
      <c r="EZ76">
        <v>0</v>
      </c>
      <c r="FA76">
        <v>1</v>
      </c>
      <c r="FB76">
        <v>2</v>
      </c>
      <c r="FC76">
        <v>1</v>
      </c>
      <c r="FD76">
        <v>0</v>
      </c>
      <c r="FE76">
        <v>0</v>
      </c>
      <c r="FF76">
        <v>1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1</v>
      </c>
      <c r="FP76">
        <v>0</v>
      </c>
      <c r="FQ76">
        <v>0</v>
      </c>
      <c r="FR76">
        <v>1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1</v>
      </c>
      <c r="FY76">
        <v>0</v>
      </c>
      <c r="FZ76">
        <v>1</v>
      </c>
      <c r="GA76">
        <v>1</v>
      </c>
      <c r="GB76">
        <v>0</v>
      </c>
      <c r="GC76">
        <v>1</v>
      </c>
      <c r="GD76">
        <v>2</v>
      </c>
      <c r="GE76">
        <v>1</v>
      </c>
      <c r="GF76">
        <v>0</v>
      </c>
      <c r="GG76">
        <v>1</v>
      </c>
      <c r="GH76">
        <v>2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1</v>
      </c>
      <c r="GP76">
        <v>1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f t="shared" ca="1" si="10"/>
        <v>7</v>
      </c>
      <c r="IZ76">
        <f t="shared" ca="1" si="10"/>
        <v>1</v>
      </c>
      <c r="JA76">
        <f t="shared" ca="1" si="10"/>
        <v>4</v>
      </c>
      <c r="JB76">
        <f t="shared" ca="1" si="10"/>
        <v>12</v>
      </c>
    </row>
    <row r="77" spans="1:262" x14ac:dyDescent="0.25">
      <c r="A77" s="180">
        <v>74</v>
      </c>
      <c r="B77" s="181" t="s">
        <v>458</v>
      </c>
      <c r="C77">
        <v>0</v>
      </c>
      <c r="D77">
        <v>0</v>
      </c>
      <c r="E77">
        <v>0</v>
      </c>
      <c r="F77">
        <v>0</v>
      </c>
      <c r="G77">
        <v>4</v>
      </c>
      <c r="H77">
        <v>0</v>
      </c>
      <c r="I77">
        <v>0</v>
      </c>
      <c r="J77">
        <v>4</v>
      </c>
      <c r="K77">
        <v>2</v>
      </c>
      <c r="L77">
        <v>1</v>
      </c>
      <c r="M77">
        <v>2</v>
      </c>
      <c r="N77">
        <v>5</v>
      </c>
      <c r="O77">
        <v>1</v>
      </c>
      <c r="P77">
        <v>0</v>
      </c>
      <c r="Q77">
        <v>1</v>
      </c>
      <c r="R77">
        <v>2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3</v>
      </c>
      <c r="AF77">
        <v>0</v>
      </c>
      <c r="AG77">
        <v>1</v>
      </c>
      <c r="AH77">
        <v>4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3</v>
      </c>
      <c r="AR77">
        <v>1</v>
      </c>
      <c r="AS77">
        <v>1</v>
      </c>
      <c r="AT77">
        <v>5</v>
      </c>
      <c r="AU77">
        <v>0</v>
      </c>
      <c r="AV77">
        <v>0</v>
      </c>
      <c r="AW77">
        <v>0</v>
      </c>
      <c r="AX77">
        <v>0</v>
      </c>
      <c r="AY77">
        <v>1</v>
      </c>
      <c r="AZ77">
        <v>0</v>
      </c>
      <c r="BA77">
        <v>0</v>
      </c>
      <c r="BB77">
        <v>1</v>
      </c>
      <c r="BC77">
        <v>0</v>
      </c>
      <c r="BD77">
        <v>0</v>
      </c>
      <c r="BE77">
        <v>1</v>
      </c>
      <c r="BF77">
        <v>1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1</v>
      </c>
      <c r="CZ77">
        <v>0</v>
      </c>
      <c r="DA77">
        <v>0</v>
      </c>
      <c r="DB77">
        <v>1</v>
      </c>
      <c r="DC77">
        <v>1</v>
      </c>
      <c r="DD77">
        <v>0</v>
      </c>
      <c r="DE77">
        <v>0</v>
      </c>
      <c r="DF77">
        <v>1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1</v>
      </c>
      <c r="EB77">
        <v>0</v>
      </c>
      <c r="EC77">
        <v>0</v>
      </c>
      <c r="ED77">
        <v>1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1</v>
      </c>
      <c r="EZ77">
        <v>0</v>
      </c>
      <c r="FA77">
        <v>0</v>
      </c>
      <c r="FB77">
        <v>1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1</v>
      </c>
      <c r="FX77">
        <v>1</v>
      </c>
      <c r="FY77">
        <v>0</v>
      </c>
      <c r="FZ77">
        <v>2</v>
      </c>
      <c r="GA77">
        <v>1</v>
      </c>
      <c r="GB77">
        <v>0</v>
      </c>
      <c r="GC77">
        <v>1</v>
      </c>
      <c r="GD77">
        <v>2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1</v>
      </c>
      <c r="GT77">
        <v>1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1</v>
      </c>
      <c r="HP77">
        <v>0</v>
      </c>
      <c r="HQ77">
        <v>1</v>
      </c>
      <c r="HR77">
        <v>2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f t="shared" ca="1" si="10"/>
        <v>7</v>
      </c>
      <c r="IZ77">
        <f t="shared" ca="1" si="10"/>
        <v>1</v>
      </c>
      <c r="JA77">
        <f t="shared" ca="1" si="10"/>
        <v>3</v>
      </c>
      <c r="JB77">
        <f t="shared" ca="1" si="10"/>
        <v>11</v>
      </c>
    </row>
    <row r="78" spans="1:262" x14ac:dyDescent="0.25">
      <c r="A78" s="180">
        <v>75</v>
      </c>
      <c r="B78" s="180" t="s">
        <v>448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</v>
      </c>
      <c r="L78">
        <v>1</v>
      </c>
      <c r="M78">
        <v>0</v>
      </c>
      <c r="N78">
        <v>2</v>
      </c>
      <c r="O78">
        <v>2</v>
      </c>
      <c r="P78">
        <v>0</v>
      </c>
      <c r="Q78">
        <v>0</v>
      </c>
      <c r="R78">
        <v>2</v>
      </c>
      <c r="S78">
        <v>1</v>
      </c>
      <c r="T78">
        <v>0</v>
      </c>
      <c r="U78">
        <v>0</v>
      </c>
      <c r="V78">
        <v>1</v>
      </c>
      <c r="W78">
        <v>2</v>
      </c>
      <c r="X78">
        <v>0</v>
      </c>
      <c r="Y78">
        <v>0</v>
      </c>
      <c r="Z78">
        <v>2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1</v>
      </c>
      <c r="AV78">
        <v>1</v>
      </c>
      <c r="AW78">
        <v>0</v>
      </c>
      <c r="AX78">
        <v>2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1</v>
      </c>
      <c r="BH78">
        <v>0</v>
      </c>
      <c r="BI78">
        <v>0</v>
      </c>
      <c r="BJ78">
        <v>1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1</v>
      </c>
      <c r="FL78">
        <v>0</v>
      </c>
      <c r="FM78">
        <v>0</v>
      </c>
      <c r="FN78">
        <v>1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1</v>
      </c>
      <c r="GK78">
        <v>0</v>
      </c>
      <c r="GL78">
        <v>1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1</v>
      </c>
      <c r="IF78">
        <v>0</v>
      </c>
      <c r="IG78">
        <v>0</v>
      </c>
      <c r="IH78">
        <v>1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1</v>
      </c>
      <c r="IR78">
        <v>0</v>
      </c>
      <c r="IS78">
        <v>0</v>
      </c>
      <c r="IT78">
        <v>1</v>
      </c>
      <c r="IU78">
        <v>1</v>
      </c>
      <c r="IV78">
        <v>0</v>
      </c>
      <c r="IW78">
        <v>0</v>
      </c>
      <c r="IX78">
        <v>1</v>
      </c>
      <c r="IY78">
        <f t="shared" ca="1" si="10"/>
        <v>4</v>
      </c>
      <c r="IZ78">
        <f t="shared" ca="1" si="10"/>
        <v>1</v>
      </c>
      <c r="JA78">
        <f t="shared" ca="1" si="10"/>
        <v>0</v>
      </c>
      <c r="JB78">
        <f t="shared" ca="1" si="10"/>
        <v>5</v>
      </c>
    </row>
    <row r="79" spans="1:262" x14ac:dyDescent="0.25">
      <c r="A79" s="180">
        <v>76</v>
      </c>
      <c r="B79" s="181" t="s">
        <v>460</v>
      </c>
      <c r="C79">
        <v>0</v>
      </c>
      <c r="D79">
        <v>0</v>
      </c>
      <c r="E79">
        <v>1</v>
      </c>
      <c r="F79">
        <v>1</v>
      </c>
      <c r="G79">
        <v>13</v>
      </c>
      <c r="H79">
        <v>1</v>
      </c>
      <c r="I79">
        <v>8</v>
      </c>
      <c r="J79">
        <v>22</v>
      </c>
      <c r="K79">
        <v>3</v>
      </c>
      <c r="L79">
        <v>0</v>
      </c>
      <c r="M79">
        <v>6</v>
      </c>
      <c r="N79">
        <v>9</v>
      </c>
      <c r="O79">
        <v>5</v>
      </c>
      <c r="P79">
        <v>0</v>
      </c>
      <c r="Q79">
        <v>8</v>
      </c>
      <c r="R79">
        <v>13</v>
      </c>
      <c r="S79">
        <v>1</v>
      </c>
      <c r="T79">
        <v>0</v>
      </c>
      <c r="U79">
        <v>0</v>
      </c>
      <c r="V79">
        <v>1</v>
      </c>
      <c r="W79">
        <v>3</v>
      </c>
      <c r="X79">
        <v>0</v>
      </c>
      <c r="Y79">
        <v>2</v>
      </c>
      <c r="Z79">
        <v>5</v>
      </c>
      <c r="AA79">
        <v>1</v>
      </c>
      <c r="AB79">
        <v>0</v>
      </c>
      <c r="AC79">
        <v>0</v>
      </c>
      <c r="AD79">
        <v>1</v>
      </c>
      <c r="AE79">
        <v>2</v>
      </c>
      <c r="AF79">
        <v>0</v>
      </c>
      <c r="AG79">
        <v>2</v>
      </c>
      <c r="AH79">
        <v>4</v>
      </c>
      <c r="AI79">
        <v>2</v>
      </c>
      <c r="AJ79">
        <v>0</v>
      </c>
      <c r="AK79">
        <v>3</v>
      </c>
      <c r="AL79">
        <v>5</v>
      </c>
      <c r="AM79">
        <v>1</v>
      </c>
      <c r="AN79">
        <v>0</v>
      </c>
      <c r="AO79">
        <v>3</v>
      </c>
      <c r="AP79">
        <v>4</v>
      </c>
      <c r="AQ79">
        <v>3</v>
      </c>
      <c r="AR79">
        <v>0</v>
      </c>
      <c r="AS79">
        <v>3</v>
      </c>
      <c r="AT79">
        <v>6</v>
      </c>
      <c r="AU79">
        <v>0</v>
      </c>
      <c r="AV79">
        <v>0</v>
      </c>
      <c r="AW79">
        <v>1</v>
      </c>
      <c r="AX79">
        <v>1</v>
      </c>
      <c r="AY79">
        <v>5</v>
      </c>
      <c r="AZ79">
        <v>1</v>
      </c>
      <c r="BA79">
        <v>4</v>
      </c>
      <c r="BB79">
        <v>10</v>
      </c>
      <c r="BC79">
        <v>3</v>
      </c>
      <c r="BD79">
        <v>0</v>
      </c>
      <c r="BE79">
        <v>3</v>
      </c>
      <c r="BF79">
        <v>6</v>
      </c>
      <c r="BG79">
        <v>2</v>
      </c>
      <c r="BH79">
        <v>0</v>
      </c>
      <c r="BI79">
        <v>2</v>
      </c>
      <c r="BJ79">
        <v>4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1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1</v>
      </c>
      <c r="CF79">
        <v>0</v>
      </c>
      <c r="CG79">
        <v>0</v>
      </c>
      <c r="CH79">
        <v>1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1</v>
      </c>
      <c r="CZ79">
        <v>0</v>
      </c>
      <c r="DA79">
        <v>0</v>
      </c>
      <c r="DB79">
        <v>1</v>
      </c>
      <c r="DC79">
        <v>1</v>
      </c>
      <c r="DD79">
        <v>0</v>
      </c>
      <c r="DE79">
        <v>1</v>
      </c>
      <c r="DF79">
        <v>2</v>
      </c>
      <c r="DG79">
        <v>0</v>
      </c>
      <c r="DH79">
        <v>0</v>
      </c>
      <c r="DI79">
        <v>0</v>
      </c>
      <c r="DJ79">
        <v>0</v>
      </c>
      <c r="DK79">
        <v>1</v>
      </c>
      <c r="DL79">
        <v>0</v>
      </c>
      <c r="DM79">
        <v>1</v>
      </c>
      <c r="DN79">
        <v>2</v>
      </c>
      <c r="DO79">
        <v>1</v>
      </c>
      <c r="DP79">
        <v>0</v>
      </c>
      <c r="DQ79">
        <v>1</v>
      </c>
      <c r="DR79">
        <v>2</v>
      </c>
      <c r="DS79">
        <v>1</v>
      </c>
      <c r="DT79">
        <v>0</v>
      </c>
      <c r="DU79">
        <v>1</v>
      </c>
      <c r="DV79">
        <v>2</v>
      </c>
      <c r="DW79">
        <v>1</v>
      </c>
      <c r="DX79">
        <v>0</v>
      </c>
      <c r="DY79">
        <v>1</v>
      </c>
      <c r="DZ79">
        <v>2</v>
      </c>
      <c r="EA79">
        <v>1</v>
      </c>
      <c r="EB79">
        <v>0</v>
      </c>
      <c r="EC79">
        <v>0</v>
      </c>
      <c r="ED79">
        <v>1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1</v>
      </c>
      <c r="EO79">
        <v>0</v>
      </c>
      <c r="EP79">
        <v>1</v>
      </c>
      <c r="EQ79">
        <v>1</v>
      </c>
      <c r="ER79">
        <v>0</v>
      </c>
      <c r="ES79">
        <v>1</v>
      </c>
      <c r="ET79">
        <v>2</v>
      </c>
      <c r="EU79">
        <v>1</v>
      </c>
      <c r="EV79">
        <v>0</v>
      </c>
      <c r="EW79">
        <v>0</v>
      </c>
      <c r="EX79">
        <v>1</v>
      </c>
      <c r="EY79">
        <v>1</v>
      </c>
      <c r="EZ79">
        <v>0</v>
      </c>
      <c r="FA79">
        <v>1</v>
      </c>
      <c r="FB79">
        <v>2</v>
      </c>
      <c r="FC79">
        <v>1</v>
      </c>
      <c r="FD79">
        <v>0</v>
      </c>
      <c r="FE79">
        <v>1</v>
      </c>
      <c r="FF79">
        <v>2</v>
      </c>
      <c r="FG79">
        <v>1</v>
      </c>
      <c r="FH79">
        <v>0</v>
      </c>
      <c r="FI79">
        <v>0</v>
      </c>
      <c r="FJ79">
        <v>1</v>
      </c>
      <c r="FK79">
        <v>1</v>
      </c>
      <c r="FL79">
        <v>0</v>
      </c>
      <c r="FM79">
        <v>1</v>
      </c>
      <c r="FN79">
        <v>2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1</v>
      </c>
      <c r="FV79">
        <v>1</v>
      </c>
      <c r="FW79">
        <v>0</v>
      </c>
      <c r="FX79">
        <v>0</v>
      </c>
      <c r="FY79">
        <v>1</v>
      </c>
      <c r="FZ79">
        <v>1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1</v>
      </c>
      <c r="GL79">
        <v>1</v>
      </c>
      <c r="GM79">
        <v>1</v>
      </c>
      <c r="GN79">
        <v>0</v>
      </c>
      <c r="GO79">
        <v>1</v>
      </c>
      <c r="GP79">
        <v>2</v>
      </c>
      <c r="GQ79">
        <v>1</v>
      </c>
      <c r="GR79">
        <v>0</v>
      </c>
      <c r="GS79">
        <v>1</v>
      </c>
      <c r="GT79">
        <v>2</v>
      </c>
      <c r="GU79">
        <v>0</v>
      </c>
      <c r="GV79">
        <v>0</v>
      </c>
      <c r="GW79">
        <v>0</v>
      </c>
      <c r="GX79">
        <v>0</v>
      </c>
      <c r="GY79">
        <v>1</v>
      </c>
      <c r="GZ79">
        <v>0</v>
      </c>
      <c r="HA79">
        <v>1</v>
      </c>
      <c r="HB79">
        <v>2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1</v>
      </c>
      <c r="HR79">
        <v>1</v>
      </c>
      <c r="HS79">
        <v>0</v>
      </c>
      <c r="HT79">
        <v>0</v>
      </c>
      <c r="HU79">
        <v>1</v>
      </c>
      <c r="HV79">
        <v>1</v>
      </c>
      <c r="HW79">
        <v>0</v>
      </c>
      <c r="HX79">
        <v>0</v>
      </c>
      <c r="HY79">
        <v>1</v>
      </c>
      <c r="HZ79">
        <v>1</v>
      </c>
      <c r="IA79">
        <v>1</v>
      </c>
      <c r="IB79">
        <v>0</v>
      </c>
      <c r="IC79">
        <v>1</v>
      </c>
      <c r="ID79">
        <v>2</v>
      </c>
      <c r="IE79">
        <v>0</v>
      </c>
      <c r="IF79">
        <v>0</v>
      </c>
      <c r="IG79">
        <v>0</v>
      </c>
      <c r="IH79">
        <v>0</v>
      </c>
      <c r="II79">
        <v>1</v>
      </c>
      <c r="IJ79">
        <v>0</v>
      </c>
      <c r="IK79">
        <v>1</v>
      </c>
      <c r="IL79">
        <v>2</v>
      </c>
      <c r="IM79">
        <v>1</v>
      </c>
      <c r="IN79">
        <v>0</v>
      </c>
      <c r="IO79">
        <v>1</v>
      </c>
      <c r="IP79">
        <v>2</v>
      </c>
      <c r="IQ79">
        <v>1</v>
      </c>
      <c r="IR79">
        <v>0</v>
      </c>
      <c r="IS79">
        <v>1</v>
      </c>
      <c r="IT79">
        <v>2</v>
      </c>
      <c r="IU79">
        <v>1</v>
      </c>
      <c r="IV79">
        <v>0</v>
      </c>
      <c r="IW79">
        <v>0</v>
      </c>
      <c r="IX79">
        <v>1</v>
      </c>
      <c r="IY79">
        <f t="shared" ca="1" si="10"/>
        <v>22</v>
      </c>
      <c r="IZ79">
        <f t="shared" ca="1" si="10"/>
        <v>1</v>
      </c>
      <c r="JA79">
        <f t="shared" ca="1" si="10"/>
        <v>23</v>
      </c>
      <c r="JB79">
        <f t="shared" ca="1" si="10"/>
        <v>46</v>
      </c>
    </row>
    <row r="80" spans="1:262" x14ac:dyDescent="0.25">
      <c r="A80" s="180">
        <v>77</v>
      </c>
      <c r="B80" s="181" t="s">
        <v>461</v>
      </c>
      <c r="C80">
        <v>0</v>
      </c>
      <c r="D80">
        <v>0</v>
      </c>
      <c r="E80">
        <v>0</v>
      </c>
      <c r="F80">
        <v>0</v>
      </c>
      <c r="G80">
        <v>2</v>
      </c>
      <c r="H80">
        <v>1</v>
      </c>
      <c r="I80">
        <v>3</v>
      </c>
      <c r="J80">
        <v>6</v>
      </c>
      <c r="K80">
        <v>4</v>
      </c>
      <c r="L80">
        <v>0</v>
      </c>
      <c r="M80">
        <v>1</v>
      </c>
      <c r="N80">
        <v>5</v>
      </c>
      <c r="O80">
        <v>3</v>
      </c>
      <c r="P80">
        <v>0</v>
      </c>
      <c r="Q80">
        <v>1</v>
      </c>
      <c r="R80">
        <v>4</v>
      </c>
      <c r="S80">
        <v>1</v>
      </c>
      <c r="T80">
        <v>0</v>
      </c>
      <c r="U80">
        <v>0</v>
      </c>
      <c r="V80">
        <v>1</v>
      </c>
      <c r="W80">
        <v>4</v>
      </c>
      <c r="X80">
        <v>0</v>
      </c>
      <c r="Y80">
        <v>0</v>
      </c>
      <c r="Z80">
        <v>4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1</v>
      </c>
      <c r="AN80">
        <v>0</v>
      </c>
      <c r="AO80">
        <v>0</v>
      </c>
      <c r="AP80">
        <v>1</v>
      </c>
      <c r="AQ80">
        <v>0</v>
      </c>
      <c r="AR80">
        <v>0</v>
      </c>
      <c r="AS80">
        <v>0</v>
      </c>
      <c r="AT80">
        <v>0</v>
      </c>
      <c r="AU80">
        <v>1</v>
      </c>
      <c r="AV80">
        <v>0</v>
      </c>
      <c r="AW80">
        <v>0</v>
      </c>
      <c r="AX80">
        <v>1</v>
      </c>
      <c r="AY80">
        <v>4</v>
      </c>
      <c r="AZ80">
        <v>1</v>
      </c>
      <c r="BA80">
        <v>5</v>
      </c>
      <c r="BB80">
        <v>10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1</v>
      </c>
      <c r="EO80">
        <v>0</v>
      </c>
      <c r="EP80">
        <v>1</v>
      </c>
      <c r="EQ80">
        <v>0</v>
      </c>
      <c r="ER80">
        <v>0</v>
      </c>
      <c r="ES80">
        <v>1</v>
      </c>
      <c r="ET80">
        <v>1</v>
      </c>
      <c r="EU80">
        <v>1</v>
      </c>
      <c r="EV80">
        <v>0</v>
      </c>
      <c r="EW80">
        <v>1</v>
      </c>
      <c r="EX80">
        <v>2</v>
      </c>
      <c r="EY80">
        <v>1</v>
      </c>
      <c r="EZ80">
        <v>0</v>
      </c>
      <c r="FA80">
        <v>1</v>
      </c>
      <c r="FB80">
        <v>2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1</v>
      </c>
      <c r="FL80">
        <v>0</v>
      </c>
      <c r="FM80">
        <v>0</v>
      </c>
      <c r="FN80">
        <v>1</v>
      </c>
      <c r="FO80">
        <v>0</v>
      </c>
      <c r="FP80">
        <v>0</v>
      </c>
      <c r="FQ80">
        <v>0</v>
      </c>
      <c r="FR80">
        <v>0</v>
      </c>
      <c r="FS80">
        <v>1</v>
      </c>
      <c r="FT80">
        <v>0</v>
      </c>
      <c r="FU80">
        <v>0</v>
      </c>
      <c r="FV80">
        <v>1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1</v>
      </c>
      <c r="GJ80">
        <v>0</v>
      </c>
      <c r="GK80">
        <v>0</v>
      </c>
      <c r="GL80">
        <v>1</v>
      </c>
      <c r="GM80">
        <v>1</v>
      </c>
      <c r="GN80">
        <v>0</v>
      </c>
      <c r="GO80">
        <v>1</v>
      </c>
      <c r="GP80">
        <v>2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1</v>
      </c>
      <c r="GZ80">
        <v>0</v>
      </c>
      <c r="HA80">
        <v>0</v>
      </c>
      <c r="HB80">
        <v>1</v>
      </c>
      <c r="HC80">
        <v>1</v>
      </c>
      <c r="HD80">
        <v>0</v>
      </c>
      <c r="HE80">
        <v>0</v>
      </c>
      <c r="HF80">
        <v>1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1</v>
      </c>
      <c r="IJ80">
        <v>0</v>
      </c>
      <c r="IK80">
        <v>1</v>
      </c>
      <c r="IL80">
        <v>2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1</v>
      </c>
      <c r="IV80">
        <v>0</v>
      </c>
      <c r="IW80">
        <v>0</v>
      </c>
      <c r="IX80">
        <v>1</v>
      </c>
      <c r="IY80">
        <f t="shared" ca="1" si="10"/>
        <v>10</v>
      </c>
      <c r="IZ80">
        <f t="shared" ca="1" si="10"/>
        <v>1</v>
      </c>
      <c r="JA80">
        <f t="shared" ca="1" si="10"/>
        <v>5</v>
      </c>
      <c r="JB80">
        <f t="shared" ca="1" si="10"/>
        <v>16</v>
      </c>
    </row>
    <row r="81" spans="1:262" x14ac:dyDescent="0.25">
      <c r="A81" s="180">
        <v>78</v>
      </c>
      <c r="B81" s="181" t="s">
        <v>464</v>
      </c>
      <c r="C81">
        <v>0</v>
      </c>
      <c r="D81">
        <v>1</v>
      </c>
      <c r="E81">
        <v>0</v>
      </c>
      <c r="F81">
        <v>1</v>
      </c>
      <c r="G81">
        <v>10</v>
      </c>
      <c r="H81">
        <v>0</v>
      </c>
      <c r="I81">
        <v>4</v>
      </c>
      <c r="J81">
        <v>14</v>
      </c>
      <c r="K81">
        <v>5</v>
      </c>
      <c r="L81">
        <v>0</v>
      </c>
      <c r="M81">
        <v>5</v>
      </c>
      <c r="N81">
        <v>10</v>
      </c>
      <c r="O81">
        <v>2</v>
      </c>
      <c r="P81">
        <v>0</v>
      </c>
      <c r="Q81">
        <v>3</v>
      </c>
      <c r="R81">
        <v>5</v>
      </c>
      <c r="S81">
        <v>0</v>
      </c>
      <c r="T81">
        <v>0</v>
      </c>
      <c r="U81">
        <v>0</v>
      </c>
      <c r="V81">
        <v>0</v>
      </c>
      <c r="W81">
        <v>1</v>
      </c>
      <c r="X81">
        <v>0</v>
      </c>
      <c r="Y81">
        <v>1</v>
      </c>
      <c r="Z81">
        <v>2</v>
      </c>
      <c r="AA81">
        <v>1</v>
      </c>
      <c r="AB81">
        <v>0</v>
      </c>
      <c r="AC81">
        <v>1</v>
      </c>
      <c r="AD81">
        <v>2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1</v>
      </c>
      <c r="AN81">
        <v>0</v>
      </c>
      <c r="AO81">
        <v>1</v>
      </c>
      <c r="AP81">
        <v>2</v>
      </c>
      <c r="AQ81">
        <v>2</v>
      </c>
      <c r="AR81">
        <v>0</v>
      </c>
      <c r="AS81">
        <v>1</v>
      </c>
      <c r="AT81">
        <v>3</v>
      </c>
      <c r="AU81">
        <v>2</v>
      </c>
      <c r="AV81">
        <v>0</v>
      </c>
      <c r="AW81">
        <v>3</v>
      </c>
      <c r="AX81">
        <v>5</v>
      </c>
      <c r="AY81">
        <v>4</v>
      </c>
      <c r="AZ81">
        <v>0</v>
      </c>
      <c r="BA81">
        <v>0</v>
      </c>
      <c r="BB81">
        <v>4</v>
      </c>
      <c r="BC81">
        <v>3</v>
      </c>
      <c r="BD81">
        <v>0</v>
      </c>
      <c r="BE81">
        <v>3</v>
      </c>
      <c r="BF81">
        <v>6</v>
      </c>
      <c r="BG81">
        <v>3</v>
      </c>
      <c r="BH81">
        <v>1</v>
      </c>
      <c r="BI81">
        <v>2</v>
      </c>
      <c r="BJ81">
        <v>6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1</v>
      </c>
      <c r="BQ81">
        <v>0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1</v>
      </c>
      <c r="CE81">
        <v>0</v>
      </c>
      <c r="CF81">
        <v>0</v>
      </c>
      <c r="CG81">
        <v>1</v>
      </c>
      <c r="CH81">
        <v>1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1</v>
      </c>
      <c r="DT81">
        <v>0</v>
      </c>
      <c r="DU81">
        <v>1</v>
      </c>
      <c r="DV81">
        <v>2</v>
      </c>
      <c r="DW81">
        <v>1</v>
      </c>
      <c r="DX81">
        <v>0</v>
      </c>
      <c r="DY81">
        <v>0</v>
      </c>
      <c r="DZ81">
        <v>1</v>
      </c>
      <c r="EA81">
        <v>0</v>
      </c>
      <c r="EB81">
        <v>0</v>
      </c>
      <c r="EC81">
        <v>0</v>
      </c>
      <c r="ED81">
        <v>0</v>
      </c>
      <c r="EE81">
        <v>1</v>
      </c>
      <c r="EF81">
        <v>0</v>
      </c>
      <c r="EG81">
        <v>1</v>
      </c>
      <c r="EH81">
        <v>2</v>
      </c>
      <c r="EI81">
        <v>1</v>
      </c>
      <c r="EJ81">
        <v>0</v>
      </c>
      <c r="EK81">
        <v>0</v>
      </c>
      <c r="EL81">
        <v>1</v>
      </c>
      <c r="EM81">
        <v>1</v>
      </c>
      <c r="EN81">
        <v>0</v>
      </c>
      <c r="EO81">
        <v>0</v>
      </c>
      <c r="EP81">
        <v>1</v>
      </c>
      <c r="EQ81">
        <v>1</v>
      </c>
      <c r="ER81">
        <v>0</v>
      </c>
      <c r="ES81">
        <v>0</v>
      </c>
      <c r="ET81">
        <v>1</v>
      </c>
      <c r="EU81">
        <v>0</v>
      </c>
      <c r="EV81">
        <v>0</v>
      </c>
      <c r="EW81">
        <v>0</v>
      </c>
      <c r="EX81">
        <v>0</v>
      </c>
      <c r="EY81">
        <v>1</v>
      </c>
      <c r="EZ81">
        <v>0</v>
      </c>
      <c r="FA81">
        <v>0</v>
      </c>
      <c r="FB81">
        <v>1</v>
      </c>
      <c r="FC81">
        <v>1</v>
      </c>
      <c r="FD81">
        <v>0</v>
      </c>
      <c r="FE81">
        <v>1</v>
      </c>
      <c r="FF81">
        <v>2</v>
      </c>
      <c r="FG81">
        <v>1</v>
      </c>
      <c r="FH81">
        <v>0</v>
      </c>
      <c r="FI81">
        <v>0</v>
      </c>
      <c r="FJ81">
        <v>1</v>
      </c>
      <c r="FK81">
        <v>0</v>
      </c>
      <c r="FL81">
        <v>0</v>
      </c>
      <c r="FM81">
        <v>1</v>
      </c>
      <c r="FN81">
        <v>1</v>
      </c>
      <c r="FO81">
        <v>1</v>
      </c>
      <c r="FP81">
        <v>0</v>
      </c>
      <c r="FQ81">
        <v>0</v>
      </c>
      <c r="FR81">
        <v>1</v>
      </c>
      <c r="FS81">
        <v>0</v>
      </c>
      <c r="FT81">
        <v>0</v>
      </c>
      <c r="FU81">
        <v>0</v>
      </c>
      <c r="FV81">
        <v>0</v>
      </c>
      <c r="FW81">
        <v>1</v>
      </c>
      <c r="FX81">
        <v>0</v>
      </c>
      <c r="FY81">
        <v>1</v>
      </c>
      <c r="FZ81">
        <v>2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1</v>
      </c>
      <c r="GJ81">
        <v>0</v>
      </c>
      <c r="GK81">
        <v>1</v>
      </c>
      <c r="GL81">
        <v>2</v>
      </c>
      <c r="GM81">
        <v>0</v>
      </c>
      <c r="GN81">
        <v>0</v>
      </c>
      <c r="GO81">
        <v>0</v>
      </c>
      <c r="GP81">
        <v>0</v>
      </c>
      <c r="GQ81">
        <v>1</v>
      </c>
      <c r="GR81">
        <v>0</v>
      </c>
      <c r="GS81">
        <v>1</v>
      </c>
      <c r="GT81">
        <v>2</v>
      </c>
      <c r="GU81">
        <v>1</v>
      </c>
      <c r="GV81">
        <v>0</v>
      </c>
      <c r="GW81">
        <v>1</v>
      </c>
      <c r="GX81">
        <v>2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1</v>
      </c>
      <c r="IH81">
        <v>1</v>
      </c>
      <c r="II81">
        <v>0</v>
      </c>
      <c r="IJ81">
        <v>0</v>
      </c>
      <c r="IK81">
        <v>0</v>
      </c>
      <c r="IL81">
        <v>0</v>
      </c>
      <c r="IM81">
        <v>1</v>
      </c>
      <c r="IN81">
        <v>0</v>
      </c>
      <c r="IO81">
        <v>1</v>
      </c>
      <c r="IP81">
        <v>2</v>
      </c>
      <c r="IQ81">
        <v>1</v>
      </c>
      <c r="IR81">
        <v>0</v>
      </c>
      <c r="IS81">
        <v>1</v>
      </c>
      <c r="IT81">
        <v>2</v>
      </c>
      <c r="IU81">
        <v>0</v>
      </c>
      <c r="IV81">
        <v>0</v>
      </c>
      <c r="IW81">
        <v>0</v>
      </c>
      <c r="IX81">
        <v>0</v>
      </c>
      <c r="IY81">
        <f t="shared" ca="1" si="10"/>
        <v>17</v>
      </c>
      <c r="IZ81">
        <f t="shared" ca="1" si="10"/>
        <v>1</v>
      </c>
      <c r="JA81">
        <f t="shared" ca="1" si="10"/>
        <v>12</v>
      </c>
      <c r="JB81">
        <f t="shared" ca="1" si="10"/>
        <v>30</v>
      </c>
    </row>
    <row r="82" spans="1:262" x14ac:dyDescent="0.25">
      <c r="A82" s="165">
        <v>79</v>
      </c>
      <c r="B82" s="168" t="s">
        <v>467</v>
      </c>
      <c r="C82">
        <v>2</v>
      </c>
      <c r="D82">
        <v>0</v>
      </c>
      <c r="E82">
        <v>0</v>
      </c>
      <c r="F82">
        <v>2</v>
      </c>
      <c r="G82">
        <v>3</v>
      </c>
      <c r="H82">
        <v>0</v>
      </c>
      <c r="I82">
        <v>0</v>
      </c>
      <c r="J82">
        <v>3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1</v>
      </c>
      <c r="T82">
        <v>0</v>
      </c>
      <c r="U82">
        <v>0</v>
      </c>
      <c r="V82">
        <v>1</v>
      </c>
      <c r="W82">
        <v>2</v>
      </c>
      <c r="X82">
        <v>0</v>
      </c>
      <c r="Y82">
        <v>0</v>
      </c>
      <c r="Z82">
        <v>2</v>
      </c>
      <c r="AA82">
        <v>1</v>
      </c>
      <c r="AB82">
        <v>0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1</v>
      </c>
      <c r="AJ82">
        <v>0</v>
      </c>
      <c r="AK82">
        <v>0</v>
      </c>
      <c r="AL82">
        <v>1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1</v>
      </c>
      <c r="BD82">
        <v>0</v>
      </c>
      <c r="BE82">
        <v>0</v>
      </c>
      <c r="BF82">
        <v>1</v>
      </c>
      <c r="BG82">
        <v>1</v>
      </c>
      <c r="BH82">
        <v>0</v>
      </c>
      <c r="BI82">
        <v>0</v>
      </c>
      <c r="BJ82">
        <v>1</v>
      </c>
      <c r="BK82">
        <v>1</v>
      </c>
      <c r="BL82">
        <v>0</v>
      </c>
      <c r="BM82">
        <v>0</v>
      </c>
      <c r="BN82">
        <v>1</v>
      </c>
      <c r="BO82">
        <v>1</v>
      </c>
      <c r="BP82">
        <v>0</v>
      </c>
      <c r="BQ82">
        <v>0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1</v>
      </c>
      <c r="CB82">
        <v>0</v>
      </c>
      <c r="CC82">
        <v>0</v>
      </c>
      <c r="CD82">
        <v>1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1</v>
      </c>
      <c r="DP82">
        <v>0</v>
      </c>
      <c r="DQ82">
        <v>0</v>
      </c>
      <c r="DR82">
        <v>1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1</v>
      </c>
      <c r="FD82">
        <v>0</v>
      </c>
      <c r="FE82">
        <v>0</v>
      </c>
      <c r="FF82">
        <v>1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1</v>
      </c>
      <c r="IV82">
        <v>0</v>
      </c>
      <c r="IW82">
        <v>0</v>
      </c>
      <c r="IX82">
        <v>1</v>
      </c>
      <c r="IY82">
        <f t="shared" ca="1" si="10"/>
        <v>6</v>
      </c>
      <c r="IZ82">
        <f t="shared" ca="1" si="10"/>
        <v>0</v>
      </c>
      <c r="JA82">
        <f t="shared" ca="1" si="10"/>
        <v>0</v>
      </c>
      <c r="JB82">
        <f t="shared" ca="1" si="10"/>
        <v>6</v>
      </c>
    </row>
    <row r="83" spans="1:262" x14ac:dyDescent="0.25">
      <c r="A83" s="170">
        <v>80</v>
      </c>
      <c r="B83" s="171" t="s">
        <v>393</v>
      </c>
      <c r="C83">
        <v>2</v>
      </c>
      <c r="D83">
        <v>0</v>
      </c>
      <c r="E83">
        <v>0</v>
      </c>
      <c r="F83">
        <v>2</v>
      </c>
      <c r="G83">
        <v>2</v>
      </c>
      <c r="H83">
        <v>0</v>
      </c>
      <c r="I83">
        <v>0</v>
      </c>
      <c r="J83">
        <v>2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>
        <v>0</v>
      </c>
      <c r="U83">
        <v>0</v>
      </c>
      <c r="V83">
        <v>1</v>
      </c>
      <c r="W83">
        <v>2</v>
      </c>
      <c r="X83">
        <v>0</v>
      </c>
      <c r="Y83">
        <v>0</v>
      </c>
      <c r="Z83">
        <v>2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1</v>
      </c>
      <c r="AJ83">
        <v>0</v>
      </c>
      <c r="AK83">
        <v>0</v>
      </c>
      <c r="AL83">
        <v>1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1</v>
      </c>
      <c r="BD83">
        <v>0</v>
      </c>
      <c r="BE83">
        <v>0</v>
      </c>
      <c r="BF83">
        <v>1</v>
      </c>
      <c r="BG83">
        <v>1</v>
      </c>
      <c r="BH83">
        <v>0</v>
      </c>
      <c r="BI83">
        <v>0</v>
      </c>
      <c r="BJ83">
        <v>1</v>
      </c>
      <c r="BK83">
        <v>1</v>
      </c>
      <c r="BL83">
        <v>0</v>
      </c>
      <c r="BM83">
        <v>0</v>
      </c>
      <c r="BN83">
        <v>1</v>
      </c>
      <c r="BO83">
        <v>1</v>
      </c>
      <c r="BP83">
        <v>0</v>
      </c>
      <c r="BQ83">
        <v>0</v>
      </c>
      <c r="BR83">
        <v>1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1</v>
      </c>
      <c r="DP83">
        <v>0</v>
      </c>
      <c r="DQ83">
        <v>0</v>
      </c>
      <c r="DR83">
        <v>1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1</v>
      </c>
      <c r="FD83">
        <v>0</v>
      </c>
      <c r="FE83">
        <v>0</v>
      </c>
      <c r="FF83">
        <v>1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1</v>
      </c>
      <c r="IV83">
        <v>0</v>
      </c>
      <c r="IW83">
        <v>0</v>
      </c>
      <c r="IX83">
        <v>1</v>
      </c>
      <c r="IY83">
        <f t="shared" ca="1" si="10"/>
        <v>5</v>
      </c>
      <c r="IZ83">
        <f t="shared" ca="1" si="10"/>
        <v>0</v>
      </c>
      <c r="JA83">
        <f t="shared" ca="1" si="10"/>
        <v>0</v>
      </c>
      <c r="JB83">
        <f t="shared" ca="1" si="10"/>
        <v>5</v>
      </c>
    </row>
    <row r="84" spans="1:262" x14ac:dyDescent="0.25">
      <c r="A84" s="175">
        <v>81</v>
      </c>
      <c r="B84" s="176" t="s">
        <v>417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1</v>
      </c>
      <c r="BE84">
        <v>0</v>
      </c>
      <c r="BF84">
        <v>1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1</v>
      </c>
      <c r="FE84">
        <v>0</v>
      </c>
      <c r="FF84">
        <v>1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f t="shared" ref="IY84:JB103" ca="1" si="11">SUMIFS($BK84:$IX84,$BK$3:$IX$3,IY$3,$BK$1:$IX$1,"&gt;0")</f>
        <v>0</v>
      </c>
      <c r="IZ84">
        <f t="shared" ca="1" si="11"/>
        <v>1</v>
      </c>
      <c r="JA84">
        <f t="shared" ca="1" si="11"/>
        <v>0</v>
      </c>
      <c r="JB84">
        <f t="shared" ca="1" si="11"/>
        <v>1</v>
      </c>
    </row>
    <row r="85" spans="1:262" x14ac:dyDescent="0.25">
      <c r="A85" s="175">
        <v>82</v>
      </c>
      <c r="B85" s="176" t="s">
        <v>420</v>
      </c>
      <c r="C85">
        <v>0</v>
      </c>
      <c r="D85">
        <v>0</v>
      </c>
      <c r="E85">
        <v>0</v>
      </c>
      <c r="F85">
        <v>0</v>
      </c>
      <c r="G85">
        <v>0</v>
      </c>
      <c r="H85">
        <v>1</v>
      </c>
      <c r="I85">
        <v>0</v>
      </c>
      <c r="J85">
        <v>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0</v>
      </c>
      <c r="BF85">
        <v>1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1</v>
      </c>
      <c r="FE85">
        <v>0</v>
      </c>
      <c r="FF85">
        <v>1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f t="shared" ca="1" si="11"/>
        <v>0</v>
      </c>
      <c r="IZ85">
        <f t="shared" ca="1" si="11"/>
        <v>1</v>
      </c>
      <c r="JA85">
        <f t="shared" ca="1" si="11"/>
        <v>0</v>
      </c>
      <c r="JB85">
        <f t="shared" ca="1" si="11"/>
        <v>1</v>
      </c>
    </row>
    <row r="86" spans="1:262" x14ac:dyDescent="0.25">
      <c r="A86" s="175">
        <v>83</v>
      </c>
      <c r="B86" s="176" t="s">
        <v>423</v>
      </c>
      <c r="C86">
        <v>0</v>
      </c>
      <c r="D86">
        <v>0</v>
      </c>
      <c r="E86">
        <v>0</v>
      </c>
      <c r="F86">
        <v>0</v>
      </c>
      <c r="G86">
        <v>0</v>
      </c>
      <c r="H86">
        <v>1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1</v>
      </c>
      <c r="BE86">
        <v>0</v>
      </c>
      <c r="BF86">
        <v>1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1</v>
      </c>
      <c r="FE86">
        <v>0</v>
      </c>
      <c r="FF86">
        <v>1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f t="shared" ca="1" si="11"/>
        <v>0</v>
      </c>
      <c r="IZ86">
        <f t="shared" ca="1" si="11"/>
        <v>1</v>
      </c>
      <c r="JA86">
        <f t="shared" ca="1" si="11"/>
        <v>0</v>
      </c>
      <c r="JB86">
        <f t="shared" ca="1" si="11"/>
        <v>1</v>
      </c>
    </row>
    <row r="87" spans="1:262" ht="16.5" customHeight="1" x14ac:dyDescent="0.25">
      <c r="A87" s="175">
        <v>84</v>
      </c>
      <c r="B87" s="175" t="s">
        <v>425</v>
      </c>
      <c r="C87">
        <v>0</v>
      </c>
      <c r="D87">
        <v>0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1</v>
      </c>
      <c r="L87">
        <v>0</v>
      </c>
      <c r="M87">
        <v>0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1</v>
      </c>
      <c r="BE87">
        <v>0</v>
      </c>
      <c r="BF87">
        <v>1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1</v>
      </c>
      <c r="FE87">
        <v>0</v>
      </c>
      <c r="FF87">
        <v>1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1</v>
      </c>
      <c r="FP87">
        <v>0</v>
      </c>
      <c r="FQ87">
        <v>0</v>
      </c>
      <c r="FR87">
        <v>1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f t="shared" ca="1" si="11"/>
        <v>1</v>
      </c>
      <c r="IZ87">
        <f t="shared" ca="1" si="11"/>
        <v>1</v>
      </c>
      <c r="JA87">
        <f t="shared" ca="1" si="11"/>
        <v>0</v>
      </c>
      <c r="JB87">
        <f t="shared" ca="1" si="11"/>
        <v>2</v>
      </c>
    </row>
    <row r="88" spans="1:262" x14ac:dyDescent="0.25">
      <c r="A88" s="177">
        <v>85</v>
      </c>
      <c r="B88" s="177" t="s">
        <v>702</v>
      </c>
      <c r="C88">
        <v>2</v>
      </c>
      <c r="F88">
        <v>2</v>
      </c>
      <c r="G88">
        <v>9</v>
      </c>
      <c r="J88">
        <v>9</v>
      </c>
      <c r="K88">
        <v>1</v>
      </c>
      <c r="N88">
        <v>1</v>
      </c>
      <c r="O88">
        <v>1</v>
      </c>
      <c r="R88">
        <v>1</v>
      </c>
      <c r="S88">
        <v>0</v>
      </c>
      <c r="V88">
        <v>0</v>
      </c>
      <c r="W88">
        <v>2</v>
      </c>
      <c r="Z88">
        <v>2</v>
      </c>
      <c r="AA88">
        <v>1</v>
      </c>
      <c r="AD88">
        <v>1</v>
      </c>
      <c r="AE88">
        <v>0</v>
      </c>
      <c r="AH88">
        <v>0</v>
      </c>
      <c r="AI88">
        <v>0</v>
      </c>
      <c r="AL88">
        <v>0</v>
      </c>
      <c r="AM88">
        <v>3</v>
      </c>
      <c r="AP88">
        <v>3</v>
      </c>
      <c r="AQ88">
        <v>0</v>
      </c>
      <c r="AT88">
        <v>0</v>
      </c>
      <c r="AU88">
        <v>0</v>
      </c>
      <c r="AX88">
        <v>0</v>
      </c>
      <c r="AY88">
        <v>4</v>
      </c>
      <c r="BB88">
        <v>4</v>
      </c>
      <c r="BC88">
        <v>1</v>
      </c>
      <c r="BF88">
        <v>1</v>
      </c>
      <c r="BG88">
        <v>2</v>
      </c>
      <c r="BJ88">
        <v>2</v>
      </c>
      <c r="BK88">
        <v>1</v>
      </c>
      <c r="BN88">
        <v>1</v>
      </c>
      <c r="BO88">
        <v>1</v>
      </c>
      <c r="BR88">
        <v>1</v>
      </c>
      <c r="BS88">
        <v>1</v>
      </c>
      <c r="BV88">
        <v>1</v>
      </c>
      <c r="BW88">
        <v>0</v>
      </c>
      <c r="BZ88">
        <v>0</v>
      </c>
      <c r="CA88">
        <v>1</v>
      </c>
      <c r="CD88">
        <v>1</v>
      </c>
      <c r="CE88">
        <v>0</v>
      </c>
      <c r="CH88">
        <v>0</v>
      </c>
      <c r="CI88">
        <v>0</v>
      </c>
      <c r="CL88">
        <v>0</v>
      </c>
      <c r="CM88">
        <v>0</v>
      </c>
      <c r="CP88">
        <v>0</v>
      </c>
      <c r="CQ88">
        <v>0</v>
      </c>
      <c r="CT88">
        <v>0</v>
      </c>
      <c r="CU88">
        <v>0</v>
      </c>
      <c r="CX88">
        <v>0</v>
      </c>
      <c r="CY88">
        <v>0</v>
      </c>
      <c r="DB88">
        <v>0</v>
      </c>
      <c r="DC88">
        <v>0</v>
      </c>
      <c r="DF88">
        <v>0</v>
      </c>
      <c r="DG88">
        <v>0</v>
      </c>
      <c r="DJ88">
        <v>0</v>
      </c>
      <c r="DK88">
        <v>0</v>
      </c>
      <c r="DN88">
        <v>0</v>
      </c>
      <c r="DO88">
        <v>0</v>
      </c>
      <c r="DR88">
        <v>0</v>
      </c>
      <c r="DS88">
        <v>1</v>
      </c>
      <c r="DV88">
        <v>1</v>
      </c>
      <c r="DW88">
        <v>0</v>
      </c>
      <c r="DZ88">
        <v>0</v>
      </c>
      <c r="EA88">
        <v>0</v>
      </c>
      <c r="ED88">
        <v>0</v>
      </c>
      <c r="EE88">
        <v>0</v>
      </c>
      <c r="EH88">
        <v>0</v>
      </c>
      <c r="EI88">
        <v>0</v>
      </c>
      <c r="EL88">
        <v>0</v>
      </c>
      <c r="EM88">
        <v>1</v>
      </c>
      <c r="EP88">
        <v>1</v>
      </c>
      <c r="EQ88">
        <v>1</v>
      </c>
      <c r="ET88">
        <v>1</v>
      </c>
      <c r="EU88">
        <v>1</v>
      </c>
      <c r="EX88">
        <v>1</v>
      </c>
      <c r="EY88">
        <v>1</v>
      </c>
      <c r="FB88">
        <v>1</v>
      </c>
      <c r="FC88">
        <v>1</v>
      </c>
      <c r="FF88">
        <v>1</v>
      </c>
      <c r="FG88">
        <v>1</v>
      </c>
      <c r="FJ88">
        <v>1</v>
      </c>
      <c r="FK88">
        <v>0</v>
      </c>
      <c r="FN88">
        <v>0</v>
      </c>
      <c r="FO88">
        <v>0</v>
      </c>
      <c r="FR88">
        <v>0</v>
      </c>
      <c r="FS88">
        <v>1</v>
      </c>
      <c r="FV88">
        <v>1</v>
      </c>
      <c r="FW88">
        <v>0</v>
      </c>
      <c r="FZ88">
        <v>0</v>
      </c>
      <c r="GA88">
        <v>0</v>
      </c>
      <c r="GD88">
        <v>0</v>
      </c>
      <c r="GE88">
        <v>0</v>
      </c>
      <c r="GH88">
        <v>0</v>
      </c>
      <c r="GI88">
        <v>0</v>
      </c>
      <c r="GL88">
        <v>0</v>
      </c>
      <c r="GM88">
        <v>0</v>
      </c>
      <c r="GP88">
        <v>0</v>
      </c>
      <c r="GQ88">
        <v>0</v>
      </c>
      <c r="GT88">
        <v>0</v>
      </c>
      <c r="GU88">
        <v>0</v>
      </c>
      <c r="GX88">
        <v>0</v>
      </c>
      <c r="GY88">
        <v>0</v>
      </c>
      <c r="HB88">
        <v>0</v>
      </c>
      <c r="HC88">
        <v>0</v>
      </c>
      <c r="HF88">
        <v>0</v>
      </c>
      <c r="HG88">
        <v>0</v>
      </c>
      <c r="HJ88">
        <v>0</v>
      </c>
      <c r="HK88">
        <v>0</v>
      </c>
      <c r="HN88">
        <v>0</v>
      </c>
      <c r="HO88">
        <v>0</v>
      </c>
      <c r="HR88">
        <v>0</v>
      </c>
      <c r="HS88">
        <v>0</v>
      </c>
      <c r="HV88">
        <v>0</v>
      </c>
      <c r="HW88">
        <v>1</v>
      </c>
      <c r="HZ88">
        <v>1</v>
      </c>
      <c r="IA88">
        <v>0</v>
      </c>
      <c r="ID88">
        <v>0</v>
      </c>
      <c r="IE88">
        <v>0</v>
      </c>
      <c r="IH88">
        <v>0</v>
      </c>
      <c r="II88">
        <v>0</v>
      </c>
      <c r="IL88">
        <v>0</v>
      </c>
      <c r="IM88">
        <v>0</v>
      </c>
      <c r="IP88">
        <v>0</v>
      </c>
      <c r="IQ88">
        <v>0</v>
      </c>
      <c r="IT88">
        <v>0</v>
      </c>
      <c r="IU88">
        <v>0</v>
      </c>
      <c r="IX88">
        <v>0</v>
      </c>
      <c r="IY88">
        <f t="shared" ca="1" si="11"/>
        <v>13</v>
      </c>
      <c r="IZ88">
        <f t="shared" ca="1" si="11"/>
        <v>0</v>
      </c>
      <c r="JA88">
        <f t="shared" ca="1" si="11"/>
        <v>0</v>
      </c>
      <c r="JB88">
        <f t="shared" ca="1" si="11"/>
        <v>13</v>
      </c>
    </row>
    <row r="89" spans="1:262" ht="15" customHeight="1" x14ac:dyDescent="0.25">
      <c r="A89" s="172">
        <v>86</v>
      </c>
      <c r="B89" s="172" t="s">
        <v>703</v>
      </c>
      <c r="C89">
        <v>1</v>
      </c>
      <c r="F89">
        <v>1</v>
      </c>
      <c r="G89">
        <v>18</v>
      </c>
      <c r="J89">
        <v>18</v>
      </c>
      <c r="K89">
        <v>2</v>
      </c>
      <c r="N89">
        <v>2</v>
      </c>
      <c r="O89">
        <v>10</v>
      </c>
      <c r="R89">
        <v>10</v>
      </c>
      <c r="S89">
        <v>1</v>
      </c>
      <c r="V89">
        <v>1</v>
      </c>
      <c r="W89">
        <v>3</v>
      </c>
      <c r="Z89">
        <v>3</v>
      </c>
      <c r="AA89">
        <v>4</v>
      </c>
      <c r="AD89">
        <v>4</v>
      </c>
      <c r="AE89">
        <v>4</v>
      </c>
      <c r="AH89">
        <v>4</v>
      </c>
      <c r="AI89">
        <v>4</v>
      </c>
      <c r="AL89">
        <v>4</v>
      </c>
      <c r="AM89">
        <v>3</v>
      </c>
      <c r="AP89">
        <v>3</v>
      </c>
      <c r="AQ89">
        <v>2</v>
      </c>
      <c r="AT89">
        <v>2</v>
      </c>
      <c r="AU89">
        <v>0</v>
      </c>
      <c r="AX89">
        <v>0</v>
      </c>
      <c r="AY89">
        <v>6</v>
      </c>
      <c r="BB89">
        <v>6</v>
      </c>
      <c r="BC89">
        <v>3</v>
      </c>
      <c r="BF89">
        <v>3</v>
      </c>
      <c r="BG89">
        <v>3</v>
      </c>
      <c r="BJ89">
        <v>3</v>
      </c>
      <c r="BK89">
        <v>0</v>
      </c>
      <c r="BN89">
        <v>0</v>
      </c>
      <c r="BO89">
        <v>1</v>
      </c>
      <c r="BR89">
        <v>1</v>
      </c>
      <c r="BS89">
        <v>0</v>
      </c>
      <c r="BV89">
        <v>0</v>
      </c>
      <c r="BW89">
        <v>1</v>
      </c>
      <c r="BZ89">
        <v>1</v>
      </c>
      <c r="CA89">
        <v>1</v>
      </c>
      <c r="CD89">
        <v>1</v>
      </c>
      <c r="CE89">
        <v>1</v>
      </c>
      <c r="CH89">
        <v>1</v>
      </c>
      <c r="CI89">
        <v>0</v>
      </c>
      <c r="CL89">
        <v>0</v>
      </c>
      <c r="CM89">
        <v>1</v>
      </c>
      <c r="CP89">
        <v>1</v>
      </c>
      <c r="CQ89">
        <v>0</v>
      </c>
      <c r="CT89">
        <v>0</v>
      </c>
      <c r="CU89">
        <v>0</v>
      </c>
      <c r="CX89">
        <v>0</v>
      </c>
      <c r="CY89">
        <v>1</v>
      </c>
      <c r="DB89">
        <v>1</v>
      </c>
      <c r="DC89">
        <v>1</v>
      </c>
      <c r="DF89">
        <v>1</v>
      </c>
      <c r="DG89">
        <v>1</v>
      </c>
      <c r="DJ89">
        <v>1</v>
      </c>
      <c r="DK89">
        <v>1</v>
      </c>
      <c r="DN89">
        <v>1</v>
      </c>
      <c r="DO89">
        <v>1</v>
      </c>
      <c r="DR89">
        <v>1</v>
      </c>
      <c r="DS89">
        <v>1</v>
      </c>
      <c r="DV89">
        <v>1</v>
      </c>
      <c r="DW89">
        <v>0</v>
      </c>
      <c r="DZ89">
        <v>0</v>
      </c>
      <c r="EA89">
        <v>1</v>
      </c>
      <c r="ED89">
        <v>1</v>
      </c>
      <c r="EE89">
        <v>0</v>
      </c>
      <c r="EH89">
        <v>0</v>
      </c>
      <c r="EI89">
        <v>1</v>
      </c>
      <c r="EL89">
        <v>1</v>
      </c>
      <c r="EM89">
        <v>1</v>
      </c>
      <c r="EP89">
        <v>1</v>
      </c>
      <c r="EQ89">
        <v>1</v>
      </c>
      <c r="ET89">
        <v>1</v>
      </c>
      <c r="EU89">
        <v>1</v>
      </c>
      <c r="EX89">
        <v>1</v>
      </c>
      <c r="EY89">
        <v>1</v>
      </c>
      <c r="FB89">
        <v>1</v>
      </c>
      <c r="FC89">
        <v>1</v>
      </c>
      <c r="FF89">
        <v>1</v>
      </c>
      <c r="FG89">
        <v>1</v>
      </c>
      <c r="FJ89">
        <v>1</v>
      </c>
      <c r="FK89">
        <v>0</v>
      </c>
      <c r="FN89">
        <v>0</v>
      </c>
      <c r="FO89">
        <v>0</v>
      </c>
      <c r="FR89">
        <v>0</v>
      </c>
      <c r="FS89">
        <v>1</v>
      </c>
      <c r="FV89">
        <v>1</v>
      </c>
      <c r="FW89">
        <v>0</v>
      </c>
      <c r="FZ89">
        <v>0</v>
      </c>
      <c r="GA89">
        <v>0</v>
      </c>
      <c r="GD89">
        <v>0</v>
      </c>
      <c r="GE89">
        <v>0</v>
      </c>
      <c r="GH89">
        <v>0</v>
      </c>
      <c r="GI89">
        <v>0</v>
      </c>
      <c r="GL89">
        <v>0</v>
      </c>
      <c r="GM89">
        <v>0</v>
      </c>
      <c r="GP89">
        <v>0</v>
      </c>
      <c r="GQ89">
        <v>1</v>
      </c>
      <c r="GT89">
        <v>1</v>
      </c>
      <c r="GU89">
        <v>0</v>
      </c>
      <c r="GX89">
        <v>0</v>
      </c>
      <c r="GY89">
        <v>1</v>
      </c>
      <c r="HB89">
        <v>1</v>
      </c>
      <c r="HC89">
        <v>1</v>
      </c>
      <c r="HF89">
        <v>1</v>
      </c>
      <c r="HG89">
        <v>0</v>
      </c>
      <c r="HJ89">
        <v>0</v>
      </c>
      <c r="HK89">
        <v>1</v>
      </c>
      <c r="HN89">
        <v>1</v>
      </c>
      <c r="HO89">
        <v>1</v>
      </c>
      <c r="HR89">
        <v>1</v>
      </c>
      <c r="HS89">
        <v>1</v>
      </c>
      <c r="HV89">
        <v>1</v>
      </c>
      <c r="HW89">
        <v>1</v>
      </c>
      <c r="HZ89">
        <v>1</v>
      </c>
      <c r="IA89">
        <v>1</v>
      </c>
      <c r="ID89">
        <v>1</v>
      </c>
      <c r="IE89">
        <v>0</v>
      </c>
      <c r="IH89">
        <v>0</v>
      </c>
      <c r="II89">
        <v>1</v>
      </c>
      <c r="IL89">
        <v>1</v>
      </c>
      <c r="IM89">
        <v>1</v>
      </c>
      <c r="IP89">
        <v>1</v>
      </c>
      <c r="IQ89">
        <v>1</v>
      </c>
      <c r="IT89">
        <v>1</v>
      </c>
      <c r="IU89">
        <v>1</v>
      </c>
      <c r="IX89">
        <v>1</v>
      </c>
      <c r="IY89">
        <f t="shared" ca="1" si="11"/>
        <v>32</v>
      </c>
      <c r="IZ89">
        <f t="shared" ca="1" si="11"/>
        <v>0</v>
      </c>
      <c r="JA89">
        <f t="shared" ca="1" si="11"/>
        <v>0</v>
      </c>
      <c r="JB89">
        <f t="shared" ca="1" si="11"/>
        <v>32</v>
      </c>
    </row>
    <row r="90" spans="1:262" x14ac:dyDescent="0.25">
      <c r="A90" s="165">
        <v>87</v>
      </c>
      <c r="B90" s="165" t="s">
        <v>704</v>
      </c>
      <c r="C90">
        <v>1</v>
      </c>
      <c r="F90">
        <v>1</v>
      </c>
      <c r="G90">
        <v>6</v>
      </c>
      <c r="J90">
        <v>6</v>
      </c>
      <c r="K90">
        <v>1</v>
      </c>
      <c r="N90">
        <v>1</v>
      </c>
      <c r="O90">
        <v>3</v>
      </c>
      <c r="R90">
        <v>3</v>
      </c>
      <c r="S90">
        <v>0</v>
      </c>
      <c r="V90">
        <v>0</v>
      </c>
      <c r="W90">
        <v>0</v>
      </c>
      <c r="Z90">
        <v>0</v>
      </c>
      <c r="AA90">
        <v>1</v>
      </c>
      <c r="AD90">
        <v>1</v>
      </c>
      <c r="AE90">
        <v>0</v>
      </c>
      <c r="AH90">
        <v>0</v>
      </c>
      <c r="AI90">
        <v>0</v>
      </c>
      <c r="AL90">
        <v>0</v>
      </c>
      <c r="AM90">
        <v>3</v>
      </c>
      <c r="AP90">
        <v>3</v>
      </c>
      <c r="AQ90">
        <v>1</v>
      </c>
      <c r="AT90">
        <v>1</v>
      </c>
      <c r="AU90">
        <v>2</v>
      </c>
      <c r="AX90">
        <v>2</v>
      </c>
      <c r="AY90">
        <v>1</v>
      </c>
      <c r="BB90">
        <v>1</v>
      </c>
      <c r="BC90">
        <v>0</v>
      </c>
      <c r="BF90">
        <v>0</v>
      </c>
      <c r="BG90">
        <v>3</v>
      </c>
      <c r="BJ90">
        <v>3</v>
      </c>
      <c r="BK90">
        <v>0</v>
      </c>
      <c r="BN90">
        <v>0</v>
      </c>
      <c r="BO90">
        <v>1</v>
      </c>
      <c r="BR90">
        <v>1</v>
      </c>
      <c r="BS90">
        <v>0</v>
      </c>
      <c r="BV90">
        <v>0</v>
      </c>
      <c r="BW90">
        <v>0</v>
      </c>
      <c r="BZ90">
        <v>0</v>
      </c>
      <c r="CA90">
        <v>1</v>
      </c>
      <c r="CD90">
        <v>1</v>
      </c>
      <c r="CE90">
        <v>0</v>
      </c>
      <c r="CH90">
        <v>0</v>
      </c>
      <c r="CI90">
        <v>0</v>
      </c>
      <c r="CL90">
        <v>0</v>
      </c>
      <c r="CM90">
        <v>0</v>
      </c>
      <c r="CP90">
        <v>0</v>
      </c>
      <c r="CQ90">
        <v>0</v>
      </c>
      <c r="CT90">
        <v>0</v>
      </c>
      <c r="CU90">
        <v>0</v>
      </c>
      <c r="CX90">
        <v>0</v>
      </c>
      <c r="CY90">
        <v>0</v>
      </c>
      <c r="DB90">
        <v>0</v>
      </c>
      <c r="DC90">
        <v>0</v>
      </c>
      <c r="DF90">
        <v>0</v>
      </c>
      <c r="DG90">
        <v>0</v>
      </c>
      <c r="DJ90">
        <v>0</v>
      </c>
      <c r="DK90">
        <v>0</v>
      </c>
      <c r="DN90">
        <v>0</v>
      </c>
      <c r="DO90">
        <v>0</v>
      </c>
      <c r="DR90">
        <v>0</v>
      </c>
      <c r="DS90">
        <v>1</v>
      </c>
      <c r="DV90">
        <v>1</v>
      </c>
      <c r="DW90">
        <v>1</v>
      </c>
      <c r="DZ90">
        <v>1</v>
      </c>
      <c r="EA90">
        <v>0</v>
      </c>
      <c r="ED90">
        <v>0</v>
      </c>
      <c r="EE90">
        <v>1</v>
      </c>
      <c r="EH90">
        <v>1</v>
      </c>
      <c r="EI90">
        <v>0</v>
      </c>
      <c r="EL90">
        <v>0</v>
      </c>
      <c r="EM90">
        <v>0</v>
      </c>
      <c r="EP90">
        <v>0</v>
      </c>
      <c r="EQ90">
        <v>1</v>
      </c>
      <c r="ET90">
        <v>1</v>
      </c>
      <c r="EU90">
        <v>0</v>
      </c>
      <c r="EX90">
        <v>0</v>
      </c>
      <c r="EY90">
        <v>0</v>
      </c>
      <c r="FB90">
        <v>0</v>
      </c>
      <c r="FC90">
        <v>0</v>
      </c>
      <c r="FF90">
        <v>0</v>
      </c>
      <c r="FG90">
        <v>1</v>
      </c>
      <c r="FJ90">
        <v>1</v>
      </c>
      <c r="FK90">
        <v>0</v>
      </c>
      <c r="FN90">
        <v>0</v>
      </c>
      <c r="FO90">
        <v>0</v>
      </c>
      <c r="FR90">
        <v>0</v>
      </c>
      <c r="FS90">
        <v>1</v>
      </c>
      <c r="FV90">
        <v>1</v>
      </c>
      <c r="FW90">
        <v>0</v>
      </c>
      <c r="FZ90">
        <v>0</v>
      </c>
      <c r="GA90">
        <v>0</v>
      </c>
      <c r="GD90">
        <v>0</v>
      </c>
      <c r="GE90">
        <v>0</v>
      </c>
      <c r="GH90">
        <v>0</v>
      </c>
      <c r="GI90">
        <v>0</v>
      </c>
      <c r="GL90">
        <v>0</v>
      </c>
      <c r="GM90">
        <v>0</v>
      </c>
      <c r="GP90">
        <v>0</v>
      </c>
      <c r="GQ90">
        <v>0</v>
      </c>
      <c r="GT90">
        <v>0</v>
      </c>
      <c r="GU90">
        <v>0</v>
      </c>
      <c r="GX90">
        <v>0</v>
      </c>
      <c r="GY90">
        <v>0</v>
      </c>
      <c r="HB90">
        <v>0</v>
      </c>
      <c r="HC90">
        <v>0</v>
      </c>
      <c r="HF90">
        <v>0</v>
      </c>
      <c r="HG90">
        <v>0</v>
      </c>
      <c r="HJ90">
        <v>0</v>
      </c>
      <c r="HK90">
        <v>0</v>
      </c>
      <c r="HN90">
        <v>0</v>
      </c>
      <c r="HO90">
        <v>0</v>
      </c>
      <c r="HR90">
        <v>0</v>
      </c>
      <c r="HS90">
        <v>0</v>
      </c>
      <c r="HV90">
        <v>0</v>
      </c>
      <c r="HW90">
        <v>1</v>
      </c>
      <c r="HZ90">
        <v>1</v>
      </c>
      <c r="IA90">
        <v>0</v>
      </c>
      <c r="ID90">
        <v>0</v>
      </c>
      <c r="IE90">
        <v>1</v>
      </c>
      <c r="IH90">
        <v>1</v>
      </c>
      <c r="II90">
        <v>0</v>
      </c>
      <c r="IL90">
        <v>0</v>
      </c>
      <c r="IM90">
        <v>0</v>
      </c>
      <c r="IP90">
        <v>0</v>
      </c>
      <c r="IQ90">
        <v>1</v>
      </c>
      <c r="IT90">
        <v>1</v>
      </c>
      <c r="IU90">
        <v>0</v>
      </c>
      <c r="IX90">
        <v>0</v>
      </c>
      <c r="IY90">
        <f t="shared" ca="1" si="11"/>
        <v>11</v>
      </c>
      <c r="IZ90">
        <f t="shared" ca="1" si="11"/>
        <v>0</v>
      </c>
      <c r="JA90">
        <f t="shared" ca="1" si="11"/>
        <v>0</v>
      </c>
      <c r="JB90">
        <f t="shared" ca="1" si="11"/>
        <v>11</v>
      </c>
    </row>
    <row r="91" spans="1:262" x14ac:dyDescent="0.25">
      <c r="A91" s="173">
        <v>88</v>
      </c>
      <c r="B91" s="173" t="s">
        <v>705</v>
      </c>
      <c r="C91">
        <v>0</v>
      </c>
      <c r="F91">
        <v>0</v>
      </c>
      <c r="G91">
        <v>7</v>
      </c>
      <c r="J91">
        <v>7</v>
      </c>
      <c r="K91">
        <v>2</v>
      </c>
      <c r="N91">
        <v>2</v>
      </c>
      <c r="O91">
        <v>4</v>
      </c>
      <c r="R91">
        <v>4</v>
      </c>
      <c r="S91">
        <v>0</v>
      </c>
      <c r="V91">
        <v>0</v>
      </c>
      <c r="W91">
        <v>2</v>
      </c>
      <c r="Z91">
        <v>2</v>
      </c>
      <c r="AA91">
        <v>3</v>
      </c>
      <c r="AD91">
        <v>3</v>
      </c>
      <c r="AE91">
        <v>1</v>
      </c>
      <c r="AH91">
        <v>1</v>
      </c>
      <c r="AI91">
        <v>1</v>
      </c>
      <c r="AL91">
        <v>1</v>
      </c>
      <c r="AM91">
        <v>2</v>
      </c>
      <c r="AP91">
        <v>2</v>
      </c>
      <c r="AQ91">
        <v>1</v>
      </c>
      <c r="AT91">
        <v>1</v>
      </c>
      <c r="AU91">
        <v>0</v>
      </c>
      <c r="AX91">
        <v>0</v>
      </c>
      <c r="AY91">
        <v>1</v>
      </c>
      <c r="BB91">
        <v>1</v>
      </c>
      <c r="BC91">
        <v>0</v>
      </c>
      <c r="BF91">
        <v>0</v>
      </c>
      <c r="BG91">
        <v>2</v>
      </c>
      <c r="BJ91">
        <v>2</v>
      </c>
      <c r="BK91">
        <v>0</v>
      </c>
      <c r="BN91">
        <v>0</v>
      </c>
      <c r="BO91">
        <v>0</v>
      </c>
      <c r="BR91">
        <v>0</v>
      </c>
      <c r="BS91">
        <v>0</v>
      </c>
      <c r="BV91">
        <v>0</v>
      </c>
      <c r="BW91">
        <v>0</v>
      </c>
      <c r="BZ91">
        <v>0</v>
      </c>
      <c r="CA91">
        <v>1</v>
      </c>
      <c r="CD91">
        <v>1</v>
      </c>
      <c r="CE91">
        <v>1</v>
      </c>
      <c r="CH91">
        <v>1</v>
      </c>
      <c r="CI91">
        <v>0</v>
      </c>
      <c r="CL91">
        <v>0</v>
      </c>
      <c r="CM91">
        <v>0</v>
      </c>
      <c r="CP91">
        <v>0</v>
      </c>
      <c r="CQ91">
        <v>0</v>
      </c>
      <c r="CT91">
        <v>0</v>
      </c>
      <c r="CU91">
        <v>0</v>
      </c>
      <c r="CX91">
        <v>0</v>
      </c>
      <c r="CY91">
        <v>1</v>
      </c>
      <c r="DB91">
        <v>1</v>
      </c>
      <c r="DC91">
        <v>0</v>
      </c>
      <c r="DF91">
        <v>0</v>
      </c>
      <c r="DG91">
        <v>0</v>
      </c>
      <c r="DJ91">
        <v>0</v>
      </c>
      <c r="DK91">
        <v>1</v>
      </c>
      <c r="DN91">
        <v>1</v>
      </c>
      <c r="DO91">
        <v>0</v>
      </c>
      <c r="DR91">
        <v>0</v>
      </c>
      <c r="DS91">
        <v>1</v>
      </c>
      <c r="DV91">
        <v>1</v>
      </c>
      <c r="DW91">
        <v>0</v>
      </c>
      <c r="DZ91">
        <v>0</v>
      </c>
      <c r="EA91">
        <v>0</v>
      </c>
      <c r="ED91">
        <v>0</v>
      </c>
      <c r="EE91">
        <v>0</v>
      </c>
      <c r="EH91">
        <v>0</v>
      </c>
      <c r="EI91">
        <v>0</v>
      </c>
      <c r="EL91">
        <v>0</v>
      </c>
      <c r="EM91">
        <v>0</v>
      </c>
      <c r="EP91">
        <v>0</v>
      </c>
      <c r="EQ91">
        <v>0</v>
      </c>
      <c r="ET91">
        <v>0</v>
      </c>
      <c r="EU91">
        <v>0</v>
      </c>
      <c r="EX91">
        <v>0</v>
      </c>
      <c r="EY91">
        <v>1</v>
      </c>
      <c r="FB91">
        <v>1</v>
      </c>
      <c r="FC91">
        <v>0</v>
      </c>
      <c r="FF91">
        <v>0</v>
      </c>
      <c r="FG91">
        <v>1</v>
      </c>
      <c r="FJ91">
        <v>1</v>
      </c>
      <c r="FK91">
        <v>0</v>
      </c>
      <c r="FN91">
        <v>0</v>
      </c>
      <c r="FO91">
        <v>0</v>
      </c>
      <c r="FR91">
        <v>0</v>
      </c>
      <c r="FS91">
        <v>1</v>
      </c>
      <c r="FV91">
        <v>1</v>
      </c>
      <c r="FW91">
        <v>1</v>
      </c>
      <c r="FZ91">
        <v>1</v>
      </c>
      <c r="GA91">
        <v>0</v>
      </c>
      <c r="GD91">
        <v>0</v>
      </c>
      <c r="GE91">
        <v>0</v>
      </c>
      <c r="GH91">
        <v>0</v>
      </c>
      <c r="GI91">
        <v>0</v>
      </c>
      <c r="GL91">
        <v>0</v>
      </c>
      <c r="GM91">
        <v>0</v>
      </c>
      <c r="GP91">
        <v>0</v>
      </c>
      <c r="GQ91">
        <v>0</v>
      </c>
      <c r="GT91">
        <v>0</v>
      </c>
      <c r="GU91">
        <v>0</v>
      </c>
      <c r="GX91">
        <v>0</v>
      </c>
      <c r="GY91">
        <v>1</v>
      </c>
      <c r="HB91">
        <v>1</v>
      </c>
      <c r="HC91">
        <v>1</v>
      </c>
      <c r="HF91">
        <v>1</v>
      </c>
      <c r="HG91">
        <v>1</v>
      </c>
      <c r="HJ91">
        <v>1</v>
      </c>
      <c r="HK91">
        <v>0</v>
      </c>
      <c r="HN91">
        <v>0</v>
      </c>
      <c r="HO91">
        <v>0</v>
      </c>
      <c r="HR91">
        <v>0</v>
      </c>
      <c r="HS91">
        <v>0</v>
      </c>
      <c r="HV91">
        <v>0</v>
      </c>
      <c r="HW91">
        <v>0</v>
      </c>
      <c r="HZ91">
        <v>0</v>
      </c>
      <c r="IA91">
        <v>0</v>
      </c>
      <c r="ID91">
        <v>0</v>
      </c>
      <c r="IE91">
        <v>0</v>
      </c>
      <c r="IH91">
        <v>0</v>
      </c>
      <c r="II91">
        <v>0</v>
      </c>
      <c r="IL91">
        <v>0</v>
      </c>
      <c r="IM91">
        <v>0</v>
      </c>
      <c r="IP91">
        <v>0</v>
      </c>
      <c r="IQ91">
        <v>1</v>
      </c>
      <c r="IT91">
        <v>1</v>
      </c>
      <c r="IU91">
        <v>0</v>
      </c>
      <c r="IX91">
        <v>0</v>
      </c>
      <c r="IY91">
        <f t="shared" ca="1" si="11"/>
        <v>13</v>
      </c>
      <c r="IZ91">
        <f t="shared" ca="1" si="11"/>
        <v>0</v>
      </c>
      <c r="JA91">
        <f t="shared" ca="1" si="11"/>
        <v>0</v>
      </c>
      <c r="JB91">
        <f t="shared" ca="1" si="11"/>
        <v>13</v>
      </c>
    </row>
    <row r="92" spans="1:262" x14ac:dyDescent="0.25">
      <c r="A92" s="166">
        <v>89</v>
      </c>
      <c r="B92" s="166" t="s">
        <v>707</v>
      </c>
      <c r="C92">
        <v>0</v>
      </c>
      <c r="F92">
        <v>0</v>
      </c>
      <c r="G92">
        <v>0</v>
      </c>
      <c r="J92">
        <v>0</v>
      </c>
      <c r="K92">
        <v>2</v>
      </c>
      <c r="N92">
        <v>2</v>
      </c>
      <c r="O92">
        <v>1</v>
      </c>
      <c r="R92">
        <v>1</v>
      </c>
      <c r="S92">
        <v>0</v>
      </c>
      <c r="V92">
        <v>0</v>
      </c>
      <c r="W92">
        <v>0</v>
      </c>
      <c r="Z92">
        <v>0</v>
      </c>
      <c r="AA92">
        <v>0</v>
      </c>
      <c r="AD92">
        <v>0</v>
      </c>
      <c r="AE92">
        <v>0</v>
      </c>
      <c r="AH92">
        <v>0</v>
      </c>
      <c r="AI92">
        <v>0</v>
      </c>
      <c r="AL92">
        <v>0</v>
      </c>
      <c r="AM92">
        <v>0</v>
      </c>
      <c r="AP92">
        <v>0</v>
      </c>
      <c r="AQ92">
        <v>0</v>
      </c>
      <c r="AT92">
        <v>0</v>
      </c>
      <c r="AU92">
        <v>1</v>
      </c>
      <c r="AX92">
        <v>1</v>
      </c>
      <c r="AY92">
        <v>0</v>
      </c>
      <c r="BB92">
        <v>0</v>
      </c>
      <c r="BC92">
        <v>0</v>
      </c>
      <c r="BF92">
        <v>0</v>
      </c>
      <c r="BG92">
        <v>2</v>
      </c>
      <c r="BJ92">
        <v>2</v>
      </c>
      <c r="BK92">
        <v>0</v>
      </c>
      <c r="BN92">
        <v>0</v>
      </c>
      <c r="BO92">
        <v>0</v>
      </c>
      <c r="BR92">
        <v>0</v>
      </c>
      <c r="BS92">
        <v>0</v>
      </c>
      <c r="BV92">
        <v>0</v>
      </c>
      <c r="BW92">
        <v>0</v>
      </c>
      <c r="BZ92">
        <v>0</v>
      </c>
      <c r="CA92">
        <v>0</v>
      </c>
      <c r="CD92">
        <v>0</v>
      </c>
      <c r="CE92">
        <v>0</v>
      </c>
      <c r="CH92">
        <v>0</v>
      </c>
      <c r="CI92">
        <v>0</v>
      </c>
      <c r="CL92">
        <v>0</v>
      </c>
      <c r="CM92">
        <v>0</v>
      </c>
      <c r="CP92">
        <v>0</v>
      </c>
      <c r="CQ92">
        <v>0</v>
      </c>
      <c r="CT92">
        <v>0</v>
      </c>
      <c r="CU92">
        <v>0</v>
      </c>
      <c r="CX92">
        <v>0</v>
      </c>
      <c r="CY92">
        <v>0</v>
      </c>
      <c r="DB92">
        <v>0</v>
      </c>
      <c r="DC92">
        <v>0</v>
      </c>
      <c r="DF92">
        <v>0</v>
      </c>
      <c r="DG92">
        <v>0</v>
      </c>
      <c r="DJ92">
        <v>0</v>
      </c>
      <c r="DK92">
        <v>0</v>
      </c>
      <c r="DN92">
        <v>0</v>
      </c>
      <c r="DO92">
        <v>0</v>
      </c>
      <c r="DR92">
        <v>0</v>
      </c>
      <c r="DS92">
        <v>0</v>
      </c>
      <c r="DV92">
        <v>0</v>
      </c>
      <c r="DW92">
        <v>0</v>
      </c>
      <c r="DZ92">
        <v>0</v>
      </c>
      <c r="EA92">
        <v>0</v>
      </c>
      <c r="ED92">
        <v>0</v>
      </c>
      <c r="EE92">
        <v>0</v>
      </c>
      <c r="EH92">
        <v>0</v>
      </c>
      <c r="EI92">
        <v>0</v>
      </c>
      <c r="EL92">
        <v>0</v>
      </c>
      <c r="EM92">
        <v>0</v>
      </c>
      <c r="EP92">
        <v>0</v>
      </c>
      <c r="EQ92">
        <v>0</v>
      </c>
      <c r="ET92">
        <v>0</v>
      </c>
      <c r="EU92">
        <v>0</v>
      </c>
      <c r="EX92">
        <v>0</v>
      </c>
      <c r="EY92">
        <v>0</v>
      </c>
      <c r="FB92">
        <v>0</v>
      </c>
      <c r="FC92">
        <v>0</v>
      </c>
      <c r="FF92">
        <v>0</v>
      </c>
      <c r="FG92">
        <v>0</v>
      </c>
      <c r="FJ92">
        <v>0</v>
      </c>
      <c r="FK92">
        <v>0</v>
      </c>
      <c r="FN92">
        <v>0</v>
      </c>
      <c r="FO92">
        <v>0</v>
      </c>
      <c r="FR92">
        <v>0</v>
      </c>
      <c r="FS92">
        <v>0</v>
      </c>
      <c r="FV92">
        <v>0</v>
      </c>
      <c r="FW92">
        <v>0</v>
      </c>
      <c r="FZ92">
        <v>0</v>
      </c>
      <c r="GA92">
        <v>0</v>
      </c>
      <c r="GD92">
        <v>0</v>
      </c>
      <c r="GE92">
        <v>0</v>
      </c>
      <c r="GH92">
        <v>0</v>
      </c>
      <c r="GI92">
        <v>1</v>
      </c>
      <c r="GL92">
        <v>1</v>
      </c>
      <c r="GM92">
        <v>0</v>
      </c>
      <c r="GP92">
        <v>0</v>
      </c>
      <c r="GQ92">
        <v>0</v>
      </c>
      <c r="GT92">
        <v>0</v>
      </c>
      <c r="GU92">
        <v>1</v>
      </c>
      <c r="GX92">
        <v>1</v>
      </c>
      <c r="GY92">
        <v>0</v>
      </c>
      <c r="HB92">
        <v>0</v>
      </c>
      <c r="HC92">
        <v>0</v>
      </c>
      <c r="HF92">
        <v>0</v>
      </c>
      <c r="HG92">
        <v>0</v>
      </c>
      <c r="HJ92">
        <v>0</v>
      </c>
      <c r="HK92">
        <v>0</v>
      </c>
      <c r="HN92">
        <v>0</v>
      </c>
      <c r="HO92">
        <v>0</v>
      </c>
      <c r="HR92">
        <v>0</v>
      </c>
      <c r="HS92">
        <v>0</v>
      </c>
      <c r="HV92">
        <v>0</v>
      </c>
      <c r="HW92">
        <v>0</v>
      </c>
      <c r="HZ92">
        <v>0</v>
      </c>
      <c r="IA92">
        <v>0</v>
      </c>
      <c r="ID92">
        <v>0</v>
      </c>
      <c r="IE92">
        <v>0</v>
      </c>
      <c r="IH92">
        <v>0</v>
      </c>
      <c r="II92">
        <v>0</v>
      </c>
      <c r="IL92">
        <v>0</v>
      </c>
      <c r="IM92">
        <v>0</v>
      </c>
      <c r="IP92">
        <v>0</v>
      </c>
      <c r="IQ92">
        <v>1</v>
      </c>
      <c r="IT92">
        <v>1</v>
      </c>
      <c r="IU92">
        <v>0</v>
      </c>
      <c r="IX92">
        <v>0</v>
      </c>
      <c r="IY92">
        <f t="shared" ca="1" si="11"/>
        <v>3</v>
      </c>
      <c r="IZ92">
        <f t="shared" ca="1" si="11"/>
        <v>0</v>
      </c>
      <c r="JA92">
        <f t="shared" ca="1" si="11"/>
        <v>0</v>
      </c>
      <c r="JB92">
        <f t="shared" ca="1" si="11"/>
        <v>3</v>
      </c>
    </row>
    <row r="93" spans="1:262" x14ac:dyDescent="0.25">
      <c r="A93" s="167">
        <v>90</v>
      </c>
      <c r="B93" s="167" t="s">
        <v>395</v>
      </c>
      <c r="C93">
        <v>1</v>
      </c>
      <c r="F93">
        <v>1</v>
      </c>
      <c r="G93">
        <v>8</v>
      </c>
      <c r="J93">
        <v>8</v>
      </c>
      <c r="K93">
        <v>8</v>
      </c>
      <c r="N93">
        <v>8</v>
      </c>
      <c r="O93">
        <v>3</v>
      </c>
      <c r="R93">
        <v>3</v>
      </c>
      <c r="S93">
        <v>0</v>
      </c>
      <c r="V93">
        <v>0</v>
      </c>
      <c r="W93">
        <v>3</v>
      </c>
      <c r="Z93">
        <v>3</v>
      </c>
      <c r="AA93">
        <v>2</v>
      </c>
      <c r="AD93">
        <v>2</v>
      </c>
      <c r="AE93">
        <v>0</v>
      </c>
      <c r="AH93">
        <v>0</v>
      </c>
      <c r="AI93">
        <v>0</v>
      </c>
      <c r="AL93">
        <v>0</v>
      </c>
      <c r="AM93">
        <v>0</v>
      </c>
      <c r="AP93">
        <v>0</v>
      </c>
      <c r="AQ93">
        <v>4</v>
      </c>
      <c r="AT93">
        <v>4</v>
      </c>
      <c r="AU93">
        <v>3</v>
      </c>
      <c r="AX93">
        <v>3</v>
      </c>
      <c r="AY93">
        <v>5</v>
      </c>
      <c r="BB93">
        <v>5</v>
      </c>
      <c r="BC93">
        <v>1</v>
      </c>
      <c r="BF93">
        <v>1</v>
      </c>
      <c r="BG93">
        <v>2</v>
      </c>
      <c r="BJ93">
        <v>2</v>
      </c>
      <c r="BK93">
        <v>1</v>
      </c>
      <c r="BN93">
        <v>1</v>
      </c>
      <c r="BO93">
        <v>0</v>
      </c>
      <c r="BR93">
        <v>0</v>
      </c>
      <c r="BS93">
        <v>1</v>
      </c>
      <c r="BV93">
        <v>1</v>
      </c>
      <c r="BW93">
        <v>0</v>
      </c>
      <c r="BZ93">
        <v>0</v>
      </c>
      <c r="CA93">
        <v>1</v>
      </c>
      <c r="CD93">
        <v>1</v>
      </c>
      <c r="CE93">
        <v>1</v>
      </c>
      <c r="CH93">
        <v>1</v>
      </c>
      <c r="CI93">
        <v>0</v>
      </c>
      <c r="CL93">
        <v>0</v>
      </c>
      <c r="CM93">
        <v>0</v>
      </c>
      <c r="CP93">
        <v>0</v>
      </c>
      <c r="CQ93">
        <v>0</v>
      </c>
      <c r="CT93">
        <v>0</v>
      </c>
      <c r="CU93">
        <v>0</v>
      </c>
      <c r="CX93">
        <v>0</v>
      </c>
      <c r="CY93">
        <v>0</v>
      </c>
      <c r="DB93">
        <v>0</v>
      </c>
      <c r="DC93">
        <v>0</v>
      </c>
      <c r="DF93">
        <v>0</v>
      </c>
      <c r="DG93">
        <v>0</v>
      </c>
      <c r="DJ93">
        <v>0</v>
      </c>
      <c r="DK93">
        <v>0</v>
      </c>
      <c r="DN93">
        <v>0</v>
      </c>
      <c r="DO93">
        <v>0</v>
      </c>
      <c r="DR93">
        <v>0</v>
      </c>
      <c r="DS93">
        <v>0</v>
      </c>
      <c r="DV93">
        <v>0</v>
      </c>
      <c r="DW93">
        <v>0</v>
      </c>
      <c r="DZ93">
        <v>0</v>
      </c>
      <c r="EA93">
        <v>0</v>
      </c>
      <c r="ED93">
        <v>0</v>
      </c>
      <c r="EE93">
        <v>1</v>
      </c>
      <c r="EH93">
        <v>1</v>
      </c>
      <c r="EI93">
        <v>0</v>
      </c>
      <c r="EL93">
        <v>0</v>
      </c>
      <c r="EM93">
        <v>1</v>
      </c>
      <c r="EP93">
        <v>1</v>
      </c>
      <c r="EQ93">
        <v>1</v>
      </c>
      <c r="ET93">
        <v>1</v>
      </c>
      <c r="EU93">
        <v>1</v>
      </c>
      <c r="EX93">
        <v>1</v>
      </c>
      <c r="EY93">
        <v>1</v>
      </c>
      <c r="FB93">
        <v>1</v>
      </c>
      <c r="FC93">
        <v>0</v>
      </c>
      <c r="FF93">
        <v>0</v>
      </c>
      <c r="FG93">
        <v>0</v>
      </c>
      <c r="FJ93">
        <v>0</v>
      </c>
      <c r="FK93">
        <v>0</v>
      </c>
      <c r="FN93">
        <v>0</v>
      </c>
      <c r="FO93">
        <v>1</v>
      </c>
      <c r="FR93">
        <v>1</v>
      </c>
      <c r="FS93">
        <v>0</v>
      </c>
      <c r="FV93">
        <v>0</v>
      </c>
      <c r="FW93">
        <v>1</v>
      </c>
      <c r="FZ93">
        <v>1</v>
      </c>
      <c r="GA93">
        <v>1</v>
      </c>
      <c r="GD93">
        <v>1</v>
      </c>
      <c r="GE93">
        <v>1</v>
      </c>
      <c r="GH93">
        <v>1</v>
      </c>
      <c r="GI93">
        <v>1</v>
      </c>
      <c r="GL93">
        <v>1</v>
      </c>
      <c r="GM93">
        <v>1</v>
      </c>
      <c r="GP93">
        <v>1</v>
      </c>
      <c r="GQ93">
        <v>1</v>
      </c>
      <c r="GT93">
        <v>1</v>
      </c>
      <c r="GU93">
        <v>1</v>
      </c>
      <c r="GX93">
        <v>1</v>
      </c>
      <c r="GY93">
        <v>0</v>
      </c>
      <c r="HB93">
        <v>0</v>
      </c>
      <c r="HC93">
        <v>0</v>
      </c>
      <c r="HF93">
        <v>0</v>
      </c>
      <c r="HG93">
        <v>0</v>
      </c>
      <c r="HJ93">
        <v>0</v>
      </c>
      <c r="HK93">
        <v>0</v>
      </c>
      <c r="HN93">
        <v>0</v>
      </c>
      <c r="HO93">
        <v>0</v>
      </c>
      <c r="HR93">
        <v>0</v>
      </c>
      <c r="HS93">
        <v>0</v>
      </c>
      <c r="HV93">
        <v>0</v>
      </c>
      <c r="HW93">
        <v>0</v>
      </c>
      <c r="HZ93">
        <v>0</v>
      </c>
      <c r="IA93">
        <v>1</v>
      </c>
      <c r="ID93">
        <v>1</v>
      </c>
      <c r="IE93">
        <v>1</v>
      </c>
      <c r="IH93">
        <v>1</v>
      </c>
      <c r="II93">
        <v>0</v>
      </c>
      <c r="IL93">
        <v>0</v>
      </c>
      <c r="IM93">
        <v>0</v>
      </c>
      <c r="IP93">
        <v>0</v>
      </c>
      <c r="IQ93">
        <v>1</v>
      </c>
      <c r="IT93">
        <v>1</v>
      </c>
      <c r="IU93">
        <v>0</v>
      </c>
      <c r="IX93">
        <v>0</v>
      </c>
      <c r="IY93">
        <f t="shared" ca="1" si="11"/>
        <v>20</v>
      </c>
      <c r="IZ93">
        <f t="shared" ca="1" si="11"/>
        <v>0</v>
      </c>
      <c r="JA93">
        <f t="shared" ca="1" si="11"/>
        <v>0</v>
      </c>
      <c r="JB93">
        <f t="shared" ca="1" si="11"/>
        <v>20</v>
      </c>
    </row>
    <row r="94" spans="1:262" x14ac:dyDescent="0.25">
      <c r="A94" s="54">
        <v>91</v>
      </c>
      <c r="B94" s="38" t="s">
        <v>475</v>
      </c>
      <c r="C94">
        <v>0</v>
      </c>
      <c r="F94">
        <v>0</v>
      </c>
      <c r="G94">
        <v>0</v>
      </c>
      <c r="J94">
        <v>0</v>
      </c>
      <c r="K94">
        <v>1</v>
      </c>
      <c r="N94">
        <v>1</v>
      </c>
      <c r="O94">
        <v>0</v>
      </c>
      <c r="R94">
        <v>0</v>
      </c>
      <c r="S94">
        <v>0</v>
      </c>
      <c r="V94">
        <v>0</v>
      </c>
      <c r="W94">
        <v>1</v>
      </c>
      <c r="Z94">
        <v>1</v>
      </c>
      <c r="AA94">
        <v>0</v>
      </c>
      <c r="AD94">
        <v>0</v>
      </c>
      <c r="AE94">
        <v>0</v>
      </c>
      <c r="AH94">
        <v>0</v>
      </c>
      <c r="AI94">
        <v>0</v>
      </c>
      <c r="AL94">
        <v>0</v>
      </c>
      <c r="AM94">
        <v>0</v>
      </c>
      <c r="AP94">
        <v>0</v>
      </c>
      <c r="AQ94">
        <v>0</v>
      </c>
      <c r="AT94">
        <v>0</v>
      </c>
      <c r="AU94">
        <v>0</v>
      </c>
      <c r="AX94">
        <v>0</v>
      </c>
      <c r="AY94">
        <v>0</v>
      </c>
      <c r="BB94">
        <v>0</v>
      </c>
      <c r="BC94">
        <v>0</v>
      </c>
      <c r="BF94">
        <v>0</v>
      </c>
      <c r="BG94">
        <v>0</v>
      </c>
      <c r="BJ94">
        <v>0</v>
      </c>
      <c r="BK94">
        <v>0</v>
      </c>
      <c r="BN94">
        <v>0</v>
      </c>
      <c r="BO94">
        <v>0</v>
      </c>
      <c r="BR94">
        <v>0</v>
      </c>
      <c r="BS94">
        <v>0</v>
      </c>
      <c r="BV94">
        <v>0</v>
      </c>
      <c r="BW94">
        <v>0</v>
      </c>
      <c r="BZ94">
        <v>0</v>
      </c>
      <c r="CA94">
        <v>0</v>
      </c>
      <c r="CD94">
        <v>0</v>
      </c>
      <c r="CE94">
        <v>0</v>
      </c>
      <c r="CH94">
        <v>0</v>
      </c>
      <c r="CI94">
        <v>0</v>
      </c>
      <c r="CL94">
        <v>0</v>
      </c>
      <c r="CM94">
        <v>0</v>
      </c>
      <c r="CP94">
        <v>0</v>
      </c>
      <c r="CQ94">
        <v>0</v>
      </c>
      <c r="CT94">
        <v>0</v>
      </c>
      <c r="CU94">
        <v>0</v>
      </c>
      <c r="CX94">
        <v>0</v>
      </c>
      <c r="CY94">
        <v>0</v>
      </c>
      <c r="DB94">
        <v>0</v>
      </c>
      <c r="DC94">
        <v>0</v>
      </c>
      <c r="DF94">
        <v>0</v>
      </c>
      <c r="DG94">
        <v>0</v>
      </c>
      <c r="DJ94">
        <v>0</v>
      </c>
      <c r="DK94">
        <v>0</v>
      </c>
      <c r="DN94">
        <v>0</v>
      </c>
      <c r="DO94">
        <v>0</v>
      </c>
      <c r="DR94">
        <v>0</v>
      </c>
      <c r="DS94">
        <v>0</v>
      </c>
      <c r="DV94">
        <v>0</v>
      </c>
      <c r="DW94">
        <v>0</v>
      </c>
      <c r="DZ94">
        <v>0</v>
      </c>
      <c r="EA94">
        <v>0</v>
      </c>
      <c r="ED94">
        <v>0</v>
      </c>
      <c r="EE94">
        <v>0</v>
      </c>
      <c r="EH94">
        <v>0</v>
      </c>
      <c r="EI94">
        <v>0</v>
      </c>
      <c r="EL94">
        <v>0</v>
      </c>
      <c r="EM94">
        <v>0</v>
      </c>
      <c r="EP94">
        <v>0</v>
      </c>
      <c r="EQ94">
        <v>0</v>
      </c>
      <c r="ET94">
        <v>0</v>
      </c>
      <c r="EU94">
        <v>0</v>
      </c>
      <c r="EX94">
        <v>0</v>
      </c>
      <c r="EY94">
        <v>0</v>
      </c>
      <c r="FB94">
        <v>0</v>
      </c>
      <c r="FC94">
        <v>0</v>
      </c>
      <c r="FF94">
        <v>0</v>
      </c>
      <c r="FG94">
        <v>0</v>
      </c>
      <c r="FJ94">
        <v>0</v>
      </c>
      <c r="FK94">
        <v>0</v>
      </c>
      <c r="FN94">
        <v>0</v>
      </c>
      <c r="FO94">
        <v>1</v>
      </c>
      <c r="FR94">
        <v>1</v>
      </c>
      <c r="FS94">
        <v>0</v>
      </c>
      <c r="FV94">
        <v>0</v>
      </c>
      <c r="FW94">
        <v>0</v>
      </c>
      <c r="FZ94">
        <v>0</v>
      </c>
      <c r="GA94">
        <v>0</v>
      </c>
      <c r="GD94">
        <v>0</v>
      </c>
      <c r="GE94">
        <v>0</v>
      </c>
      <c r="GH94">
        <v>0</v>
      </c>
      <c r="GI94">
        <v>0</v>
      </c>
      <c r="GL94">
        <v>0</v>
      </c>
      <c r="GM94">
        <v>0</v>
      </c>
      <c r="GP94">
        <v>0</v>
      </c>
      <c r="GQ94">
        <v>0</v>
      </c>
      <c r="GT94">
        <v>0</v>
      </c>
      <c r="GU94">
        <v>0</v>
      </c>
      <c r="GX94">
        <v>0</v>
      </c>
      <c r="GY94">
        <v>0</v>
      </c>
      <c r="HB94">
        <v>0</v>
      </c>
      <c r="HC94">
        <v>0</v>
      </c>
      <c r="HF94">
        <v>0</v>
      </c>
      <c r="HG94">
        <v>0</v>
      </c>
      <c r="HJ94">
        <v>0</v>
      </c>
      <c r="HK94">
        <v>0</v>
      </c>
      <c r="HN94">
        <v>0</v>
      </c>
      <c r="HO94">
        <v>0</v>
      </c>
      <c r="HR94">
        <v>0</v>
      </c>
      <c r="HS94">
        <v>0</v>
      </c>
      <c r="HV94">
        <v>0</v>
      </c>
      <c r="HW94">
        <v>0</v>
      </c>
      <c r="HZ94">
        <v>0</v>
      </c>
      <c r="IA94">
        <v>0</v>
      </c>
      <c r="ID94">
        <v>0</v>
      </c>
      <c r="IE94">
        <v>0</v>
      </c>
      <c r="IH94">
        <v>0</v>
      </c>
      <c r="II94">
        <v>0</v>
      </c>
      <c r="IL94">
        <v>0</v>
      </c>
      <c r="IM94">
        <v>0</v>
      </c>
      <c r="IP94">
        <v>0</v>
      </c>
      <c r="IQ94">
        <v>0</v>
      </c>
      <c r="IT94">
        <v>0</v>
      </c>
      <c r="IU94">
        <v>0</v>
      </c>
      <c r="IX94">
        <v>0</v>
      </c>
      <c r="IY94">
        <f t="shared" ca="1" si="11"/>
        <v>1</v>
      </c>
      <c r="IZ94">
        <f t="shared" ca="1" si="11"/>
        <v>0</v>
      </c>
      <c r="JA94">
        <f t="shared" ca="1" si="11"/>
        <v>0</v>
      </c>
      <c r="JB94">
        <f t="shared" ca="1" si="11"/>
        <v>1</v>
      </c>
    </row>
    <row r="95" spans="1:262" x14ac:dyDescent="0.25">
      <c r="A95" s="54">
        <v>92</v>
      </c>
      <c r="B95" s="38" t="s">
        <v>477</v>
      </c>
      <c r="C95">
        <v>0</v>
      </c>
      <c r="F95">
        <v>0</v>
      </c>
      <c r="G95">
        <v>0</v>
      </c>
      <c r="J95">
        <v>0</v>
      </c>
      <c r="K95">
        <v>1</v>
      </c>
      <c r="N95">
        <v>1</v>
      </c>
      <c r="O95">
        <v>0</v>
      </c>
      <c r="R95">
        <v>0</v>
      </c>
      <c r="S95">
        <v>0</v>
      </c>
      <c r="V95">
        <v>0</v>
      </c>
      <c r="W95">
        <v>1</v>
      </c>
      <c r="Z95">
        <v>1</v>
      </c>
      <c r="AA95">
        <v>0</v>
      </c>
      <c r="AD95">
        <v>0</v>
      </c>
      <c r="AE95">
        <v>0</v>
      </c>
      <c r="AH95">
        <v>0</v>
      </c>
      <c r="AI95">
        <v>0</v>
      </c>
      <c r="AL95">
        <v>0</v>
      </c>
      <c r="AM95">
        <v>0</v>
      </c>
      <c r="AP95">
        <v>0</v>
      </c>
      <c r="AQ95">
        <v>0</v>
      </c>
      <c r="AT95">
        <v>0</v>
      </c>
      <c r="AU95">
        <v>0</v>
      </c>
      <c r="AX95">
        <v>0</v>
      </c>
      <c r="AY95">
        <v>0</v>
      </c>
      <c r="BB95">
        <v>0</v>
      </c>
      <c r="BC95">
        <v>0</v>
      </c>
      <c r="BF95">
        <v>0</v>
      </c>
      <c r="BG95">
        <v>0</v>
      </c>
      <c r="BJ95">
        <v>0</v>
      </c>
      <c r="BK95">
        <v>0</v>
      </c>
      <c r="BN95">
        <v>0</v>
      </c>
      <c r="BO95">
        <v>0</v>
      </c>
      <c r="BR95">
        <v>0</v>
      </c>
      <c r="BS95">
        <v>0</v>
      </c>
      <c r="BV95">
        <v>0</v>
      </c>
      <c r="BW95">
        <v>0</v>
      </c>
      <c r="BZ95">
        <v>0</v>
      </c>
      <c r="CA95">
        <v>0</v>
      </c>
      <c r="CD95">
        <v>0</v>
      </c>
      <c r="CE95">
        <v>0</v>
      </c>
      <c r="CH95">
        <v>0</v>
      </c>
      <c r="CI95">
        <v>0</v>
      </c>
      <c r="CL95">
        <v>0</v>
      </c>
      <c r="CM95">
        <v>0</v>
      </c>
      <c r="CP95">
        <v>0</v>
      </c>
      <c r="CQ95">
        <v>0</v>
      </c>
      <c r="CT95">
        <v>0</v>
      </c>
      <c r="CU95">
        <v>0</v>
      </c>
      <c r="CX95">
        <v>0</v>
      </c>
      <c r="CY95">
        <v>0</v>
      </c>
      <c r="DB95">
        <v>0</v>
      </c>
      <c r="DC95">
        <v>0</v>
      </c>
      <c r="DF95">
        <v>0</v>
      </c>
      <c r="DG95">
        <v>0</v>
      </c>
      <c r="DJ95">
        <v>0</v>
      </c>
      <c r="DK95">
        <v>0</v>
      </c>
      <c r="DN95">
        <v>0</v>
      </c>
      <c r="DO95">
        <v>0</v>
      </c>
      <c r="DR95">
        <v>0</v>
      </c>
      <c r="DS95">
        <v>0</v>
      </c>
      <c r="DV95">
        <v>0</v>
      </c>
      <c r="DW95">
        <v>0</v>
      </c>
      <c r="DZ95">
        <v>0</v>
      </c>
      <c r="EA95">
        <v>0</v>
      </c>
      <c r="ED95">
        <v>0</v>
      </c>
      <c r="EE95">
        <v>0</v>
      </c>
      <c r="EH95">
        <v>0</v>
      </c>
      <c r="EI95">
        <v>0</v>
      </c>
      <c r="EL95">
        <v>0</v>
      </c>
      <c r="EM95">
        <v>0</v>
      </c>
      <c r="EP95">
        <v>0</v>
      </c>
      <c r="EQ95">
        <v>0</v>
      </c>
      <c r="ET95">
        <v>0</v>
      </c>
      <c r="EU95">
        <v>0</v>
      </c>
      <c r="EX95">
        <v>0</v>
      </c>
      <c r="EY95">
        <v>0</v>
      </c>
      <c r="FB95">
        <v>0</v>
      </c>
      <c r="FC95">
        <v>0</v>
      </c>
      <c r="FF95">
        <v>0</v>
      </c>
      <c r="FG95">
        <v>0</v>
      </c>
      <c r="FJ95">
        <v>0</v>
      </c>
      <c r="FK95">
        <v>0</v>
      </c>
      <c r="FN95">
        <v>0</v>
      </c>
      <c r="FO95">
        <v>1</v>
      </c>
      <c r="FR95">
        <v>1</v>
      </c>
      <c r="FS95">
        <v>0</v>
      </c>
      <c r="FV95">
        <v>0</v>
      </c>
      <c r="FW95">
        <v>0</v>
      </c>
      <c r="FZ95">
        <v>0</v>
      </c>
      <c r="GA95">
        <v>0</v>
      </c>
      <c r="GD95">
        <v>0</v>
      </c>
      <c r="GE95">
        <v>0</v>
      </c>
      <c r="GH95">
        <v>0</v>
      </c>
      <c r="GI95">
        <v>0</v>
      </c>
      <c r="GL95">
        <v>0</v>
      </c>
      <c r="GM95">
        <v>0</v>
      </c>
      <c r="GP95">
        <v>0</v>
      </c>
      <c r="GQ95">
        <v>0</v>
      </c>
      <c r="GT95">
        <v>0</v>
      </c>
      <c r="GU95">
        <v>0</v>
      </c>
      <c r="GX95">
        <v>0</v>
      </c>
      <c r="GY95">
        <v>0</v>
      </c>
      <c r="HB95">
        <v>0</v>
      </c>
      <c r="HC95">
        <v>0</v>
      </c>
      <c r="HF95">
        <v>0</v>
      </c>
      <c r="HG95">
        <v>0</v>
      </c>
      <c r="HJ95">
        <v>0</v>
      </c>
      <c r="HK95">
        <v>0</v>
      </c>
      <c r="HN95">
        <v>0</v>
      </c>
      <c r="HO95">
        <v>0</v>
      </c>
      <c r="HR95">
        <v>0</v>
      </c>
      <c r="HS95">
        <v>0</v>
      </c>
      <c r="HV95">
        <v>0</v>
      </c>
      <c r="HW95">
        <v>0</v>
      </c>
      <c r="HZ95">
        <v>0</v>
      </c>
      <c r="IA95">
        <v>0</v>
      </c>
      <c r="ID95">
        <v>0</v>
      </c>
      <c r="IE95">
        <v>0</v>
      </c>
      <c r="IH95">
        <v>0</v>
      </c>
      <c r="II95">
        <v>0</v>
      </c>
      <c r="IL95">
        <v>0</v>
      </c>
      <c r="IM95">
        <v>0</v>
      </c>
      <c r="IP95">
        <v>0</v>
      </c>
      <c r="IQ95">
        <v>0</v>
      </c>
      <c r="IT95">
        <v>0</v>
      </c>
      <c r="IU95">
        <v>0</v>
      </c>
      <c r="IX95">
        <v>0</v>
      </c>
      <c r="IY95">
        <f t="shared" ca="1" si="11"/>
        <v>1</v>
      </c>
      <c r="IZ95">
        <f t="shared" ca="1" si="11"/>
        <v>0</v>
      </c>
      <c r="JA95">
        <f t="shared" ca="1" si="11"/>
        <v>0</v>
      </c>
      <c r="JB95">
        <f t="shared" ca="1" si="11"/>
        <v>1</v>
      </c>
    </row>
    <row r="96" spans="1:262" x14ac:dyDescent="0.25">
      <c r="A96" s="54">
        <v>93</v>
      </c>
      <c r="B96" s="38" t="s">
        <v>469</v>
      </c>
      <c r="C96">
        <v>2</v>
      </c>
      <c r="F96">
        <v>2</v>
      </c>
      <c r="G96">
        <v>22</v>
      </c>
      <c r="J96">
        <v>22</v>
      </c>
      <c r="K96">
        <v>5</v>
      </c>
      <c r="N96">
        <v>5</v>
      </c>
      <c r="O96">
        <v>5</v>
      </c>
      <c r="R96">
        <v>5</v>
      </c>
      <c r="S96">
        <v>1</v>
      </c>
      <c r="V96">
        <v>1</v>
      </c>
      <c r="W96">
        <v>7</v>
      </c>
      <c r="Z96">
        <v>7</v>
      </c>
      <c r="AA96">
        <v>4</v>
      </c>
      <c r="AD96">
        <v>4</v>
      </c>
      <c r="AE96">
        <v>3</v>
      </c>
      <c r="AH96">
        <v>3</v>
      </c>
      <c r="AI96">
        <v>4</v>
      </c>
      <c r="AL96">
        <v>4</v>
      </c>
      <c r="AM96">
        <v>1</v>
      </c>
      <c r="AP96">
        <v>1</v>
      </c>
      <c r="AQ96">
        <v>2</v>
      </c>
      <c r="AT96">
        <v>2</v>
      </c>
      <c r="AU96">
        <v>2</v>
      </c>
      <c r="AX96">
        <v>2</v>
      </c>
      <c r="AY96">
        <v>6</v>
      </c>
      <c r="BB96">
        <v>6</v>
      </c>
      <c r="BC96">
        <v>3</v>
      </c>
      <c r="BF96">
        <v>3</v>
      </c>
      <c r="BG96">
        <v>3</v>
      </c>
      <c r="BJ96">
        <v>3</v>
      </c>
      <c r="BK96">
        <v>1</v>
      </c>
      <c r="BN96">
        <v>1</v>
      </c>
      <c r="BO96">
        <v>1</v>
      </c>
      <c r="BR96">
        <v>1</v>
      </c>
      <c r="BS96">
        <v>1</v>
      </c>
      <c r="BV96">
        <v>1</v>
      </c>
      <c r="BW96">
        <v>1</v>
      </c>
      <c r="BZ96">
        <v>1</v>
      </c>
      <c r="CA96">
        <v>1</v>
      </c>
      <c r="CD96">
        <v>1</v>
      </c>
      <c r="CE96">
        <v>1</v>
      </c>
      <c r="CH96">
        <v>1</v>
      </c>
      <c r="CI96">
        <v>1</v>
      </c>
      <c r="CL96">
        <v>1</v>
      </c>
      <c r="CM96">
        <v>1</v>
      </c>
      <c r="CP96">
        <v>1</v>
      </c>
      <c r="CQ96">
        <v>1</v>
      </c>
      <c r="CT96">
        <v>1</v>
      </c>
      <c r="CU96">
        <v>0</v>
      </c>
      <c r="CX96">
        <v>0</v>
      </c>
      <c r="CY96">
        <v>1</v>
      </c>
      <c r="DB96">
        <v>1</v>
      </c>
      <c r="DC96">
        <v>0</v>
      </c>
      <c r="DF96">
        <v>0</v>
      </c>
      <c r="DG96">
        <v>1</v>
      </c>
      <c r="DJ96">
        <v>1</v>
      </c>
      <c r="DK96">
        <v>1</v>
      </c>
      <c r="DN96">
        <v>1</v>
      </c>
      <c r="DO96">
        <v>1</v>
      </c>
      <c r="DR96">
        <v>1</v>
      </c>
      <c r="DS96">
        <v>1</v>
      </c>
      <c r="DV96">
        <v>1</v>
      </c>
      <c r="DW96">
        <v>1</v>
      </c>
      <c r="DZ96">
        <v>1</v>
      </c>
      <c r="EA96">
        <v>1</v>
      </c>
      <c r="ED96">
        <v>1</v>
      </c>
      <c r="EE96">
        <v>1</v>
      </c>
      <c r="EH96">
        <v>1</v>
      </c>
      <c r="EI96">
        <v>1</v>
      </c>
      <c r="EL96">
        <v>1</v>
      </c>
      <c r="EM96">
        <v>1</v>
      </c>
      <c r="EP96">
        <v>1</v>
      </c>
      <c r="EQ96">
        <v>1</v>
      </c>
      <c r="ET96">
        <v>1</v>
      </c>
      <c r="EU96">
        <v>1</v>
      </c>
      <c r="EX96">
        <v>1</v>
      </c>
      <c r="EY96">
        <v>1</v>
      </c>
      <c r="FB96">
        <v>1</v>
      </c>
      <c r="FC96">
        <v>1</v>
      </c>
      <c r="FF96">
        <v>1</v>
      </c>
      <c r="FG96">
        <v>1</v>
      </c>
      <c r="FJ96">
        <v>1</v>
      </c>
      <c r="FK96">
        <v>1</v>
      </c>
      <c r="FN96">
        <v>1</v>
      </c>
      <c r="FO96">
        <v>1</v>
      </c>
      <c r="FR96">
        <v>1</v>
      </c>
      <c r="FS96">
        <v>0</v>
      </c>
      <c r="FV96">
        <v>0</v>
      </c>
      <c r="FW96">
        <v>0</v>
      </c>
      <c r="FZ96">
        <v>0</v>
      </c>
      <c r="GA96">
        <v>0</v>
      </c>
      <c r="GD96">
        <v>0</v>
      </c>
      <c r="GE96">
        <v>0</v>
      </c>
      <c r="GH96">
        <v>0</v>
      </c>
      <c r="GI96">
        <v>0</v>
      </c>
      <c r="GL96">
        <v>0</v>
      </c>
      <c r="GM96">
        <v>1</v>
      </c>
      <c r="GP96">
        <v>1</v>
      </c>
      <c r="GQ96">
        <v>1</v>
      </c>
      <c r="GT96">
        <v>1</v>
      </c>
      <c r="GU96">
        <v>1</v>
      </c>
      <c r="GX96">
        <v>1</v>
      </c>
      <c r="GY96">
        <v>1</v>
      </c>
      <c r="HB96">
        <v>1</v>
      </c>
      <c r="HC96">
        <v>1</v>
      </c>
      <c r="HF96">
        <v>1</v>
      </c>
      <c r="HG96">
        <v>0</v>
      </c>
      <c r="HJ96">
        <v>0</v>
      </c>
      <c r="HK96">
        <v>0</v>
      </c>
      <c r="HN96">
        <v>0</v>
      </c>
      <c r="HO96">
        <v>0</v>
      </c>
      <c r="HR96">
        <v>0</v>
      </c>
      <c r="HS96">
        <v>1</v>
      </c>
      <c r="HV96">
        <v>1</v>
      </c>
      <c r="HW96">
        <v>0</v>
      </c>
      <c r="HZ96">
        <v>0</v>
      </c>
      <c r="IA96">
        <v>0</v>
      </c>
      <c r="ID96">
        <v>0</v>
      </c>
      <c r="IE96">
        <v>1</v>
      </c>
      <c r="IH96">
        <v>1</v>
      </c>
      <c r="II96">
        <v>0</v>
      </c>
      <c r="IL96">
        <v>0</v>
      </c>
      <c r="IM96">
        <v>1</v>
      </c>
      <c r="IP96">
        <v>1</v>
      </c>
      <c r="IQ96">
        <v>0</v>
      </c>
      <c r="IT96">
        <v>0</v>
      </c>
      <c r="IU96">
        <v>1</v>
      </c>
      <c r="IX96">
        <v>1</v>
      </c>
      <c r="IY96">
        <f t="shared" ca="1" si="11"/>
        <v>35</v>
      </c>
      <c r="IZ96">
        <f t="shared" ca="1" si="11"/>
        <v>0</v>
      </c>
      <c r="JA96">
        <f t="shared" ca="1" si="11"/>
        <v>0</v>
      </c>
      <c r="JB96">
        <f t="shared" ca="1" si="11"/>
        <v>35</v>
      </c>
    </row>
    <row r="97" spans="1:262" x14ac:dyDescent="0.25">
      <c r="A97" s="54">
        <v>94</v>
      </c>
      <c r="B97" s="38" t="s">
        <v>479</v>
      </c>
      <c r="C97">
        <v>2</v>
      </c>
      <c r="F97">
        <v>2</v>
      </c>
      <c r="G97">
        <v>15</v>
      </c>
      <c r="J97">
        <v>15</v>
      </c>
      <c r="K97">
        <v>4</v>
      </c>
      <c r="N97">
        <v>4</v>
      </c>
      <c r="O97">
        <v>6</v>
      </c>
      <c r="R97">
        <v>6</v>
      </c>
      <c r="S97">
        <v>1</v>
      </c>
      <c r="V97">
        <v>1</v>
      </c>
      <c r="W97">
        <v>6</v>
      </c>
      <c r="Z97">
        <v>6</v>
      </c>
      <c r="AA97">
        <v>1</v>
      </c>
      <c r="AD97">
        <v>1</v>
      </c>
      <c r="AE97">
        <v>3</v>
      </c>
      <c r="AH97">
        <v>3</v>
      </c>
      <c r="AI97">
        <v>1</v>
      </c>
      <c r="AL97">
        <v>1</v>
      </c>
      <c r="AM97">
        <v>2</v>
      </c>
      <c r="AP97">
        <v>2</v>
      </c>
      <c r="AQ97">
        <v>3</v>
      </c>
      <c r="AT97">
        <v>3</v>
      </c>
      <c r="AU97">
        <v>3</v>
      </c>
      <c r="AX97">
        <v>3</v>
      </c>
      <c r="AY97">
        <v>4</v>
      </c>
      <c r="BB97">
        <v>4</v>
      </c>
      <c r="BC97">
        <v>1</v>
      </c>
      <c r="BF97">
        <v>1</v>
      </c>
      <c r="BG97">
        <v>4</v>
      </c>
      <c r="BJ97">
        <v>4</v>
      </c>
      <c r="BK97">
        <v>1</v>
      </c>
      <c r="BN97">
        <v>1</v>
      </c>
      <c r="BO97">
        <v>1</v>
      </c>
      <c r="BR97">
        <v>1</v>
      </c>
      <c r="BS97">
        <v>1</v>
      </c>
      <c r="BV97">
        <v>1</v>
      </c>
      <c r="BW97">
        <v>1</v>
      </c>
      <c r="BZ97">
        <v>1</v>
      </c>
      <c r="CA97">
        <v>0</v>
      </c>
      <c r="CD97">
        <v>0</v>
      </c>
      <c r="CE97">
        <v>0</v>
      </c>
      <c r="CH97">
        <v>0</v>
      </c>
      <c r="CI97">
        <v>0</v>
      </c>
      <c r="CL97">
        <v>0</v>
      </c>
      <c r="CM97">
        <v>1</v>
      </c>
      <c r="CP97">
        <v>1</v>
      </c>
      <c r="CQ97">
        <v>1</v>
      </c>
      <c r="CT97">
        <v>1</v>
      </c>
      <c r="CU97">
        <v>0</v>
      </c>
      <c r="CX97">
        <v>0</v>
      </c>
      <c r="CY97">
        <v>1</v>
      </c>
      <c r="DB97">
        <v>1</v>
      </c>
      <c r="DC97">
        <v>0</v>
      </c>
      <c r="DF97">
        <v>0</v>
      </c>
      <c r="DG97">
        <v>1</v>
      </c>
      <c r="DJ97">
        <v>1</v>
      </c>
      <c r="DK97">
        <v>0</v>
      </c>
      <c r="DN97">
        <v>0</v>
      </c>
      <c r="DO97">
        <v>0</v>
      </c>
      <c r="DR97">
        <v>0</v>
      </c>
      <c r="DS97">
        <v>1</v>
      </c>
      <c r="DV97">
        <v>1</v>
      </c>
      <c r="DW97">
        <v>1</v>
      </c>
      <c r="DZ97">
        <v>1</v>
      </c>
      <c r="EA97">
        <v>1</v>
      </c>
      <c r="ED97">
        <v>1</v>
      </c>
      <c r="EE97">
        <v>1</v>
      </c>
      <c r="EH97">
        <v>1</v>
      </c>
      <c r="EI97">
        <v>1</v>
      </c>
      <c r="EL97">
        <v>1</v>
      </c>
      <c r="EM97">
        <v>1</v>
      </c>
      <c r="EP97">
        <v>1</v>
      </c>
      <c r="EQ97">
        <v>1</v>
      </c>
      <c r="ET97">
        <v>1</v>
      </c>
      <c r="EU97">
        <v>0</v>
      </c>
      <c r="EX97">
        <v>0</v>
      </c>
      <c r="EY97">
        <v>0</v>
      </c>
      <c r="FB97">
        <v>0</v>
      </c>
      <c r="FC97">
        <v>1</v>
      </c>
      <c r="FF97">
        <v>1</v>
      </c>
      <c r="FG97">
        <v>1</v>
      </c>
      <c r="FJ97">
        <v>1</v>
      </c>
      <c r="FK97">
        <v>1</v>
      </c>
      <c r="FN97">
        <v>1</v>
      </c>
      <c r="FO97">
        <v>0</v>
      </c>
      <c r="FR97">
        <v>0</v>
      </c>
      <c r="FS97">
        <v>0</v>
      </c>
      <c r="FV97">
        <v>0</v>
      </c>
      <c r="FW97">
        <v>0</v>
      </c>
      <c r="FZ97">
        <v>0</v>
      </c>
      <c r="GA97">
        <v>1</v>
      </c>
      <c r="GD97">
        <v>1</v>
      </c>
      <c r="GE97">
        <v>0</v>
      </c>
      <c r="GH97">
        <v>0</v>
      </c>
      <c r="GI97">
        <v>1</v>
      </c>
      <c r="GL97">
        <v>1</v>
      </c>
      <c r="GM97">
        <v>0</v>
      </c>
      <c r="GP97">
        <v>0</v>
      </c>
      <c r="GQ97">
        <v>0</v>
      </c>
      <c r="GT97">
        <v>0</v>
      </c>
      <c r="GU97">
        <v>1</v>
      </c>
      <c r="GX97">
        <v>1</v>
      </c>
      <c r="GY97">
        <v>1</v>
      </c>
      <c r="HB97">
        <v>1</v>
      </c>
      <c r="HC97">
        <v>1</v>
      </c>
      <c r="HF97">
        <v>1</v>
      </c>
      <c r="HG97">
        <v>0</v>
      </c>
      <c r="HJ97">
        <v>0</v>
      </c>
      <c r="HK97">
        <v>0</v>
      </c>
      <c r="HN97">
        <v>0</v>
      </c>
      <c r="HO97">
        <v>0</v>
      </c>
      <c r="HR97">
        <v>0</v>
      </c>
      <c r="HS97">
        <v>0</v>
      </c>
      <c r="HV97">
        <v>0</v>
      </c>
      <c r="HW97">
        <v>1</v>
      </c>
      <c r="HZ97">
        <v>1</v>
      </c>
      <c r="IA97">
        <v>0</v>
      </c>
      <c r="ID97">
        <v>0</v>
      </c>
      <c r="IE97">
        <v>1</v>
      </c>
      <c r="IH97">
        <v>1</v>
      </c>
      <c r="II97">
        <v>1</v>
      </c>
      <c r="IL97">
        <v>1</v>
      </c>
      <c r="IM97">
        <v>0</v>
      </c>
      <c r="IP97">
        <v>0</v>
      </c>
      <c r="IQ97">
        <v>1</v>
      </c>
      <c r="IT97">
        <v>1</v>
      </c>
      <c r="IU97">
        <v>1</v>
      </c>
      <c r="IX97">
        <v>1</v>
      </c>
      <c r="IY97">
        <f t="shared" ca="1" si="11"/>
        <v>28</v>
      </c>
      <c r="IZ97">
        <f t="shared" ca="1" si="11"/>
        <v>0</v>
      </c>
      <c r="JA97">
        <f t="shared" ca="1" si="11"/>
        <v>0</v>
      </c>
      <c r="JB97">
        <f t="shared" ca="1" si="11"/>
        <v>28</v>
      </c>
    </row>
    <row r="98" spans="1:262" x14ac:dyDescent="0.25">
      <c r="A98" s="54">
        <v>95</v>
      </c>
      <c r="B98" s="38" t="s">
        <v>486</v>
      </c>
      <c r="C98">
        <v>0</v>
      </c>
      <c r="F98">
        <v>0</v>
      </c>
      <c r="G98">
        <v>4</v>
      </c>
      <c r="J98">
        <v>4</v>
      </c>
      <c r="K98">
        <v>4</v>
      </c>
      <c r="N98">
        <v>4</v>
      </c>
      <c r="O98">
        <v>4</v>
      </c>
      <c r="R98">
        <v>4</v>
      </c>
      <c r="S98">
        <v>0</v>
      </c>
      <c r="V98">
        <v>0</v>
      </c>
      <c r="W98">
        <v>1</v>
      </c>
      <c r="Z98">
        <v>1</v>
      </c>
      <c r="AA98">
        <v>0</v>
      </c>
      <c r="AD98">
        <v>0</v>
      </c>
      <c r="AE98">
        <v>3</v>
      </c>
      <c r="AH98">
        <v>3</v>
      </c>
      <c r="AI98">
        <v>2</v>
      </c>
      <c r="AL98">
        <v>2</v>
      </c>
      <c r="AM98">
        <v>0</v>
      </c>
      <c r="AP98">
        <v>0</v>
      </c>
      <c r="AQ98">
        <v>3</v>
      </c>
      <c r="AT98">
        <v>3</v>
      </c>
      <c r="AU98">
        <v>2</v>
      </c>
      <c r="AX98">
        <v>2</v>
      </c>
      <c r="AY98">
        <v>1</v>
      </c>
      <c r="BB98">
        <v>1</v>
      </c>
      <c r="BC98">
        <v>0</v>
      </c>
      <c r="BF98">
        <v>0</v>
      </c>
      <c r="BG98">
        <v>0</v>
      </c>
      <c r="BJ98">
        <v>0</v>
      </c>
      <c r="BK98">
        <v>0</v>
      </c>
      <c r="BN98">
        <v>0</v>
      </c>
      <c r="BO98">
        <v>0</v>
      </c>
      <c r="BR98">
        <v>0</v>
      </c>
      <c r="BS98">
        <v>0</v>
      </c>
      <c r="BV98">
        <v>0</v>
      </c>
      <c r="BW98">
        <v>0</v>
      </c>
      <c r="BZ98">
        <v>0</v>
      </c>
      <c r="CA98">
        <v>0</v>
      </c>
      <c r="CD98">
        <v>0</v>
      </c>
      <c r="CE98">
        <v>0</v>
      </c>
      <c r="CH98">
        <v>0</v>
      </c>
      <c r="CI98">
        <v>0</v>
      </c>
      <c r="CL98">
        <v>0</v>
      </c>
      <c r="CM98">
        <v>0</v>
      </c>
      <c r="CP98">
        <v>0</v>
      </c>
      <c r="CQ98">
        <v>0</v>
      </c>
      <c r="CT98">
        <v>0</v>
      </c>
      <c r="CU98">
        <v>1</v>
      </c>
      <c r="CX98">
        <v>1</v>
      </c>
      <c r="CY98">
        <v>0</v>
      </c>
      <c r="DB98">
        <v>0</v>
      </c>
      <c r="DC98">
        <v>1</v>
      </c>
      <c r="DF98">
        <v>1</v>
      </c>
      <c r="DG98">
        <v>0</v>
      </c>
      <c r="DJ98">
        <v>0</v>
      </c>
      <c r="DK98">
        <v>1</v>
      </c>
      <c r="DN98">
        <v>1</v>
      </c>
      <c r="DO98">
        <v>0</v>
      </c>
      <c r="DR98">
        <v>0</v>
      </c>
      <c r="DS98">
        <v>0</v>
      </c>
      <c r="DV98">
        <v>0</v>
      </c>
      <c r="DW98">
        <v>0</v>
      </c>
      <c r="DZ98">
        <v>0</v>
      </c>
      <c r="EA98">
        <v>1</v>
      </c>
      <c r="ED98">
        <v>1</v>
      </c>
      <c r="EE98">
        <v>0</v>
      </c>
      <c r="EH98">
        <v>0</v>
      </c>
      <c r="EI98">
        <v>0</v>
      </c>
      <c r="EL98">
        <v>0</v>
      </c>
      <c r="EM98">
        <v>0</v>
      </c>
      <c r="EP98">
        <v>0</v>
      </c>
      <c r="EQ98">
        <v>0</v>
      </c>
      <c r="ET98">
        <v>0</v>
      </c>
      <c r="EU98">
        <v>0</v>
      </c>
      <c r="EX98">
        <v>0</v>
      </c>
      <c r="EY98">
        <v>0</v>
      </c>
      <c r="FB98">
        <v>0</v>
      </c>
      <c r="FC98">
        <v>0</v>
      </c>
      <c r="FF98">
        <v>0</v>
      </c>
      <c r="FG98">
        <v>0</v>
      </c>
      <c r="FJ98">
        <v>0</v>
      </c>
      <c r="FK98">
        <v>1</v>
      </c>
      <c r="FN98">
        <v>1</v>
      </c>
      <c r="FO98">
        <v>0</v>
      </c>
      <c r="FR98">
        <v>0</v>
      </c>
      <c r="FS98">
        <v>0</v>
      </c>
      <c r="FV98">
        <v>0</v>
      </c>
      <c r="FW98">
        <v>0</v>
      </c>
      <c r="FZ98">
        <v>0</v>
      </c>
      <c r="GA98">
        <v>0</v>
      </c>
      <c r="GD98">
        <v>0</v>
      </c>
      <c r="GE98">
        <v>1</v>
      </c>
      <c r="GH98">
        <v>1</v>
      </c>
      <c r="GI98">
        <v>1</v>
      </c>
      <c r="GL98">
        <v>1</v>
      </c>
      <c r="GM98">
        <v>1</v>
      </c>
      <c r="GP98">
        <v>1</v>
      </c>
      <c r="GQ98">
        <v>0</v>
      </c>
      <c r="GT98">
        <v>0</v>
      </c>
      <c r="GU98">
        <v>0</v>
      </c>
      <c r="GX98">
        <v>0</v>
      </c>
      <c r="GY98">
        <v>0</v>
      </c>
      <c r="HB98">
        <v>0</v>
      </c>
      <c r="HC98">
        <v>0</v>
      </c>
      <c r="HF98">
        <v>0</v>
      </c>
      <c r="HG98">
        <v>0</v>
      </c>
      <c r="HJ98">
        <v>0</v>
      </c>
      <c r="HK98">
        <v>0</v>
      </c>
      <c r="HN98">
        <v>0</v>
      </c>
      <c r="HO98">
        <v>1</v>
      </c>
      <c r="HR98">
        <v>1</v>
      </c>
      <c r="HS98">
        <v>1</v>
      </c>
      <c r="HV98">
        <v>1</v>
      </c>
      <c r="HW98">
        <v>0</v>
      </c>
      <c r="HZ98">
        <v>0</v>
      </c>
      <c r="IA98">
        <v>1</v>
      </c>
      <c r="ID98">
        <v>1</v>
      </c>
      <c r="IE98">
        <v>1</v>
      </c>
      <c r="IH98">
        <v>1</v>
      </c>
      <c r="II98">
        <v>0</v>
      </c>
      <c r="IL98">
        <v>0</v>
      </c>
      <c r="IM98">
        <v>0</v>
      </c>
      <c r="IP98">
        <v>0</v>
      </c>
      <c r="IQ98">
        <v>0</v>
      </c>
      <c r="IT98">
        <v>0</v>
      </c>
      <c r="IU98">
        <v>0</v>
      </c>
      <c r="IX98">
        <v>0</v>
      </c>
      <c r="IY98">
        <f t="shared" ca="1" si="11"/>
        <v>12</v>
      </c>
      <c r="IZ98">
        <f t="shared" ca="1" si="11"/>
        <v>0</v>
      </c>
      <c r="JA98">
        <f t="shared" ca="1" si="11"/>
        <v>0</v>
      </c>
      <c r="JB98">
        <f t="shared" ca="1" si="11"/>
        <v>12</v>
      </c>
    </row>
    <row r="99" spans="1:262" x14ac:dyDescent="0.25">
      <c r="A99" s="54">
        <v>96</v>
      </c>
      <c r="B99" s="38" t="s">
        <v>363</v>
      </c>
      <c r="C99">
        <v>0</v>
      </c>
      <c r="F99">
        <v>0</v>
      </c>
      <c r="G99">
        <v>0</v>
      </c>
      <c r="J99">
        <v>0</v>
      </c>
      <c r="K99">
        <v>0</v>
      </c>
      <c r="N99">
        <v>0</v>
      </c>
      <c r="O99">
        <v>1</v>
      </c>
      <c r="R99">
        <v>1</v>
      </c>
      <c r="S99">
        <v>0</v>
      </c>
      <c r="V99">
        <v>0</v>
      </c>
      <c r="W99">
        <v>1</v>
      </c>
      <c r="Z99">
        <v>1</v>
      </c>
      <c r="AA99">
        <v>0</v>
      </c>
      <c r="AD99">
        <v>0</v>
      </c>
      <c r="AE99">
        <v>0</v>
      </c>
      <c r="AH99">
        <v>0</v>
      </c>
      <c r="AI99">
        <v>0</v>
      </c>
      <c r="AL99">
        <v>0</v>
      </c>
      <c r="AM99">
        <v>0</v>
      </c>
      <c r="AP99">
        <v>0</v>
      </c>
      <c r="AQ99">
        <v>0</v>
      </c>
      <c r="AT99">
        <v>0</v>
      </c>
      <c r="AU99">
        <v>0</v>
      </c>
      <c r="AX99">
        <v>0</v>
      </c>
      <c r="AY99">
        <v>0</v>
      </c>
      <c r="BB99">
        <v>0</v>
      </c>
      <c r="BC99">
        <v>0</v>
      </c>
      <c r="BF99">
        <v>0</v>
      </c>
      <c r="BG99">
        <v>0</v>
      </c>
      <c r="BJ99">
        <v>0</v>
      </c>
      <c r="BK99">
        <v>0</v>
      </c>
      <c r="BN99">
        <v>0</v>
      </c>
      <c r="BO99">
        <v>0</v>
      </c>
      <c r="BR99">
        <v>0</v>
      </c>
      <c r="BS99">
        <v>0</v>
      </c>
      <c r="BV99">
        <v>0</v>
      </c>
      <c r="BW99">
        <v>0</v>
      </c>
      <c r="BZ99">
        <v>0</v>
      </c>
      <c r="CA99">
        <v>0</v>
      </c>
      <c r="CD99">
        <v>0</v>
      </c>
      <c r="CE99">
        <v>0</v>
      </c>
      <c r="CH99">
        <v>0</v>
      </c>
      <c r="CI99">
        <v>0</v>
      </c>
      <c r="CL99">
        <v>0</v>
      </c>
      <c r="CM99">
        <v>0</v>
      </c>
      <c r="CP99">
        <v>0</v>
      </c>
      <c r="CQ99">
        <v>0</v>
      </c>
      <c r="CT99">
        <v>0</v>
      </c>
      <c r="CU99">
        <v>0</v>
      </c>
      <c r="CX99">
        <v>0</v>
      </c>
      <c r="CY99">
        <v>0</v>
      </c>
      <c r="DB99">
        <v>0</v>
      </c>
      <c r="DC99">
        <v>0</v>
      </c>
      <c r="DF99">
        <v>0</v>
      </c>
      <c r="DG99">
        <v>0</v>
      </c>
      <c r="DJ99">
        <v>0</v>
      </c>
      <c r="DK99">
        <v>0</v>
      </c>
      <c r="DN99">
        <v>0</v>
      </c>
      <c r="DO99">
        <v>0</v>
      </c>
      <c r="DR99">
        <v>0</v>
      </c>
      <c r="DS99">
        <v>0</v>
      </c>
      <c r="DV99">
        <v>0</v>
      </c>
      <c r="DW99">
        <v>0</v>
      </c>
      <c r="DZ99">
        <v>0</v>
      </c>
      <c r="EA99">
        <v>0</v>
      </c>
      <c r="ED99">
        <v>0</v>
      </c>
      <c r="EE99">
        <v>0</v>
      </c>
      <c r="EH99">
        <v>0</v>
      </c>
      <c r="EI99">
        <v>0</v>
      </c>
      <c r="EL99">
        <v>0</v>
      </c>
      <c r="EM99">
        <v>0</v>
      </c>
      <c r="EP99">
        <v>0</v>
      </c>
      <c r="EQ99">
        <v>0</v>
      </c>
      <c r="ET99">
        <v>0</v>
      </c>
      <c r="EU99">
        <v>0</v>
      </c>
      <c r="EX99">
        <v>0</v>
      </c>
      <c r="EY99">
        <v>0</v>
      </c>
      <c r="FB99">
        <v>0</v>
      </c>
      <c r="FC99">
        <v>0</v>
      </c>
      <c r="FF99">
        <v>0</v>
      </c>
      <c r="FG99">
        <v>0</v>
      </c>
      <c r="FJ99">
        <v>0</v>
      </c>
      <c r="FK99">
        <v>0</v>
      </c>
      <c r="FN99">
        <v>0</v>
      </c>
      <c r="FO99">
        <v>0</v>
      </c>
      <c r="FR99">
        <v>0</v>
      </c>
      <c r="FS99">
        <v>0</v>
      </c>
      <c r="FV99">
        <v>0</v>
      </c>
      <c r="FW99">
        <v>0</v>
      </c>
      <c r="FZ99">
        <v>0</v>
      </c>
      <c r="GA99">
        <v>0</v>
      </c>
      <c r="GD99">
        <v>0</v>
      </c>
      <c r="GE99">
        <v>0</v>
      </c>
      <c r="GH99">
        <v>0</v>
      </c>
      <c r="GI99">
        <v>0</v>
      </c>
      <c r="GL99">
        <v>0</v>
      </c>
      <c r="GM99">
        <v>0</v>
      </c>
      <c r="GP99">
        <v>0</v>
      </c>
      <c r="GQ99">
        <v>0</v>
      </c>
      <c r="GT99">
        <v>0</v>
      </c>
      <c r="GU99">
        <v>0</v>
      </c>
      <c r="GX99">
        <v>0</v>
      </c>
      <c r="GY99">
        <v>0</v>
      </c>
      <c r="HB99">
        <v>0</v>
      </c>
      <c r="HC99">
        <v>1</v>
      </c>
      <c r="HF99">
        <v>1</v>
      </c>
      <c r="HG99">
        <v>0</v>
      </c>
      <c r="HJ99">
        <v>0</v>
      </c>
      <c r="HK99">
        <v>0</v>
      </c>
      <c r="HN99">
        <v>0</v>
      </c>
      <c r="HO99">
        <v>0</v>
      </c>
      <c r="HR99">
        <v>0</v>
      </c>
      <c r="HS99">
        <v>0</v>
      </c>
      <c r="HV99">
        <v>0</v>
      </c>
      <c r="HW99">
        <v>0</v>
      </c>
      <c r="HZ99">
        <v>0</v>
      </c>
      <c r="IA99">
        <v>0</v>
      </c>
      <c r="ID99">
        <v>0</v>
      </c>
      <c r="IE99">
        <v>0</v>
      </c>
      <c r="IH99">
        <v>0</v>
      </c>
      <c r="II99">
        <v>0</v>
      </c>
      <c r="IL99">
        <v>0</v>
      </c>
      <c r="IM99">
        <v>0</v>
      </c>
      <c r="IP99">
        <v>0</v>
      </c>
      <c r="IQ99">
        <v>0</v>
      </c>
      <c r="IT99">
        <v>0</v>
      </c>
      <c r="IU99">
        <v>0</v>
      </c>
      <c r="IX99">
        <v>0</v>
      </c>
      <c r="IY99">
        <f t="shared" ca="1" si="11"/>
        <v>1</v>
      </c>
      <c r="IZ99">
        <f t="shared" ca="1" si="11"/>
        <v>0</v>
      </c>
      <c r="JA99">
        <f t="shared" ca="1" si="11"/>
        <v>0</v>
      </c>
      <c r="JB99">
        <f t="shared" ca="1" si="11"/>
        <v>1</v>
      </c>
    </row>
    <row r="100" spans="1:262" x14ac:dyDescent="0.25">
      <c r="A100" s="54">
        <v>97</v>
      </c>
      <c r="B100" s="38" t="s">
        <v>372</v>
      </c>
      <c r="C100">
        <v>0</v>
      </c>
      <c r="F100">
        <v>0</v>
      </c>
      <c r="G100">
        <v>1</v>
      </c>
      <c r="J100">
        <v>1</v>
      </c>
      <c r="K100">
        <v>0</v>
      </c>
      <c r="N100">
        <v>0</v>
      </c>
      <c r="O100">
        <v>0</v>
      </c>
      <c r="R100">
        <v>0</v>
      </c>
      <c r="S100">
        <v>0</v>
      </c>
      <c r="V100">
        <v>0</v>
      </c>
      <c r="W100">
        <v>0</v>
      </c>
      <c r="Z100">
        <v>0</v>
      </c>
      <c r="AA100">
        <v>1</v>
      </c>
      <c r="AD100">
        <v>1</v>
      </c>
      <c r="AE100">
        <v>0</v>
      </c>
      <c r="AH100">
        <v>0</v>
      </c>
      <c r="AI100">
        <v>0</v>
      </c>
      <c r="AL100">
        <v>0</v>
      </c>
      <c r="AM100">
        <v>0</v>
      </c>
      <c r="AP100">
        <v>0</v>
      </c>
      <c r="AQ100">
        <v>0</v>
      </c>
      <c r="AT100">
        <v>0</v>
      </c>
      <c r="AU100">
        <v>0</v>
      </c>
      <c r="AX100">
        <v>0</v>
      </c>
      <c r="AY100">
        <v>0</v>
      </c>
      <c r="BB100">
        <v>0</v>
      </c>
      <c r="BC100">
        <v>0</v>
      </c>
      <c r="BF100">
        <v>0</v>
      </c>
      <c r="BG100">
        <v>0</v>
      </c>
      <c r="BJ100">
        <v>0</v>
      </c>
      <c r="BK100">
        <v>0</v>
      </c>
      <c r="BN100">
        <v>0</v>
      </c>
      <c r="BO100">
        <v>0</v>
      </c>
      <c r="BR100">
        <v>0</v>
      </c>
      <c r="BS100">
        <v>0</v>
      </c>
      <c r="BV100">
        <v>0</v>
      </c>
      <c r="BW100">
        <v>0</v>
      </c>
      <c r="BZ100">
        <v>0</v>
      </c>
      <c r="CA100">
        <v>1</v>
      </c>
      <c r="CD100">
        <v>1</v>
      </c>
      <c r="CE100">
        <v>0</v>
      </c>
      <c r="CH100">
        <v>0</v>
      </c>
      <c r="CI100">
        <v>0</v>
      </c>
      <c r="CL100">
        <v>0</v>
      </c>
      <c r="CM100">
        <v>0</v>
      </c>
      <c r="CP100">
        <v>0</v>
      </c>
      <c r="CQ100">
        <v>0</v>
      </c>
      <c r="CT100">
        <v>0</v>
      </c>
      <c r="CU100">
        <v>0</v>
      </c>
      <c r="CX100">
        <v>0</v>
      </c>
      <c r="CY100">
        <v>0</v>
      </c>
      <c r="DB100">
        <v>0</v>
      </c>
      <c r="DC100">
        <v>0</v>
      </c>
      <c r="DF100">
        <v>0</v>
      </c>
      <c r="DG100">
        <v>0</v>
      </c>
      <c r="DJ100">
        <v>0</v>
      </c>
      <c r="DK100">
        <v>0</v>
      </c>
      <c r="DN100">
        <v>0</v>
      </c>
      <c r="DO100">
        <v>0</v>
      </c>
      <c r="DR100">
        <v>0</v>
      </c>
      <c r="DS100">
        <v>0</v>
      </c>
      <c r="DV100">
        <v>0</v>
      </c>
      <c r="DW100">
        <v>0</v>
      </c>
      <c r="DZ100">
        <v>0</v>
      </c>
      <c r="EA100">
        <v>0</v>
      </c>
      <c r="ED100">
        <v>0</v>
      </c>
      <c r="EE100">
        <v>0</v>
      </c>
      <c r="EH100">
        <v>0</v>
      </c>
      <c r="EI100">
        <v>0</v>
      </c>
      <c r="EL100">
        <v>0</v>
      </c>
      <c r="EM100">
        <v>0</v>
      </c>
      <c r="EP100">
        <v>0</v>
      </c>
      <c r="EQ100">
        <v>0</v>
      </c>
      <c r="ET100">
        <v>0</v>
      </c>
      <c r="EU100">
        <v>0</v>
      </c>
      <c r="EX100">
        <v>0</v>
      </c>
      <c r="EY100">
        <v>0</v>
      </c>
      <c r="FB100">
        <v>0</v>
      </c>
      <c r="FC100">
        <v>0</v>
      </c>
      <c r="FF100">
        <v>0</v>
      </c>
      <c r="FG100">
        <v>0</v>
      </c>
      <c r="FJ100">
        <v>0</v>
      </c>
      <c r="FK100">
        <v>0</v>
      </c>
      <c r="FN100">
        <v>0</v>
      </c>
      <c r="FO100">
        <v>0</v>
      </c>
      <c r="FR100">
        <v>0</v>
      </c>
      <c r="FS100">
        <v>0</v>
      </c>
      <c r="FV100">
        <v>0</v>
      </c>
      <c r="FW100">
        <v>0</v>
      </c>
      <c r="FZ100">
        <v>0</v>
      </c>
      <c r="GA100">
        <v>0</v>
      </c>
      <c r="GD100">
        <v>0</v>
      </c>
      <c r="GE100">
        <v>0</v>
      </c>
      <c r="GH100">
        <v>0</v>
      </c>
      <c r="GI100">
        <v>0</v>
      </c>
      <c r="GL100">
        <v>0</v>
      </c>
      <c r="GM100">
        <v>0</v>
      </c>
      <c r="GP100">
        <v>0</v>
      </c>
      <c r="GQ100">
        <v>0</v>
      </c>
      <c r="GT100">
        <v>0</v>
      </c>
      <c r="GU100">
        <v>0</v>
      </c>
      <c r="GX100">
        <v>0</v>
      </c>
      <c r="GY100">
        <v>0</v>
      </c>
      <c r="HB100">
        <v>0</v>
      </c>
      <c r="HC100">
        <v>0</v>
      </c>
      <c r="HF100">
        <v>0</v>
      </c>
      <c r="HG100">
        <v>0</v>
      </c>
      <c r="HJ100">
        <v>0</v>
      </c>
      <c r="HK100">
        <v>0</v>
      </c>
      <c r="HN100">
        <v>0</v>
      </c>
      <c r="HO100">
        <v>0</v>
      </c>
      <c r="HR100">
        <v>0</v>
      </c>
      <c r="HS100">
        <v>0</v>
      </c>
      <c r="HV100">
        <v>0</v>
      </c>
      <c r="HW100">
        <v>0</v>
      </c>
      <c r="HZ100">
        <v>0</v>
      </c>
      <c r="IA100">
        <v>0</v>
      </c>
      <c r="ID100">
        <v>0</v>
      </c>
      <c r="IE100">
        <v>0</v>
      </c>
      <c r="IH100">
        <v>0</v>
      </c>
      <c r="II100">
        <v>0</v>
      </c>
      <c r="IL100">
        <v>0</v>
      </c>
      <c r="IM100">
        <v>0</v>
      </c>
      <c r="IP100">
        <v>0</v>
      </c>
      <c r="IQ100">
        <v>0</v>
      </c>
      <c r="IT100">
        <v>0</v>
      </c>
      <c r="IU100">
        <v>0</v>
      </c>
      <c r="IX100">
        <v>0</v>
      </c>
      <c r="IY100">
        <f t="shared" ca="1" si="11"/>
        <v>1</v>
      </c>
      <c r="IZ100">
        <f t="shared" ca="1" si="11"/>
        <v>0</v>
      </c>
      <c r="JA100">
        <f t="shared" ca="1" si="11"/>
        <v>0</v>
      </c>
      <c r="JB100">
        <f t="shared" ca="1" si="11"/>
        <v>1</v>
      </c>
    </row>
    <row r="101" spans="1:262" x14ac:dyDescent="0.25">
      <c r="A101" s="54">
        <v>98</v>
      </c>
      <c r="B101" s="38" t="s">
        <v>489</v>
      </c>
      <c r="C101">
        <v>0</v>
      </c>
      <c r="F101">
        <v>0</v>
      </c>
      <c r="G101">
        <v>1</v>
      </c>
      <c r="J101">
        <v>1</v>
      </c>
      <c r="K101">
        <v>0</v>
      </c>
      <c r="N101">
        <v>0</v>
      </c>
      <c r="O101">
        <v>0</v>
      </c>
      <c r="R101">
        <v>0</v>
      </c>
      <c r="S101">
        <v>0</v>
      </c>
      <c r="V101">
        <v>0</v>
      </c>
      <c r="W101">
        <v>0</v>
      </c>
      <c r="Z101">
        <v>0</v>
      </c>
      <c r="AA101">
        <v>1</v>
      </c>
      <c r="AD101">
        <v>1</v>
      </c>
      <c r="AE101">
        <v>0</v>
      </c>
      <c r="AH101">
        <v>0</v>
      </c>
      <c r="AI101">
        <v>0</v>
      </c>
      <c r="AL101">
        <v>0</v>
      </c>
      <c r="AM101">
        <v>0</v>
      </c>
      <c r="AP101">
        <v>0</v>
      </c>
      <c r="AQ101">
        <v>0</v>
      </c>
      <c r="AT101">
        <v>0</v>
      </c>
      <c r="AU101">
        <v>0</v>
      </c>
      <c r="AX101">
        <v>0</v>
      </c>
      <c r="AY101">
        <v>0</v>
      </c>
      <c r="BB101">
        <v>0</v>
      </c>
      <c r="BC101">
        <v>0</v>
      </c>
      <c r="BF101">
        <v>0</v>
      </c>
      <c r="BG101">
        <v>0</v>
      </c>
      <c r="BJ101">
        <v>0</v>
      </c>
      <c r="BK101">
        <v>0</v>
      </c>
      <c r="BN101">
        <v>0</v>
      </c>
      <c r="BO101">
        <v>0</v>
      </c>
      <c r="BR101">
        <v>0</v>
      </c>
      <c r="BS101">
        <v>0</v>
      </c>
      <c r="BV101">
        <v>0</v>
      </c>
      <c r="BW101">
        <v>0</v>
      </c>
      <c r="BZ101">
        <v>0</v>
      </c>
      <c r="CA101">
        <v>1</v>
      </c>
      <c r="CD101">
        <v>1</v>
      </c>
      <c r="CE101">
        <v>0</v>
      </c>
      <c r="CH101">
        <v>0</v>
      </c>
      <c r="CI101">
        <v>0</v>
      </c>
      <c r="CL101">
        <v>0</v>
      </c>
      <c r="CM101">
        <v>0</v>
      </c>
      <c r="CP101">
        <v>0</v>
      </c>
      <c r="CQ101">
        <v>0</v>
      </c>
      <c r="CT101">
        <v>0</v>
      </c>
      <c r="CU101">
        <v>0</v>
      </c>
      <c r="CX101">
        <v>0</v>
      </c>
      <c r="CY101">
        <v>0</v>
      </c>
      <c r="DB101">
        <v>0</v>
      </c>
      <c r="DC101">
        <v>0</v>
      </c>
      <c r="DF101">
        <v>0</v>
      </c>
      <c r="DG101">
        <v>0</v>
      </c>
      <c r="DJ101">
        <v>0</v>
      </c>
      <c r="DK101">
        <v>0</v>
      </c>
      <c r="DN101">
        <v>0</v>
      </c>
      <c r="DO101">
        <v>0</v>
      </c>
      <c r="DR101">
        <v>0</v>
      </c>
      <c r="DS101">
        <v>0</v>
      </c>
      <c r="DV101">
        <v>0</v>
      </c>
      <c r="DW101">
        <v>0</v>
      </c>
      <c r="DZ101">
        <v>0</v>
      </c>
      <c r="EA101">
        <v>0</v>
      </c>
      <c r="ED101">
        <v>0</v>
      </c>
      <c r="EE101">
        <v>0</v>
      </c>
      <c r="EH101">
        <v>0</v>
      </c>
      <c r="EI101">
        <v>0</v>
      </c>
      <c r="EL101">
        <v>0</v>
      </c>
      <c r="EM101">
        <v>0</v>
      </c>
      <c r="EP101">
        <v>0</v>
      </c>
      <c r="EQ101">
        <v>0</v>
      </c>
      <c r="ET101">
        <v>0</v>
      </c>
      <c r="EU101">
        <v>0</v>
      </c>
      <c r="EX101">
        <v>0</v>
      </c>
      <c r="EY101">
        <v>0</v>
      </c>
      <c r="FB101">
        <v>0</v>
      </c>
      <c r="FC101">
        <v>0</v>
      </c>
      <c r="FF101">
        <v>0</v>
      </c>
      <c r="FG101">
        <v>0</v>
      </c>
      <c r="FJ101">
        <v>0</v>
      </c>
      <c r="FK101">
        <v>0</v>
      </c>
      <c r="FN101">
        <v>0</v>
      </c>
      <c r="FO101">
        <v>0</v>
      </c>
      <c r="FR101">
        <v>0</v>
      </c>
      <c r="FS101">
        <v>0</v>
      </c>
      <c r="FV101">
        <v>0</v>
      </c>
      <c r="FW101">
        <v>0</v>
      </c>
      <c r="FZ101">
        <v>0</v>
      </c>
      <c r="GA101">
        <v>0</v>
      </c>
      <c r="GD101">
        <v>0</v>
      </c>
      <c r="GE101">
        <v>0</v>
      </c>
      <c r="GH101">
        <v>0</v>
      </c>
      <c r="GI101">
        <v>0</v>
      </c>
      <c r="GL101">
        <v>0</v>
      </c>
      <c r="GM101">
        <v>0</v>
      </c>
      <c r="GP101">
        <v>0</v>
      </c>
      <c r="GQ101">
        <v>0</v>
      </c>
      <c r="GT101">
        <v>0</v>
      </c>
      <c r="GU101">
        <v>0</v>
      </c>
      <c r="GX101">
        <v>0</v>
      </c>
      <c r="GY101">
        <v>0</v>
      </c>
      <c r="HB101">
        <v>0</v>
      </c>
      <c r="HC101">
        <v>0</v>
      </c>
      <c r="HF101">
        <v>0</v>
      </c>
      <c r="HG101">
        <v>0</v>
      </c>
      <c r="HJ101">
        <v>0</v>
      </c>
      <c r="HK101">
        <v>0</v>
      </c>
      <c r="HN101">
        <v>0</v>
      </c>
      <c r="HO101">
        <v>0</v>
      </c>
      <c r="HR101">
        <v>0</v>
      </c>
      <c r="HS101">
        <v>0</v>
      </c>
      <c r="HV101">
        <v>0</v>
      </c>
      <c r="HW101">
        <v>0</v>
      </c>
      <c r="HZ101">
        <v>0</v>
      </c>
      <c r="IA101">
        <v>0</v>
      </c>
      <c r="ID101">
        <v>0</v>
      </c>
      <c r="IE101">
        <v>0</v>
      </c>
      <c r="IH101">
        <v>0</v>
      </c>
      <c r="II101">
        <v>0</v>
      </c>
      <c r="IL101">
        <v>0</v>
      </c>
      <c r="IM101">
        <v>0</v>
      </c>
      <c r="IP101">
        <v>0</v>
      </c>
      <c r="IQ101">
        <v>0</v>
      </c>
      <c r="IT101">
        <v>0</v>
      </c>
      <c r="IU101">
        <v>0</v>
      </c>
      <c r="IX101">
        <v>0</v>
      </c>
      <c r="IY101">
        <f t="shared" ca="1" si="11"/>
        <v>1</v>
      </c>
      <c r="IZ101">
        <f t="shared" ca="1" si="11"/>
        <v>0</v>
      </c>
      <c r="JA101">
        <f t="shared" ca="1" si="11"/>
        <v>0</v>
      </c>
      <c r="JB101">
        <f t="shared" ca="1" si="11"/>
        <v>1</v>
      </c>
    </row>
    <row r="102" spans="1:262" x14ac:dyDescent="0.25">
      <c r="A102" s="54">
        <v>99</v>
      </c>
      <c r="B102" s="38" t="s">
        <v>485</v>
      </c>
      <c r="C102">
        <v>0</v>
      </c>
      <c r="F102">
        <v>0</v>
      </c>
      <c r="G102">
        <v>1</v>
      </c>
      <c r="J102">
        <v>1</v>
      </c>
      <c r="K102">
        <v>0</v>
      </c>
      <c r="N102">
        <v>0</v>
      </c>
      <c r="O102">
        <v>0</v>
      </c>
      <c r="R102">
        <v>0</v>
      </c>
      <c r="S102">
        <v>0</v>
      </c>
      <c r="V102">
        <v>0</v>
      </c>
      <c r="W102">
        <v>0</v>
      </c>
      <c r="Z102">
        <v>0</v>
      </c>
      <c r="AA102">
        <v>1</v>
      </c>
      <c r="AD102">
        <v>1</v>
      </c>
      <c r="AE102">
        <v>0</v>
      </c>
      <c r="AH102">
        <v>0</v>
      </c>
      <c r="AI102">
        <v>0</v>
      </c>
      <c r="AL102">
        <v>0</v>
      </c>
      <c r="AM102">
        <v>0</v>
      </c>
      <c r="AP102">
        <v>0</v>
      </c>
      <c r="AQ102">
        <v>0</v>
      </c>
      <c r="AT102">
        <v>0</v>
      </c>
      <c r="AU102">
        <v>0</v>
      </c>
      <c r="AX102">
        <v>0</v>
      </c>
      <c r="AY102">
        <v>0</v>
      </c>
      <c r="BB102">
        <v>0</v>
      </c>
      <c r="BC102">
        <v>0</v>
      </c>
      <c r="BF102">
        <v>0</v>
      </c>
      <c r="BG102">
        <v>0</v>
      </c>
      <c r="BJ102">
        <v>0</v>
      </c>
      <c r="BK102">
        <v>0</v>
      </c>
      <c r="BN102">
        <v>0</v>
      </c>
      <c r="BO102">
        <v>0</v>
      </c>
      <c r="BR102">
        <v>0</v>
      </c>
      <c r="BS102">
        <v>0</v>
      </c>
      <c r="BV102">
        <v>0</v>
      </c>
      <c r="BW102">
        <v>0</v>
      </c>
      <c r="BZ102">
        <v>0</v>
      </c>
      <c r="CA102">
        <v>0</v>
      </c>
      <c r="CD102">
        <v>0</v>
      </c>
      <c r="CE102">
        <v>1</v>
      </c>
      <c r="CH102">
        <v>1</v>
      </c>
      <c r="CI102">
        <v>0</v>
      </c>
      <c r="CL102">
        <v>0</v>
      </c>
      <c r="CM102">
        <v>0</v>
      </c>
      <c r="CP102">
        <v>0</v>
      </c>
      <c r="CQ102">
        <v>0</v>
      </c>
      <c r="CT102">
        <v>0</v>
      </c>
      <c r="CU102">
        <v>0</v>
      </c>
      <c r="CX102">
        <v>0</v>
      </c>
      <c r="CY102">
        <v>0</v>
      </c>
      <c r="DB102">
        <v>0</v>
      </c>
      <c r="DC102">
        <v>0</v>
      </c>
      <c r="DF102">
        <v>0</v>
      </c>
      <c r="DG102">
        <v>0</v>
      </c>
      <c r="DJ102">
        <v>0</v>
      </c>
      <c r="DK102">
        <v>0</v>
      </c>
      <c r="DN102">
        <v>0</v>
      </c>
      <c r="DO102">
        <v>0</v>
      </c>
      <c r="DR102">
        <v>0</v>
      </c>
      <c r="DS102">
        <v>0</v>
      </c>
      <c r="DV102">
        <v>0</v>
      </c>
      <c r="DW102">
        <v>0</v>
      </c>
      <c r="DZ102">
        <v>0</v>
      </c>
      <c r="EA102">
        <v>0</v>
      </c>
      <c r="ED102">
        <v>0</v>
      </c>
      <c r="EE102">
        <v>0</v>
      </c>
      <c r="EH102">
        <v>0</v>
      </c>
      <c r="EI102">
        <v>0</v>
      </c>
      <c r="EL102">
        <v>0</v>
      </c>
      <c r="EM102">
        <v>0</v>
      </c>
      <c r="EP102">
        <v>0</v>
      </c>
      <c r="EQ102">
        <v>0</v>
      </c>
      <c r="ET102">
        <v>0</v>
      </c>
      <c r="EU102">
        <v>0</v>
      </c>
      <c r="EX102">
        <v>0</v>
      </c>
      <c r="EY102">
        <v>0</v>
      </c>
      <c r="FB102">
        <v>0</v>
      </c>
      <c r="FC102">
        <v>0</v>
      </c>
      <c r="FF102">
        <v>0</v>
      </c>
      <c r="FG102">
        <v>0</v>
      </c>
      <c r="FJ102">
        <v>0</v>
      </c>
      <c r="FK102">
        <v>0</v>
      </c>
      <c r="FN102">
        <v>0</v>
      </c>
      <c r="FO102">
        <v>0</v>
      </c>
      <c r="FR102">
        <v>0</v>
      </c>
      <c r="FS102">
        <v>0</v>
      </c>
      <c r="FV102">
        <v>0</v>
      </c>
      <c r="FW102">
        <v>0</v>
      </c>
      <c r="FZ102">
        <v>0</v>
      </c>
      <c r="GA102">
        <v>0</v>
      </c>
      <c r="GD102">
        <v>0</v>
      </c>
      <c r="GE102">
        <v>0</v>
      </c>
      <c r="GH102">
        <v>0</v>
      </c>
      <c r="GI102">
        <v>0</v>
      </c>
      <c r="GL102">
        <v>0</v>
      </c>
      <c r="GM102">
        <v>0</v>
      </c>
      <c r="GP102">
        <v>0</v>
      </c>
      <c r="GQ102">
        <v>0</v>
      </c>
      <c r="GT102">
        <v>0</v>
      </c>
      <c r="GU102">
        <v>0</v>
      </c>
      <c r="GX102">
        <v>0</v>
      </c>
      <c r="GY102">
        <v>0</v>
      </c>
      <c r="HB102">
        <v>0</v>
      </c>
      <c r="HC102">
        <v>0</v>
      </c>
      <c r="HF102">
        <v>0</v>
      </c>
      <c r="HG102">
        <v>0</v>
      </c>
      <c r="HJ102">
        <v>0</v>
      </c>
      <c r="HK102">
        <v>0</v>
      </c>
      <c r="HN102">
        <v>0</v>
      </c>
      <c r="HO102">
        <v>0</v>
      </c>
      <c r="HR102">
        <v>0</v>
      </c>
      <c r="HS102">
        <v>0</v>
      </c>
      <c r="HV102">
        <v>0</v>
      </c>
      <c r="HW102">
        <v>0</v>
      </c>
      <c r="HZ102">
        <v>0</v>
      </c>
      <c r="IA102">
        <v>0</v>
      </c>
      <c r="ID102">
        <v>0</v>
      </c>
      <c r="IE102">
        <v>0</v>
      </c>
      <c r="IH102">
        <v>0</v>
      </c>
      <c r="II102">
        <v>0</v>
      </c>
      <c r="IL102">
        <v>0</v>
      </c>
      <c r="IM102">
        <v>0</v>
      </c>
      <c r="IP102">
        <v>0</v>
      </c>
      <c r="IQ102">
        <v>0</v>
      </c>
      <c r="IT102">
        <v>0</v>
      </c>
      <c r="IU102">
        <v>0</v>
      </c>
      <c r="IX102">
        <v>0</v>
      </c>
      <c r="IY102">
        <f t="shared" ca="1" si="11"/>
        <v>1</v>
      </c>
      <c r="IZ102">
        <f t="shared" ca="1" si="11"/>
        <v>0</v>
      </c>
      <c r="JA102">
        <f t="shared" ca="1" si="11"/>
        <v>0</v>
      </c>
      <c r="JB102">
        <f t="shared" ca="1" si="11"/>
        <v>1</v>
      </c>
    </row>
    <row r="103" spans="1:262" x14ac:dyDescent="0.25">
      <c r="A103" s="54">
        <v>100</v>
      </c>
      <c r="B103" s="38" t="s">
        <v>468</v>
      </c>
      <c r="C103">
        <v>0</v>
      </c>
      <c r="F103">
        <v>0</v>
      </c>
      <c r="G103">
        <v>2</v>
      </c>
      <c r="J103">
        <v>2</v>
      </c>
      <c r="K103">
        <v>0</v>
      </c>
      <c r="N103">
        <v>0</v>
      </c>
      <c r="O103">
        <v>0</v>
      </c>
      <c r="R103">
        <v>0</v>
      </c>
      <c r="S103">
        <v>0</v>
      </c>
      <c r="V103">
        <v>0</v>
      </c>
      <c r="W103">
        <v>0</v>
      </c>
      <c r="Z103">
        <v>0</v>
      </c>
      <c r="AA103">
        <v>1</v>
      </c>
      <c r="AD103">
        <v>1</v>
      </c>
      <c r="AE103">
        <v>1</v>
      </c>
      <c r="AH103">
        <v>1</v>
      </c>
      <c r="AI103">
        <v>0</v>
      </c>
      <c r="AL103">
        <v>0</v>
      </c>
      <c r="AM103">
        <v>0</v>
      </c>
      <c r="AP103">
        <v>0</v>
      </c>
      <c r="AQ103">
        <v>0</v>
      </c>
      <c r="AT103">
        <v>0</v>
      </c>
      <c r="AU103">
        <v>0</v>
      </c>
      <c r="AX103">
        <v>0</v>
      </c>
      <c r="AY103">
        <v>0</v>
      </c>
      <c r="BB103">
        <v>0</v>
      </c>
      <c r="BC103">
        <v>0</v>
      </c>
      <c r="BF103">
        <v>0</v>
      </c>
      <c r="BG103">
        <v>0</v>
      </c>
      <c r="BJ103">
        <v>0</v>
      </c>
      <c r="BK103">
        <v>0</v>
      </c>
      <c r="BN103">
        <v>0</v>
      </c>
      <c r="BO103">
        <v>0</v>
      </c>
      <c r="BR103">
        <v>0</v>
      </c>
      <c r="BS103">
        <v>0</v>
      </c>
      <c r="BV103">
        <v>0</v>
      </c>
      <c r="BW103">
        <v>0</v>
      </c>
      <c r="BZ103">
        <v>0</v>
      </c>
      <c r="CA103">
        <v>0</v>
      </c>
      <c r="CD103">
        <v>0</v>
      </c>
      <c r="CE103">
        <v>0</v>
      </c>
      <c r="CH103">
        <v>0</v>
      </c>
      <c r="CI103">
        <v>1</v>
      </c>
      <c r="CL103">
        <v>1</v>
      </c>
      <c r="CM103">
        <v>0</v>
      </c>
      <c r="CP103">
        <v>0</v>
      </c>
      <c r="CQ103">
        <v>1</v>
      </c>
      <c r="CT103">
        <v>1</v>
      </c>
      <c r="CU103">
        <v>0</v>
      </c>
      <c r="CX103">
        <v>0</v>
      </c>
      <c r="CY103">
        <v>0</v>
      </c>
      <c r="DB103">
        <v>0</v>
      </c>
      <c r="DC103">
        <v>0</v>
      </c>
      <c r="DF103">
        <v>0</v>
      </c>
      <c r="DG103">
        <v>0</v>
      </c>
      <c r="DJ103">
        <v>0</v>
      </c>
      <c r="DK103">
        <v>0</v>
      </c>
      <c r="DN103">
        <v>0</v>
      </c>
      <c r="DO103">
        <v>0</v>
      </c>
      <c r="DR103">
        <v>0</v>
      </c>
      <c r="DS103">
        <v>0</v>
      </c>
      <c r="DV103">
        <v>0</v>
      </c>
      <c r="DW103">
        <v>0</v>
      </c>
      <c r="DZ103">
        <v>0</v>
      </c>
      <c r="EA103">
        <v>0</v>
      </c>
      <c r="ED103">
        <v>0</v>
      </c>
      <c r="EE103">
        <v>0</v>
      </c>
      <c r="EH103">
        <v>0</v>
      </c>
      <c r="EI103">
        <v>0</v>
      </c>
      <c r="EL103">
        <v>0</v>
      </c>
      <c r="EM103">
        <v>0</v>
      </c>
      <c r="EP103">
        <v>0</v>
      </c>
      <c r="EQ103">
        <v>0</v>
      </c>
      <c r="ET103">
        <v>0</v>
      </c>
      <c r="EU103">
        <v>0</v>
      </c>
      <c r="EX103">
        <v>0</v>
      </c>
      <c r="EY103">
        <v>0</v>
      </c>
      <c r="FB103">
        <v>0</v>
      </c>
      <c r="FC103">
        <v>0</v>
      </c>
      <c r="FF103">
        <v>0</v>
      </c>
      <c r="FG103">
        <v>0</v>
      </c>
      <c r="FJ103">
        <v>0</v>
      </c>
      <c r="FK103">
        <v>0</v>
      </c>
      <c r="FN103">
        <v>0</v>
      </c>
      <c r="FO103">
        <v>0</v>
      </c>
      <c r="FR103">
        <v>0</v>
      </c>
      <c r="FS103">
        <v>0</v>
      </c>
      <c r="FV103">
        <v>0</v>
      </c>
      <c r="FW103">
        <v>0</v>
      </c>
      <c r="FZ103">
        <v>0</v>
      </c>
      <c r="GA103">
        <v>0</v>
      </c>
      <c r="GD103">
        <v>0</v>
      </c>
      <c r="GE103">
        <v>0</v>
      </c>
      <c r="GH103">
        <v>0</v>
      </c>
      <c r="GI103">
        <v>0</v>
      </c>
      <c r="GL103">
        <v>0</v>
      </c>
      <c r="GM103">
        <v>0</v>
      </c>
      <c r="GP103">
        <v>0</v>
      </c>
      <c r="GQ103">
        <v>0</v>
      </c>
      <c r="GT103">
        <v>0</v>
      </c>
      <c r="GU103">
        <v>0</v>
      </c>
      <c r="GX103">
        <v>0</v>
      </c>
      <c r="GY103">
        <v>0</v>
      </c>
      <c r="HB103">
        <v>0</v>
      </c>
      <c r="HC103">
        <v>0</v>
      </c>
      <c r="HF103">
        <v>0</v>
      </c>
      <c r="HG103">
        <v>0</v>
      </c>
      <c r="HJ103">
        <v>0</v>
      </c>
      <c r="HK103">
        <v>0</v>
      </c>
      <c r="HN103">
        <v>0</v>
      </c>
      <c r="HO103">
        <v>0</v>
      </c>
      <c r="HR103">
        <v>0</v>
      </c>
      <c r="HS103">
        <v>0</v>
      </c>
      <c r="HV103">
        <v>0</v>
      </c>
      <c r="HW103">
        <v>0</v>
      </c>
      <c r="HZ103">
        <v>0</v>
      </c>
      <c r="IA103">
        <v>0</v>
      </c>
      <c r="ID103">
        <v>0</v>
      </c>
      <c r="IE103">
        <v>0</v>
      </c>
      <c r="IH103">
        <v>0</v>
      </c>
      <c r="II103">
        <v>0</v>
      </c>
      <c r="IL103">
        <v>0</v>
      </c>
      <c r="IM103">
        <v>0</v>
      </c>
      <c r="IP103">
        <v>0</v>
      </c>
      <c r="IQ103">
        <v>0</v>
      </c>
      <c r="IT103">
        <v>0</v>
      </c>
      <c r="IU103">
        <v>0</v>
      </c>
      <c r="IX103">
        <v>0</v>
      </c>
      <c r="IY103">
        <f t="shared" ca="1" si="11"/>
        <v>2</v>
      </c>
      <c r="IZ103">
        <f t="shared" ca="1" si="11"/>
        <v>0</v>
      </c>
      <c r="JA103">
        <f t="shared" ca="1" si="11"/>
        <v>0</v>
      </c>
      <c r="JB103">
        <f t="shared" ca="1" si="11"/>
        <v>2</v>
      </c>
    </row>
    <row r="104" spans="1:262" x14ac:dyDescent="0.25">
      <c r="A104" s="54">
        <v>101</v>
      </c>
      <c r="B104" s="38" t="s">
        <v>495</v>
      </c>
      <c r="C104">
        <v>0</v>
      </c>
      <c r="F104">
        <v>0</v>
      </c>
      <c r="G104">
        <v>1</v>
      </c>
      <c r="J104">
        <v>1</v>
      </c>
      <c r="K104">
        <v>0</v>
      </c>
      <c r="N104">
        <v>0</v>
      </c>
      <c r="O104">
        <v>0</v>
      </c>
      <c r="R104">
        <v>0</v>
      </c>
      <c r="S104">
        <v>0</v>
      </c>
      <c r="V104">
        <v>0</v>
      </c>
      <c r="W104">
        <v>0</v>
      </c>
      <c r="Z104">
        <v>0</v>
      </c>
      <c r="AA104">
        <v>0</v>
      </c>
      <c r="AD104">
        <v>0</v>
      </c>
      <c r="AE104">
        <v>1</v>
      </c>
      <c r="AH104">
        <v>1</v>
      </c>
      <c r="AI104">
        <v>0</v>
      </c>
      <c r="AL104">
        <v>0</v>
      </c>
      <c r="AM104">
        <v>0</v>
      </c>
      <c r="AP104">
        <v>0</v>
      </c>
      <c r="AQ104">
        <v>0</v>
      </c>
      <c r="AT104">
        <v>0</v>
      </c>
      <c r="AU104">
        <v>0</v>
      </c>
      <c r="AX104">
        <v>0</v>
      </c>
      <c r="AY104">
        <v>0</v>
      </c>
      <c r="BB104">
        <v>0</v>
      </c>
      <c r="BC104">
        <v>0</v>
      </c>
      <c r="BF104">
        <v>0</v>
      </c>
      <c r="BG104">
        <v>0</v>
      </c>
      <c r="BJ104">
        <v>0</v>
      </c>
      <c r="BK104">
        <v>0</v>
      </c>
      <c r="BN104">
        <v>0</v>
      </c>
      <c r="BO104">
        <v>0</v>
      </c>
      <c r="BR104">
        <v>0</v>
      </c>
      <c r="BS104">
        <v>0</v>
      </c>
      <c r="BV104">
        <v>0</v>
      </c>
      <c r="BW104">
        <v>0</v>
      </c>
      <c r="BZ104">
        <v>0</v>
      </c>
      <c r="CA104">
        <v>0</v>
      </c>
      <c r="CD104">
        <v>0</v>
      </c>
      <c r="CE104">
        <v>0</v>
      </c>
      <c r="CH104">
        <v>0</v>
      </c>
      <c r="CI104">
        <v>0</v>
      </c>
      <c r="CL104">
        <v>0</v>
      </c>
      <c r="CM104">
        <v>0</v>
      </c>
      <c r="CP104">
        <v>0</v>
      </c>
      <c r="CQ104">
        <v>1</v>
      </c>
      <c r="CT104">
        <v>1</v>
      </c>
      <c r="CU104">
        <v>0</v>
      </c>
      <c r="CX104">
        <v>0</v>
      </c>
      <c r="CY104">
        <v>0</v>
      </c>
      <c r="DB104">
        <v>0</v>
      </c>
      <c r="DC104">
        <v>0</v>
      </c>
      <c r="DF104">
        <v>0</v>
      </c>
      <c r="DG104">
        <v>0</v>
      </c>
      <c r="DJ104">
        <v>0</v>
      </c>
      <c r="DK104">
        <v>0</v>
      </c>
      <c r="DN104">
        <v>0</v>
      </c>
      <c r="DO104">
        <v>0</v>
      </c>
      <c r="DR104">
        <v>0</v>
      </c>
      <c r="DS104">
        <v>0</v>
      </c>
      <c r="DV104">
        <v>0</v>
      </c>
      <c r="DW104">
        <v>0</v>
      </c>
      <c r="DZ104">
        <v>0</v>
      </c>
      <c r="EA104">
        <v>0</v>
      </c>
      <c r="ED104">
        <v>0</v>
      </c>
      <c r="EE104">
        <v>0</v>
      </c>
      <c r="EH104">
        <v>0</v>
      </c>
      <c r="EI104">
        <v>0</v>
      </c>
      <c r="EL104">
        <v>0</v>
      </c>
      <c r="EM104">
        <v>0</v>
      </c>
      <c r="EP104">
        <v>0</v>
      </c>
      <c r="EQ104">
        <v>0</v>
      </c>
      <c r="ET104">
        <v>0</v>
      </c>
      <c r="EU104">
        <v>0</v>
      </c>
      <c r="EX104">
        <v>0</v>
      </c>
      <c r="EY104">
        <v>0</v>
      </c>
      <c r="FB104">
        <v>0</v>
      </c>
      <c r="FC104">
        <v>0</v>
      </c>
      <c r="FF104">
        <v>0</v>
      </c>
      <c r="FG104">
        <v>0</v>
      </c>
      <c r="FJ104">
        <v>0</v>
      </c>
      <c r="FK104">
        <v>0</v>
      </c>
      <c r="FN104">
        <v>0</v>
      </c>
      <c r="FO104">
        <v>0</v>
      </c>
      <c r="FR104">
        <v>0</v>
      </c>
      <c r="FS104">
        <v>0</v>
      </c>
      <c r="FV104">
        <v>0</v>
      </c>
      <c r="FW104">
        <v>0</v>
      </c>
      <c r="FZ104">
        <v>0</v>
      </c>
      <c r="GA104">
        <v>0</v>
      </c>
      <c r="GD104">
        <v>0</v>
      </c>
      <c r="GE104">
        <v>0</v>
      </c>
      <c r="GH104">
        <v>0</v>
      </c>
      <c r="GI104">
        <v>0</v>
      </c>
      <c r="GL104">
        <v>0</v>
      </c>
      <c r="GM104">
        <v>0</v>
      </c>
      <c r="GP104">
        <v>0</v>
      </c>
      <c r="GQ104">
        <v>0</v>
      </c>
      <c r="GT104">
        <v>0</v>
      </c>
      <c r="GU104">
        <v>0</v>
      </c>
      <c r="GX104">
        <v>0</v>
      </c>
      <c r="GY104">
        <v>0</v>
      </c>
      <c r="HB104">
        <v>0</v>
      </c>
      <c r="HC104">
        <v>0</v>
      </c>
      <c r="HF104">
        <v>0</v>
      </c>
      <c r="HG104">
        <v>0</v>
      </c>
      <c r="HJ104">
        <v>0</v>
      </c>
      <c r="HK104">
        <v>0</v>
      </c>
      <c r="HN104">
        <v>0</v>
      </c>
      <c r="HO104">
        <v>0</v>
      </c>
      <c r="HR104">
        <v>0</v>
      </c>
      <c r="HS104">
        <v>0</v>
      </c>
      <c r="HV104">
        <v>0</v>
      </c>
      <c r="HW104">
        <v>0</v>
      </c>
      <c r="HZ104">
        <v>0</v>
      </c>
      <c r="IA104">
        <v>0</v>
      </c>
      <c r="ID104">
        <v>0</v>
      </c>
      <c r="IE104">
        <v>0</v>
      </c>
      <c r="IH104">
        <v>0</v>
      </c>
      <c r="II104">
        <v>0</v>
      </c>
      <c r="IL104">
        <v>0</v>
      </c>
      <c r="IM104">
        <v>0</v>
      </c>
      <c r="IP104">
        <v>0</v>
      </c>
      <c r="IQ104">
        <v>0</v>
      </c>
      <c r="IT104">
        <v>0</v>
      </c>
      <c r="IU104">
        <v>0</v>
      </c>
      <c r="IX104">
        <v>0</v>
      </c>
      <c r="IY104">
        <f t="shared" ref="IY104:JB123" ca="1" si="12">SUMIFS($BK104:$IX104,$BK$3:$IX$3,IY$3,$BK$1:$IX$1,"&gt;0")</f>
        <v>1</v>
      </c>
      <c r="IZ104">
        <f t="shared" ca="1" si="12"/>
        <v>0</v>
      </c>
      <c r="JA104">
        <f t="shared" ca="1" si="12"/>
        <v>0</v>
      </c>
      <c r="JB104">
        <f t="shared" ca="1" si="12"/>
        <v>1</v>
      </c>
    </row>
    <row r="105" spans="1:262" x14ac:dyDescent="0.25">
      <c r="A105" s="54">
        <v>102</v>
      </c>
      <c r="B105" s="38" t="s">
        <v>560</v>
      </c>
      <c r="C105">
        <v>0</v>
      </c>
      <c r="F105">
        <v>0</v>
      </c>
      <c r="G105">
        <v>1</v>
      </c>
      <c r="J105">
        <v>1</v>
      </c>
      <c r="K105">
        <v>0</v>
      </c>
      <c r="N105">
        <v>0</v>
      </c>
      <c r="O105">
        <v>0</v>
      </c>
      <c r="R105">
        <v>0</v>
      </c>
      <c r="S105">
        <v>0</v>
      </c>
      <c r="V105">
        <v>0</v>
      </c>
      <c r="W105">
        <v>0</v>
      </c>
      <c r="Z105">
        <v>0</v>
      </c>
      <c r="AA105">
        <v>0</v>
      </c>
      <c r="AD105">
        <v>0</v>
      </c>
      <c r="AE105">
        <v>1</v>
      </c>
      <c r="AH105">
        <v>1</v>
      </c>
      <c r="AI105">
        <v>0</v>
      </c>
      <c r="AL105">
        <v>0</v>
      </c>
      <c r="AM105">
        <v>0</v>
      </c>
      <c r="AP105">
        <v>0</v>
      </c>
      <c r="AQ105">
        <v>0</v>
      </c>
      <c r="AT105">
        <v>0</v>
      </c>
      <c r="AU105">
        <v>0</v>
      </c>
      <c r="AX105">
        <v>0</v>
      </c>
      <c r="AY105">
        <v>0</v>
      </c>
      <c r="BB105">
        <v>0</v>
      </c>
      <c r="BC105">
        <v>0</v>
      </c>
      <c r="BF105">
        <v>0</v>
      </c>
      <c r="BG105">
        <v>0</v>
      </c>
      <c r="BJ105">
        <v>0</v>
      </c>
      <c r="BK105">
        <v>0</v>
      </c>
      <c r="BN105">
        <v>0</v>
      </c>
      <c r="BO105">
        <v>0</v>
      </c>
      <c r="BR105">
        <v>0</v>
      </c>
      <c r="BS105">
        <v>0</v>
      </c>
      <c r="BV105">
        <v>0</v>
      </c>
      <c r="BW105">
        <v>0</v>
      </c>
      <c r="BZ105">
        <v>0</v>
      </c>
      <c r="CA105">
        <v>0</v>
      </c>
      <c r="CD105">
        <v>0</v>
      </c>
      <c r="CE105">
        <v>0</v>
      </c>
      <c r="CH105">
        <v>0</v>
      </c>
      <c r="CI105">
        <v>0</v>
      </c>
      <c r="CL105">
        <v>0</v>
      </c>
      <c r="CM105">
        <v>0</v>
      </c>
      <c r="CP105">
        <v>0</v>
      </c>
      <c r="CQ105">
        <v>0</v>
      </c>
      <c r="CT105">
        <v>0</v>
      </c>
      <c r="CU105">
        <v>1</v>
      </c>
      <c r="CX105">
        <v>1</v>
      </c>
      <c r="CY105">
        <v>0</v>
      </c>
      <c r="DB105">
        <v>0</v>
      </c>
      <c r="DC105">
        <v>0</v>
      </c>
      <c r="DF105">
        <v>0</v>
      </c>
      <c r="DG105">
        <v>0</v>
      </c>
      <c r="DJ105">
        <v>0</v>
      </c>
      <c r="DK105">
        <v>0</v>
      </c>
      <c r="DN105">
        <v>0</v>
      </c>
      <c r="DO105">
        <v>0</v>
      </c>
      <c r="DR105">
        <v>0</v>
      </c>
      <c r="DS105">
        <v>0</v>
      </c>
      <c r="DV105">
        <v>0</v>
      </c>
      <c r="DW105">
        <v>0</v>
      </c>
      <c r="DZ105">
        <v>0</v>
      </c>
      <c r="EA105">
        <v>0</v>
      </c>
      <c r="ED105">
        <v>0</v>
      </c>
      <c r="EE105">
        <v>0</v>
      </c>
      <c r="EH105">
        <v>0</v>
      </c>
      <c r="EI105">
        <v>0</v>
      </c>
      <c r="EL105">
        <v>0</v>
      </c>
      <c r="EM105">
        <v>0</v>
      </c>
      <c r="EP105">
        <v>0</v>
      </c>
      <c r="EQ105">
        <v>0</v>
      </c>
      <c r="ET105">
        <v>0</v>
      </c>
      <c r="EU105">
        <v>0</v>
      </c>
      <c r="EX105">
        <v>0</v>
      </c>
      <c r="EY105">
        <v>0</v>
      </c>
      <c r="FB105">
        <v>0</v>
      </c>
      <c r="FC105">
        <v>0</v>
      </c>
      <c r="FF105">
        <v>0</v>
      </c>
      <c r="FG105">
        <v>0</v>
      </c>
      <c r="FJ105">
        <v>0</v>
      </c>
      <c r="FK105">
        <v>0</v>
      </c>
      <c r="FN105">
        <v>0</v>
      </c>
      <c r="FO105">
        <v>0</v>
      </c>
      <c r="FR105">
        <v>0</v>
      </c>
      <c r="FS105">
        <v>0</v>
      </c>
      <c r="FV105">
        <v>0</v>
      </c>
      <c r="FW105">
        <v>0</v>
      </c>
      <c r="FZ105">
        <v>0</v>
      </c>
      <c r="GA105">
        <v>0</v>
      </c>
      <c r="GD105">
        <v>0</v>
      </c>
      <c r="GE105">
        <v>0</v>
      </c>
      <c r="GH105">
        <v>0</v>
      </c>
      <c r="GI105">
        <v>0</v>
      </c>
      <c r="GL105">
        <v>0</v>
      </c>
      <c r="GM105">
        <v>0</v>
      </c>
      <c r="GP105">
        <v>0</v>
      </c>
      <c r="GQ105">
        <v>0</v>
      </c>
      <c r="GT105">
        <v>0</v>
      </c>
      <c r="GU105">
        <v>0</v>
      </c>
      <c r="GX105">
        <v>0</v>
      </c>
      <c r="GY105">
        <v>0</v>
      </c>
      <c r="HB105">
        <v>0</v>
      </c>
      <c r="HC105">
        <v>0</v>
      </c>
      <c r="HF105">
        <v>0</v>
      </c>
      <c r="HG105">
        <v>0</v>
      </c>
      <c r="HJ105">
        <v>0</v>
      </c>
      <c r="HK105">
        <v>0</v>
      </c>
      <c r="HN105">
        <v>0</v>
      </c>
      <c r="HO105">
        <v>0</v>
      </c>
      <c r="HR105">
        <v>0</v>
      </c>
      <c r="HS105">
        <v>0</v>
      </c>
      <c r="HV105">
        <v>0</v>
      </c>
      <c r="HW105">
        <v>0</v>
      </c>
      <c r="HZ105">
        <v>0</v>
      </c>
      <c r="IA105">
        <v>0</v>
      </c>
      <c r="ID105">
        <v>0</v>
      </c>
      <c r="IE105">
        <v>0</v>
      </c>
      <c r="IH105">
        <v>0</v>
      </c>
      <c r="II105">
        <v>0</v>
      </c>
      <c r="IL105">
        <v>0</v>
      </c>
      <c r="IM105">
        <v>0</v>
      </c>
      <c r="IP105">
        <v>0</v>
      </c>
      <c r="IQ105">
        <v>0</v>
      </c>
      <c r="IT105">
        <v>0</v>
      </c>
      <c r="IU105">
        <v>0</v>
      </c>
      <c r="IX105">
        <v>0</v>
      </c>
      <c r="IY105">
        <f t="shared" ca="1" si="12"/>
        <v>1</v>
      </c>
      <c r="IZ105">
        <f t="shared" ca="1" si="12"/>
        <v>0</v>
      </c>
      <c r="JA105">
        <f t="shared" ca="1" si="12"/>
        <v>0</v>
      </c>
      <c r="JB105">
        <f t="shared" ca="1" si="12"/>
        <v>1</v>
      </c>
    </row>
    <row r="106" spans="1:262" x14ac:dyDescent="0.25">
      <c r="A106" s="54">
        <v>103</v>
      </c>
      <c r="B106" s="38" t="s">
        <v>483</v>
      </c>
      <c r="C106">
        <v>0</v>
      </c>
      <c r="F106">
        <v>0</v>
      </c>
      <c r="G106">
        <v>1</v>
      </c>
      <c r="J106">
        <v>1</v>
      </c>
      <c r="K106">
        <v>0</v>
      </c>
      <c r="N106">
        <v>0</v>
      </c>
      <c r="O106">
        <v>0</v>
      </c>
      <c r="R106">
        <v>0</v>
      </c>
      <c r="S106">
        <v>0</v>
      </c>
      <c r="V106">
        <v>0</v>
      </c>
      <c r="W106">
        <v>0</v>
      </c>
      <c r="Z106">
        <v>0</v>
      </c>
      <c r="AA106">
        <v>0</v>
      </c>
      <c r="AD106">
        <v>0</v>
      </c>
      <c r="AE106">
        <v>1</v>
      </c>
      <c r="AH106">
        <v>1</v>
      </c>
      <c r="AI106">
        <v>0</v>
      </c>
      <c r="AL106">
        <v>0</v>
      </c>
      <c r="AM106">
        <v>0</v>
      </c>
      <c r="AP106">
        <v>0</v>
      </c>
      <c r="AQ106">
        <v>0</v>
      </c>
      <c r="AT106">
        <v>0</v>
      </c>
      <c r="AU106">
        <v>0</v>
      </c>
      <c r="AX106">
        <v>0</v>
      </c>
      <c r="AY106">
        <v>0</v>
      </c>
      <c r="BB106">
        <v>0</v>
      </c>
      <c r="BC106">
        <v>0</v>
      </c>
      <c r="BF106">
        <v>0</v>
      </c>
      <c r="BG106">
        <v>0</v>
      </c>
      <c r="BJ106">
        <v>0</v>
      </c>
      <c r="BK106">
        <v>0</v>
      </c>
      <c r="BN106">
        <v>0</v>
      </c>
      <c r="BO106">
        <v>0</v>
      </c>
      <c r="BR106">
        <v>0</v>
      </c>
      <c r="BS106">
        <v>0</v>
      </c>
      <c r="BV106">
        <v>0</v>
      </c>
      <c r="BW106">
        <v>0</v>
      </c>
      <c r="BZ106">
        <v>0</v>
      </c>
      <c r="CA106">
        <v>0</v>
      </c>
      <c r="CD106">
        <v>0</v>
      </c>
      <c r="CE106">
        <v>0</v>
      </c>
      <c r="CH106">
        <v>0</v>
      </c>
      <c r="CI106">
        <v>0</v>
      </c>
      <c r="CL106">
        <v>0</v>
      </c>
      <c r="CM106">
        <v>0</v>
      </c>
      <c r="CP106">
        <v>0</v>
      </c>
      <c r="CQ106">
        <v>0</v>
      </c>
      <c r="CT106">
        <v>0</v>
      </c>
      <c r="CU106">
        <v>1</v>
      </c>
      <c r="CX106">
        <v>1</v>
      </c>
      <c r="CY106">
        <v>0</v>
      </c>
      <c r="DB106">
        <v>0</v>
      </c>
      <c r="DC106">
        <v>0</v>
      </c>
      <c r="DF106">
        <v>0</v>
      </c>
      <c r="DG106">
        <v>0</v>
      </c>
      <c r="DJ106">
        <v>0</v>
      </c>
      <c r="DK106">
        <v>0</v>
      </c>
      <c r="DN106">
        <v>0</v>
      </c>
      <c r="DO106">
        <v>0</v>
      </c>
      <c r="DR106">
        <v>0</v>
      </c>
      <c r="DS106">
        <v>0</v>
      </c>
      <c r="DV106">
        <v>0</v>
      </c>
      <c r="DW106">
        <v>0</v>
      </c>
      <c r="DZ106">
        <v>0</v>
      </c>
      <c r="EA106">
        <v>0</v>
      </c>
      <c r="ED106">
        <v>0</v>
      </c>
      <c r="EE106">
        <v>0</v>
      </c>
      <c r="EH106">
        <v>0</v>
      </c>
      <c r="EI106">
        <v>0</v>
      </c>
      <c r="EL106">
        <v>0</v>
      </c>
      <c r="EM106">
        <v>0</v>
      </c>
      <c r="EP106">
        <v>0</v>
      </c>
      <c r="EQ106">
        <v>0</v>
      </c>
      <c r="ET106">
        <v>0</v>
      </c>
      <c r="EU106">
        <v>0</v>
      </c>
      <c r="EX106">
        <v>0</v>
      </c>
      <c r="EY106">
        <v>0</v>
      </c>
      <c r="FB106">
        <v>0</v>
      </c>
      <c r="FC106">
        <v>0</v>
      </c>
      <c r="FF106">
        <v>0</v>
      </c>
      <c r="FG106">
        <v>0</v>
      </c>
      <c r="FJ106">
        <v>0</v>
      </c>
      <c r="FK106">
        <v>0</v>
      </c>
      <c r="FN106">
        <v>0</v>
      </c>
      <c r="FO106">
        <v>0</v>
      </c>
      <c r="FR106">
        <v>0</v>
      </c>
      <c r="FS106">
        <v>0</v>
      </c>
      <c r="FV106">
        <v>0</v>
      </c>
      <c r="FW106">
        <v>0</v>
      </c>
      <c r="FZ106">
        <v>0</v>
      </c>
      <c r="GA106">
        <v>0</v>
      </c>
      <c r="GD106">
        <v>0</v>
      </c>
      <c r="GE106">
        <v>0</v>
      </c>
      <c r="GH106">
        <v>0</v>
      </c>
      <c r="GI106">
        <v>0</v>
      </c>
      <c r="GL106">
        <v>0</v>
      </c>
      <c r="GM106">
        <v>0</v>
      </c>
      <c r="GP106">
        <v>0</v>
      </c>
      <c r="GQ106">
        <v>0</v>
      </c>
      <c r="GT106">
        <v>0</v>
      </c>
      <c r="GU106">
        <v>0</v>
      </c>
      <c r="GX106">
        <v>0</v>
      </c>
      <c r="GY106">
        <v>0</v>
      </c>
      <c r="HB106">
        <v>0</v>
      </c>
      <c r="HC106">
        <v>0</v>
      </c>
      <c r="HF106">
        <v>0</v>
      </c>
      <c r="HG106">
        <v>0</v>
      </c>
      <c r="HJ106">
        <v>0</v>
      </c>
      <c r="HK106">
        <v>0</v>
      </c>
      <c r="HN106">
        <v>0</v>
      </c>
      <c r="HO106">
        <v>0</v>
      </c>
      <c r="HR106">
        <v>0</v>
      </c>
      <c r="HS106">
        <v>0</v>
      </c>
      <c r="HV106">
        <v>0</v>
      </c>
      <c r="HW106">
        <v>0</v>
      </c>
      <c r="HZ106">
        <v>0</v>
      </c>
      <c r="IA106">
        <v>0</v>
      </c>
      <c r="ID106">
        <v>0</v>
      </c>
      <c r="IE106">
        <v>0</v>
      </c>
      <c r="IH106">
        <v>0</v>
      </c>
      <c r="II106">
        <v>0</v>
      </c>
      <c r="IL106">
        <v>0</v>
      </c>
      <c r="IM106">
        <v>0</v>
      </c>
      <c r="IP106">
        <v>0</v>
      </c>
      <c r="IQ106">
        <v>0</v>
      </c>
      <c r="IT106">
        <v>0</v>
      </c>
      <c r="IU106">
        <v>0</v>
      </c>
      <c r="IX106">
        <v>0</v>
      </c>
      <c r="IY106">
        <f t="shared" ca="1" si="12"/>
        <v>1</v>
      </c>
      <c r="IZ106">
        <f t="shared" ca="1" si="12"/>
        <v>0</v>
      </c>
      <c r="JA106">
        <f t="shared" ca="1" si="12"/>
        <v>0</v>
      </c>
      <c r="JB106">
        <f t="shared" ca="1" si="12"/>
        <v>1</v>
      </c>
    </row>
    <row r="107" spans="1:262" x14ac:dyDescent="0.25">
      <c r="A107" s="54">
        <v>104</v>
      </c>
      <c r="B107" s="38" t="s">
        <v>478</v>
      </c>
      <c r="C107">
        <v>0</v>
      </c>
      <c r="F107">
        <v>0</v>
      </c>
      <c r="G107">
        <v>2</v>
      </c>
      <c r="J107">
        <v>2</v>
      </c>
      <c r="K107">
        <v>0</v>
      </c>
      <c r="N107">
        <v>0</v>
      </c>
      <c r="O107">
        <v>1</v>
      </c>
      <c r="R107">
        <v>1</v>
      </c>
      <c r="S107">
        <v>0</v>
      </c>
      <c r="V107">
        <v>0</v>
      </c>
      <c r="W107">
        <v>0</v>
      </c>
      <c r="Z107">
        <v>0</v>
      </c>
      <c r="AA107">
        <v>0</v>
      </c>
      <c r="AD107">
        <v>0</v>
      </c>
      <c r="AE107">
        <v>3</v>
      </c>
      <c r="AH107">
        <v>3</v>
      </c>
      <c r="AI107">
        <v>0</v>
      </c>
      <c r="AL107">
        <v>0</v>
      </c>
      <c r="AM107">
        <v>0</v>
      </c>
      <c r="AP107">
        <v>0</v>
      </c>
      <c r="AQ107">
        <v>0</v>
      </c>
      <c r="AT107">
        <v>0</v>
      </c>
      <c r="AU107">
        <v>0</v>
      </c>
      <c r="AX107">
        <v>0</v>
      </c>
      <c r="AY107">
        <v>0</v>
      </c>
      <c r="BB107">
        <v>0</v>
      </c>
      <c r="BC107">
        <v>0</v>
      </c>
      <c r="BF107">
        <v>0</v>
      </c>
      <c r="BG107">
        <v>0</v>
      </c>
      <c r="BJ107">
        <v>0</v>
      </c>
      <c r="BK107">
        <v>0</v>
      </c>
      <c r="BN107">
        <v>0</v>
      </c>
      <c r="BO107">
        <v>0</v>
      </c>
      <c r="BR107">
        <v>0</v>
      </c>
      <c r="BS107">
        <v>0</v>
      </c>
      <c r="BV107">
        <v>0</v>
      </c>
      <c r="BW107">
        <v>0</v>
      </c>
      <c r="BZ107">
        <v>0</v>
      </c>
      <c r="CA107">
        <v>0</v>
      </c>
      <c r="CD107">
        <v>0</v>
      </c>
      <c r="CE107">
        <v>0</v>
      </c>
      <c r="CH107">
        <v>0</v>
      </c>
      <c r="CI107">
        <v>0</v>
      </c>
      <c r="CL107">
        <v>0</v>
      </c>
      <c r="CM107">
        <v>0</v>
      </c>
      <c r="CP107">
        <v>0</v>
      </c>
      <c r="CQ107">
        <v>0</v>
      </c>
      <c r="CT107">
        <v>0</v>
      </c>
      <c r="CU107">
        <v>1</v>
      </c>
      <c r="CX107">
        <v>1</v>
      </c>
      <c r="CY107">
        <v>0</v>
      </c>
      <c r="DB107">
        <v>0</v>
      </c>
      <c r="DC107">
        <v>1</v>
      </c>
      <c r="DF107">
        <v>1</v>
      </c>
      <c r="DG107">
        <v>0</v>
      </c>
      <c r="DJ107">
        <v>0</v>
      </c>
      <c r="DK107">
        <v>0</v>
      </c>
      <c r="DN107">
        <v>0</v>
      </c>
      <c r="DO107">
        <v>0</v>
      </c>
      <c r="DR107">
        <v>0</v>
      </c>
      <c r="DS107">
        <v>0</v>
      </c>
      <c r="DV107">
        <v>0</v>
      </c>
      <c r="DW107">
        <v>0</v>
      </c>
      <c r="DZ107">
        <v>0</v>
      </c>
      <c r="EA107">
        <v>0</v>
      </c>
      <c r="ED107">
        <v>0</v>
      </c>
      <c r="EE107">
        <v>0</v>
      </c>
      <c r="EH107">
        <v>0</v>
      </c>
      <c r="EI107">
        <v>0</v>
      </c>
      <c r="EL107">
        <v>0</v>
      </c>
      <c r="EM107">
        <v>0</v>
      </c>
      <c r="EP107">
        <v>0</v>
      </c>
      <c r="EQ107">
        <v>0</v>
      </c>
      <c r="ET107">
        <v>0</v>
      </c>
      <c r="EU107">
        <v>0</v>
      </c>
      <c r="EX107">
        <v>0</v>
      </c>
      <c r="EY107">
        <v>0</v>
      </c>
      <c r="FB107">
        <v>0</v>
      </c>
      <c r="FC107">
        <v>0</v>
      </c>
      <c r="FF107">
        <v>0</v>
      </c>
      <c r="FG107">
        <v>0</v>
      </c>
      <c r="FJ107">
        <v>0</v>
      </c>
      <c r="FK107">
        <v>0</v>
      </c>
      <c r="FN107">
        <v>0</v>
      </c>
      <c r="FO107">
        <v>0</v>
      </c>
      <c r="FR107">
        <v>0</v>
      </c>
      <c r="FS107">
        <v>0</v>
      </c>
      <c r="FV107">
        <v>0</v>
      </c>
      <c r="FW107">
        <v>0</v>
      </c>
      <c r="FZ107">
        <v>0</v>
      </c>
      <c r="GA107">
        <v>0</v>
      </c>
      <c r="GD107">
        <v>0</v>
      </c>
      <c r="GE107">
        <v>0</v>
      </c>
      <c r="GH107">
        <v>0</v>
      </c>
      <c r="GI107">
        <v>0</v>
      </c>
      <c r="GL107">
        <v>0</v>
      </c>
      <c r="GM107">
        <v>0</v>
      </c>
      <c r="GP107">
        <v>0</v>
      </c>
      <c r="GQ107">
        <v>0</v>
      </c>
      <c r="GT107">
        <v>0</v>
      </c>
      <c r="GU107">
        <v>0</v>
      </c>
      <c r="GX107">
        <v>0</v>
      </c>
      <c r="GY107">
        <v>0</v>
      </c>
      <c r="HB107">
        <v>0</v>
      </c>
      <c r="HC107">
        <v>0</v>
      </c>
      <c r="HF107">
        <v>0</v>
      </c>
      <c r="HG107">
        <v>0</v>
      </c>
      <c r="HJ107">
        <v>0</v>
      </c>
      <c r="HK107">
        <v>0</v>
      </c>
      <c r="HN107">
        <v>0</v>
      </c>
      <c r="HO107">
        <v>1</v>
      </c>
      <c r="HR107">
        <v>1</v>
      </c>
      <c r="HS107">
        <v>0</v>
      </c>
      <c r="HV107">
        <v>0</v>
      </c>
      <c r="HW107">
        <v>0</v>
      </c>
      <c r="HZ107">
        <v>0</v>
      </c>
      <c r="IA107">
        <v>0</v>
      </c>
      <c r="ID107">
        <v>0</v>
      </c>
      <c r="IE107">
        <v>0</v>
      </c>
      <c r="IH107">
        <v>0</v>
      </c>
      <c r="II107">
        <v>0</v>
      </c>
      <c r="IL107">
        <v>0</v>
      </c>
      <c r="IM107">
        <v>0</v>
      </c>
      <c r="IP107">
        <v>0</v>
      </c>
      <c r="IQ107">
        <v>0</v>
      </c>
      <c r="IT107">
        <v>0</v>
      </c>
      <c r="IU107">
        <v>0</v>
      </c>
      <c r="IX107">
        <v>0</v>
      </c>
      <c r="IY107">
        <f t="shared" ca="1" si="12"/>
        <v>3</v>
      </c>
      <c r="IZ107">
        <f t="shared" ca="1" si="12"/>
        <v>0</v>
      </c>
      <c r="JA107">
        <f t="shared" ca="1" si="12"/>
        <v>0</v>
      </c>
      <c r="JB107">
        <f t="shared" ca="1" si="12"/>
        <v>3</v>
      </c>
    </row>
    <row r="108" spans="1:262" x14ac:dyDescent="0.25">
      <c r="A108" s="54">
        <v>105</v>
      </c>
      <c r="B108" s="38" t="s">
        <v>359</v>
      </c>
      <c r="C108">
        <v>0</v>
      </c>
      <c r="F108">
        <v>0</v>
      </c>
      <c r="G108">
        <v>3</v>
      </c>
      <c r="J108">
        <v>3</v>
      </c>
      <c r="K108">
        <v>0</v>
      </c>
      <c r="N108">
        <v>0</v>
      </c>
      <c r="O108">
        <v>0</v>
      </c>
      <c r="R108">
        <v>0</v>
      </c>
      <c r="S108">
        <v>0</v>
      </c>
      <c r="V108">
        <v>0</v>
      </c>
      <c r="W108">
        <v>0</v>
      </c>
      <c r="Z108">
        <v>0</v>
      </c>
      <c r="AA108">
        <v>0</v>
      </c>
      <c r="AD108">
        <v>0</v>
      </c>
      <c r="AE108">
        <v>1</v>
      </c>
      <c r="AH108">
        <v>1</v>
      </c>
      <c r="AI108">
        <v>1</v>
      </c>
      <c r="AL108">
        <v>1</v>
      </c>
      <c r="AM108">
        <v>0</v>
      </c>
      <c r="AP108">
        <v>0</v>
      </c>
      <c r="AQ108">
        <v>1</v>
      </c>
      <c r="AT108">
        <v>1</v>
      </c>
      <c r="AU108">
        <v>0</v>
      </c>
      <c r="AX108">
        <v>0</v>
      </c>
      <c r="AY108">
        <v>0</v>
      </c>
      <c r="BB108">
        <v>0</v>
      </c>
      <c r="BC108">
        <v>0</v>
      </c>
      <c r="BF108">
        <v>0</v>
      </c>
      <c r="BG108">
        <v>0</v>
      </c>
      <c r="BJ108">
        <v>0</v>
      </c>
      <c r="BK108">
        <v>0</v>
      </c>
      <c r="BN108">
        <v>0</v>
      </c>
      <c r="BO108">
        <v>0</v>
      </c>
      <c r="BR108">
        <v>0</v>
      </c>
      <c r="BS108">
        <v>0</v>
      </c>
      <c r="BV108">
        <v>0</v>
      </c>
      <c r="BW108">
        <v>0</v>
      </c>
      <c r="BZ108">
        <v>0</v>
      </c>
      <c r="CA108">
        <v>0</v>
      </c>
      <c r="CD108">
        <v>0</v>
      </c>
      <c r="CE108">
        <v>0</v>
      </c>
      <c r="CH108">
        <v>0</v>
      </c>
      <c r="CI108">
        <v>0</v>
      </c>
      <c r="CL108">
        <v>0</v>
      </c>
      <c r="CM108">
        <v>0</v>
      </c>
      <c r="CP108">
        <v>0</v>
      </c>
      <c r="CQ108">
        <v>0</v>
      </c>
      <c r="CT108">
        <v>0</v>
      </c>
      <c r="CU108">
        <v>0</v>
      </c>
      <c r="CX108">
        <v>0</v>
      </c>
      <c r="CY108">
        <v>1</v>
      </c>
      <c r="DB108">
        <v>1</v>
      </c>
      <c r="DC108">
        <v>0</v>
      </c>
      <c r="DF108">
        <v>0</v>
      </c>
      <c r="DG108">
        <v>0</v>
      </c>
      <c r="DJ108">
        <v>0</v>
      </c>
      <c r="DK108">
        <v>1</v>
      </c>
      <c r="DN108">
        <v>1</v>
      </c>
      <c r="DO108">
        <v>0</v>
      </c>
      <c r="DR108">
        <v>0</v>
      </c>
      <c r="DS108">
        <v>0</v>
      </c>
      <c r="DV108">
        <v>0</v>
      </c>
      <c r="DW108">
        <v>0</v>
      </c>
      <c r="DZ108">
        <v>0</v>
      </c>
      <c r="EA108">
        <v>1</v>
      </c>
      <c r="ED108">
        <v>1</v>
      </c>
      <c r="EE108">
        <v>0</v>
      </c>
      <c r="EH108">
        <v>0</v>
      </c>
      <c r="EI108">
        <v>0</v>
      </c>
      <c r="EL108">
        <v>0</v>
      </c>
      <c r="EM108">
        <v>0</v>
      </c>
      <c r="EP108">
        <v>0</v>
      </c>
      <c r="EQ108">
        <v>0</v>
      </c>
      <c r="ET108">
        <v>0</v>
      </c>
      <c r="EU108">
        <v>0</v>
      </c>
      <c r="EX108">
        <v>0</v>
      </c>
      <c r="EY108">
        <v>0</v>
      </c>
      <c r="FB108">
        <v>0</v>
      </c>
      <c r="FC108">
        <v>0</v>
      </c>
      <c r="FF108">
        <v>0</v>
      </c>
      <c r="FG108">
        <v>0</v>
      </c>
      <c r="FJ108">
        <v>0</v>
      </c>
      <c r="FK108">
        <v>0</v>
      </c>
      <c r="FN108">
        <v>0</v>
      </c>
      <c r="FO108">
        <v>0</v>
      </c>
      <c r="FR108">
        <v>0</v>
      </c>
      <c r="FS108">
        <v>0</v>
      </c>
      <c r="FV108">
        <v>0</v>
      </c>
      <c r="FW108">
        <v>0</v>
      </c>
      <c r="FZ108">
        <v>0</v>
      </c>
      <c r="GA108">
        <v>0</v>
      </c>
      <c r="GD108">
        <v>0</v>
      </c>
      <c r="GE108">
        <v>0</v>
      </c>
      <c r="GH108">
        <v>0</v>
      </c>
      <c r="GI108">
        <v>0</v>
      </c>
      <c r="GL108">
        <v>0</v>
      </c>
      <c r="GM108">
        <v>0</v>
      </c>
      <c r="GP108">
        <v>0</v>
      </c>
      <c r="GQ108">
        <v>0</v>
      </c>
      <c r="GT108">
        <v>0</v>
      </c>
      <c r="GU108">
        <v>0</v>
      </c>
      <c r="GX108">
        <v>0</v>
      </c>
      <c r="GY108">
        <v>0</v>
      </c>
      <c r="HB108">
        <v>0</v>
      </c>
      <c r="HC108">
        <v>0</v>
      </c>
      <c r="HF108">
        <v>0</v>
      </c>
      <c r="HG108">
        <v>0</v>
      </c>
      <c r="HJ108">
        <v>0</v>
      </c>
      <c r="HK108">
        <v>0</v>
      </c>
      <c r="HN108">
        <v>0</v>
      </c>
      <c r="HO108">
        <v>0</v>
      </c>
      <c r="HR108">
        <v>0</v>
      </c>
      <c r="HS108">
        <v>0</v>
      </c>
      <c r="HV108">
        <v>0</v>
      </c>
      <c r="HW108">
        <v>0</v>
      </c>
      <c r="HZ108">
        <v>0</v>
      </c>
      <c r="IA108">
        <v>0</v>
      </c>
      <c r="ID108">
        <v>0</v>
      </c>
      <c r="IE108">
        <v>0</v>
      </c>
      <c r="IH108">
        <v>0</v>
      </c>
      <c r="II108">
        <v>0</v>
      </c>
      <c r="IL108">
        <v>0</v>
      </c>
      <c r="IM108">
        <v>0</v>
      </c>
      <c r="IP108">
        <v>0</v>
      </c>
      <c r="IQ108">
        <v>0</v>
      </c>
      <c r="IT108">
        <v>0</v>
      </c>
      <c r="IU108">
        <v>0</v>
      </c>
      <c r="IX108">
        <v>0</v>
      </c>
      <c r="IY108">
        <f t="shared" ca="1" si="12"/>
        <v>3</v>
      </c>
      <c r="IZ108">
        <f t="shared" ca="1" si="12"/>
        <v>0</v>
      </c>
      <c r="JA108">
        <f t="shared" ca="1" si="12"/>
        <v>0</v>
      </c>
      <c r="JB108">
        <f t="shared" ca="1" si="12"/>
        <v>3</v>
      </c>
    </row>
    <row r="109" spans="1:262" x14ac:dyDescent="0.25">
      <c r="A109" s="54">
        <v>106</v>
      </c>
      <c r="B109" s="38" t="s">
        <v>481</v>
      </c>
      <c r="C109">
        <v>0</v>
      </c>
      <c r="F109">
        <v>0</v>
      </c>
      <c r="G109">
        <v>3</v>
      </c>
      <c r="J109">
        <v>3</v>
      </c>
      <c r="K109">
        <v>0</v>
      </c>
      <c r="N109">
        <v>0</v>
      </c>
      <c r="O109">
        <v>0</v>
      </c>
      <c r="R109">
        <v>0</v>
      </c>
      <c r="S109">
        <v>0</v>
      </c>
      <c r="V109">
        <v>0</v>
      </c>
      <c r="W109">
        <v>0</v>
      </c>
      <c r="Z109">
        <v>0</v>
      </c>
      <c r="AA109">
        <v>0</v>
      </c>
      <c r="AD109">
        <v>0</v>
      </c>
      <c r="AE109">
        <v>1</v>
      </c>
      <c r="AH109">
        <v>1</v>
      </c>
      <c r="AI109">
        <v>1</v>
      </c>
      <c r="AL109">
        <v>1</v>
      </c>
      <c r="AM109">
        <v>0</v>
      </c>
      <c r="AP109">
        <v>0</v>
      </c>
      <c r="AQ109">
        <v>1</v>
      </c>
      <c r="AT109">
        <v>1</v>
      </c>
      <c r="AU109">
        <v>0</v>
      </c>
      <c r="AX109">
        <v>0</v>
      </c>
      <c r="AY109">
        <v>0</v>
      </c>
      <c r="BB109">
        <v>0</v>
      </c>
      <c r="BC109">
        <v>0</v>
      </c>
      <c r="BF109">
        <v>0</v>
      </c>
      <c r="BG109">
        <v>0</v>
      </c>
      <c r="BJ109">
        <v>0</v>
      </c>
      <c r="BK109">
        <v>0</v>
      </c>
      <c r="BN109">
        <v>0</v>
      </c>
      <c r="BO109">
        <v>0</v>
      </c>
      <c r="BR109">
        <v>0</v>
      </c>
      <c r="BS109">
        <v>0</v>
      </c>
      <c r="BV109">
        <v>0</v>
      </c>
      <c r="BW109">
        <v>0</v>
      </c>
      <c r="BZ109">
        <v>0</v>
      </c>
      <c r="CA109">
        <v>0</v>
      </c>
      <c r="CD109">
        <v>0</v>
      </c>
      <c r="CE109">
        <v>0</v>
      </c>
      <c r="CH109">
        <v>0</v>
      </c>
      <c r="CI109">
        <v>0</v>
      </c>
      <c r="CL109">
        <v>0</v>
      </c>
      <c r="CM109">
        <v>0</v>
      </c>
      <c r="CP109">
        <v>0</v>
      </c>
      <c r="CQ109">
        <v>0</v>
      </c>
      <c r="CT109">
        <v>0</v>
      </c>
      <c r="CU109">
        <v>0</v>
      </c>
      <c r="CX109">
        <v>0</v>
      </c>
      <c r="CY109">
        <v>1</v>
      </c>
      <c r="DB109">
        <v>1</v>
      </c>
      <c r="DC109">
        <v>0</v>
      </c>
      <c r="DF109">
        <v>0</v>
      </c>
      <c r="DG109">
        <v>0</v>
      </c>
      <c r="DJ109">
        <v>0</v>
      </c>
      <c r="DK109">
        <v>1</v>
      </c>
      <c r="DN109">
        <v>1</v>
      </c>
      <c r="DO109">
        <v>0</v>
      </c>
      <c r="DR109">
        <v>0</v>
      </c>
      <c r="DS109">
        <v>0</v>
      </c>
      <c r="DV109">
        <v>0</v>
      </c>
      <c r="DW109">
        <v>0</v>
      </c>
      <c r="DZ109">
        <v>0</v>
      </c>
      <c r="EA109">
        <v>1</v>
      </c>
      <c r="ED109">
        <v>1</v>
      </c>
      <c r="EE109">
        <v>0</v>
      </c>
      <c r="EH109">
        <v>0</v>
      </c>
      <c r="EI109">
        <v>0</v>
      </c>
      <c r="EL109">
        <v>0</v>
      </c>
      <c r="EM109">
        <v>0</v>
      </c>
      <c r="EP109">
        <v>0</v>
      </c>
      <c r="EQ109">
        <v>0</v>
      </c>
      <c r="ET109">
        <v>0</v>
      </c>
      <c r="EU109">
        <v>0</v>
      </c>
      <c r="EX109">
        <v>0</v>
      </c>
      <c r="EY109">
        <v>0</v>
      </c>
      <c r="FB109">
        <v>0</v>
      </c>
      <c r="FC109">
        <v>0</v>
      </c>
      <c r="FF109">
        <v>0</v>
      </c>
      <c r="FG109">
        <v>0</v>
      </c>
      <c r="FJ109">
        <v>0</v>
      </c>
      <c r="FK109">
        <v>0</v>
      </c>
      <c r="FN109">
        <v>0</v>
      </c>
      <c r="FO109">
        <v>0</v>
      </c>
      <c r="FR109">
        <v>0</v>
      </c>
      <c r="FS109">
        <v>0</v>
      </c>
      <c r="FV109">
        <v>0</v>
      </c>
      <c r="FW109">
        <v>0</v>
      </c>
      <c r="FZ109">
        <v>0</v>
      </c>
      <c r="GA109">
        <v>0</v>
      </c>
      <c r="GD109">
        <v>0</v>
      </c>
      <c r="GE109">
        <v>0</v>
      </c>
      <c r="GH109">
        <v>0</v>
      </c>
      <c r="GI109">
        <v>0</v>
      </c>
      <c r="GL109">
        <v>0</v>
      </c>
      <c r="GM109">
        <v>0</v>
      </c>
      <c r="GP109">
        <v>0</v>
      </c>
      <c r="GQ109">
        <v>0</v>
      </c>
      <c r="GT109">
        <v>0</v>
      </c>
      <c r="GU109">
        <v>0</v>
      </c>
      <c r="GX109">
        <v>0</v>
      </c>
      <c r="GY109">
        <v>0</v>
      </c>
      <c r="HB109">
        <v>0</v>
      </c>
      <c r="HC109">
        <v>0</v>
      </c>
      <c r="HF109">
        <v>0</v>
      </c>
      <c r="HG109">
        <v>0</v>
      </c>
      <c r="HJ109">
        <v>0</v>
      </c>
      <c r="HK109">
        <v>0</v>
      </c>
      <c r="HN109">
        <v>0</v>
      </c>
      <c r="HO109">
        <v>0</v>
      </c>
      <c r="HR109">
        <v>0</v>
      </c>
      <c r="HS109">
        <v>0</v>
      </c>
      <c r="HV109">
        <v>0</v>
      </c>
      <c r="HW109">
        <v>0</v>
      </c>
      <c r="HZ109">
        <v>0</v>
      </c>
      <c r="IA109">
        <v>0</v>
      </c>
      <c r="ID109">
        <v>0</v>
      </c>
      <c r="IE109">
        <v>0</v>
      </c>
      <c r="IH109">
        <v>0</v>
      </c>
      <c r="II109">
        <v>0</v>
      </c>
      <c r="IL109">
        <v>0</v>
      </c>
      <c r="IM109">
        <v>0</v>
      </c>
      <c r="IP109">
        <v>0</v>
      </c>
      <c r="IQ109">
        <v>0</v>
      </c>
      <c r="IT109">
        <v>0</v>
      </c>
      <c r="IU109">
        <v>0</v>
      </c>
      <c r="IX109">
        <v>0</v>
      </c>
      <c r="IY109">
        <f t="shared" ca="1" si="12"/>
        <v>3</v>
      </c>
      <c r="IZ109">
        <f t="shared" ca="1" si="12"/>
        <v>0</v>
      </c>
      <c r="JA109">
        <f t="shared" ca="1" si="12"/>
        <v>0</v>
      </c>
      <c r="JB109">
        <f t="shared" ca="1" si="12"/>
        <v>3</v>
      </c>
    </row>
    <row r="110" spans="1:262" x14ac:dyDescent="0.25">
      <c r="A110" s="54">
        <v>107</v>
      </c>
      <c r="B110" s="38" t="s">
        <v>503</v>
      </c>
      <c r="C110">
        <v>0</v>
      </c>
      <c r="F110">
        <v>0</v>
      </c>
      <c r="G110">
        <v>2</v>
      </c>
      <c r="J110">
        <v>2</v>
      </c>
      <c r="K110">
        <v>0</v>
      </c>
      <c r="N110">
        <v>0</v>
      </c>
      <c r="O110">
        <v>0</v>
      </c>
      <c r="R110">
        <v>0</v>
      </c>
      <c r="S110">
        <v>0</v>
      </c>
      <c r="V110">
        <v>0</v>
      </c>
      <c r="W110">
        <v>0</v>
      </c>
      <c r="Z110">
        <v>0</v>
      </c>
      <c r="AA110">
        <v>0</v>
      </c>
      <c r="AD110">
        <v>0</v>
      </c>
      <c r="AE110">
        <v>1</v>
      </c>
      <c r="AH110">
        <v>1</v>
      </c>
      <c r="AI110">
        <v>1</v>
      </c>
      <c r="AL110">
        <v>1</v>
      </c>
      <c r="AM110">
        <v>0</v>
      </c>
      <c r="AP110">
        <v>0</v>
      </c>
      <c r="AQ110">
        <v>0</v>
      </c>
      <c r="AT110">
        <v>0</v>
      </c>
      <c r="AU110">
        <v>0</v>
      </c>
      <c r="AX110">
        <v>0</v>
      </c>
      <c r="AY110">
        <v>0</v>
      </c>
      <c r="BB110">
        <v>0</v>
      </c>
      <c r="BC110">
        <v>0</v>
      </c>
      <c r="BF110">
        <v>0</v>
      </c>
      <c r="BG110">
        <v>0</v>
      </c>
      <c r="BJ110">
        <v>0</v>
      </c>
      <c r="BK110">
        <v>0</v>
      </c>
      <c r="BN110">
        <v>0</v>
      </c>
      <c r="BO110">
        <v>0</v>
      </c>
      <c r="BR110">
        <v>0</v>
      </c>
      <c r="BS110">
        <v>0</v>
      </c>
      <c r="BV110">
        <v>0</v>
      </c>
      <c r="BW110">
        <v>0</v>
      </c>
      <c r="BZ110">
        <v>0</v>
      </c>
      <c r="CA110">
        <v>0</v>
      </c>
      <c r="CD110">
        <v>0</v>
      </c>
      <c r="CE110">
        <v>0</v>
      </c>
      <c r="CH110">
        <v>0</v>
      </c>
      <c r="CI110">
        <v>0</v>
      </c>
      <c r="CL110">
        <v>0</v>
      </c>
      <c r="CM110">
        <v>0</v>
      </c>
      <c r="CP110">
        <v>0</v>
      </c>
      <c r="CQ110">
        <v>0</v>
      </c>
      <c r="CT110">
        <v>0</v>
      </c>
      <c r="CU110">
        <v>0</v>
      </c>
      <c r="CX110">
        <v>0</v>
      </c>
      <c r="CY110">
        <v>1</v>
      </c>
      <c r="DB110">
        <v>1</v>
      </c>
      <c r="DC110">
        <v>0</v>
      </c>
      <c r="DF110">
        <v>0</v>
      </c>
      <c r="DG110">
        <v>0</v>
      </c>
      <c r="DJ110">
        <v>0</v>
      </c>
      <c r="DK110">
        <v>1</v>
      </c>
      <c r="DN110">
        <v>1</v>
      </c>
      <c r="DO110">
        <v>0</v>
      </c>
      <c r="DR110">
        <v>0</v>
      </c>
      <c r="DS110">
        <v>0</v>
      </c>
      <c r="DV110">
        <v>0</v>
      </c>
      <c r="DW110">
        <v>0</v>
      </c>
      <c r="DZ110">
        <v>0</v>
      </c>
      <c r="EA110">
        <v>0</v>
      </c>
      <c r="ED110">
        <v>0</v>
      </c>
      <c r="EE110">
        <v>0</v>
      </c>
      <c r="EH110">
        <v>0</v>
      </c>
      <c r="EI110">
        <v>0</v>
      </c>
      <c r="EL110">
        <v>0</v>
      </c>
      <c r="EM110">
        <v>0</v>
      </c>
      <c r="EP110">
        <v>0</v>
      </c>
      <c r="EQ110">
        <v>0</v>
      </c>
      <c r="ET110">
        <v>0</v>
      </c>
      <c r="EU110">
        <v>0</v>
      </c>
      <c r="EX110">
        <v>0</v>
      </c>
      <c r="EY110">
        <v>0</v>
      </c>
      <c r="FB110">
        <v>0</v>
      </c>
      <c r="FC110">
        <v>0</v>
      </c>
      <c r="FF110">
        <v>0</v>
      </c>
      <c r="FG110">
        <v>0</v>
      </c>
      <c r="FJ110">
        <v>0</v>
      </c>
      <c r="FK110">
        <v>0</v>
      </c>
      <c r="FN110">
        <v>0</v>
      </c>
      <c r="FO110">
        <v>0</v>
      </c>
      <c r="FR110">
        <v>0</v>
      </c>
      <c r="FS110">
        <v>0</v>
      </c>
      <c r="FV110">
        <v>0</v>
      </c>
      <c r="FW110">
        <v>0</v>
      </c>
      <c r="FZ110">
        <v>0</v>
      </c>
      <c r="GA110">
        <v>0</v>
      </c>
      <c r="GD110">
        <v>0</v>
      </c>
      <c r="GE110">
        <v>0</v>
      </c>
      <c r="GH110">
        <v>0</v>
      </c>
      <c r="GI110">
        <v>0</v>
      </c>
      <c r="GL110">
        <v>0</v>
      </c>
      <c r="GM110">
        <v>0</v>
      </c>
      <c r="GP110">
        <v>0</v>
      </c>
      <c r="GQ110">
        <v>0</v>
      </c>
      <c r="GT110">
        <v>0</v>
      </c>
      <c r="GU110">
        <v>0</v>
      </c>
      <c r="GX110">
        <v>0</v>
      </c>
      <c r="GY110">
        <v>0</v>
      </c>
      <c r="HB110">
        <v>0</v>
      </c>
      <c r="HC110">
        <v>0</v>
      </c>
      <c r="HF110">
        <v>0</v>
      </c>
      <c r="HG110">
        <v>0</v>
      </c>
      <c r="HJ110">
        <v>0</v>
      </c>
      <c r="HK110">
        <v>0</v>
      </c>
      <c r="HN110">
        <v>0</v>
      </c>
      <c r="HO110">
        <v>0</v>
      </c>
      <c r="HR110">
        <v>0</v>
      </c>
      <c r="HS110">
        <v>0</v>
      </c>
      <c r="HV110">
        <v>0</v>
      </c>
      <c r="HW110">
        <v>0</v>
      </c>
      <c r="HZ110">
        <v>0</v>
      </c>
      <c r="IA110">
        <v>0</v>
      </c>
      <c r="ID110">
        <v>0</v>
      </c>
      <c r="IE110">
        <v>0</v>
      </c>
      <c r="IH110">
        <v>0</v>
      </c>
      <c r="II110">
        <v>0</v>
      </c>
      <c r="IL110">
        <v>0</v>
      </c>
      <c r="IM110">
        <v>0</v>
      </c>
      <c r="IP110">
        <v>0</v>
      </c>
      <c r="IQ110">
        <v>0</v>
      </c>
      <c r="IT110">
        <v>0</v>
      </c>
      <c r="IU110">
        <v>0</v>
      </c>
      <c r="IX110">
        <v>0</v>
      </c>
      <c r="IY110">
        <f t="shared" ca="1" si="12"/>
        <v>2</v>
      </c>
      <c r="IZ110">
        <f t="shared" ca="1" si="12"/>
        <v>0</v>
      </c>
      <c r="JA110">
        <f t="shared" ca="1" si="12"/>
        <v>0</v>
      </c>
      <c r="JB110">
        <f t="shared" ca="1" si="12"/>
        <v>2</v>
      </c>
    </row>
    <row r="111" spans="1:262" x14ac:dyDescent="0.25">
      <c r="A111" s="54">
        <v>108</v>
      </c>
      <c r="B111" s="38" t="s">
        <v>590</v>
      </c>
      <c r="C111">
        <v>0</v>
      </c>
      <c r="F111">
        <v>0</v>
      </c>
      <c r="G111">
        <v>3</v>
      </c>
      <c r="J111">
        <v>3</v>
      </c>
      <c r="K111">
        <v>0</v>
      </c>
      <c r="N111">
        <v>0</v>
      </c>
      <c r="O111">
        <v>0</v>
      </c>
      <c r="R111">
        <v>0</v>
      </c>
      <c r="S111">
        <v>0</v>
      </c>
      <c r="V111">
        <v>0</v>
      </c>
      <c r="W111">
        <v>0</v>
      </c>
      <c r="Z111">
        <v>0</v>
      </c>
      <c r="AA111">
        <v>0</v>
      </c>
      <c r="AD111">
        <v>0</v>
      </c>
      <c r="AE111">
        <v>1</v>
      </c>
      <c r="AH111">
        <v>1</v>
      </c>
      <c r="AI111">
        <v>1</v>
      </c>
      <c r="AL111">
        <v>1</v>
      </c>
      <c r="AM111">
        <v>0</v>
      </c>
      <c r="AP111">
        <v>0</v>
      </c>
      <c r="AQ111">
        <v>1</v>
      </c>
      <c r="AT111">
        <v>1</v>
      </c>
      <c r="AU111">
        <v>0</v>
      </c>
      <c r="AX111">
        <v>0</v>
      </c>
      <c r="AY111">
        <v>0</v>
      </c>
      <c r="BB111">
        <v>0</v>
      </c>
      <c r="BC111">
        <v>0</v>
      </c>
      <c r="BF111">
        <v>0</v>
      </c>
      <c r="BG111">
        <v>0</v>
      </c>
      <c r="BJ111">
        <v>0</v>
      </c>
      <c r="BK111">
        <v>0</v>
      </c>
      <c r="BN111">
        <v>0</v>
      </c>
      <c r="BO111">
        <v>0</v>
      </c>
      <c r="BR111">
        <v>0</v>
      </c>
      <c r="BS111">
        <v>0</v>
      </c>
      <c r="BV111">
        <v>0</v>
      </c>
      <c r="BW111">
        <v>0</v>
      </c>
      <c r="BZ111">
        <v>0</v>
      </c>
      <c r="CA111">
        <v>0</v>
      </c>
      <c r="CD111">
        <v>0</v>
      </c>
      <c r="CE111">
        <v>0</v>
      </c>
      <c r="CH111">
        <v>0</v>
      </c>
      <c r="CI111">
        <v>0</v>
      </c>
      <c r="CL111">
        <v>0</v>
      </c>
      <c r="CM111">
        <v>0</v>
      </c>
      <c r="CP111">
        <v>0</v>
      </c>
      <c r="CQ111">
        <v>0</v>
      </c>
      <c r="CT111">
        <v>0</v>
      </c>
      <c r="CU111">
        <v>0</v>
      </c>
      <c r="CX111">
        <v>0</v>
      </c>
      <c r="CY111">
        <v>1</v>
      </c>
      <c r="DB111">
        <v>1</v>
      </c>
      <c r="DC111">
        <v>0</v>
      </c>
      <c r="DF111">
        <v>0</v>
      </c>
      <c r="DG111">
        <v>0</v>
      </c>
      <c r="DJ111">
        <v>0</v>
      </c>
      <c r="DK111">
        <v>1</v>
      </c>
      <c r="DN111">
        <v>1</v>
      </c>
      <c r="DO111">
        <v>0</v>
      </c>
      <c r="DR111">
        <v>0</v>
      </c>
      <c r="DS111">
        <v>0</v>
      </c>
      <c r="DV111">
        <v>0</v>
      </c>
      <c r="DW111">
        <v>0</v>
      </c>
      <c r="DZ111">
        <v>0</v>
      </c>
      <c r="EA111">
        <v>1</v>
      </c>
      <c r="ED111">
        <v>1</v>
      </c>
      <c r="EE111">
        <v>0</v>
      </c>
      <c r="EH111">
        <v>0</v>
      </c>
      <c r="EI111">
        <v>0</v>
      </c>
      <c r="EL111">
        <v>0</v>
      </c>
      <c r="EM111">
        <v>0</v>
      </c>
      <c r="EP111">
        <v>0</v>
      </c>
      <c r="EQ111">
        <v>0</v>
      </c>
      <c r="ET111">
        <v>0</v>
      </c>
      <c r="EU111">
        <v>0</v>
      </c>
      <c r="EX111">
        <v>0</v>
      </c>
      <c r="EY111">
        <v>0</v>
      </c>
      <c r="FB111">
        <v>0</v>
      </c>
      <c r="FC111">
        <v>0</v>
      </c>
      <c r="FF111">
        <v>0</v>
      </c>
      <c r="FG111">
        <v>0</v>
      </c>
      <c r="FJ111">
        <v>0</v>
      </c>
      <c r="FK111">
        <v>0</v>
      </c>
      <c r="FN111">
        <v>0</v>
      </c>
      <c r="FO111">
        <v>0</v>
      </c>
      <c r="FR111">
        <v>0</v>
      </c>
      <c r="FS111">
        <v>0</v>
      </c>
      <c r="FV111">
        <v>0</v>
      </c>
      <c r="FW111">
        <v>0</v>
      </c>
      <c r="FZ111">
        <v>0</v>
      </c>
      <c r="GA111">
        <v>0</v>
      </c>
      <c r="GD111">
        <v>0</v>
      </c>
      <c r="GE111">
        <v>0</v>
      </c>
      <c r="GH111">
        <v>0</v>
      </c>
      <c r="GI111">
        <v>0</v>
      </c>
      <c r="GL111">
        <v>0</v>
      </c>
      <c r="GM111">
        <v>0</v>
      </c>
      <c r="GP111">
        <v>0</v>
      </c>
      <c r="GQ111">
        <v>0</v>
      </c>
      <c r="GT111">
        <v>0</v>
      </c>
      <c r="GU111">
        <v>0</v>
      </c>
      <c r="GX111">
        <v>0</v>
      </c>
      <c r="GY111">
        <v>0</v>
      </c>
      <c r="HB111">
        <v>0</v>
      </c>
      <c r="HC111">
        <v>0</v>
      </c>
      <c r="HF111">
        <v>0</v>
      </c>
      <c r="HG111">
        <v>0</v>
      </c>
      <c r="HJ111">
        <v>0</v>
      </c>
      <c r="HK111">
        <v>0</v>
      </c>
      <c r="HN111">
        <v>0</v>
      </c>
      <c r="HO111">
        <v>0</v>
      </c>
      <c r="HR111">
        <v>0</v>
      </c>
      <c r="HS111">
        <v>0</v>
      </c>
      <c r="HV111">
        <v>0</v>
      </c>
      <c r="HW111">
        <v>0</v>
      </c>
      <c r="HZ111">
        <v>0</v>
      </c>
      <c r="IA111">
        <v>0</v>
      </c>
      <c r="ID111">
        <v>0</v>
      </c>
      <c r="IE111">
        <v>0</v>
      </c>
      <c r="IH111">
        <v>0</v>
      </c>
      <c r="II111">
        <v>0</v>
      </c>
      <c r="IL111">
        <v>0</v>
      </c>
      <c r="IM111">
        <v>0</v>
      </c>
      <c r="IP111">
        <v>0</v>
      </c>
      <c r="IQ111">
        <v>0</v>
      </c>
      <c r="IT111">
        <v>0</v>
      </c>
      <c r="IU111">
        <v>0</v>
      </c>
      <c r="IX111">
        <v>0</v>
      </c>
      <c r="IY111">
        <f t="shared" ca="1" si="12"/>
        <v>3</v>
      </c>
      <c r="IZ111">
        <f t="shared" ca="1" si="12"/>
        <v>0</v>
      </c>
      <c r="JA111">
        <f t="shared" ca="1" si="12"/>
        <v>0</v>
      </c>
      <c r="JB111">
        <f t="shared" ca="1" si="12"/>
        <v>3</v>
      </c>
    </row>
    <row r="112" spans="1:262" x14ac:dyDescent="0.25">
      <c r="A112" s="54">
        <v>109</v>
      </c>
      <c r="B112" s="38" t="s">
        <v>497</v>
      </c>
      <c r="C112">
        <v>0</v>
      </c>
      <c r="F112">
        <v>0</v>
      </c>
      <c r="G112">
        <v>1</v>
      </c>
      <c r="J112">
        <v>1</v>
      </c>
      <c r="K112">
        <v>0</v>
      </c>
      <c r="N112">
        <v>0</v>
      </c>
      <c r="O112">
        <v>0</v>
      </c>
      <c r="R112">
        <v>0</v>
      </c>
      <c r="S112">
        <v>0</v>
      </c>
      <c r="V112">
        <v>0</v>
      </c>
      <c r="W112">
        <v>0</v>
      </c>
      <c r="Z112">
        <v>0</v>
      </c>
      <c r="AA112">
        <v>0</v>
      </c>
      <c r="AD112">
        <v>0</v>
      </c>
      <c r="AE112">
        <v>1</v>
      </c>
      <c r="AH112">
        <v>1</v>
      </c>
      <c r="AI112">
        <v>0</v>
      </c>
      <c r="AL112">
        <v>0</v>
      </c>
      <c r="AM112">
        <v>0</v>
      </c>
      <c r="AP112">
        <v>0</v>
      </c>
      <c r="AQ112">
        <v>0</v>
      </c>
      <c r="AT112">
        <v>0</v>
      </c>
      <c r="AU112">
        <v>0</v>
      </c>
      <c r="AX112">
        <v>0</v>
      </c>
      <c r="AY112">
        <v>0</v>
      </c>
      <c r="BB112">
        <v>0</v>
      </c>
      <c r="BC112">
        <v>0</v>
      </c>
      <c r="BF112">
        <v>0</v>
      </c>
      <c r="BG112">
        <v>0</v>
      </c>
      <c r="BJ112">
        <v>0</v>
      </c>
      <c r="BK112">
        <v>0</v>
      </c>
      <c r="BN112">
        <v>0</v>
      </c>
      <c r="BO112">
        <v>0</v>
      </c>
      <c r="BR112">
        <v>0</v>
      </c>
      <c r="BS112">
        <v>0</v>
      </c>
      <c r="BV112">
        <v>0</v>
      </c>
      <c r="BW112">
        <v>0</v>
      </c>
      <c r="BZ112">
        <v>0</v>
      </c>
      <c r="CA112">
        <v>0</v>
      </c>
      <c r="CD112">
        <v>0</v>
      </c>
      <c r="CE112">
        <v>0</v>
      </c>
      <c r="CH112">
        <v>0</v>
      </c>
      <c r="CI112">
        <v>0</v>
      </c>
      <c r="CL112">
        <v>0</v>
      </c>
      <c r="CM112">
        <v>0</v>
      </c>
      <c r="CP112">
        <v>0</v>
      </c>
      <c r="CQ112">
        <v>0</v>
      </c>
      <c r="CT112">
        <v>0</v>
      </c>
      <c r="CU112">
        <v>0</v>
      </c>
      <c r="CX112">
        <v>0</v>
      </c>
      <c r="CY112">
        <v>0</v>
      </c>
      <c r="DB112">
        <v>0</v>
      </c>
      <c r="DC112">
        <v>1</v>
      </c>
      <c r="DF112">
        <v>1</v>
      </c>
      <c r="DG112">
        <v>0</v>
      </c>
      <c r="DJ112">
        <v>0</v>
      </c>
      <c r="DK112">
        <v>0</v>
      </c>
      <c r="DN112">
        <v>0</v>
      </c>
      <c r="DO112">
        <v>0</v>
      </c>
      <c r="DR112">
        <v>0</v>
      </c>
      <c r="DS112">
        <v>0</v>
      </c>
      <c r="DV112">
        <v>0</v>
      </c>
      <c r="DW112">
        <v>0</v>
      </c>
      <c r="DZ112">
        <v>0</v>
      </c>
      <c r="EA112">
        <v>0</v>
      </c>
      <c r="ED112">
        <v>0</v>
      </c>
      <c r="EE112">
        <v>0</v>
      </c>
      <c r="EH112">
        <v>0</v>
      </c>
      <c r="EI112">
        <v>0</v>
      </c>
      <c r="EL112">
        <v>0</v>
      </c>
      <c r="EM112">
        <v>0</v>
      </c>
      <c r="EP112">
        <v>0</v>
      </c>
      <c r="EQ112">
        <v>0</v>
      </c>
      <c r="ET112">
        <v>0</v>
      </c>
      <c r="EU112">
        <v>0</v>
      </c>
      <c r="EX112">
        <v>0</v>
      </c>
      <c r="EY112">
        <v>0</v>
      </c>
      <c r="FB112">
        <v>0</v>
      </c>
      <c r="FC112">
        <v>0</v>
      </c>
      <c r="FF112">
        <v>0</v>
      </c>
      <c r="FG112">
        <v>0</v>
      </c>
      <c r="FJ112">
        <v>0</v>
      </c>
      <c r="FK112">
        <v>0</v>
      </c>
      <c r="FN112">
        <v>0</v>
      </c>
      <c r="FO112">
        <v>0</v>
      </c>
      <c r="FR112">
        <v>0</v>
      </c>
      <c r="FS112">
        <v>0</v>
      </c>
      <c r="FV112">
        <v>0</v>
      </c>
      <c r="FW112">
        <v>0</v>
      </c>
      <c r="FZ112">
        <v>0</v>
      </c>
      <c r="GA112">
        <v>0</v>
      </c>
      <c r="GD112">
        <v>0</v>
      </c>
      <c r="GE112">
        <v>0</v>
      </c>
      <c r="GH112">
        <v>0</v>
      </c>
      <c r="GI112">
        <v>0</v>
      </c>
      <c r="GL112">
        <v>0</v>
      </c>
      <c r="GM112">
        <v>0</v>
      </c>
      <c r="GP112">
        <v>0</v>
      </c>
      <c r="GQ112">
        <v>0</v>
      </c>
      <c r="GT112">
        <v>0</v>
      </c>
      <c r="GU112">
        <v>0</v>
      </c>
      <c r="GX112">
        <v>0</v>
      </c>
      <c r="GY112">
        <v>0</v>
      </c>
      <c r="HB112">
        <v>0</v>
      </c>
      <c r="HC112">
        <v>0</v>
      </c>
      <c r="HF112">
        <v>0</v>
      </c>
      <c r="HG112">
        <v>0</v>
      </c>
      <c r="HJ112">
        <v>0</v>
      </c>
      <c r="HK112">
        <v>0</v>
      </c>
      <c r="HN112">
        <v>0</v>
      </c>
      <c r="HO112">
        <v>0</v>
      </c>
      <c r="HR112">
        <v>0</v>
      </c>
      <c r="HS112">
        <v>0</v>
      </c>
      <c r="HV112">
        <v>0</v>
      </c>
      <c r="HW112">
        <v>0</v>
      </c>
      <c r="HZ112">
        <v>0</v>
      </c>
      <c r="IA112">
        <v>0</v>
      </c>
      <c r="ID112">
        <v>0</v>
      </c>
      <c r="IE112">
        <v>0</v>
      </c>
      <c r="IH112">
        <v>0</v>
      </c>
      <c r="II112">
        <v>0</v>
      </c>
      <c r="IL112">
        <v>0</v>
      </c>
      <c r="IM112">
        <v>0</v>
      </c>
      <c r="IP112">
        <v>0</v>
      </c>
      <c r="IQ112">
        <v>0</v>
      </c>
      <c r="IT112">
        <v>0</v>
      </c>
      <c r="IU112">
        <v>0</v>
      </c>
      <c r="IX112">
        <v>0</v>
      </c>
      <c r="IY112">
        <f t="shared" ca="1" si="12"/>
        <v>1</v>
      </c>
      <c r="IZ112">
        <f t="shared" ca="1" si="12"/>
        <v>0</v>
      </c>
      <c r="JA112">
        <f t="shared" ca="1" si="12"/>
        <v>0</v>
      </c>
      <c r="JB112">
        <f t="shared" ca="1" si="12"/>
        <v>1</v>
      </c>
    </row>
    <row r="113" spans="1:262" x14ac:dyDescent="0.25">
      <c r="A113" s="54">
        <v>110</v>
      </c>
      <c r="B113" s="38" t="s">
        <v>376</v>
      </c>
      <c r="C113">
        <v>0</v>
      </c>
      <c r="F113">
        <v>0</v>
      </c>
      <c r="G113">
        <v>1</v>
      </c>
      <c r="J113">
        <v>1</v>
      </c>
      <c r="K113">
        <v>0</v>
      </c>
      <c r="N113">
        <v>0</v>
      </c>
      <c r="O113">
        <v>1</v>
      </c>
      <c r="R113">
        <v>1</v>
      </c>
      <c r="S113">
        <v>0</v>
      </c>
      <c r="V113">
        <v>0</v>
      </c>
      <c r="W113">
        <v>0</v>
      </c>
      <c r="Z113">
        <v>0</v>
      </c>
      <c r="AA113">
        <v>0</v>
      </c>
      <c r="AD113">
        <v>0</v>
      </c>
      <c r="AE113">
        <v>2</v>
      </c>
      <c r="AH113">
        <v>2</v>
      </c>
      <c r="AI113">
        <v>0</v>
      </c>
      <c r="AL113">
        <v>0</v>
      </c>
      <c r="AM113">
        <v>0</v>
      </c>
      <c r="AP113">
        <v>0</v>
      </c>
      <c r="AQ113">
        <v>0</v>
      </c>
      <c r="AT113">
        <v>0</v>
      </c>
      <c r="AU113">
        <v>0</v>
      </c>
      <c r="AX113">
        <v>0</v>
      </c>
      <c r="AY113">
        <v>0</v>
      </c>
      <c r="BB113">
        <v>0</v>
      </c>
      <c r="BC113">
        <v>0</v>
      </c>
      <c r="BF113">
        <v>0</v>
      </c>
      <c r="BG113">
        <v>0</v>
      </c>
      <c r="BJ113">
        <v>0</v>
      </c>
      <c r="BK113">
        <v>0</v>
      </c>
      <c r="BN113">
        <v>0</v>
      </c>
      <c r="BO113">
        <v>0</v>
      </c>
      <c r="BR113">
        <v>0</v>
      </c>
      <c r="BS113">
        <v>0</v>
      </c>
      <c r="BV113">
        <v>0</v>
      </c>
      <c r="BW113">
        <v>0</v>
      </c>
      <c r="BZ113">
        <v>0</v>
      </c>
      <c r="CA113">
        <v>0</v>
      </c>
      <c r="CD113">
        <v>0</v>
      </c>
      <c r="CE113">
        <v>0</v>
      </c>
      <c r="CH113">
        <v>0</v>
      </c>
      <c r="CI113">
        <v>0</v>
      </c>
      <c r="CL113">
        <v>0</v>
      </c>
      <c r="CM113">
        <v>0</v>
      </c>
      <c r="CP113">
        <v>0</v>
      </c>
      <c r="CQ113">
        <v>0</v>
      </c>
      <c r="CT113">
        <v>0</v>
      </c>
      <c r="CU113">
        <v>0</v>
      </c>
      <c r="CX113">
        <v>0</v>
      </c>
      <c r="CY113">
        <v>0</v>
      </c>
      <c r="DB113">
        <v>0</v>
      </c>
      <c r="DC113">
        <v>1</v>
      </c>
      <c r="DF113">
        <v>1</v>
      </c>
      <c r="DG113">
        <v>0</v>
      </c>
      <c r="DJ113">
        <v>0</v>
      </c>
      <c r="DK113">
        <v>0</v>
      </c>
      <c r="DN113">
        <v>0</v>
      </c>
      <c r="DO113">
        <v>0</v>
      </c>
      <c r="DR113">
        <v>0</v>
      </c>
      <c r="DS113">
        <v>0</v>
      </c>
      <c r="DV113">
        <v>0</v>
      </c>
      <c r="DW113">
        <v>0</v>
      </c>
      <c r="DZ113">
        <v>0</v>
      </c>
      <c r="EA113">
        <v>0</v>
      </c>
      <c r="ED113">
        <v>0</v>
      </c>
      <c r="EE113">
        <v>0</v>
      </c>
      <c r="EH113">
        <v>0</v>
      </c>
      <c r="EI113">
        <v>0</v>
      </c>
      <c r="EL113">
        <v>0</v>
      </c>
      <c r="EM113">
        <v>0</v>
      </c>
      <c r="EP113">
        <v>0</v>
      </c>
      <c r="EQ113">
        <v>0</v>
      </c>
      <c r="ET113">
        <v>0</v>
      </c>
      <c r="EU113">
        <v>0</v>
      </c>
      <c r="EX113">
        <v>0</v>
      </c>
      <c r="EY113">
        <v>0</v>
      </c>
      <c r="FB113">
        <v>0</v>
      </c>
      <c r="FC113">
        <v>0</v>
      </c>
      <c r="FF113">
        <v>0</v>
      </c>
      <c r="FG113">
        <v>0</v>
      </c>
      <c r="FJ113">
        <v>0</v>
      </c>
      <c r="FK113">
        <v>0</v>
      </c>
      <c r="FN113">
        <v>0</v>
      </c>
      <c r="FO113">
        <v>0</v>
      </c>
      <c r="FR113">
        <v>0</v>
      </c>
      <c r="FS113">
        <v>0</v>
      </c>
      <c r="FV113">
        <v>0</v>
      </c>
      <c r="FW113">
        <v>0</v>
      </c>
      <c r="FZ113">
        <v>0</v>
      </c>
      <c r="GA113">
        <v>0</v>
      </c>
      <c r="GD113">
        <v>0</v>
      </c>
      <c r="GE113">
        <v>0</v>
      </c>
      <c r="GH113">
        <v>0</v>
      </c>
      <c r="GI113">
        <v>0</v>
      </c>
      <c r="GL113">
        <v>0</v>
      </c>
      <c r="GM113">
        <v>0</v>
      </c>
      <c r="GP113">
        <v>0</v>
      </c>
      <c r="GQ113">
        <v>0</v>
      </c>
      <c r="GT113">
        <v>0</v>
      </c>
      <c r="GU113">
        <v>0</v>
      </c>
      <c r="GX113">
        <v>0</v>
      </c>
      <c r="GY113">
        <v>0</v>
      </c>
      <c r="HB113">
        <v>0</v>
      </c>
      <c r="HC113">
        <v>0</v>
      </c>
      <c r="HF113">
        <v>0</v>
      </c>
      <c r="HG113">
        <v>0</v>
      </c>
      <c r="HJ113">
        <v>0</v>
      </c>
      <c r="HK113">
        <v>0</v>
      </c>
      <c r="HN113">
        <v>0</v>
      </c>
      <c r="HO113">
        <v>1</v>
      </c>
      <c r="HR113">
        <v>1</v>
      </c>
      <c r="HS113">
        <v>0</v>
      </c>
      <c r="HV113">
        <v>0</v>
      </c>
      <c r="HW113">
        <v>0</v>
      </c>
      <c r="HZ113">
        <v>0</v>
      </c>
      <c r="IA113">
        <v>0</v>
      </c>
      <c r="ID113">
        <v>0</v>
      </c>
      <c r="IE113">
        <v>0</v>
      </c>
      <c r="IH113">
        <v>0</v>
      </c>
      <c r="II113">
        <v>0</v>
      </c>
      <c r="IL113">
        <v>0</v>
      </c>
      <c r="IM113">
        <v>0</v>
      </c>
      <c r="IP113">
        <v>0</v>
      </c>
      <c r="IQ113">
        <v>0</v>
      </c>
      <c r="IT113">
        <v>0</v>
      </c>
      <c r="IU113">
        <v>0</v>
      </c>
      <c r="IX113">
        <v>0</v>
      </c>
      <c r="IY113">
        <f t="shared" ca="1" si="12"/>
        <v>2</v>
      </c>
      <c r="IZ113">
        <f t="shared" ca="1" si="12"/>
        <v>0</v>
      </c>
      <c r="JA113">
        <f t="shared" ca="1" si="12"/>
        <v>0</v>
      </c>
      <c r="JB113">
        <f t="shared" ca="1" si="12"/>
        <v>2</v>
      </c>
    </row>
    <row r="114" spans="1:262" x14ac:dyDescent="0.25">
      <c r="A114" s="54">
        <v>111</v>
      </c>
      <c r="B114" s="38" t="s">
        <v>358</v>
      </c>
      <c r="C114">
        <v>0</v>
      </c>
      <c r="F114">
        <v>0</v>
      </c>
      <c r="G114">
        <v>1</v>
      </c>
      <c r="J114">
        <v>1</v>
      </c>
      <c r="K114">
        <v>0</v>
      </c>
      <c r="N114">
        <v>0</v>
      </c>
      <c r="O114">
        <v>0</v>
      </c>
      <c r="R114">
        <v>0</v>
      </c>
      <c r="S114">
        <v>0</v>
      </c>
      <c r="V114">
        <v>0</v>
      </c>
      <c r="W114">
        <v>0</v>
      </c>
      <c r="Z114">
        <v>0</v>
      </c>
      <c r="AA114">
        <v>0</v>
      </c>
      <c r="AD114">
        <v>0</v>
      </c>
      <c r="AE114">
        <v>1</v>
      </c>
      <c r="AH114">
        <v>1</v>
      </c>
      <c r="AI114">
        <v>0</v>
      </c>
      <c r="AL114">
        <v>0</v>
      </c>
      <c r="AM114">
        <v>0</v>
      </c>
      <c r="AP114">
        <v>0</v>
      </c>
      <c r="AQ114">
        <v>0</v>
      </c>
      <c r="AT114">
        <v>0</v>
      </c>
      <c r="AU114">
        <v>0</v>
      </c>
      <c r="AX114">
        <v>0</v>
      </c>
      <c r="AY114">
        <v>0</v>
      </c>
      <c r="BB114">
        <v>0</v>
      </c>
      <c r="BC114">
        <v>0</v>
      </c>
      <c r="BF114">
        <v>0</v>
      </c>
      <c r="BG114">
        <v>0</v>
      </c>
      <c r="BJ114">
        <v>0</v>
      </c>
      <c r="BK114">
        <v>0</v>
      </c>
      <c r="BN114">
        <v>0</v>
      </c>
      <c r="BO114">
        <v>0</v>
      </c>
      <c r="BR114">
        <v>0</v>
      </c>
      <c r="BS114">
        <v>0</v>
      </c>
      <c r="BV114">
        <v>0</v>
      </c>
      <c r="BW114">
        <v>0</v>
      </c>
      <c r="BZ114">
        <v>0</v>
      </c>
      <c r="CA114">
        <v>0</v>
      </c>
      <c r="CD114">
        <v>0</v>
      </c>
      <c r="CE114">
        <v>0</v>
      </c>
      <c r="CH114">
        <v>0</v>
      </c>
      <c r="CI114">
        <v>0</v>
      </c>
      <c r="CL114">
        <v>0</v>
      </c>
      <c r="CM114">
        <v>0</v>
      </c>
      <c r="CP114">
        <v>0</v>
      </c>
      <c r="CQ114">
        <v>0</v>
      </c>
      <c r="CT114">
        <v>0</v>
      </c>
      <c r="CU114">
        <v>0</v>
      </c>
      <c r="CX114">
        <v>0</v>
      </c>
      <c r="CY114">
        <v>0</v>
      </c>
      <c r="DB114">
        <v>0</v>
      </c>
      <c r="DC114">
        <v>1</v>
      </c>
      <c r="DF114">
        <v>1</v>
      </c>
      <c r="DG114">
        <v>0</v>
      </c>
      <c r="DJ114">
        <v>0</v>
      </c>
      <c r="DK114">
        <v>0</v>
      </c>
      <c r="DN114">
        <v>0</v>
      </c>
      <c r="DO114">
        <v>0</v>
      </c>
      <c r="DR114">
        <v>0</v>
      </c>
      <c r="DS114">
        <v>0</v>
      </c>
      <c r="DV114">
        <v>0</v>
      </c>
      <c r="DW114">
        <v>0</v>
      </c>
      <c r="DZ114">
        <v>0</v>
      </c>
      <c r="EA114">
        <v>0</v>
      </c>
      <c r="ED114">
        <v>0</v>
      </c>
      <c r="EE114">
        <v>0</v>
      </c>
      <c r="EH114">
        <v>0</v>
      </c>
      <c r="EI114">
        <v>0</v>
      </c>
      <c r="EL114">
        <v>0</v>
      </c>
      <c r="EM114">
        <v>0</v>
      </c>
      <c r="EP114">
        <v>0</v>
      </c>
      <c r="EQ114">
        <v>0</v>
      </c>
      <c r="ET114">
        <v>0</v>
      </c>
      <c r="EU114">
        <v>0</v>
      </c>
      <c r="EX114">
        <v>0</v>
      </c>
      <c r="EY114">
        <v>0</v>
      </c>
      <c r="FB114">
        <v>0</v>
      </c>
      <c r="FC114">
        <v>0</v>
      </c>
      <c r="FF114">
        <v>0</v>
      </c>
      <c r="FG114">
        <v>0</v>
      </c>
      <c r="FJ114">
        <v>0</v>
      </c>
      <c r="FK114">
        <v>0</v>
      </c>
      <c r="FN114">
        <v>0</v>
      </c>
      <c r="FO114">
        <v>0</v>
      </c>
      <c r="FR114">
        <v>0</v>
      </c>
      <c r="FS114">
        <v>0</v>
      </c>
      <c r="FV114">
        <v>0</v>
      </c>
      <c r="FW114">
        <v>0</v>
      </c>
      <c r="FZ114">
        <v>0</v>
      </c>
      <c r="GA114">
        <v>0</v>
      </c>
      <c r="GD114">
        <v>0</v>
      </c>
      <c r="GE114">
        <v>0</v>
      </c>
      <c r="GH114">
        <v>0</v>
      </c>
      <c r="GI114">
        <v>0</v>
      </c>
      <c r="GL114">
        <v>0</v>
      </c>
      <c r="GM114">
        <v>0</v>
      </c>
      <c r="GP114">
        <v>0</v>
      </c>
      <c r="GQ114">
        <v>0</v>
      </c>
      <c r="GT114">
        <v>0</v>
      </c>
      <c r="GU114">
        <v>0</v>
      </c>
      <c r="GX114">
        <v>0</v>
      </c>
      <c r="GY114">
        <v>0</v>
      </c>
      <c r="HB114">
        <v>0</v>
      </c>
      <c r="HC114">
        <v>0</v>
      </c>
      <c r="HF114">
        <v>0</v>
      </c>
      <c r="HG114">
        <v>0</v>
      </c>
      <c r="HJ114">
        <v>0</v>
      </c>
      <c r="HK114">
        <v>0</v>
      </c>
      <c r="HN114">
        <v>0</v>
      </c>
      <c r="HO114">
        <v>0</v>
      </c>
      <c r="HR114">
        <v>0</v>
      </c>
      <c r="HS114">
        <v>0</v>
      </c>
      <c r="HV114">
        <v>0</v>
      </c>
      <c r="HW114">
        <v>0</v>
      </c>
      <c r="HZ114">
        <v>0</v>
      </c>
      <c r="IA114">
        <v>0</v>
      </c>
      <c r="ID114">
        <v>0</v>
      </c>
      <c r="IE114">
        <v>0</v>
      </c>
      <c r="IH114">
        <v>0</v>
      </c>
      <c r="II114">
        <v>0</v>
      </c>
      <c r="IL114">
        <v>0</v>
      </c>
      <c r="IM114">
        <v>0</v>
      </c>
      <c r="IP114">
        <v>0</v>
      </c>
      <c r="IQ114">
        <v>0</v>
      </c>
      <c r="IT114">
        <v>0</v>
      </c>
      <c r="IU114">
        <v>0</v>
      </c>
      <c r="IX114">
        <v>0</v>
      </c>
      <c r="IY114">
        <f t="shared" ca="1" si="12"/>
        <v>1</v>
      </c>
      <c r="IZ114">
        <f t="shared" ca="1" si="12"/>
        <v>0</v>
      </c>
      <c r="JA114">
        <f t="shared" ca="1" si="12"/>
        <v>0</v>
      </c>
      <c r="JB114">
        <f t="shared" ca="1" si="12"/>
        <v>1</v>
      </c>
    </row>
    <row r="115" spans="1:262" x14ac:dyDescent="0.25">
      <c r="A115" s="54">
        <v>112</v>
      </c>
      <c r="B115" s="38" t="s">
        <v>496</v>
      </c>
      <c r="C115">
        <v>0</v>
      </c>
      <c r="F115">
        <v>0</v>
      </c>
      <c r="G115">
        <v>1</v>
      </c>
      <c r="J115">
        <v>1</v>
      </c>
      <c r="K115">
        <v>0</v>
      </c>
      <c r="N115">
        <v>0</v>
      </c>
      <c r="O115">
        <v>1</v>
      </c>
      <c r="R115">
        <v>1</v>
      </c>
      <c r="S115">
        <v>0</v>
      </c>
      <c r="V115">
        <v>0</v>
      </c>
      <c r="W115">
        <v>0</v>
      </c>
      <c r="Z115">
        <v>0</v>
      </c>
      <c r="AA115">
        <v>0</v>
      </c>
      <c r="AD115">
        <v>0</v>
      </c>
      <c r="AE115">
        <v>2</v>
      </c>
      <c r="AH115">
        <v>2</v>
      </c>
      <c r="AI115">
        <v>0</v>
      </c>
      <c r="AL115">
        <v>0</v>
      </c>
      <c r="AM115">
        <v>0</v>
      </c>
      <c r="AP115">
        <v>0</v>
      </c>
      <c r="AQ115">
        <v>0</v>
      </c>
      <c r="AT115">
        <v>0</v>
      </c>
      <c r="AU115">
        <v>0</v>
      </c>
      <c r="AX115">
        <v>0</v>
      </c>
      <c r="AY115">
        <v>0</v>
      </c>
      <c r="BB115">
        <v>0</v>
      </c>
      <c r="BC115">
        <v>0</v>
      </c>
      <c r="BF115">
        <v>0</v>
      </c>
      <c r="BG115">
        <v>0</v>
      </c>
      <c r="BJ115">
        <v>0</v>
      </c>
      <c r="BK115">
        <v>0</v>
      </c>
      <c r="BN115">
        <v>0</v>
      </c>
      <c r="BO115">
        <v>0</v>
      </c>
      <c r="BR115">
        <v>0</v>
      </c>
      <c r="BS115">
        <v>0</v>
      </c>
      <c r="BV115">
        <v>0</v>
      </c>
      <c r="BW115">
        <v>0</v>
      </c>
      <c r="BZ115">
        <v>0</v>
      </c>
      <c r="CA115">
        <v>0</v>
      </c>
      <c r="CD115">
        <v>0</v>
      </c>
      <c r="CE115">
        <v>0</v>
      </c>
      <c r="CH115">
        <v>0</v>
      </c>
      <c r="CI115">
        <v>0</v>
      </c>
      <c r="CL115">
        <v>0</v>
      </c>
      <c r="CM115">
        <v>0</v>
      </c>
      <c r="CP115">
        <v>0</v>
      </c>
      <c r="CQ115">
        <v>0</v>
      </c>
      <c r="CT115">
        <v>0</v>
      </c>
      <c r="CU115">
        <v>0</v>
      </c>
      <c r="CX115">
        <v>0</v>
      </c>
      <c r="CY115">
        <v>0</v>
      </c>
      <c r="DB115">
        <v>0</v>
      </c>
      <c r="DC115">
        <v>1</v>
      </c>
      <c r="DF115">
        <v>1</v>
      </c>
      <c r="DG115">
        <v>0</v>
      </c>
      <c r="DJ115">
        <v>0</v>
      </c>
      <c r="DK115">
        <v>0</v>
      </c>
      <c r="DN115">
        <v>0</v>
      </c>
      <c r="DO115">
        <v>0</v>
      </c>
      <c r="DR115">
        <v>0</v>
      </c>
      <c r="DS115">
        <v>0</v>
      </c>
      <c r="DV115">
        <v>0</v>
      </c>
      <c r="DW115">
        <v>0</v>
      </c>
      <c r="DZ115">
        <v>0</v>
      </c>
      <c r="EA115">
        <v>0</v>
      </c>
      <c r="ED115">
        <v>0</v>
      </c>
      <c r="EE115">
        <v>0</v>
      </c>
      <c r="EH115">
        <v>0</v>
      </c>
      <c r="EI115">
        <v>0</v>
      </c>
      <c r="EL115">
        <v>0</v>
      </c>
      <c r="EM115">
        <v>0</v>
      </c>
      <c r="EP115">
        <v>0</v>
      </c>
      <c r="EQ115">
        <v>0</v>
      </c>
      <c r="ET115">
        <v>0</v>
      </c>
      <c r="EU115">
        <v>0</v>
      </c>
      <c r="EX115">
        <v>0</v>
      </c>
      <c r="EY115">
        <v>0</v>
      </c>
      <c r="FB115">
        <v>0</v>
      </c>
      <c r="FC115">
        <v>0</v>
      </c>
      <c r="FF115">
        <v>0</v>
      </c>
      <c r="FG115">
        <v>0</v>
      </c>
      <c r="FJ115">
        <v>0</v>
      </c>
      <c r="FK115">
        <v>0</v>
      </c>
      <c r="FN115">
        <v>0</v>
      </c>
      <c r="FO115">
        <v>0</v>
      </c>
      <c r="FR115">
        <v>0</v>
      </c>
      <c r="FS115">
        <v>0</v>
      </c>
      <c r="FV115">
        <v>0</v>
      </c>
      <c r="FW115">
        <v>0</v>
      </c>
      <c r="FZ115">
        <v>0</v>
      </c>
      <c r="GA115">
        <v>0</v>
      </c>
      <c r="GD115">
        <v>0</v>
      </c>
      <c r="GE115">
        <v>0</v>
      </c>
      <c r="GH115">
        <v>0</v>
      </c>
      <c r="GI115">
        <v>0</v>
      </c>
      <c r="GL115">
        <v>0</v>
      </c>
      <c r="GM115">
        <v>0</v>
      </c>
      <c r="GP115">
        <v>0</v>
      </c>
      <c r="GQ115">
        <v>0</v>
      </c>
      <c r="GT115">
        <v>0</v>
      </c>
      <c r="GU115">
        <v>0</v>
      </c>
      <c r="GX115">
        <v>0</v>
      </c>
      <c r="GY115">
        <v>0</v>
      </c>
      <c r="HB115">
        <v>0</v>
      </c>
      <c r="HC115">
        <v>0</v>
      </c>
      <c r="HF115">
        <v>0</v>
      </c>
      <c r="HG115">
        <v>0</v>
      </c>
      <c r="HJ115">
        <v>0</v>
      </c>
      <c r="HK115">
        <v>0</v>
      </c>
      <c r="HN115">
        <v>0</v>
      </c>
      <c r="HO115">
        <v>1</v>
      </c>
      <c r="HR115">
        <v>1</v>
      </c>
      <c r="HS115">
        <v>0</v>
      </c>
      <c r="HV115">
        <v>0</v>
      </c>
      <c r="HW115">
        <v>0</v>
      </c>
      <c r="HZ115">
        <v>0</v>
      </c>
      <c r="IA115">
        <v>0</v>
      </c>
      <c r="ID115">
        <v>0</v>
      </c>
      <c r="IE115">
        <v>0</v>
      </c>
      <c r="IH115">
        <v>0</v>
      </c>
      <c r="II115">
        <v>0</v>
      </c>
      <c r="IL115">
        <v>0</v>
      </c>
      <c r="IM115">
        <v>0</v>
      </c>
      <c r="IP115">
        <v>0</v>
      </c>
      <c r="IQ115">
        <v>0</v>
      </c>
      <c r="IT115">
        <v>0</v>
      </c>
      <c r="IU115">
        <v>0</v>
      </c>
      <c r="IX115">
        <v>0</v>
      </c>
      <c r="IY115">
        <f t="shared" ca="1" si="12"/>
        <v>2</v>
      </c>
      <c r="IZ115">
        <f t="shared" ca="1" si="12"/>
        <v>0</v>
      </c>
      <c r="JA115">
        <f t="shared" ca="1" si="12"/>
        <v>0</v>
      </c>
      <c r="JB115">
        <f t="shared" ca="1" si="12"/>
        <v>2</v>
      </c>
    </row>
    <row r="116" spans="1:262" x14ac:dyDescent="0.25">
      <c r="A116" s="54">
        <v>113</v>
      </c>
      <c r="B116" s="38" t="s">
        <v>493</v>
      </c>
      <c r="C116">
        <v>0</v>
      </c>
      <c r="F116">
        <v>0</v>
      </c>
      <c r="G116">
        <v>1</v>
      </c>
      <c r="J116">
        <v>1</v>
      </c>
      <c r="K116">
        <v>0</v>
      </c>
      <c r="N116">
        <v>0</v>
      </c>
      <c r="O116">
        <v>1</v>
      </c>
      <c r="R116">
        <v>1</v>
      </c>
      <c r="S116">
        <v>0</v>
      </c>
      <c r="V116">
        <v>0</v>
      </c>
      <c r="W116">
        <v>0</v>
      </c>
      <c r="Z116">
        <v>0</v>
      </c>
      <c r="AA116">
        <v>0</v>
      </c>
      <c r="AD116">
        <v>0</v>
      </c>
      <c r="AE116">
        <v>2</v>
      </c>
      <c r="AH116">
        <v>2</v>
      </c>
      <c r="AI116">
        <v>0</v>
      </c>
      <c r="AL116">
        <v>0</v>
      </c>
      <c r="AM116">
        <v>0</v>
      </c>
      <c r="AP116">
        <v>0</v>
      </c>
      <c r="AQ116">
        <v>0</v>
      </c>
      <c r="AT116">
        <v>0</v>
      </c>
      <c r="AU116">
        <v>0</v>
      </c>
      <c r="AX116">
        <v>0</v>
      </c>
      <c r="AY116">
        <v>0</v>
      </c>
      <c r="BB116">
        <v>0</v>
      </c>
      <c r="BC116">
        <v>0</v>
      </c>
      <c r="BF116">
        <v>0</v>
      </c>
      <c r="BG116">
        <v>0</v>
      </c>
      <c r="BJ116">
        <v>0</v>
      </c>
      <c r="BK116">
        <v>0</v>
      </c>
      <c r="BN116">
        <v>0</v>
      </c>
      <c r="BO116">
        <v>0</v>
      </c>
      <c r="BR116">
        <v>0</v>
      </c>
      <c r="BS116">
        <v>0</v>
      </c>
      <c r="BV116">
        <v>0</v>
      </c>
      <c r="BW116">
        <v>0</v>
      </c>
      <c r="BZ116">
        <v>0</v>
      </c>
      <c r="CA116">
        <v>0</v>
      </c>
      <c r="CD116">
        <v>0</v>
      </c>
      <c r="CE116">
        <v>0</v>
      </c>
      <c r="CH116">
        <v>0</v>
      </c>
      <c r="CI116">
        <v>0</v>
      </c>
      <c r="CL116">
        <v>0</v>
      </c>
      <c r="CM116">
        <v>0</v>
      </c>
      <c r="CP116">
        <v>0</v>
      </c>
      <c r="CQ116">
        <v>0</v>
      </c>
      <c r="CT116">
        <v>0</v>
      </c>
      <c r="CU116">
        <v>0</v>
      </c>
      <c r="CX116">
        <v>0</v>
      </c>
      <c r="CY116">
        <v>0</v>
      </c>
      <c r="DB116">
        <v>0</v>
      </c>
      <c r="DC116">
        <v>1</v>
      </c>
      <c r="DF116">
        <v>1</v>
      </c>
      <c r="DG116">
        <v>0</v>
      </c>
      <c r="DJ116">
        <v>0</v>
      </c>
      <c r="DK116">
        <v>0</v>
      </c>
      <c r="DN116">
        <v>0</v>
      </c>
      <c r="DO116">
        <v>0</v>
      </c>
      <c r="DR116">
        <v>0</v>
      </c>
      <c r="DS116">
        <v>0</v>
      </c>
      <c r="DV116">
        <v>0</v>
      </c>
      <c r="DW116">
        <v>0</v>
      </c>
      <c r="DZ116">
        <v>0</v>
      </c>
      <c r="EA116">
        <v>0</v>
      </c>
      <c r="ED116">
        <v>0</v>
      </c>
      <c r="EE116">
        <v>0</v>
      </c>
      <c r="EH116">
        <v>0</v>
      </c>
      <c r="EI116">
        <v>0</v>
      </c>
      <c r="EL116">
        <v>0</v>
      </c>
      <c r="EM116">
        <v>0</v>
      </c>
      <c r="EP116">
        <v>0</v>
      </c>
      <c r="EQ116">
        <v>0</v>
      </c>
      <c r="ET116">
        <v>0</v>
      </c>
      <c r="EU116">
        <v>0</v>
      </c>
      <c r="EX116">
        <v>0</v>
      </c>
      <c r="EY116">
        <v>0</v>
      </c>
      <c r="FB116">
        <v>0</v>
      </c>
      <c r="FC116">
        <v>0</v>
      </c>
      <c r="FF116">
        <v>0</v>
      </c>
      <c r="FG116">
        <v>0</v>
      </c>
      <c r="FJ116">
        <v>0</v>
      </c>
      <c r="FK116">
        <v>0</v>
      </c>
      <c r="FN116">
        <v>0</v>
      </c>
      <c r="FO116">
        <v>0</v>
      </c>
      <c r="FR116">
        <v>0</v>
      </c>
      <c r="FS116">
        <v>0</v>
      </c>
      <c r="FV116">
        <v>0</v>
      </c>
      <c r="FW116">
        <v>0</v>
      </c>
      <c r="FZ116">
        <v>0</v>
      </c>
      <c r="GA116">
        <v>0</v>
      </c>
      <c r="GD116">
        <v>0</v>
      </c>
      <c r="GE116">
        <v>0</v>
      </c>
      <c r="GH116">
        <v>0</v>
      </c>
      <c r="GI116">
        <v>0</v>
      </c>
      <c r="GL116">
        <v>0</v>
      </c>
      <c r="GM116">
        <v>0</v>
      </c>
      <c r="GP116">
        <v>0</v>
      </c>
      <c r="GQ116">
        <v>0</v>
      </c>
      <c r="GT116">
        <v>0</v>
      </c>
      <c r="GU116">
        <v>0</v>
      </c>
      <c r="GX116">
        <v>0</v>
      </c>
      <c r="GY116">
        <v>0</v>
      </c>
      <c r="HB116">
        <v>0</v>
      </c>
      <c r="HC116">
        <v>0</v>
      </c>
      <c r="HF116">
        <v>0</v>
      </c>
      <c r="HG116">
        <v>0</v>
      </c>
      <c r="HJ116">
        <v>0</v>
      </c>
      <c r="HK116">
        <v>0</v>
      </c>
      <c r="HN116">
        <v>0</v>
      </c>
      <c r="HO116">
        <v>1</v>
      </c>
      <c r="HR116">
        <v>1</v>
      </c>
      <c r="HS116">
        <v>0</v>
      </c>
      <c r="HV116">
        <v>0</v>
      </c>
      <c r="HW116">
        <v>0</v>
      </c>
      <c r="HZ116">
        <v>0</v>
      </c>
      <c r="IA116">
        <v>0</v>
      </c>
      <c r="ID116">
        <v>0</v>
      </c>
      <c r="IE116">
        <v>0</v>
      </c>
      <c r="IH116">
        <v>0</v>
      </c>
      <c r="II116">
        <v>0</v>
      </c>
      <c r="IL116">
        <v>0</v>
      </c>
      <c r="IM116">
        <v>0</v>
      </c>
      <c r="IP116">
        <v>0</v>
      </c>
      <c r="IQ116">
        <v>0</v>
      </c>
      <c r="IT116">
        <v>0</v>
      </c>
      <c r="IU116">
        <v>0</v>
      </c>
      <c r="IX116">
        <v>0</v>
      </c>
      <c r="IY116">
        <f t="shared" ca="1" si="12"/>
        <v>2</v>
      </c>
      <c r="IZ116">
        <f t="shared" ca="1" si="12"/>
        <v>0</v>
      </c>
      <c r="JA116">
        <f t="shared" ca="1" si="12"/>
        <v>0</v>
      </c>
      <c r="JB116">
        <f t="shared" ca="1" si="12"/>
        <v>2</v>
      </c>
    </row>
    <row r="117" spans="1:262" x14ac:dyDescent="0.25">
      <c r="A117" s="54">
        <v>114</v>
      </c>
      <c r="B117" s="38" t="s">
        <v>374</v>
      </c>
      <c r="C117">
        <v>0</v>
      </c>
      <c r="F117">
        <v>0</v>
      </c>
      <c r="G117">
        <v>1</v>
      </c>
      <c r="J117">
        <v>1</v>
      </c>
      <c r="K117">
        <v>0</v>
      </c>
      <c r="N117">
        <v>0</v>
      </c>
      <c r="O117">
        <v>0</v>
      </c>
      <c r="R117">
        <v>0</v>
      </c>
      <c r="S117">
        <v>0</v>
      </c>
      <c r="V117">
        <v>0</v>
      </c>
      <c r="W117">
        <v>0</v>
      </c>
      <c r="Z117">
        <v>0</v>
      </c>
      <c r="AA117">
        <v>0</v>
      </c>
      <c r="AD117">
        <v>0</v>
      </c>
      <c r="AE117">
        <v>0</v>
      </c>
      <c r="AH117">
        <v>0</v>
      </c>
      <c r="AI117">
        <v>1</v>
      </c>
      <c r="AL117">
        <v>1</v>
      </c>
      <c r="AM117">
        <v>0</v>
      </c>
      <c r="AP117">
        <v>0</v>
      </c>
      <c r="AQ117">
        <v>0</v>
      </c>
      <c r="AT117">
        <v>0</v>
      </c>
      <c r="AU117">
        <v>0</v>
      </c>
      <c r="AX117">
        <v>0</v>
      </c>
      <c r="AY117">
        <v>0</v>
      </c>
      <c r="BB117">
        <v>0</v>
      </c>
      <c r="BC117">
        <v>0</v>
      </c>
      <c r="BF117">
        <v>0</v>
      </c>
      <c r="BG117">
        <v>0</v>
      </c>
      <c r="BJ117">
        <v>0</v>
      </c>
      <c r="BK117">
        <v>0</v>
      </c>
      <c r="BN117">
        <v>0</v>
      </c>
      <c r="BO117">
        <v>0</v>
      </c>
      <c r="BR117">
        <v>0</v>
      </c>
      <c r="BS117">
        <v>0</v>
      </c>
      <c r="BV117">
        <v>0</v>
      </c>
      <c r="BW117">
        <v>0</v>
      </c>
      <c r="BZ117">
        <v>0</v>
      </c>
      <c r="CA117">
        <v>0</v>
      </c>
      <c r="CD117">
        <v>0</v>
      </c>
      <c r="CE117">
        <v>0</v>
      </c>
      <c r="CH117">
        <v>0</v>
      </c>
      <c r="CI117">
        <v>0</v>
      </c>
      <c r="CL117">
        <v>0</v>
      </c>
      <c r="CM117">
        <v>0</v>
      </c>
      <c r="CP117">
        <v>0</v>
      </c>
      <c r="CQ117">
        <v>0</v>
      </c>
      <c r="CT117">
        <v>0</v>
      </c>
      <c r="CU117">
        <v>0</v>
      </c>
      <c r="CX117">
        <v>0</v>
      </c>
      <c r="CY117">
        <v>0</v>
      </c>
      <c r="DB117">
        <v>0</v>
      </c>
      <c r="DC117">
        <v>0</v>
      </c>
      <c r="DF117">
        <v>0</v>
      </c>
      <c r="DG117">
        <v>0</v>
      </c>
      <c r="DJ117">
        <v>0</v>
      </c>
      <c r="DK117">
        <v>0</v>
      </c>
      <c r="DN117">
        <v>0</v>
      </c>
      <c r="DO117">
        <v>1</v>
      </c>
      <c r="DR117">
        <v>1</v>
      </c>
      <c r="DS117">
        <v>0</v>
      </c>
      <c r="DV117">
        <v>0</v>
      </c>
      <c r="DW117">
        <v>0</v>
      </c>
      <c r="DZ117">
        <v>0</v>
      </c>
      <c r="EA117">
        <v>0</v>
      </c>
      <c r="ED117">
        <v>0</v>
      </c>
      <c r="EE117">
        <v>0</v>
      </c>
      <c r="EH117">
        <v>0</v>
      </c>
      <c r="EI117">
        <v>0</v>
      </c>
      <c r="EL117">
        <v>0</v>
      </c>
      <c r="EM117">
        <v>0</v>
      </c>
      <c r="EP117">
        <v>0</v>
      </c>
      <c r="EQ117">
        <v>0</v>
      </c>
      <c r="ET117">
        <v>0</v>
      </c>
      <c r="EU117">
        <v>0</v>
      </c>
      <c r="EX117">
        <v>0</v>
      </c>
      <c r="EY117">
        <v>0</v>
      </c>
      <c r="FB117">
        <v>0</v>
      </c>
      <c r="FC117">
        <v>0</v>
      </c>
      <c r="FF117">
        <v>0</v>
      </c>
      <c r="FG117">
        <v>0</v>
      </c>
      <c r="FJ117">
        <v>0</v>
      </c>
      <c r="FK117">
        <v>0</v>
      </c>
      <c r="FN117">
        <v>0</v>
      </c>
      <c r="FO117">
        <v>0</v>
      </c>
      <c r="FR117">
        <v>0</v>
      </c>
      <c r="FS117">
        <v>0</v>
      </c>
      <c r="FV117">
        <v>0</v>
      </c>
      <c r="FW117">
        <v>0</v>
      </c>
      <c r="FZ117">
        <v>0</v>
      </c>
      <c r="GA117">
        <v>0</v>
      </c>
      <c r="GD117">
        <v>0</v>
      </c>
      <c r="GE117">
        <v>0</v>
      </c>
      <c r="GH117">
        <v>0</v>
      </c>
      <c r="GI117">
        <v>0</v>
      </c>
      <c r="GL117">
        <v>0</v>
      </c>
      <c r="GM117">
        <v>0</v>
      </c>
      <c r="GP117">
        <v>0</v>
      </c>
      <c r="GQ117">
        <v>0</v>
      </c>
      <c r="GT117">
        <v>0</v>
      </c>
      <c r="GU117">
        <v>0</v>
      </c>
      <c r="GX117">
        <v>0</v>
      </c>
      <c r="GY117">
        <v>0</v>
      </c>
      <c r="HB117">
        <v>0</v>
      </c>
      <c r="HC117">
        <v>0</v>
      </c>
      <c r="HF117">
        <v>0</v>
      </c>
      <c r="HG117">
        <v>0</v>
      </c>
      <c r="HJ117">
        <v>0</v>
      </c>
      <c r="HK117">
        <v>0</v>
      </c>
      <c r="HN117">
        <v>0</v>
      </c>
      <c r="HO117">
        <v>0</v>
      </c>
      <c r="HR117">
        <v>0</v>
      </c>
      <c r="HS117">
        <v>0</v>
      </c>
      <c r="HV117">
        <v>0</v>
      </c>
      <c r="HW117">
        <v>0</v>
      </c>
      <c r="HZ117">
        <v>0</v>
      </c>
      <c r="IA117">
        <v>0</v>
      </c>
      <c r="ID117">
        <v>0</v>
      </c>
      <c r="IE117">
        <v>0</v>
      </c>
      <c r="IH117">
        <v>0</v>
      </c>
      <c r="II117">
        <v>0</v>
      </c>
      <c r="IL117">
        <v>0</v>
      </c>
      <c r="IM117">
        <v>0</v>
      </c>
      <c r="IP117">
        <v>0</v>
      </c>
      <c r="IQ117">
        <v>0</v>
      </c>
      <c r="IT117">
        <v>0</v>
      </c>
      <c r="IU117">
        <v>0</v>
      </c>
      <c r="IX117">
        <v>0</v>
      </c>
      <c r="IY117">
        <f t="shared" ca="1" si="12"/>
        <v>1</v>
      </c>
      <c r="IZ117">
        <f t="shared" ca="1" si="12"/>
        <v>0</v>
      </c>
      <c r="JA117">
        <f t="shared" ca="1" si="12"/>
        <v>0</v>
      </c>
      <c r="JB117">
        <f t="shared" ca="1" si="12"/>
        <v>1</v>
      </c>
    </row>
    <row r="118" spans="1:262" x14ac:dyDescent="0.25">
      <c r="A118" s="54">
        <v>115</v>
      </c>
      <c r="B118" s="38" t="s">
        <v>473</v>
      </c>
      <c r="C118">
        <v>0</v>
      </c>
      <c r="F118">
        <v>0</v>
      </c>
      <c r="G118">
        <v>1</v>
      </c>
      <c r="J118">
        <v>1</v>
      </c>
      <c r="K118">
        <v>0</v>
      </c>
      <c r="N118">
        <v>0</v>
      </c>
      <c r="O118">
        <v>0</v>
      </c>
      <c r="R118">
        <v>0</v>
      </c>
      <c r="S118">
        <v>0</v>
      </c>
      <c r="V118">
        <v>0</v>
      </c>
      <c r="W118">
        <v>0</v>
      </c>
      <c r="Z118">
        <v>0</v>
      </c>
      <c r="AA118">
        <v>0</v>
      </c>
      <c r="AD118">
        <v>0</v>
      </c>
      <c r="AE118">
        <v>0</v>
      </c>
      <c r="AH118">
        <v>0</v>
      </c>
      <c r="AI118">
        <v>1</v>
      </c>
      <c r="AL118">
        <v>1</v>
      </c>
      <c r="AM118">
        <v>0</v>
      </c>
      <c r="AP118">
        <v>0</v>
      </c>
      <c r="AQ118">
        <v>0</v>
      </c>
      <c r="AT118">
        <v>0</v>
      </c>
      <c r="AU118">
        <v>0</v>
      </c>
      <c r="AX118">
        <v>0</v>
      </c>
      <c r="AY118">
        <v>0</v>
      </c>
      <c r="BB118">
        <v>0</v>
      </c>
      <c r="BC118">
        <v>0</v>
      </c>
      <c r="BF118">
        <v>0</v>
      </c>
      <c r="BG118">
        <v>0</v>
      </c>
      <c r="BJ118">
        <v>0</v>
      </c>
      <c r="BK118">
        <v>0</v>
      </c>
      <c r="BN118">
        <v>0</v>
      </c>
      <c r="BO118">
        <v>0</v>
      </c>
      <c r="BR118">
        <v>0</v>
      </c>
      <c r="BS118">
        <v>0</v>
      </c>
      <c r="BV118">
        <v>0</v>
      </c>
      <c r="BW118">
        <v>0</v>
      </c>
      <c r="BZ118">
        <v>0</v>
      </c>
      <c r="CA118">
        <v>0</v>
      </c>
      <c r="CD118">
        <v>0</v>
      </c>
      <c r="CE118">
        <v>0</v>
      </c>
      <c r="CH118">
        <v>0</v>
      </c>
      <c r="CI118">
        <v>0</v>
      </c>
      <c r="CL118">
        <v>0</v>
      </c>
      <c r="CM118">
        <v>0</v>
      </c>
      <c r="CP118">
        <v>0</v>
      </c>
      <c r="CQ118">
        <v>0</v>
      </c>
      <c r="CT118">
        <v>0</v>
      </c>
      <c r="CU118">
        <v>0</v>
      </c>
      <c r="CX118">
        <v>0</v>
      </c>
      <c r="CY118">
        <v>0</v>
      </c>
      <c r="DB118">
        <v>0</v>
      </c>
      <c r="DC118">
        <v>0</v>
      </c>
      <c r="DF118">
        <v>0</v>
      </c>
      <c r="DG118">
        <v>0</v>
      </c>
      <c r="DJ118">
        <v>0</v>
      </c>
      <c r="DK118">
        <v>0</v>
      </c>
      <c r="DN118">
        <v>0</v>
      </c>
      <c r="DO118">
        <v>1</v>
      </c>
      <c r="DR118">
        <v>1</v>
      </c>
      <c r="DS118">
        <v>0</v>
      </c>
      <c r="DV118">
        <v>0</v>
      </c>
      <c r="DW118">
        <v>0</v>
      </c>
      <c r="DZ118">
        <v>0</v>
      </c>
      <c r="EA118">
        <v>0</v>
      </c>
      <c r="ED118">
        <v>0</v>
      </c>
      <c r="EE118">
        <v>0</v>
      </c>
      <c r="EH118">
        <v>0</v>
      </c>
      <c r="EI118">
        <v>0</v>
      </c>
      <c r="EL118">
        <v>0</v>
      </c>
      <c r="EM118">
        <v>0</v>
      </c>
      <c r="EP118">
        <v>0</v>
      </c>
      <c r="EQ118">
        <v>0</v>
      </c>
      <c r="ET118">
        <v>0</v>
      </c>
      <c r="EU118">
        <v>0</v>
      </c>
      <c r="EX118">
        <v>0</v>
      </c>
      <c r="EY118">
        <v>0</v>
      </c>
      <c r="FB118">
        <v>0</v>
      </c>
      <c r="FC118">
        <v>0</v>
      </c>
      <c r="FF118">
        <v>0</v>
      </c>
      <c r="FG118">
        <v>0</v>
      </c>
      <c r="FJ118">
        <v>0</v>
      </c>
      <c r="FK118">
        <v>0</v>
      </c>
      <c r="FN118">
        <v>0</v>
      </c>
      <c r="FO118">
        <v>0</v>
      </c>
      <c r="FR118">
        <v>0</v>
      </c>
      <c r="FS118">
        <v>0</v>
      </c>
      <c r="FV118">
        <v>0</v>
      </c>
      <c r="FW118">
        <v>0</v>
      </c>
      <c r="FZ118">
        <v>0</v>
      </c>
      <c r="GA118">
        <v>0</v>
      </c>
      <c r="GD118">
        <v>0</v>
      </c>
      <c r="GE118">
        <v>0</v>
      </c>
      <c r="GH118">
        <v>0</v>
      </c>
      <c r="GI118">
        <v>0</v>
      </c>
      <c r="GL118">
        <v>0</v>
      </c>
      <c r="GM118">
        <v>0</v>
      </c>
      <c r="GP118">
        <v>0</v>
      </c>
      <c r="GQ118">
        <v>0</v>
      </c>
      <c r="GT118">
        <v>0</v>
      </c>
      <c r="GU118">
        <v>0</v>
      </c>
      <c r="GX118">
        <v>0</v>
      </c>
      <c r="GY118">
        <v>0</v>
      </c>
      <c r="HB118">
        <v>0</v>
      </c>
      <c r="HC118">
        <v>0</v>
      </c>
      <c r="HF118">
        <v>0</v>
      </c>
      <c r="HG118">
        <v>0</v>
      </c>
      <c r="HJ118">
        <v>0</v>
      </c>
      <c r="HK118">
        <v>0</v>
      </c>
      <c r="HN118">
        <v>0</v>
      </c>
      <c r="HO118">
        <v>0</v>
      </c>
      <c r="HR118">
        <v>0</v>
      </c>
      <c r="HS118">
        <v>0</v>
      </c>
      <c r="HV118">
        <v>0</v>
      </c>
      <c r="HW118">
        <v>0</v>
      </c>
      <c r="HZ118">
        <v>0</v>
      </c>
      <c r="IA118">
        <v>0</v>
      </c>
      <c r="ID118">
        <v>0</v>
      </c>
      <c r="IE118">
        <v>0</v>
      </c>
      <c r="IH118">
        <v>0</v>
      </c>
      <c r="II118">
        <v>0</v>
      </c>
      <c r="IL118">
        <v>0</v>
      </c>
      <c r="IM118">
        <v>0</v>
      </c>
      <c r="IP118">
        <v>0</v>
      </c>
      <c r="IQ118">
        <v>0</v>
      </c>
      <c r="IT118">
        <v>0</v>
      </c>
      <c r="IU118">
        <v>0</v>
      </c>
      <c r="IX118">
        <v>0</v>
      </c>
      <c r="IY118">
        <f t="shared" ca="1" si="12"/>
        <v>1</v>
      </c>
      <c r="IZ118">
        <f t="shared" ca="1" si="12"/>
        <v>0</v>
      </c>
      <c r="JA118">
        <f t="shared" ca="1" si="12"/>
        <v>0</v>
      </c>
      <c r="JB118">
        <f t="shared" ca="1" si="12"/>
        <v>1</v>
      </c>
    </row>
    <row r="119" spans="1:262" x14ac:dyDescent="0.25">
      <c r="A119" s="54">
        <v>116</v>
      </c>
      <c r="B119" s="38" t="s">
        <v>471</v>
      </c>
      <c r="C119">
        <v>0</v>
      </c>
      <c r="F119">
        <v>0</v>
      </c>
      <c r="G119">
        <v>1</v>
      </c>
      <c r="J119">
        <v>1</v>
      </c>
      <c r="K119">
        <v>0</v>
      </c>
      <c r="N119">
        <v>0</v>
      </c>
      <c r="O119">
        <v>0</v>
      </c>
      <c r="R119">
        <v>0</v>
      </c>
      <c r="S119">
        <v>0</v>
      </c>
      <c r="V119">
        <v>0</v>
      </c>
      <c r="W119">
        <v>0</v>
      </c>
      <c r="Z119">
        <v>0</v>
      </c>
      <c r="AA119">
        <v>0</v>
      </c>
      <c r="AD119">
        <v>0</v>
      </c>
      <c r="AE119">
        <v>0</v>
      </c>
      <c r="AH119">
        <v>0</v>
      </c>
      <c r="AI119">
        <v>1</v>
      </c>
      <c r="AL119">
        <v>1</v>
      </c>
      <c r="AM119">
        <v>0</v>
      </c>
      <c r="AP119">
        <v>0</v>
      </c>
      <c r="AQ119">
        <v>0</v>
      </c>
      <c r="AT119">
        <v>0</v>
      </c>
      <c r="AU119">
        <v>0</v>
      </c>
      <c r="AX119">
        <v>0</v>
      </c>
      <c r="AY119">
        <v>0</v>
      </c>
      <c r="BB119">
        <v>0</v>
      </c>
      <c r="BC119">
        <v>0</v>
      </c>
      <c r="BF119">
        <v>0</v>
      </c>
      <c r="BG119">
        <v>0</v>
      </c>
      <c r="BJ119">
        <v>0</v>
      </c>
      <c r="BK119">
        <v>0</v>
      </c>
      <c r="BN119">
        <v>0</v>
      </c>
      <c r="BO119">
        <v>0</v>
      </c>
      <c r="BR119">
        <v>0</v>
      </c>
      <c r="BS119">
        <v>0</v>
      </c>
      <c r="BV119">
        <v>0</v>
      </c>
      <c r="BW119">
        <v>0</v>
      </c>
      <c r="BZ119">
        <v>0</v>
      </c>
      <c r="CA119">
        <v>0</v>
      </c>
      <c r="CD119">
        <v>0</v>
      </c>
      <c r="CE119">
        <v>0</v>
      </c>
      <c r="CH119">
        <v>0</v>
      </c>
      <c r="CI119">
        <v>0</v>
      </c>
      <c r="CL119">
        <v>0</v>
      </c>
      <c r="CM119">
        <v>0</v>
      </c>
      <c r="CP119">
        <v>0</v>
      </c>
      <c r="CQ119">
        <v>0</v>
      </c>
      <c r="CT119">
        <v>0</v>
      </c>
      <c r="CU119">
        <v>0</v>
      </c>
      <c r="CX119">
        <v>0</v>
      </c>
      <c r="CY119">
        <v>0</v>
      </c>
      <c r="DB119">
        <v>0</v>
      </c>
      <c r="DC119">
        <v>0</v>
      </c>
      <c r="DF119">
        <v>0</v>
      </c>
      <c r="DG119">
        <v>0</v>
      </c>
      <c r="DJ119">
        <v>0</v>
      </c>
      <c r="DK119">
        <v>0</v>
      </c>
      <c r="DN119">
        <v>0</v>
      </c>
      <c r="DO119">
        <v>1</v>
      </c>
      <c r="DR119">
        <v>1</v>
      </c>
      <c r="DS119">
        <v>0</v>
      </c>
      <c r="DV119">
        <v>0</v>
      </c>
      <c r="DW119">
        <v>0</v>
      </c>
      <c r="DZ119">
        <v>0</v>
      </c>
      <c r="EA119">
        <v>0</v>
      </c>
      <c r="ED119">
        <v>0</v>
      </c>
      <c r="EE119">
        <v>0</v>
      </c>
      <c r="EH119">
        <v>0</v>
      </c>
      <c r="EI119">
        <v>0</v>
      </c>
      <c r="EL119">
        <v>0</v>
      </c>
      <c r="EM119">
        <v>0</v>
      </c>
      <c r="EP119">
        <v>0</v>
      </c>
      <c r="EQ119">
        <v>0</v>
      </c>
      <c r="ET119">
        <v>0</v>
      </c>
      <c r="EU119">
        <v>0</v>
      </c>
      <c r="EX119">
        <v>0</v>
      </c>
      <c r="EY119">
        <v>0</v>
      </c>
      <c r="FB119">
        <v>0</v>
      </c>
      <c r="FC119">
        <v>0</v>
      </c>
      <c r="FF119">
        <v>0</v>
      </c>
      <c r="FG119">
        <v>0</v>
      </c>
      <c r="FJ119">
        <v>0</v>
      </c>
      <c r="FK119">
        <v>0</v>
      </c>
      <c r="FN119">
        <v>0</v>
      </c>
      <c r="FO119">
        <v>0</v>
      </c>
      <c r="FR119">
        <v>0</v>
      </c>
      <c r="FS119">
        <v>0</v>
      </c>
      <c r="FV119">
        <v>0</v>
      </c>
      <c r="FW119">
        <v>0</v>
      </c>
      <c r="FZ119">
        <v>0</v>
      </c>
      <c r="GA119">
        <v>0</v>
      </c>
      <c r="GD119">
        <v>0</v>
      </c>
      <c r="GE119">
        <v>0</v>
      </c>
      <c r="GH119">
        <v>0</v>
      </c>
      <c r="GI119">
        <v>0</v>
      </c>
      <c r="GL119">
        <v>0</v>
      </c>
      <c r="GM119">
        <v>0</v>
      </c>
      <c r="GP119">
        <v>0</v>
      </c>
      <c r="GQ119">
        <v>0</v>
      </c>
      <c r="GT119">
        <v>0</v>
      </c>
      <c r="GU119">
        <v>0</v>
      </c>
      <c r="GX119">
        <v>0</v>
      </c>
      <c r="GY119">
        <v>0</v>
      </c>
      <c r="HB119">
        <v>0</v>
      </c>
      <c r="HC119">
        <v>0</v>
      </c>
      <c r="HF119">
        <v>0</v>
      </c>
      <c r="HG119">
        <v>0</v>
      </c>
      <c r="HJ119">
        <v>0</v>
      </c>
      <c r="HK119">
        <v>0</v>
      </c>
      <c r="HN119">
        <v>0</v>
      </c>
      <c r="HO119">
        <v>0</v>
      </c>
      <c r="HR119">
        <v>0</v>
      </c>
      <c r="HS119">
        <v>0</v>
      </c>
      <c r="HV119">
        <v>0</v>
      </c>
      <c r="HW119">
        <v>0</v>
      </c>
      <c r="HZ119">
        <v>0</v>
      </c>
      <c r="IA119">
        <v>0</v>
      </c>
      <c r="ID119">
        <v>0</v>
      </c>
      <c r="IE119">
        <v>0</v>
      </c>
      <c r="IH119">
        <v>0</v>
      </c>
      <c r="II119">
        <v>0</v>
      </c>
      <c r="IL119">
        <v>0</v>
      </c>
      <c r="IM119">
        <v>0</v>
      </c>
      <c r="IP119">
        <v>0</v>
      </c>
      <c r="IQ119">
        <v>0</v>
      </c>
      <c r="IT119">
        <v>0</v>
      </c>
      <c r="IU119">
        <v>0</v>
      </c>
      <c r="IX119">
        <v>0</v>
      </c>
      <c r="IY119">
        <f t="shared" ca="1" si="12"/>
        <v>1</v>
      </c>
      <c r="IZ119">
        <f t="shared" ca="1" si="12"/>
        <v>0</v>
      </c>
      <c r="JA119">
        <f t="shared" ca="1" si="12"/>
        <v>0</v>
      </c>
      <c r="JB119">
        <f t="shared" ca="1" si="12"/>
        <v>1</v>
      </c>
    </row>
    <row r="120" spans="1:262" x14ac:dyDescent="0.25">
      <c r="A120" s="54">
        <v>117</v>
      </c>
      <c r="B120" s="38" t="s">
        <v>470</v>
      </c>
      <c r="C120">
        <v>0</v>
      </c>
      <c r="F120">
        <v>0</v>
      </c>
      <c r="G120">
        <v>1</v>
      </c>
      <c r="J120">
        <v>1</v>
      </c>
      <c r="K120">
        <v>0</v>
      </c>
      <c r="N120">
        <v>0</v>
      </c>
      <c r="O120">
        <v>0</v>
      </c>
      <c r="R120">
        <v>0</v>
      </c>
      <c r="S120">
        <v>0</v>
      </c>
      <c r="V120">
        <v>0</v>
      </c>
      <c r="W120">
        <v>0</v>
      </c>
      <c r="Z120">
        <v>0</v>
      </c>
      <c r="AA120">
        <v>0</v>
      </c>
      <c r="AD120">
        <v>0</v>
      </c>
      <c r="AE120">
        <v>0</v>
      </c>
      <c r="AH120">
        <v>0</v>
      </c>
      <c r="AI120">
        <v>1</v>
      </c>
      <c r="AL120">
        <v>1</v>
      </c>
      <c r="AM120">
        <v>0</v>
      </c>
      <c r="AP120">
        <v>0</v>
      </c>
      <c r="AQ120">
        <v>0</v>
      </c>
      <c r="AT120">
        <v>0</v>
      </c>
      <c r="AU120">
        <v>0</v>
      </c>
      <c r="AX120">
        <v>0</v>
      </c>
      <c r="AY120">
        <v>0</v>
      </c>
      <c r="BB120">
        <v>0</v>
      </c>
      <c r="BC120">
        <v>0</v>
      </c>
      <c r="BF120">
        <v>0</v>
      </c>
      <c r="BG120">
        <v>0</v>
      </c>
      <c r="BJ120">
        <v>0</v>
      </c>
      <c r="BK120">
        <v>0</v>
      </c>
      <c r="BN120">
        <v>0</v>
      </c>
      <c r="BO120">
        <v>0</v>
      </c>
      <c r="BR120">
        <v>0</v>
      </c>
      <c r="BS120">
        <v>0</v>
      </c>
      <c r="BV120">
        <v>0</v>
      </c>
      <c r="BW120">
        <v>0</v>
      </c>
      <c r="BZ120">
        <v>0</v>
      </c>
      <c r="CA120">
        <v>0</v>
      </c>
      <c r="CD120">
        <v>0</v>
      </c>
      <c r="CE120">
        <v>0</v>
      </c>
      <c r="CH120">
        <v>0</v>
      </c>
      <c r="CI120">
        <v>0</v>
      </c>
      <c r="CL120">
        <v>0</v>
      </c>
      <c r="CM120">
        <v>0</v>
      </c>
      <c r="CP120">
        <v>0</v>
      </c>
      <c r="CQ120">
        <v>0</v>
      </c>
      <c r="CT120">
        <v>0</v>
      </c>
      <c r="CU120">
        <v>0</v>
      </c>
      <c r="CX120">
        <v>0</v>
      </c>
      <c r="CY120">
        <v>0</v>
      </c>
      <c r="DB120">
        <v>0</v>
      </c>
      <c r="DC120">
        <v>0</v>
      </c>
      <c r="DF120">
        <v>0</v>
      </c>
      <c r="DG120">
        <v>0</v>
      </c>
      <c r="DJ120">
        <v>0</v>
      </c>
      <c r="DK120">
        <v>0</v>
      </c>
      <c r="DN120">
        <v>0</v>
      </c>
      <c r="DO120">
        <v>1</v>
      </c>
      <c r="DR120">
        <v>1</v>
      </c>
      <c r="DS120">
        <v>0</v>
      </c>
      <c r="DV120">
        <v>0</v>
      </c>
      <c r="DW120">
        <v>0</v>
      </c>
      <c r="DZ120">
        <v>0</v>
      </c>
      <c r="EA120">
        <v>0</v>
      </c>
      <c r="ED120">
        <v>0</v>
      </c>
      <c r="EE120">
        <v>0</v>
      </c>
      <c r="EH120">
        <v>0</v>
      </c>
      <c r="EI120">
        <v>0</v>
      </c>
      <c r="EL120">
        <v>0</v>
      </c>
      <c r="EM120">
        <v>0</v>
      </c>
      <c r="EP120">
        <v>0</v>
      </c>
      <c r="EQ120">
        <v>0</v>
      </c>
      <c r="ET120">
        <v>0</v>
      </c>
      <c r="EU120">
        <v>0</v>
      </c>
      <c r="EX120">
        <v>0</v>
      </c>
      <c r="EY120">
        <v>0</v>
      </c>
      <c r="FB120">
        <v>0</v>
      </c>
      <c r="FC120">
        <v>0</v>
      </c>
      <c r="FF120">
        <v>0</v>
      </c>
      <c r="FG120">
        <v>0</v>
      </c>
      <c r="FJ120">
        <v>0</v>
      </c>
      <c r="FK120">
        <v>0</v>
      </c>
      <c r="FN120">
        <v>0</v>
      </c>
      <c r="FO120">
        <v>0</v>
      </c>
      <c r="FR120">
        <v>0</v>
      </c>
      <c r="FS120">
        <v>0</v>
      </c>
      <c r="FV120">
        <v>0</v>
      </c>
      <c r="FW120">
        <v>0</v>
      </c>
      <c r="FZ120">
        <v>0</v>
      </c>
      <c r="GA120">
        <v>0</v>
      </c>
      <c r="GD120">
        <v>0</v>
      </c>
      <c r="GE120">
        <v>0</v>
      </c>
      <c r="GH120">
        <v>0</v>
      </c>
      <c r="GI120">
        <v>0</v>
      </c>
      <c r="GL120">
        <v>0</v>
      </c>
      <c r="GM120">
        <v>0</v>
      </c>
      <c r="GP120">
        <v>0</v>
      </c>
      <c r="GQ120">
        <v>0</v>
      </c>
      <c r="GT120">
        <v>0</v>
      </c>
      <c r="GU120">
        <v>0</v>
      </c>
      <c r="GX120">
        <v>0</v>
      </c>
      <c r="GY120">
        <v>0</v>
      </c>
      <c r="HB120">
        <v>0</v>
      </c>
      <c r="HC120">
        <v>0</v>
      </c>
      <c r="HF120">
        <v>0</v>
      </c>
      <c r="HG120">
        <v>0</v>
      </c>
      <c r="HJ120">
        <v>0</v>
      </c>
      <c r="HK120">
        <v>0</v>
      </c>
      <c r="HN120">
        <v>0</v>
      </c>
      <c r="HO120">
        <v>0</v>
      </c>
      <c r="HR120">
        <v>0</v>
      </c>
      <c r="HS120">
        <v>0</v>
      </c>
      <c r="HV120">
        <v>0</v>
      </c>
      <c r="HW120">
        <v>0</v>
      </c>
      <c r="HZ120">
        <v>0</v>
      </c>
      <c r="IA120">
        <v>0</v>
      </c>
      <c r="ID120">
        <v>0</v>
      </c>
      <c r="IE120">
        <v>0</v>
      </c>
      <c r="IH120">
        <v>0</v>
      </c>
      <c r="II120">
        <v>0</v>
      </c>
      <c r="IL120">
        <v>0</v>
      </c>
      <c r="IM120">
        <v>0</v>
      </c>
      <c r="IP120">
        <v>0</v>
      </c>
      <c r="IQ120">
        <v>0</v>
      </c>
      <c r="IT120">
        <v>0</v>
      </c>
      <c r="IU120">
        <v>0</v>
      </c>
      <c r="IX120">
        <v>0</v>
      </c>
      <c r="IY120">
        <f t="shared" ca="1" si="12"/>
        <v>1</v>
      </c>
      <c r="IZ120">
        <f t="shared" ca="1" si="12"/>
        <v>0</v>
      </c>
      <c r="JA120">
        <f t="shared" ca="1" si="12"/>
        <v>0</v>
      </c>
      <c r="JB120">
        <f t="shared" ca="1" si="12"/>
        <v>1</v>
      </c>
    </row>
    <row r="121" spans="1:262" x14ac:dyDescent="0.25">
      <c r="A121" s="54">
        <v>118</v>
      </c>
      <c r="B121" s="38" t="s">
        <v>504</v>
      </c>
      <c r="C121">
        <v>0</v>
      </c>
      <c r="F121">
        <v>0</v>
      </c>
      <c r="G121">
        <v>0</v>
      </c>
      <c r="J121">
        <v>0</v>
      </c>
      <c r="K121">
        <v>0</v>
      </c>
      <c r="N121">
        <v>0</v>
      </c>
      <c r="O121">
        <v>1</v>
      </c>
      <c r="R121">
        <v>1</v>
      </c>
      <c r="S121">
        <v>0</v>
      </c>
      <c r="V121">
        <v>0</v>
      </c>
      <c r="W121">
        <v>0</v>
      </c>
      <c r="Z121">
        <v>0</v>
      </c>
      <c r="AA121">
        <v>0</v>
      </c>
      <c r="AD121">
        <v>0</v>
      </c>
      <c r="AE121">
        <v>0</v>
      </c>
      <c r="AH121">
        <v>0</v>
      </c>
      <c r="AI121">
        <v>1</v>
      </c>
      <c r="AL121">
        <v>1</v>
      </c>
      <c r="AM121">
        <v>0</v>
      </c>
      <c r="AP121">
        <v>0</v>
      </c>
      <c r="AQ121">
        <v>0</v>
      </c>
      <c r="AT121">
        <v>0</v>
      </c>
      <c r="AU121">
        <v>0</v>
      </c>
      <c r="AX121">
        <v>0</v>
      </c>
      <c r="AY121">
        <v>0</v>
      </c>
      <c r="BB121">
        <v>0</v>
      </c>
      <c r="BC121">
        <v>0</v>
      </c>
      <c r="BF121">
        <v>0</v>
      </c>
      <c r="BG121">
        <v>0</v>
      </c>
      <c r="BJ121">
        <v>0</v>
      </c>
      <c r="BK121">
        <v>0</v>
      </c>
      <c r="BN121">
        <v>0</v>
      </c>
      <c r="BO121">
        <v>0</v>
      </c>
      <c r="BR121">
        <v>0</v>
      </c>
      <c r="BS121">
        <v>0</v>
      </c>
      <c r="BV121">
        <v>0</v>
      </c>
      <c r="BW121">
        <v>0</v>
      </c>
      <c r="BZ121">
        <v>0</v>
      </c>
      <c r="CA121">
        <v>0</v>
      </c>
      <c r="CD121">
        <v>0</v>
      </c>
      <c r="CE121">
        <v>0</v>
      </c>
      <c r="CH121">
        <v>0</v>
      </c>
      <c r="CI121">
        <v>0</v>
      </c>
      <c r="CL121">
        <v>0</v>
      </c>
      <c r="CM121">
        <v>0</v>
      </c>
      <c r="CP121">
        <v>0</v>
      </c>
      <c r="CQ121">
        <v>0</v>
      </c>
      <c r="CT121">
        <v>0</v>
      </c>
      <c r="CU121">
        <v>0</v>
      </c>
      <c r="CX121">
        <v>0</v>
      </c>
      <c r="CY121">
        <v>0</v>
      </c>
      <c r="DB121">
        <v>0</v>
      </c>
      <c r="DC121">
        <v>0</v>
      </c>
      <c r="DF121">
        <v>0</v>
      </c>
      <c r="DG121">
        <v>0</v>
      </c>
      <c r="DJ121">
        <v>0</v>
      </c>
      <c r="DK121">
        <v>0</v>
      </c>
      <c r="DN121">
        <v>0</v>
      </c>
      <c r="DO121">
        <v>0</v>
      </c>
      <c r="DR121">
        <v>0</v>
      </c>
      <c r="DS121">
        <v>0</v>
      </c>
      <c r="DV121">
        <v>0</v>
      </c>
      <c r="DW121">
        <v>0</v>
      </c>
      <c r="DZ121">
        <v>0</v>
      </c>
      <c r="EA121">
        <v>0</v>
      </c>
      <c r="ED121">
        <v>0</v>
      </c>
      <c r="EE121">
        <v>0</v>
      </c>
      <c r="EH121">
        <v>0</v>
      </c>
      <c r="EI121">
        <v>0</v>
      </c>
      <c r="EL121">
        <v>0</v>
      </c>
      <c r="EM121">
        <v>0</v>
      </c>
      <c r="EP121">
        <v>0</v>
      </c>
      <c r="EQ121">
        <v>0</v>
      </c>
      <c r="ET121">
        <v>0</v>
      </c>
      <c r="EU121">
        <v>0</v>
      </c>
      <c r="EX121">
        <v>0</v>
      </c>
      <c r="EY121">
        <v>0</v>
      </c>
      <c r="FB121">
        <v>0</v>
      </c>
      <c r="FC121">
        <v>0</v>
      </c>
      <c r="FF121">
        <v>0</v>
      </c>
      <c r="FG121">
        <v>0</v>
      </c>
      <c r="FJ121">
        <v>0</v>
      </c>
      <c r="FK121">
        <v>0</v>
      </c>
      <c r="FN121">
        <v>0</v>
      </c>
      <c r="FO121">
        <v>0</v>
      </c>
      <c r="FR121">
        <v>0</v>
      </c>
      <c r="FS121">
        <v>0</v>
      </c>
      <c r="FV121">
        <v>0</v>
      </c>
      <c r="FW121">
        <v>0</v>
      </c>
      <c r="FZ121">
        <v>0</v>
      </c>
      <c r="GA121">
        <v>0</v>
      </c>
      <c r="GD121">
        <v>0</v>
      </c>
      <c r="GE121">
        <v>0</v>
      </c>
      <c r="GH121">
        <v>0</v>
      </c>
      <c r="GI121">
        <v>0</v>
      </c>
      <c r="GL121">
        <v>0</v>
      </c>
      <c r="GM121">
        <v>0</v>
      </c>
      <c r="GP121">
        <v>0</v>
      </c>
      <c r="GQ121">
        <v>0</v>
      </c>
      <c r="GT121">
        <v>0</v>
      </c>
      <c r="GU121">
        <v>0</v>
      </c>
      <c r="GX121">
        <v>0</v>
      </c>
      <c r="GY121">
        <v>0</v>
      </c>
      <c r="HB121">
        <v>0</v>
      </c>
      <c r="HC121">
        <v>0</v>
      </c>
      <c r="HF121">
        <v>0</v>
      </c>
      <c r="HG121">
        <v>0</v>
      </c>
      <c r="HJ121">
        <v>0</v>
      </c>
      <c r="HK121">
        <v>0</v>
      </c>
      <c r="HN121">
        <v>0</v>
      </c>
      <c r="HO121">
        <v>0</v>
      </c>
      <c r="HR121">
        <v>0</v>
      </c>
      <c r="HS121">
        <v>1</v>
      </c>
      <c r="HV121">
        <v>1</v>
      </c>
      <c r="HW121">
        <v>0</v>
      </c>
      <c r="HZ121">
        <v>0</v>
      </c>
      <c r="IA121">
        <v>0</v>
      </c>
      <c r="ID121">
        <v>0</v>
      </c>
      <c r="IE121">
        <v>0</v>
      </c>
      <c r="IH121">
        <v>0</v>
      </c>
      <c r="II121">
        <v>0</v>
      </c>
      <c r="IL121">
        <v>0</v>
      </c>
      <c r="IM121">
        <v>0</v>
      </c>
      <c r="IP121">
        <v>0</v>
      </c>
      <c r="IQ121">
        <v>0</v>
      </c>
      <c r="IT121">
        <v>0</v>
      </c>
      <c r="IU121">
        <v>0</v>
      </c>
      <c r="IX121">
        <v>0</v>
      </c>
      <c r="IY121">
        <f t="shared" ca="1" si="12"/>
        <v>1</v>
      </c>
      <c r="IZ121">
        <f t="shared" ca="1" si="12"/>
        <v>0</v>
      </c>
      <c r="JA121">
        <f t="shared" ca="1" si="12"/>
        <v>0</v>
      </c>
      <c r="JB121">
        <f t="shared" ca="1" si="12"/>
        <v>1</v>
      </c>
    </row>
    <row r="122" spans="1:262" x14ac:dyDescent="0.25">
      <c r="A122" s="54">
        <v>119</v>
      </c>
      <c r="B122" s="38" t="s">
        <v>501</v>
      </c>
      <c r="C122">
        <v>0</v>
      </c>
      <c r="F122">
        <v>0</v>
      </c>
      <c r="G122">
        <v>1</v>
      </c>
      <c r="J122">
        <v>1</v>
      </c>
      <c r="K122">
        <v>0</v>
      </c>
      <c r="N122">
        <v>0</v>
      </c>
      <c r="O122">
        <v>0</v>
      </c>
      <c r="R122">
        <v>0</v>
      </c>
      <c r="S122">
        <v>0</v>
      </c>
      <c r="V122">
        <v>0</v>
      </c>
      <c r="W122">
        <v>0</v>
      </c>
      <c r="Z122">
        <v>0</v>
      </c>
      <c r="AA122">
        <v>0</v>
      </c>
      <c r="AD122">
        <v>0</v>
      </c>
      <c r="AE122">
        <v>0</v>
      </c>
      <c r="AH122">
        <v>0</v>
      </c>
      <c r="AI122">
        <v>0</v>
      </c>
      <c r="AL122">
        <v>0</v>
      </c>
      <c r="AM122">
        <v>1</v>
      </c>
      <c r="AP122">
        <v>1</v>
      </c>
      <c r="AQ122">
        <v>0</v>
      </c>
      <c r="AT122">
        <v>0</v>
      </c>
      <c r="AU122">
        <v>0</v>
      </c>
      <c r="AX122">
        <v>0</v>
      </c>
      <c r="AY122">
        <v>0</v>
      </c>
      <c r="BB122">
        <v>0</v>
      </c>
      <c r="BC122">
        <v>0</v>
      </c>
      <c r="BF122">
        <v>0</v>
      </c>
      <c r="BG122">
        <v>0</v>
      </c>
      <c r="BJ122">
        <v>0</v>
      </c>
      <c r="BK122">
        <v>0</v>
      </c>
      <c r="BN122">
        <v>0</v>
      </c>
      <c r="BO122">
        <v>0</v>
      </c>
      <c r="BR122">
        <v>0</v>
      </c>
      <c r="BS122">
        <v>0</v>
      </c>
      <c r="BV122">
        <v>0</v>
      </c>
      <c r="BW122">
        <v>0</v>
      </c>
      <c r="BZ122">
        <v>0</v>
      </c>
      <c r="CA122">
        <v>0</v>
      </c>
      <c r="CD122">
        <v>0</v>
      </c>
      <c r="CE122">
        <v>0</v>
      </c>
      <c r="CH122">
        <v>0</v>
      </c>
      <c r="CI122">
        <v>0</v>
      </c>
      <c r="CL122">
        <v>0</v>
      </c>
      <c r="CM122">
        <v>0</v>
      </c>
      <c r="CP122">
        <v>0</v>
      </c>
      <c r="CQ122">
        <v>0</v>
      </c>
      <c r="CT122">
        <v>0</v>
      </c>
      <c r="CU122">
        <v>0</v>
      </c>
      <c r="CX122">
        <v>0</v>
      </c>
      <c r="CY122">
        <v>0</v>
      </c>
      <c r="DB122">
        <v>0</v>
      </c>
      <c r="DC122">
        <v>0</v>
      </c>
      <c r="DF122">
        <v>0</v>
      </c>
      <c r="DG122">
        <v>0</v>
      </c>
      <c r="DJ122">
        <v>0</v>
      </c>
      <c r="DK122">
        <v>0</v>
      </c>
      <c r="DN122">
        <v>0</v>
      </c>
      <c r="DO122">
        <v>0</v>
      </c>
      <c r="DR122">
        <v>0</v>
      </c>
      <c r="DS122">
        <v>1</v>
      </c>
      <c r="DV122">
        <v>1</v>
      </c>
      <c r="DW122">
        <v>0</v>
      </c>
      <c r="DZ122">
        <v>0</v>
      </c>
      <c r="EA122">
        <v>0</v>
      </c>
      <c r="ED122">
        <v>0</v>
      </c>
      <c r="EE122">
        <v>0</v>
      </c>
      <c r="EH122">
        <v>0</v>
      </c>
      <c r="EI122">
        <v>0</v>
      </c>
      <c r="EL122">
        <v>0</v>
      </c>
      <c r="EM122">
        <v>0</v>
      </c>
      <c r="EP122">
        <v>0</v>
      </c>
      <c r="EQ122">
        <v>0</v>
      </c>
      <c r="ET122">
        <v>0</v>
      </c>
      <c r="EU122">
        <v>0</v>
      </c>
      <c r="EX122">
        <v>0</v>
      </c>
      <c r="EY122">
        <v>0</v>
      </c>
      <c r="FB122">
        <v>0</v>
      </c>
      <c r="FC122">
        <v>0</v>
      </c>
      <c r="FF122">
        <v>0</v>
      </c>
      <c r="FG122">
        <v>0</v>
      </c>
      <c r="FJ122">
        <v>0</v>
      </c>
      <c r="FK122">
        <v>0</v>
      </c>
      <c r="FN122">
        <v>0</v>
      </c>
      <c r="FO122">
        <v>0</v>
      </c>
      <c r="FR122">
        <v>0</v>
      </c>
      <c r="FS122">
        <v>0</v>
      </c>
      <c r="FV122">
        <v>0</v>
      </c>
      <c r="FW122">
        <v>0</v>
      </c>
      <c r="FZ122">
        <v>0</v>
      </c>
      <c r="GA122">
        <v>0</v>
      </c>
      <c r="GD122">
        <v>0</v>
      </c>
      <c r="GE122">
        <v>0</v>
      </c>
      <c r="GH122">
        <v>0</v>
      </c>
      <c r="GI122">
        <v>0</v>
      </c>
      <c r="GL122">
        <v>0</v>
      </c>
      <c r="GM122">
        <v>0</v>
      </c>
      <c r="GP122">
        <v>0</v>
      </c>
      <c r="GQ122">
        <v>0</v>
      </c>
      <c r="GT122">
        <v>0</v>
      </c>
      <c r="GU122">
        <v>0</v>
      </c>
      <c r="GX122">
        <v>0</v>
      </c>
      <c r="GY122">
        <v>0</v>
      </c>
      <c r="HB122">
        <v>0</v>
      </c>
      <c r="HC122">
        <v>0</v>
      </c>
      <c r="HF122">
        <v>0</v>
      </c>
      <c r="HG122">
        <v>0</v>
      </c>
      <c r="HJ122">
        <v>0</v>
      </c>
      <c r="HK122">
        <v>0</v>
      </c>
      <c r="HN122">
        <v>0</v>
      </c>
      <c r="HO122">
        <v>0</v>
      </c>
      <c r="HR122">
        <v>0</v>
      </c>
      <c r="HS122">
        <v>0</v>
      </c>
      <c r="HV122">
        <v>0</v>
      </c>
      <c r="HW122">
        <v>0</v>
      </c>
      <c r="HZ122">
        <v>0</v>
      </c>
      <c r="IA122">
        <v>0</v>
      </c>
      <c r="ID122">
        <v>0</v>
      </c>
      <c r="IE122">
        <v>0</v>
      </c>
      <c r="IH122">
        <v>0</v>
      </c>
      <c r="II122">
        <v>0</v>
      </c>
      <c r="IL122">
        <v>0</v>
      </c>
      <c r="IM122">
        <v>0</v>
      </c>
      <c r="IP122">
        <v>0</v>
      </c>
      <c r="IQ122">
        <v>0</v>
      </c>
      <c r="IT122">
        <v>0</v>
      </c>
      <c r="IU122">
        <v>0</v>
      </c>
      <c r="IX122">
        <v>0</v>
      </c>
      <c r="IY122">
        <f t="shared" ca="1" si="12"/>
        <v>1</v>
      </c>
      <c r="IZ122">
        <f t="shared" ca="1" si="12"/>
        <v>0</v>
      </c>
      <c r="JA122">
        <f t="shared" ca="1" si="12"/>
        <v>0</v>
      </c>
      <c r="JB122">
        <f t="shared" ca="1" si="12"/>
        <v>1</v>
      </c>
    </row>
    <row r="123" spans="1:262" x14ac:dyDescent="0.25">
      <c r="A123" s="54">
        <v>120</v>
      </c>
      <c r="B123" s="38" t="s">
        <v>592</v>
      </c>
      <c r="C123">
        <v>0</v>
      </c>
      <c r="F123">
        <v>0</v>
      </c>
      <c r="G123">
        <v>0</v>
      </c>
      <c r="J123">
        <v>0</v>
      </c>
      <c r="K123">
        <v>1</v>
      </c>
      <c r="N123">
        <v>1</v>
      </c>
      <c r="O123">
        <v>0</v>
      </c>
      <c r="R123">
        <v>0</v>
      </c>
      <c r="S123">
        <v>0</v>
      </c>
      <c r="V123">
        <v>0</v>
      </c>
      <c r="W123">
        <v>0</v>
      </c>
      <c r="Z123">
        <v>0</v>
      </c>
      <c r="AA123">
        <v>0</v>
      </c>
      <c r="AD123">
        <v>0</v>
      </c>
      <c r="AE123">
        <v>0</v>
      </c>
      <c r="AH123">
        <v>0</v>
      </c>
      <c r="AI123">
        <v>0</v>
      </c>
      <c r="AL123">
        <v>0</v>
      </c>
      <c r="AM123">
        <v>1</v>
      </c>
      <c r="AP123">
        <v>1</v>
      </c>
      <c r="AQ123">
        <v>0</v>
      </c>
      <c r="AT123">
        <v>0</v>
      </c>
      <c r="AU123">
        <v>0</v>
      </c>
      <c r="AX123">
        <v>0</v>
      </c>
      <c r="AY123">
        <v>0</v>
      </c>
      <c r="BB123">
        <v>0</v>
      </c>
      <c r="BC123">
        <v>0</v>
      </c>
      <c r="BF123">
        <v>0</v>
      </c>
      <c r="BG123">
        <v>0</v>
      </c>
      <c r="BJ123">
        <v>0</v>
      </c>
      <c r="BK123">
        <v>0</v>
      </c>
      <c r="BN123">
        <v>0</v>
      </c>
      <c r="BO123">
        <v>0</v>
      </c>
      <c r="BR123">
        <v>0</v>
      </c>
      <c r="BS123">
        <v>0</v>
      </c>
      <c r="BV123">
        <v>0</v>
      </c>
      <c r="BW123">
        <v>0</v>
      </c>
      <c r="BZ123">
        <v>0</v>
      </c>
      <c r="CA123">
        <v>0</v>
      </c>
      <c r="CD123">
        <v>0</v>
      </c>
      <c r="CE123">
        <v>0</v>
      </c>
      <c r="CH123">
        <v>0</v>
      </c>
      <c r="CI123">
        <v>0</v>
      </c>
      <c r="CL123">
        <v>0</v>
      </c>
      <c r="CM123">
        <v>0</v>
      </c>
      <c r="CP123">
        <v>0</v>
      </c>
      <c r="CQ123">
        <v>0</v>
      </c>
      <c r="CT123">
        <v>0</v>
      </c>
      <c r="CU123">
        <v>0</v>
      </c>
      <c r="CX123">
        <v>0</v>
      </c>
      <c r="CY123">
        <v>0</v>
      </c>
      <c r="DB123">
        <v>0</v>
      </c>
      <c r="DC123">
        <v>0</v>
      </c>
      <c r="DF123">
        <v>0</v>
      </c>
      <c r="DG123">
        <v>0</v>
      </c>
      <c r="DJ123">
        <v>0</v>
      </c>
      <c r="DK123">
        <v>0</v>
      </c>
      <c r="DN123">
        <v>0</v>
      </c>
      <c r="DO123">
        <v>0</v>
      </c>
      <c r="DR123">
        <v>0</v>
      </c>
      <c r="DS123">
        <v>0</v>
      </c>
      <c r="DV123">
        <v>0</v>
      </c>
      <c r="DW123">
        <v>0</v>
      </c>
      <c r="DZ123">
        <v>0</v>
      </c>
      <c r="EA123">
        <v>0</v>
      </c>
      <c r="ED123">
        <v>0</v>
      </c>
      <c r="EE123">
        <v>0</v>
      </c>
      <c r="EH123">
        <v>0</v>
      </c>
      <c r="EI123">
        <v>0</v>
      </c>
      <c r="EL123">
        <v>0</v>
      </c>
      <c r="EM123">
        <v>0</v>
      </c>
      <c r="EP123">
        <v>0</v>
      </c>
      <c r="EQ123">
        <v>0</v>
      </c>
      <c r="ET123">
        <v>0</v>
      </c>
      <c r="EU123">
        <v>0</v>
      </c>
      <c r="EX123">
        <v>0</v>
      </c>
      <c r="EY123">
        <v>0</v>
      </c>
      <c r="FB123">
        <v>0</v>
      </c>
      <c r="FC123">
        <v>0</v>
      </c>
      <c r="FF123">
        <v>0</v>
      </c>
      <c r="FG123">
        <v>0</v>
      </c>
      <c r="FJ123">
        <v>0</v>
      </c>
      <c r="FK123">
        <v>0</v>
      </c>
      <c r="FN123">
        <v>0</v>
      </c>
      <c r="FO123">
        <v>0</v>
      </c>
      <c r="FR123">
        <v>0</v>
      </c>
      <c r="FS123">
        <v>1</v>
      </c>
      <c r="FV123">
        <v>1</v>
      </c>
      <c r="FW123">
        <v>0</v>
      </c>
      <c r="FZ123">
        <v>0</v>
      </c>
      <c r="GA123">
        <v>0</v>
      </c>
      <c r="GD123">
        <v>0</v>
      </c>
      <c r="GE123">
        <v>0</v>
      </c>
      <c r="GH123">
        <v>0</v>
      </c>
      <c r="GI123">
        <v>0</v>
      </c>
      <c r="GL123">
        <v>0</v>
      </c>
      <c r="GM123">
        <v>0</v>
      </c>
      <c r="GP123">
        <v>0</v>
      </c>
      <c r="GQ123">
        <v>0</v>
      </c>
      <c r="GT123">
        <v>0</v>
      </c>
      <c r="GU123">
        <v>0</v>
      </c>
      <c r="GX123">
        <v>0</v>
      </c>
      <c r="GY123">
        <v>0</v>
      </c>
      <c r="HB123">
        <v>0</v>
      </c>
      <c r="HC123">
        <v>0</v>
      </c>
      <c r="HF123">
        <v>0</v>
      </c>
      <c r="HG123">
        <v>0</v>
      </c>
      <c r="HJ123">
        <v>0</v>
      </c>
      <c r="HK123">
        <v>0</v>
      </c>
      <c r="HN123">
        <v>0</v>
      </c>
      <c r="HO123">
        <v>0</v>
      </c>
      <c r="HR123">
        <v>0</v>
      </c>
      <c r="HS123">
        <v>0</v>
      </c>
      <c r="HV123">
        <v>0</v>
      </c>
      <c r="HW123">
        <v>0</v>
      </c>
      <c r="HZ123">
        <v>0</v>
      </c>
      <c r="IA123">
        <v>0</v>
      </c>
      <c r="ID123">
        <v>0</v>
      </c>
      <c r="IE123">
        <v>0</v>
      </c>
      <c r="IH123">
        <v>0</v>
      </c>
      <c r="II123">
        <v>0</v>
      </c>
      <c r="IL123">
        <v>0</v>
      </c>
      <c r="IM123">
        <v>0</v>
      </c>
      <c r="IP123">
        <v>0</v>
      </c>
      <c r="IQ123">
        <v>0</v>
      </c>
      <c r="IT123">
        <v>0</v>
      </c>
      <c r="IU123">
        <v>0</v>
      </c>
      <c r="IX123">
        <v>0</v>
      </c>
      <c r="IY123">
        <f t="shared" ca="1" si="12"/>
        <v>1</v>
      </c>
      <c r="IZ123">
        <f t="shared" ca="1" si="12"/>
        <v>0</v>
      </c>
      <c r="JA123">
        <f t="shared" ca="1" si="12"/>
        <v>0</v>
      </c>
      <c r="JB123">
        <f t="shared" ca="1" si="12"/>
        <v>1</v>
      </c>
    </row>
    <row r="124" spans="1:262" x14ac:dyDescent="0.25">
      <c r="A124" s="54">
        <v>121</v>
      </c>
      <c r="B124" s="38" t="s">
        <v>360</v>
      </c>
      <c r="C124">
        <v>0</v>
      </c>
      <c r="F124">
        <v>0</v>
      </c>
      <c r="G124">
        <v>0</v>
      </c>
      <c r="J124">
        <v>0</v>
      </c>
      <c r="K124">
        <v>1</v>
      </c>
      <c r="N124">
        <v>1</v>
      </c>
      <c r="O124">
        <v>2</v>
      </c>
      <c r="R124">
        <v>2</v>
      </c>
      <c r="S124">
        <v>0</v>
      </c>
      <c r="V124">
        <v>0</v>
      </c>
      <c r="W124">
        <v>0</v>
      </c>
      <c r="Z124">
        <v>0</v>
      </c>
      <c r="AA124">
        <v>0</v>
      </c>
      <c r="AD124">
        <v>0</v>
      </c>
      <c r="AE124">
        <v>0</v>
      </c>
      <c r="AH124">
        <v>0</v>
      </c>
      <c r="AI124">
        <v>0</v>
      </c>
      <c r="AL124">
        <v>0</v>
      </c>
      <c r="AM124">
        <v>1</v>
      </c>
      <c r="AP124">
        <v>1</v>
      </c>
      <c r="AQ124">
        <v>0</v>
      </c>
      <c r="AT124">
        <v>0</v>
      </c>
      <c r="AU124">
        <v>0</v>
      </c>
      <c r="AX124">
        <v>0</v>
      </c>
      <c r="AY124">
        <v>1</v>
      </c>
      <c r="BB124">
        <v>1</v>
      </c>
      <c r="BC124">
        <v>1</v>
      </c>
      <c r="BF124">
        <v>1</v>
      </c>
      <c r="BG124">
        <v>0</v>
      </c>
      <c r="BJ124">
        <v>0</v>
      </c>
      <c r="BK124">
        <v>0</v>
      </c>
      <c r="BN124">
        <v>0</v>
      </c>
      <c r="BO124">
        <v>0</v>
      </c>
      <c r="BR124">
        <v>0</v>
      </c>
      <c r="BS124">
        <v>0</v>
      </c>
      <c r="BV124">
        <v>0</v>
      </c>
      <c r="BW124">
        <v>0</v>
      </c>
      <c r="BZ124">
        <v>0</v>
      </c>
      <c r="CA124">
        <v>0</v>
      </c>
      <c r="CD124">
        <v>0</v>
      </c>
      <c r="CE124">
        <v>0</v>
      </c>
      <c r="CH124">
        <v>0</v>
      </c>
      <c r="CI124">
        <v>0</v>
      </c>
      <c r="CL124">
        <v>0</v>
      </c>
      <c r="CM124">
        <v>0</v>
      </c>
      <c r="CP124">
        <v>0</v>
      </c>
      <c r="CQ124">
        <v>0</v>
      </c>
      <c r="CT124">
        <v>0</v>
      </c>
      <c r="CU124">
        <v>0</v>
      </c>
      <c r="CX124">
        <v>0</v>
      </c>
      <c r="CY124">
        <v>0</v>
      </c>
      <c r="DB124">
        <v>0</v>
      </c>
      <c r="DC124">
        <v>0</v>
      </c>
      <c r="DF124">
        <v>0</v>
      </c>
      <c r="DG124">
        <v>0</v>
      </c>
      <c r="DJ124">
        <v>0</v>
      </c>
      <c r="DK124">
        <v>0</v>
      </c>
      <c r="DN124">
        <v>0</v>
      </c>
      <c r="DO124">
        <v>0</v>
      </c>
      <c r="DR124">
        <v>0</v>
      </c>
      <c r="DS124">
        <v>0</v>
      </c>
      <c r="DV124">
        <v>0</v>
      </c>
      <c r="DW124">
        <v>0</v>
      </c>
      <c r="DZ124">
        <v>0</v>
      </c>
      <c r="EA124">
        <v>0</v>
      </c>
      <c r="ED124">
        <v>0</v>
      </c>
      <c r="EE124">
        <v>0</v>
      </c>
      <c r="EH124">
        <v>0</v>
      </c>
      <c r="EI124">
        <v>0</v>
      </c>
      <c r="EL124">
        <v>0</v>
      </c>
      <c r="EM124">
        <v>0</v>
      </c>
      <c r="EP124">
        <v>0</v>
      </c>
      <c r="EQ124">
        <v>0</v>
      </c>
      <c r="ET124">
        <v>0</v>
      </c>
      <c r="EU124">
        <v>0</v>
      </c>
      <c r="EX124">
        <v>0</v>
      </c>
      <c r="EY124">
        <v>0</v>
      </c>
      <c r="FB124">
        <v>0</v>
      </c>
      <c r="FC124">
        <v>0</v>
      </c>
      <c r="FF124">
        <v>0</v>
      </c>
      <c r="FG124">
        <v>0</v>
      </c>
      <c r="FJ124">
        <v>0</v>
      </c>
      <c r="FK124">
        <v>0</v>
      </c>
      <c r="FN124">
        <v>0</v>
      </c>
      <c r="FO124">
        <v>0</v>
      </c>
      <c r="FR124">
        <v>0</v>
      </c>
      <c r="FS124">
        <v>1</v>
      </c>
      <c r="FV124">
        <v>1</v>
      </c>
      <c r="FW124">
        <v>0</v>
      </c>
      <c r="FZ124">
        <v>0</v>
      </c>
      <c r="GA124">
        <v>0</v>
      </c>
      <c r="GD124">
        <v>0</v>
      </c>
      <c r="GE124">
        <v>0</v>
      </c>
      <c r="GH124">
        <v>0</v>
      </c>
      <c r="GI124">
        <v>0</v>
      </c>
      <c r="GL124">
        <v>0</v>
      </c>
      <c r="GM124">
        <v>0</v>
      </c>
      <c r="GP124">
        <v>0</v>
      </c>
      <c r="GQ124">
        <v>0</v>
      </c>
      <c r="GT124">
        <v>0</v>
      </c>
      <c r="GU124">
        <v>0</v>
      </c>
      <c r="GX124">
        <v>0</v>
      </c>
      <c r="GY124">
        <v>0</v>
      </c>
      <c r="HB124">
        <v>0</v>
      </c>
      <c r="HC124">
        <v>0</v>
      </c>
      <c r="HF124">
        <v>0</v>
      </c>
      <c r="HG124">
        <v>0</v>
      </c>
      <c r="HJ124">
        <v>0</v>
      </c>
      <c r="HK124">
        <v>0</v>
      </c>
      <c r="HN124">
        <v>0</v>
      </c>
      <c r="HO124">
        <v>0</v>
      </c>
      <c r="HR124">
        <v>0</v>
      </c>
      <c r="HS124">
        <v>0</v>
      </c>
      <c r="HV124">
        <v>0</v>
      </c>
      <c r="HW124">
        <v>0</v>
      </c>
      <c r="HZ124">
        <v>0</v>
      </c>
      <c r="IA124">
        <v>0</v>
      </c>
      <c r="ID124">
        <v>0</v>
      </c>
      <c r="IE124">
        <v>0</v>
      </c>
      <c r="IH124">
        <v>0</v>
      </c>
      <c r="II124">
        <v>1</v>
      </c>
      <c r="IL124">
        <v>1</v>
      </c>
      <c r="IM124">
        <v>1</v>
      </c>
      <c r="IP124">
        <v>1</v>
      </c>
      <c r="IQ124">
        <v>0</v>
      </c>
      <c r="IT124">
        <v>0</v>
      </c>
      <c r="IU124">
        <v>0</v>
      </c>
      <c r="IX124">
        <v>0</v>
      </c>
      <c r="IY124">
        <f t="shared" ref="IY124:JB143" ca="1" si="13">SUMIFS($BK124:$IX124,$BK$3:$IX$3,IY$3,$BK$1:$IX$1,"&gt;0")</f>
        <v>3</v>
      </c>
      <c r="IZ124">
        <f t="shared" ca="1" si="13"/>
        <v>0</v>
      </c>
      <c r="JA124">
        <f t="shared" ca="1" si="13"/>
        <v>0</v>
      </c>
      <c r="JB124">
        <f t="shared" ca="1" si="13"/>
        <v>3</v>
      </c>
    </row>
    <row r="125" spans="1:262" x14ac:dyDescent="0.25">
      <c r="A125" s="54">
        <v>122</v>
      </c>
      <c r="B125" s="38" t="s">
        <v>490</v>
      </c>
      <c r="C125">
        <v>0</v>
      </c>
      <c r="F125">
        <v>0</v>
      </c>
      <c r="G125">
        <v>0</v>
      </c>
      <c r="J125">
        <v>0</v>
      </c>
      <c r="K125">
        <v>1</v>
      </c>
      <c r="N125">
        <v>1</v>
      </c>
      <c r="O125">
        <v>0</v>
      </c>
      <c r="R125">
        <v>0</v>
      </c>
      <c r="S125">
        <v>0</v>
      </c>
      <c r="V125">
        <v>0</v>
      </c>
      <c r="W125">
        <v>0</v>
      </c>
      <c r="Z125">
        <v>0</v>
      </c>
      <c r="AA125">
        <v>0</v>
      </c>
      <c r="AD125">
        <v>0</v>
      </c>
      <c r="AE125">
        <v>0</v>
      </c>
      <c r="AH125">
        <v>0</v>
      </c>
      <c r="AI125">
        <v>0</v>
      </c>
      <c r="AL125">
        <v>0</v>
      </c>
      <c r="AM125">
        <v>1</v>
      </c>
      <c r="AP125">
        <v>1</v>
      </c>
      <c r="AQ125">
        <v>0</v>
      </c>
      <c r="AT125">
        <v>0</v>
      </c>
      <c r="AU125">
        <v>0</v>
      </c>
      <c r="AX125">
        <v>0</v>
      </c>
      <c r="AY125">
        <v>0</v>
      </c>
      <c r="BB125">
        <v>0</v>
      </c>
      <c r="BC125">
        <v>0</v>
      </c>
      <c r="BF125">
        <v>0</v>
      </c>
      <c r="BG125">
        <v>0</v>
      </c>
      <c r="BJ125">
        <v>0</v>
      </c>
      <c r="BK125">
        <v>0</v>
      </c>
      <c r="BN125">
        <v>0</v>
      </c>
      <c r="BO125">
        <v>0</v>
      </c>
      <c r="BR125">
        <v>0</v>
      </c>
      <c r="BS125">
        <v>0</v>
      </c>
      <c r="BV125">
        <v>0</v>
      </c>
      <c r="BW125">
        <v>0</v>
      </c>
      <c r="BZ125">
        <v>0</v>
      </c>
      <c r="CA125">
        <v>0</v>
      </c>
      <c r="CD125">
        <v>0</v>
      </c>
      <c r="CE125">
        <v>0</v>
      </c>
      <c r="CH125">
        <v>0</v>
      </c>
      <c r="CI125">
        <v>0</v>
      </c>
      <c r="CL125">
        <v>0</v>
      </c>
      <c r="CM125">
        <v>0</v>
      </c>
      <c r="CP125">
        <v>0</v>
      </c>
      <c r="CQ125">
        <v>0</v>
      </c>
      <c r="CT125">
        <v>0</v>
      </c>
      <c r="CU125">
        <v>0</v>
      </c>
      <c r="CX125">
        <v>0</v>
      </c>
      <c r="CY125">
        <v>0</v>
      </c>
      <c r="DB125">
        <v>0</v>
      </c>
      <c r="DC125">
        <v>0</v>
      </c>
      <c r="DF125">
        <v>0</v>
      </c>
      <c r="DG125">
        <v>0</v>
      </c>
      <c r="DJ125">
        <v>0</v>
      </c>
      <c r="DK125">
        <v>0</v>
      </c>
      <c r="DN125">
        <v>0</v>
      </c>
      <c r="DO125">
        <v>0</v>
      </c>
      <c r="DR125">
        <v>0</v>
      </c>
      <c r="DS125">
        <v>0</v>
      </c>
      <c r="DV125">
        <v>0</v>
      </c>
      <c r="DW125">
        <v>0</v>
      </c>
      <c r="DZ125">
        <v>0</v>
      </c>
      <c r="EA125">
        <v>0</v>
      </c>
      <c r="ED125">
        <v>0</v>
      </c>
      <c r="EE125">
        <v>0</v>
      </c>
      <c r="EH125">
        <v>0</v>
      </c>
      <c r="EI125">
        <v>0</v>
      </c>
      <c r="EL125">
        <v>0</v>
      </c>
      <c r="EM125">
        <v>0</v>
      </c>
      <c r="EP125">
        <v>0</v>
      </c>
      <c r="EQ125">
        <v>0</v>
      </c>
      <c r="ET125">
        <v>0</v>
      </c>
      <c r="EU125">
        <v>0</v>
      </c>
      <c r="EX125">
        <v>0</v>
      </c>
      <c r="EY125">
        <v>0</v>
      </c>
      <c r="FB125">
        <v>0</v>
      </c>
      <c r="FC125">
        <v>0</v>
      </c>
      <c r="FF125">
        <v>0</v>
      </c>
      <c r="FG125">
        <v>0</v>
      </c>
      <c r="FJ125">
        <v>0</v>
      </c>
      <c r="FK125">
        <v>0</v>
      </c>
      <c r="FN125">
        <v>0</v>
      </c>
      <c r="FO125">
        <v>0</v>
      </c>
      <c r="FR125">
        <v>0</v>
      </c>
      <c r="FS125">
        <v>1</v>
      </c>
      <c r="FV125">
        <v>1</v>
      </c>
      <c r="FW125">
        <v>0</v>
      </c>
      <c r="FZ125">
        <v>0</v>
      </c>
      <c r="GA125">
        <v>0</v>
      </c>
      <c r="GD125">
        <v>0</v>
      </c>
      <c r="GE125">
        <v>0</v>
      </c>
      <c r="GH125">
        <v>0</v>
      </c>
      <c r="GI125">
        <v>0</v>
      </c>
      <c r="GL125">
        <v>0</v>
      </c>
      <c r="GM125">
        <v>0</v>
      </c>
      <c r="GP125">
        <v>0</v>
      </c>
      <c r="GQ125">
        <v>0</v>
      </c>
      <c r="GT125">
        <v>0</v>
      </c>
      <c r="GU125">
        <v>0</v>
      </c>
      <c r="GX125">
        <v>0</v>
      </c>
      <c r="GY125">
        <v>0</v>
      </c>
      <c r="HB125">
        <v>0</v>
      </c>
      <c r="HC125">
        <v>0</v>
      </c>
      <c r="HF125">
        <v>0</v>
      </c>
      <c r="HG125">
        <v>0</v>
      </c>
      <c r="HJ125">
        <v>0</v>
      </c>
      <c r="HK125">
        <v>0</v>
      </c>
      <c r="HN125">
        <v>0</v>
      </c>
      <c r="HO125">
        <v>0</v>
      </c>
      <c r="HR125">
        <v>0</v>
      </c>
      <c r="HS125">
        <v>0</v>
      </c>
      <c r="HV125">
        <v>0</v>
      </c>
      <c r="HW125">
        <v>0</v>
      </c>
      <c r="HZ125">
        <v>0</v>
      </c>
      <c r="IA125">
        <v>0</v>
      </c>
      <c r="ID125">
        <v>0</v>
      </c>
      <c r="IE125">
        <v>0</v>
      </c>
      <c r="IH125">
        <v>0</v>
      </c>
      <c r="II125">
        <v>0</v>
      </c>
      <c r="IL125">
        <v>0</v>
      </c>
      <c r="IM125">
        <v>0</v>
      </c>
      <c r="IP125">
        <v>0</v>
      </c>
      <c r="IQ125">
        <v>0</v>
      </c>
      <c r="IT125">
        <v>0</v>
      </c>
      <c r="IU125">
        <v>0</v>
      </c>
      <c r="IX125">
        <v>0</v>
      </c>
      <c r="IY125">
        <f t="shared" ca="1" si="13"/>
        <v>1</v>
      </c>
      <c r="IZ125">
        <f t="shared" ca="1" si="13"/>
        <v>0</v>
      </c>
      <c r="JA125">
        <f t="shared" ca="1" si="13"/>
        <v>0</v>
      </c>
      <c r="JB125">
        <f t="shared" ca="1" si="13"/>
        <v>1</v>
      </c>
    </row>
    <row r="126" spans="1:262" x14ac:dyDescent="0.25">
      <c r="A126" s="54">
        <v>123</v>
      </c>
      <c r="B126" s="38" t="s">
        <v>502</v>
      </c>
      <c r="C126">
        <v>0</v>
      </c>
      <c r="F126">
        <v>0</v>
      </c>
      <c r="G126">
        <v>0</v>
      </c>
      <c r="J126">
        <v>0</v>
      </c>
      <c r="K126">
        <v>0</v>
      </c>
      <c r="N126">
        <v>0</v>
      </c>
      <c r="O126">
        <v>1</v>
      </c>
      <c r="R126">
        <v>1</v>
      </c>
      <c r="S126">
        <v>0</v>
      </c>
      <c r="V126">
        <v>0</v>
      </c>
      <c r="W126">
        <v>0</v>
      </c>
      <c r="Z126">
        <v>0</v>
      </c>
      <c r="AA126">
        <v>0</v>
      </c>
      <c r="AD126">
        <v>0</v>
      </c>
      <c r="AE126">
        <v>0</v>
      </c>
      <c r="AH126">
        <v>0</v>
      </c>
      <c r="AI126">
        <v>0</v>
      </c>
      <c r="AL126">
        <v>0</v>
      </c>
      <c r="AM126">
        <v>1</v>
      </c>
      <c r="AP126">
        <v>1</v>
      </c>
      <c r="AQ126">
        <v>0</v>
      </c>
      <c r="AT126">
        <v>0</v>
      </c>
      <c r="AU126">
        <v>0</v>
      </c>
      <c r="AX126">
        <v>0</v>
      </c>
      <c r="AY126">
        <v>0</v>
      </c>
      <c r="BB126">
        <v>0</v>
      </c>
      <c r="BC126">
        <v>0</v>
      </c>
      <c r="BF126">
        <v>0</v>
      </c>
      <c r="BG126">
        <v>0</v>
      </c>
      <c r="BJ126">
        <v>0</v>
      </c>
      <c r="BK126">
        <v>0</v>
      </c>
      <c r="BN126">
        <v>0</v>
      </c>
      <c r="BO126">
        <v>0</v>
      </c>
      <c r="BR126">
        <v>0</v>
      </c>
      <c r="BS126">
        <v>0</v>
      </c>
      <c r="BV126">
        <v>0</v>
      </c>
      <c r="BW126">
        <v>0</v>
      </c>
      <c r="BZ126">
        <v>0</v>
      </c>
      <c r="CA126">
        <v>0</v>
      </c>
      <c r="CD126">
        <v>0</v>
      </c>
      <c r="CE126">
        <v>0</v>
      </c>
      <c r="CH126">
        <v>0</v>
      </c>
      <c r="CI126">
        <v>0</v>
      </c>
      <c r="CL126">
        <v>0</v>
      </c>
      <c r="CM126">
        <v>0</v>
      </c>
      <c r="CP126">
        <v>0</v>
      </c>
      <c r="CQ126">
        <v>0</v>
      </c>
      <c r="CT126">
        <v>0</v>
      </c>
      <c r="CU126">
        <v>0</v>
      </c>
      <c r="CX126">
        <v>0</v>
      </c>
      <c r="CY126">
        <v>0</v>
      </c>
      <c r="DB126">
        <v>0</v>
      </c>
      <c r="DC126">
        <v>0</v>
      </c>
      <c r="DF126">
        <v>0</v>
      </c>
      <c r="DG126">
        <v>0</v>
      </c>
      <c r="DJ126">
        <v>0</v>
      </c>
      <c r="DK126">
        <v>0</v>
      </c>
      <c r="DN126">
        <v>0</v>
      </c>
      <c r="DO126">
        <v>0</v>
      </c>
      <c r="DR126">
        <v>0</v>
      </c>
      <c r="DS126">
        <v>0</v>
      </c>
      <c r="DV126">
        <v>0</v>
      </c>
      <c r="DW126">
        <v>0</v>
      </c>
      <c r="DZ126">
        <v>0</v>
      </c>
      <c r="EA126">
        <v>0</v>
      </c>
      <c r="ED126">
        <v>0</v>
      </c>
      <c r="EE126">
        <v>0</v>
      </c>
      <c r="EH126">
        <v>0</v>
      </c>
      <c r="EI126">
        <v>0</v>
      </c>
      <c r="EL126">
        <v>0</v>
      </c>
      <c r="EM126">
        <v>0</v>
      </c>
      <c r="EP126">
        <v>0</v>
      </c>
      <c r="EQ126">
        <v>0</v>
      </c>
      <c r="ET126">
        <v>0</v>
      </c>
      <c r="EU126">
        <v>0</v>
      </c>
      <c r="EX126">
        <v>0</v>
      </c>
      <c r="EY126">
        <v>0</v>
      </c>
      <c r="FB126">
        <v>0</v>
      </c>
      <c r="FC126">
        <v>0</v>
      </c>
      <c r="FF126">
        <v>0</v>
      </c>
      <c r="FG126">
        <v>0</v>
      </c>
      <c r="FJ126">
        <v>0</v>
      </c>
      <c r="FK126">
        <v>0</v>
      </c>
      <c r="FN126">
        <v>0</v>
      </c>
      <c r="FO126">
        <v>0</v>
      </c>
      <c r="FR126">
        <v>0</v>
      </c>
      <c r="FS126">
        <v>0</v>
      </c>
      <c r="FV126">
        <v>0</v>
      </c>
      <c r="FW126">
        <v>0</v>
      </c>
      <c r="FZ126">
        <v>0</v>
      </c>
      <c r="GA126">
        <v>0</v>
      </c>
      <c r="GD126">
        <v>0</v>
      </c>
      <c r="GE126">
        <v>0</v>
      </c>
      <c r="GH126">
        <v>0</v>
      </c>
      <c r="GI126">
        <v>0</v>
      </c>
      <c r="GL126">
        <v>0</v>
      </c>
      <c r="GM126">
        <v>0</v>
      </c>
      <c r="GP126">
        <v>0</v>
      </c>
      <c r="GQ126">
        <v>0</v>
      </c>
      <c r="GT126">
        <v>0</v>
      </c>
      <c r="GU126">
        <v>0</v>
      </c>
      <c r="GX126">
        <v>0</v>
      </c>
      <c r="GY126">
        <v>0</v>
      </c>
      <c r="HB126">
        <v>0</v>
      </c>
      <c r="HC126">
        <v>0</v>
      </c>
      <c r="HF126">
        <v>0</v>
      </c>
      <c r="HG126">
        <v>0</v>
      </c>
      <c r="HJ126">
        <v>0</v>
      </c>
      <c r="HK126">
        <v>0</v>
      </c>
      <c r="HN126">
        <v>0</v>
      </c>
      <c r="HO126">
        <v>0</v>
      </c>
      <c r="HR126">
        <v>0</v>
      </c>
      <c r="HS126">
        <v>0</v>
      </c>
      <c r="HV126">
        <v>0</v>
      </c>
      <c r="HW126">
        <v>1</v>
      </c>
      <c r="HZ126">
        <v>1</v>
      </c>
      <c r="IA126">
        <v>0</v>
      </c>
      <c r="ID126">
        <v>0</v>
      </c>
      <c r="IE126">
        <v>0</v>
      </c>
      <c r="IH126">
        <v>0</v>
      </c>
      <c r="II126">
        <v>0</v>
      </c>
      <c r="IL126">
        <v>0</v>
      </c>
      <c r="IM126">
        <v>0</v>
      </c>
      <c r="IP126">
        <v>0</v>
      </c>
      <c r="IQ126">
        <v>0</v>
      </c>
      <c r="IT126">
        <v>0</v>
      </c>
      <c r="IU126">
        <v>0</v>
      </c>
      <c r="IX126">
        <v>0</v>
      </c>
      <c r="IY126">
        <f t="shared" ca="1" si="13"/>
        <v>1</v>
      </c>
      <c r="IZ126">
        <f t="shared" ca="1" si="13"/>
        <v>0</v>
      </c>
      <c r="JA126">
        <f t="shared" ca="1" si="13"/>
        <v>0</v>
      </c>
      <c r="JB126">
        <f t="shared" ca="1" si="13"/>
        <v>1</v>
      </c>
    </row>
    <row r="127" spans="1:262" x14ac:dyDescent="0.25">
      <c r="A127" s="54">
        <v>124</v>
      </c>
      <c r="B127" s="38" t="s">
        <v>476</v>
      </c>
      <c r="C127">
        <v>0</v>
      </c>
      <c r="F127">
        <v>0</v>
      </c>
      <c r="G127">
        <v>0</v>
      </c>
      <c r="J127">
        <v>0</v>
      </c>
      <c r="K127">
        <v>0</v>
      </c>
      <c r="N127">
        <v>0</v>
      </c>
      <c r="O127">
        <v>3</v>
      </c>
      <c r="R127">
        <v>3</v>
      </c>
      <c r="S127">
        <v>0</v>
      </c>
      <c r="V127">
        <v>0</v>
      </c>
      <c r="W127">
        <v>0</v>
      </c>
      <c r="Z127">
        <v>0</v>
      </c>
      <c r="AA127">
        <v>1</v>
      </c>
      <c r="AD127">
        <v>1</v>
      </c>
      <c r="AE127">
        <v>0</v>
      </c>
      <c r="AH127">
        <v>0</v>
      </c>
      <c r="AI127">
        <v>0</v>
      </c>
      <c r="AL127">
        <v>0</v>
      </c>
      <c r="AM127">
        <v>1</v>
      </c>
      <c r="AP127">
        <v>1</v>
      </c>
      <c r="AQ127">
        <v>0</v>
      </c>
      <c r="AT127">
        <v>0</v>
      </c>
      <c r="AU127">
        <v>0</v>
      </c>
      <c r="AX127">
        <v>0</v>
      </c>
      <c r="AY127">
        <v>0</v>
      </c>
      <c r="BB127">
        <v>0</v>
      </c>
      <c r="BC127">
        <v>1</v>
      </c>
      <c r="BF127">
        <v>1</v>
      </c>
      <c r="BG127">
        <v>0</v>
      </c>
      <c r="BJ127">
        <v>0</v>
      </c>
      <c r="BK127">
        <v>0</v>
      </c>
      <c r="BN127">
        <v>0</v>
      </c>
      <c r="BO127">
        <v>0</v>
      </c>
      <c r="BR127">
        <v>0</v>
      </c>
      <c r="BS127">
        <v>0</v>
      </c>
      <c r="BV127">
        <v>0</v>
      </c>
      <c r="BW127">
        <v>0</v>
      </c>
      <c r="BZ127">
        <v>0</v>
      </c>
      <c r="CA127">
        <v>0</v>
      </c>
      <c r="CD127">
        <v>0</v>
      </c>
      <c r="CE127">
        <v>0</v>
      </c>
      <c r="CH127">
        <v>0</v>
      </c>
      <c r="CI127">
        <v>0</v>
      </c>
      <c r="CL127">
        <v>0</v>
      </c>
      <c r="CM127">
        <v>0</v>
      </c>
      <c r="CP127">
        <v>0</v>
      </c>
      <c r="CQ127">
        <v>0</v>
      </c>
      <c r="CT127">
        <v>0</v>
      </c>
      <c r="CU127">
        <v>0</v>
      </c>
      <c r="CX127">
        <v>0</v>
      </c>
      <c r="CY127">
        <v>0</v>
      </c>
      <c r="DB127">
        <v>0</v>
      </c>
      <c r="DC127">
        <v>0</v>
      </c>
      <c r="DF127">
        <v>0</v>
      </c>
      <c r="DG127">
        <v>0</v>
      </c>
      <c r="DJ127">
        <v>0</v>
      </c>
      <c r="DK127">
        <v>0</v>
      </c>
      <c r="DN127">
        <v>0</v>
      </c>
      <c r="DO127">
        <v>0</v>
      </c>
      <c r="DR127">
        <v>0</v>
      </c>
      <c r="DS127">
        <v>0</v>
      </c>
      <c r="DV127">
        <v>0</v>
      </c>
      <c r="DW127">
        <v>0</v>
      </c>
      <c r="DZ127">
        <v>0</v>
      </c>
      <c r="EA127">
        <v>0</v>
      </c>
      <c r="ED127">
        <v>0</v>
      </c>
      <c r="EE127">
        <v>0</v>
      </c>
      <c r="EH127">
        <v>0</v>
      </c>
      <c r="EI127">
        <v>0</v>
      </c>
      <c r="EL127">
        <v>0</v>
      </c>
      <c r="EM127">
        <v>0</v>
      </c>
      <c r="EP127">
        <v>0</v>
      </c>
      <c r="EQ127">
        <v>0</v>
      </c>
      <c r="ET127">
        <v>0</v>
      </c>
      <c r="EU127">
        <v>0</v>
      </c>
      <c r="EX127">
        <v>0</v>
      </c>
      <c r="EY127">
        <v>0</v>
      </c>
      <c r="FB127">
        <v>0</v>
      </c>
      <c r="FC127">
        <v>0</v>
      </c>
      <c r="FF127">
        <v>0</v>
      </c>
      <c r="FG127">
        <v>0</v>
      </c>
      <c r="FJ127">
        <v>0</v>
      </c>
      <c r="FK127">
        <v>0</v>
      </c>
      <c r="FN127">
        <v>0</v>
      </c>
      <c r="FO127">
        <v>0</v>
      </c>
      <c r="FR127">
        <v>0</v>
      </c>
      <c r="FS127">
        <v>0</v>
      </c>
      <c r="FV127">
        <v>0</v>
      </c>
      <c r="FW127">
        <v>0</v>
      </c>
      <c r="FZ127">
        <v>0</v>
      </c>
      <c r="GA127">
        <v>0</v>
      </c>
      <c r="GD127">
        <v>0</v>
      </c>
      <c r="GE127">
        <v>0</v>
      </c>
      <c r="GH127">
        <v>0</v>
      </c>
      <c r="GI127">
        <v>0</v>
      </c>
      <c r="GL127">
        <v>0</v>
      </c>
      <c r="GM127">
        <v>0</v>
      </c>
      <c r="GP127">
        <v>0</v>
      </c>
      <c r="GQ127">
        <v>0</v>
      </c>
      <c r="GT127">
        <v>0</v>
      </c>
      <c r="GU127">
        <v>0</v>
      </c>
      <c r="GX127">
        <v>0</v>
      </c>
      <c r="GY127">
        <v>0</v>
      </c>
      <c r="HB127">
        <v>0</v>
      </c>
      <c r="HC127">
        <v>0</v>
      </c>
      <c r="HF127">
        <v>0</v>
      </c>
      <c r="HG127">
        <v>1</v>
      </c>
      <c r="HJ127">
        <v>1</v>
      </c>
      <c r="HK127">
        <v>0</v>
      </c>
      <c r="HN127">
        <v>0</v>
      </c>
      <c r="HO127">
        <v>0</v>
      </c>
      <c r="HR127">
        <v>0</v>
      </c>
      <c r="HS127">
        <v>0</v>
      </c>
      <c r="HV127">
        <v>0</v>
      </c>
      <c r="HW127">
        <v>1</v>
      </c>
      <c r="HZ127">
        <v>1</v>
      </c>
      <c r="IA127">
        <v>0</v>
      </c>
      <c r="ID127">
        <v>0</v>
      </c>
      <c r="IE127">
        <v>0</v>
      </c>
      <c r="IH127">
        <v>0</v>
      </c>
      <c r="II127">
        <v>0</v>
      </c>
      <c r="IL127">
        <v>0</v>
      </c>
      <c r="IM127">
        <v>1</v>
      </c>
      <c r="IP127">
        <v>1</v>
      </c>
      <c r="IQ127">
        <v>0</v>
      </c>
      <c r="IT127">
        <v>0</v>
      </c>
      <c r="IU127">
        <v>0</v>
      </c>
      <c r="IX127">
        <v>0</v>
      </c>
      <c r="IY127">
        <f t="shared" ca="1" si="13"/>
        <v>3</v>
      </c>
      <c r="IZ127">
        <f t="shared" ca="1" si="13"/>
        <v>0</v>
      </c>
      <c r="JA127">
        <f t="shared" ca="1" si="13"/>
        <v>0</v>
      </c>
      <c r="JB127">
        <f t="shared" ca="1" si="13"/>
        <v>3</v>
      </c>
    </row>
    <row r="128" spans="1:262" x14ac:dyDescent="0.25">
      <c r="A128" s="54">
        <v>125</v>
      </c>
      <c r="B128" s="38" t="s">
        <v>484</v>
      </c>
      <c r="C128">
        <v>0</v>
      </c>
      <c r="F128">
        <v>0</v>
      </c>
      <c r="G128">
        <v>0</v>
      </c>
      <c r="J128">
        <v>0</v>
      </c>
      <c r="K128">
        <v>1</v>
      </c>
      <c r="N128">
        <v>1</v>
      </c>
      <c r="O128">
        <v>1</v>
      </c>
      <c r="R128">
        <v>1</v>
      </c>
      <c r="S128">
        <v>0</v>
      </c>
      <c r="V128">
        <v>0</v>
      </c>
      <c r="W128">
        <v>0</v>
      </c>
      <c r="Z128">
        <v>0</v>
      </c>
      <c r="AA128">
        <v>0</v>
      </c>
      <c r="AD128">
        <v>0</v>
      </c>
      <c r="AE128">
        <v>0</v>
      </c>
      <c r="AH128">
        <v>0</v>
      </c>
      <c r="AI128">
        <v>0</v>
      </c>
      <c r="AL128">
        <v>0</v>
      </c>
      <c r="AM128">
        <v>1</v>
      </c>
      <c r="AP128">
        <v>1</v>
      </c>
      <c r="AQ128">
        <v>1</v>
      </c>
      <c r="AT128">
        <v>1</v>
      </c>
      <c r="AU128">
        <v>0</v>
      </c>
      <c r="AX128">
        <v>0</v>
      </c>
      <c r="AY128">
        <v>0</v>
      </c>
      <c r="BB128">
        <v>0</v>
      </c>
      <c r="BC128">
        <v>0</v>
      </c>
      <c r="BF128">
        <v>0</v>
      </c>
      <c r="BG128">
        <v>0</v>
      </c>
      <c r="BJ128">
        <v>0</v>
      </c>
      <c r="BK128">
        <v>0</v>
      </c>
      <c r="BN128">
        <v>0</v>
      </c>
      <c r="BO128">
        <v>0</v>
      </c>
      <c r="BR128">
        <v>0</v>
      </c>
      <c r="BS128">
        <v>0</v>
      </c>
      <c r="BV128">
        <v>0</v>
      </c>
      <c r="BW128">
        <v>0</v>
      </c>
      <c r="BZ128">
        <v>0</v>
      </c>
      <c r="CA128">
        <v>0</v>
      </c>
      <c r="CD128">
        <v>0</v>
      </c>
      <c r="CE128">
        <v>0</v>
      </c>
      <c r="CH128">
        <v>0</v>
      </c>
      <c r="CI128">
        <v>0</v>
      </c>
      <c r="CL128">
        <v>0</v>
      </c>
      <c r="CM128">
        <v>0</v>
      </c>
      <c r="CP128">
        <v>0</v>
      </c>
      <c r="CQ128">
        <v>0</v>
      </c>
      <c r="CT128">
        <v>0</v>
      </c>
      <c r="CU128">
        <v>0</v>
      </c>
      <c r="CX128">
        <v>0</v>
      </c>
      <c r="CY128">
        <v>0</v>
      </c>
      <c r="DB128">
        <v>0</v>
      </c>
      <c r="DC128">
        <v>0</v>
      </c>
      <c r="DF128">
        <v>0</v>
      </c>
      <c r="DG128">
        <v>0</v>
      </c>
      <c r="DJ128">
        <v>0</v>
      </c>
      <c r="DK128">
        <v>0</v>
      </c>
      <c r="DN128">
        <v>0</v>
      </c>
      <c r="DO128">
        <v>0</v>
      </c>
      <c r="DR128">
        <v>0</v>
      </c>
      <c r="DS128">
        <v>0</v>
      </c>
      <c r="DV128">
        <v>0</v>
      </c>
      <c r="DW128">
        <v>0</v>
      </c>
      <c r="DZ128">
        <v>0</v>
      </c>
      <c r="EA128">
        <v>0</v>
      </c>
      <c r="ED128">
        <v>0</v>
      </c>
      <c r="EE128">
        <v>0</v>
      </c>
      <c r="EH128">
        <v>0</v>
      </c>
      <c r="EI128">
        <v>0</v>
      </c>
      <c r="EL128">
        <v>0</v>
      </c>
      <c r="EM128">
        <v>0</v>
      </c>
      <c r="EP128">
        <v>0</v>
      </c>
      <c r="EQ128">
        <v>0</v>
      </c>
      <c r="ET128">
        <v>0</v>
      </c>
      <c r="EU128">
        <v>0</v>
      </c>
      <c r="EX128">
        <v>0</v>
      </c>
      <c r="EY128">
        <v>0</v>
      </c>
      <c r="FB128">
        <v>0</v>
      </c>
      <c r="FC128">
        <v>0</v>
      </c>
      <c r="FF128">
        <v>0</v>
      </c>
      <c r="FG128">
        <v>0</v>
      </c>
      <c r="FJ128">
        <v>0</v>
      </c>
      <c r="FK128">
        <v>0</v>
      </c>
      <c r="FN128">
        <v>0</v>
      </c>
      <c r="FO128">
        <v>0</v>
      </c>
      <c r="FR128">
        <v>0</v>
      </c>
      <c r="FS128">
        <v>1</v>
      </c>
      <c r="FV128">
        <v>1</v>
      </c>
      <c r="FW128">
        <v>0</v>
      </c>
      <c r="FZ128">
        <v>0</v>
      </c>
      <c r="GA128">
        <v>0</v>
      </c>
      <c r="GD128">
        <v>0</v>
      </c>
      <c r="GE128">
        <v>0</v>
      </c>
      <c r="GH128">
        <v>0</v>
      </c>
      <c r="GI128">
        <v>0</v>
      </c>
      <c r="GL128">
        <v>0</v>
      </c>
      <c r="GM128">
        <v>0</v>
      </c>
      <c r="GP128">
        <v>0</v>
      </c>
      <c r="GQ128">
        <v>0</v>
      </c>
      <c r="GT128">
        <v>0</v>
      </c>
      <c r="GU128">
        <v>0</v>
      </c>
      <c r="GX128">
        <v>0</v>
      </c>
      <c r="GY128">
        <v>0</v>
      </c>
      <c r="HB128">
        <v>0</v>
      </c>
      <c r="HC128">
        <v>0</v>
      </c>
      <c r="HF128">
        <v>0</v>
      </c>
      <c r="HG128">
        <v>0</v>
      </c>
      <c r="HJ128">
        <v>0</v>
      </c>
      <c r="HK128">
        <v>0</v>
      </c>
      <c r="HN128">
        <v>0</v>
      </c>
      <c r="HO128">
        <v>0</v>
      </c>
      <c r="HR128">
        <v>0</v>
      </c>
      <c r="HS128">
        <v>0</v>
      </c>
      <c r="HV128">
        <v>0</v>
      </c>
      <c r="HW128">
        <v>0</v>
      </c>
      <c r="HZ128">
        <v>0</v>
      </c>
      <c r="IA128">
        <v>1</v>
      </c>
      <c r="ID128">
        <v>1</v>
      </c>
      <c r="IE128">
        <v>0</v>
      </c>
      <c r="IH128">
        <v>0</v>
      </c>
      <c r="II128">
        <v>0</v>
      </c>
      <c r="IL128">
        <v>0</v>
      </c>
      <c r="IM128">
        <v>0</v>
      </c>
      <c r="IP128">
        <v>0</v>
      </c>
      <c r="IQ128">
        <v>0</v>
      </c>
      <c r="IT128">
        <v>0</v>
      </c>
      <c r="IU128">
        <v>0</v>
      </c>
      <c r="IX128">
        <v>0</v>
      </c>
      <c r="IY128">
        <f t="shared" ca="1" si="13"/>
        <v>2</v>
      </c>
      <c r="IZ128">
        <f t="shared" ca="1" si="13"/>
        <v>0</v>
      </c>
      <c r="JA128">
        <f t="shared" ca="1" si="13"/>
        <v>0</v>
      </c>
      <c r="JB128">
        <f t="shared" ca="1" si="13"/>
        <v>2</v>
      </c>
    </row>
    <row r="129" spans="1:262" x14ac:dyDescent="0.25">
      <c r="A129" s="54">
        <v>126</v>
      </c>
      <c r="B129" s="38" t="s">
        <v>480</v>
      </c>
      <c r="C129">
        <v>0</v>
      </c>
      <c r="F129">
        <v>0</v>
      </c>
      <c r="G129">
        <v>1</v>
      </c>
      <c r="J129">
        <v>1</v>
      </c>
      <c r="K129">
        <v>0</v>
      </c>
      <c r="N129">
        <v>0</v>
      </c>
      <c r="O129">
        <v>0</v>
      </c>
      <c r="R129">
        <v>0</v>
      </c>
      <c r="S129">
        <v>0</v>
      </c>
      <c r="V129">
        <v>0</v>
      </c>
      <c r="W129">
        <v>0</v>
      </c>
      <c r="Z129">
        <v>0</v>
      </c>
      <c r="AA129">
        <v>0</v>
      </c>
      <c r="AD129">
        <v>0</v>
      </c>
      <c r="AE129">
        <v>0</v>
      </c>
      <c r="AH129">
        <v>0</v>
      </c>
      <c r="AI129">
        <v>0</v>
      </c>
      <c r="AL129">
        <v>0</v>
      </c>
      <c r="AM129">
        <v>0</v>
      </c>
      <c r="AP129">
        <v>0</v>
      </c>
      <c r="AQ129">
        <v>1</v>
      </c>
      <c r="AT129">
        <v>1</v>
      </c>
      <c r="AU129">
        <v>0</v>
      </c>
      <c r="AX129">
        <v>0</v>
      </c>
      <c r="AY129">
        <v>0</v>
      </c>
      <c r="BB129">
        <v>0</v>
      </c>
      <c r="BC129">
        <v>0</v>
      </c>
      <c r="BF129">
        <v>0</v>
      </c>
      <c r="BG129">
        <v>0</v>
      </c>
      <c r="BJ129">
        <v>0</v>
      </c>
      <c r="BK129">
        <v>0</v>
      </c>
      <c r="BN129">
        <v>0</v>
      </c>
      <c r="BO129">
        <v>0</v>
      </c>
      <c r="BR129">
        <v>0</v>
      </c>
      <c r="BS129">
        <v>0</v>
      </c>
      <c r="BV129">
        <v>0</v>
      </c>
      <c r="BW129">
        <v>0</v>
      </c>
      <c r="BZ129">
        <v>0</v>
      </c>
      <c r="CA129">
        <v>0</v>
      </c>
      <c r="CD129">
        <v>0</v>
      </c>
      <c r="CE129">
        <v>0</v>
      </c>
      <c r="CH129">
        <v>0</v>
      </c>
      <c r="CI129">
        <v>0</v>
      </c>
      <c r="CL129">
        <v>0</v>
      </c>
      <c r="CM129">
        <v>0</v>
      </c>
      <c r="CP129">
        <v>0</v>
      </c>
      <c r="CQ129">
        <v>0</v>
      </c>
      <c r="CT129">
        <v>0</v>
      </c>
      <c r="CU129">
        <v>0</v>
      </c>
      <c r="CX129">
        <v>0</v>
      </c>
      <c r="CY129">
        <v>0</v>
      </c>
      <c r="DB129">
        <v>0</v>
      </c>
      <c r="DC129">
        <v>0</v>
      </c>
      <c r="DF129">
        <v>0</v>
      </c>
      <c r="DG129">
        <v>0</v>
      </c>
      <c r="DJ129">
        <v>0</v>
      </c>
      <c r="DK129">
        <v>0</v>
      </c>
      <c r="DN129">
        <v>0</v>
      </c>
      <c r="DO129">
        <v>0</v>
      </c>
      <c r="DR129">
        <v>0</v>
      </c>
      <c r="DS129">
        <v>0</v>
      </c>
      <c r="DV129">
        <v>0</v>
      </c>
      <c r="DW129">
        <v>1</v>
      </c>
      <c r="DZ129">
        <v>1</v>
      </c>
      <c r="EA129">
        <v>0</v>
      </c>
      <c r="ED129">
        <v>0</v>
      </c>
      <c r="EE129">
        <v>0</v>
      </c>
      <c r="EH129">
        <v>0</v>
      </c>
      <c r="EI129">
        <v>0</v>
      </c>
      <c r="EL129">
        <v>0</v>
      </c>
      <c r="EM129">
        <v>0</v>
      </c>
      <c r="EP129">
        <v>0</v>
      </c>
      <c r="EQ129">
        <v>0</v>
      </c>
      <c r="ET129">
        <v>0</v>
      </c>
      <c r="EU129">
        <v>0</v>
      </c>
      <c r="EX129">
        <v>0</v>
      </c>
      <c r="EY129">
        <v>0</v>
      </c>
      <c r="FB129">
        <v>0</v>
      </c>
      <c r="FC129">
        <v>0</v>
      </c>
      <c r="FF129">
        <v>0</v>
      </c>
      <c r="FG129">
        <v>0</v>
      </c>
      <c r="FJ129">
        <v>0</v>
      </c>
      <c r="FK129">
        <v>0</v>
      </c>
      <c r="FN129">
        <v>0</v>
      </c>
      <c r="FO129">
        <v>0</v>
      </c>
      <c r="FR129">
        <v>0</v>
      </c>
      <c r="FS129">
        <v>0</v>
      </c>
      <c r="FV129">
        <v>0</v>
      </c>
      <c r="FW129">
        <v>0</v>
      </c>
      <c r="FZ129">
        <v>0</v>
      </c>
      <c r="GA129">
        <v>0</v>
      </c>
      <c r="GD129">
        <v>0</v>
      </c>
      <c r="GE129">
        <v>0</v>
      </c>
      <c r="GH129">
        <v>0</v>
      </c>
      <c r="GI129">
        <v>0</v>
      </c>
      <c r="GL129">
        <v>0</v>
      </c>
      <c r="GM129">
        <v>0</v>
      </c>
      <c r="GP129">
        <v>0</v>
      </c>
      <c r="GQ129">
        <v>0</v>
      </c>
      <c r="GT129">
        <v>0</v>
      </c>
      <c r="GU129">
        <v>0</v>
      </c>
      <c r="GX129">
        <v>0</v>
      </c>
      <c r="GY129">
        <v>0</v>
      </c>
      <c r="HB129">
        <v>0</v>
      </c>
      <c r="HC129">
        <v>0</v>
      </c>
      <c r="HF129">
        <v>0</v>
      </c>
      <c r="HG129">
        <v>0</v>
      </c>
      <c r="HJ129">
        <v>0</v>
      </c>
      <c r="HK129">
        <v>0</v>
      </c>
      <c r="HN129">
        <v>0</v>
      </c>
      <c r="HO129">
        <v>0</v>
      </c>
      <c r="HR129">
        <v>0</v>
      </c>
      <c r="HS129">
        <v>0</v>
      </c>
      <c r="HV129">
        <v>0</v>
      </c>
      <c r="HW129">
        <v>0</v>
      </c>
      <c r="HZ129">
        <v>0</v>
      </c>
      <c r="IA129">
        <v>0</v>
      </c>
      <c r="ID129">
        <v>0</v>
      </c>
      <c r="IE129">
        <v>0</v>
      </c>
      <c r="IH129">
        <v>0</v>
      </c>
      <c r="II129">
        <v>0</v>
      </c>
      <c r="IL129">
        <v>0</v>
      </c>
      <c r="IM129">
        <v>0</v>
      </c>
      <c r="IP129">
        <v>0</v>
      </c>
      <c r="IQ129">
        <v>0</v>
      </c>
      <c r="IT129">
        <v>0</v>
      </c>
      <c r="IU129">
        <v>0</v>
      </c>
      <c r="IX129">
        <v>0</v>
      </c>
      <c r="IY129">
        <f t="shared" ca="1" si="13"/>
        <v>1</v>
      </c>
      <c r="IZ129">
        <f t="shared" ca="1" si="13"/>
        <v>0</v>
      </c>
      <c r="JA129">
        <f t="shared" ca="1" si="13"/>
        <v>0</v>
      </c>
      <c r="JB129">
        <f t="shared" ca="1" si="13"/>
        <v>1</v>
      </c>
    </row>
    <row r="130" spans="1:262" x14ac:dyDescent="0.25">
      <c r="A130" s="54">
        <v>127</v>
      </c>
      <c r="B130" s="38" t="s">
        <v>482</v>
      </c>
      <c r="C130">
        <v>0</v>
      </c>
      <c r="F130">
        <v>0</v>
      </c>
      <c r="G130">
        <v>0</v>
      </c>
      <c r="J130">
        <v>0</v>
      </c>
      <c r="K130">
        <v>1</v>
      </c>
      <c r="N130">
        <v>1</v>
      </c>
      <c r="O130">
        <v>0</v>
      </c>
      <c r="R130">
        <v>0</v>
      </c>
      <c r="S130">
        <v>0</v>
      </c>
      <c r="V130">
        <v>0</v>
      </c>
      <c r="W130">
        <v>0</v>
      </c>
      <c r="Z130">
        <v>0</v>
      </c>
      <c r="AA130">
        <v>0</v>
      </c>
      <c r="AD130">
        <v>0</v>
      </c>
      <c r="AE130">
        <v>0</v>
      </c>
      <c r="AH130">
        <v>0</v>
      </c>
      <c r="AI130">
        <v>0</v>
      </c>
      <c r="AL130">
        <v>0</v>
      </c>
      <c r="AM130">
        <v>0</v>
      </c>
      <c r="AP130">
        <v>0</v>
      </c>
      <c r="AQ130">
        <v>1</v>
      </c>
      <c r="AT130">
        <v>1</v>
      </c>
      <c r="AU130">
        <v>0</v>
      </c>
      <c r="AX130">
        <v>0</v>
      </c>
      <c r="AY130">
        <v>0</v>
      </c>
      <c r="BB130">
        <v>0</v>
      </c>
      <c r="BC130">
        <v>0</v>
      </c>
      <c r="BF130">
        <v>0</v>
      </c>
      <c r="BG130">
        <v>0</v>
      </c>
      <c r="BJ130">
        <v>0</v>
      </c>
      <c r="BK130">
        <v>0</v>
      </c>
      <c r="BN130">
        <v>0</v>
      </c>
      <c r="BO130">
        <v>0</v>
      </c>
      <c r="BR130">
        <v>0</v>
      </c>
      <c r="BS130">
        <v>0</v>
      </c>
      <c r="BV130">
        <v>0</v>
      </c>
      <c r="BW130">
        <v>0</v>
      </c>
      <c r="BZ130">
        <v>0</v>
      </c>
      <c r="CA130">
        <v>0</v>
      </c>
      <c r="CD130">
        <v>0</v>
      </c>
      <c r="CE130">
        <v>0</v>
      </c>
      <c r="CH130">
        <v>0</v>
      </c>
      <c r="CI130">
        <v>0</v>
      </c>
      <c r="CL130">
        <v>0</v>
      </c>
      <c r="CM130">
        <v>0</v>
      </c>
      <c r="CP130">
        <v>0</v>
      </c>
      <c r="CQ130">
        <v>0</v>
      </c>
      <c r="CT130">
        <v>0</v>
      </c>
      <c r="CU130">
        <v>0</v>
      </c>
      <c r="CX130">
        <v>0</v>
      </c>
      <c r="CY130">
        <v>0</v>
      </c>
      <c r="DB130">
        <v>0</v>
      </c>
      <c r="DC130">
        <v>0</v>
      </c>
      <c r="DF130">
        <v>0</v>
      </c>
      <c r="DG130">
        <v>0</v>
      </c>
      <c r="DJ130">
        <v>0</v>
      </c>
      <c r="DK130">
        <v>0</v>
      </c>
      <c r="DN130">
        <v>0</v>
      </c>
      <c r="DO130">
        <v>0</v>
      </c>
      <c r="DR130">
        <v>0</v>
      </c>
      <c r="DS130">
        <v>0</v>
      </c>
      <c r="DV130">
        <v>0</v>
      </c>
      <c r="DW130">
        <v>0</v>
      </c>
      <c r="DZ130">
        <v>0</v>
      </c>
      <c r="EA130">
        <v>0</v>
      </c>
      <c r="ED130">
        <v>0</v>
      </c>
      <c r="EE130">
        <v>0</v>
      </c>
      <c r="EH130">
        <v>0</v>
      </c>
      <c r="EI130">
        <v>0</v>
      </c>
      <c r="EL130">
        <v>0</v>
      </c>
      <c r="EM130">
        <v>0</v>
      </c>
      <c r="EP130">
        <v>0</v>
      </c>
      <c r="EQ130">
        <v>0</v>
      </c>
      <c r="ET130">
        <v>0</v>
      </c>
      <c r="EU130">
        <v>0</v>
      </c>
      <c r="EX130">
        <v>0</v>
      </c>
      <c r="EY130">
        <v>0</v>
      </c>
      <c r="FB130">
        <v>0</v>
      </c>
      <c r="FC130">
        <v>0</v>
      </c>
      <c r="FF130">
        <v>0</v>
      </c>
      <c r="FG130">
        <v>0</v>
      </c>
      <c r="FJ130">
        <v>0</v>
      </c>
      <c r="FK130">
        <v>0</v>
      </c>
      <c r="FN130">
        <v>0</v>
      </c>
      <c r="FO130">
        <v>0</v>
      </c>
      <c r="FR130">
        <v>0</v>
      </c>
      <c r="FS130">
        <v>0</v>
      </c>
      <c r="FV130">
        <v>0</v>
      </c>
      <c r="FW130">
        <v>1</v>
      </c>
      <c r="FZ130">
        <v>1</v>
      </c>
      <c r="GA130">
        <v>0</v>
      </c>
      <c r="GD130">
        <v>0</v>
      </c>
      <c r="GE130">
        <v>0</v>
      </c>
      <c r="GH130">
        <v>0</v>
      </c>
      <c r="GI130">
        <v>0</v>
      </c>
      <c r="GL130">
        <v>0</v>
      </c>
      <c r="GM130">
        <v>0</v>
      </c>
      <c r="GP130">
        <v>0</v>
      </c>
      <c r="GQ130">
        <v>0</v>
      </c>
      <c r="GT130">
        <v>0</v>
      </c>
      <c r="GU130">
        <v>0</v>
      </c>
      <c r="GX130">
        <v>0</v>
      </c>
      <c r="GY130">
        <v>0</v>
      </c>
      <c r="HB130">
        <v>0</v>
      </c>
      <c r="HC130">
        <v>0</v>
      </c>
      <c r="HF130">
        <v>0</v>
      </c>
      <c r="HG130">
        <v>0</v>
      </c>
      <c r="HJ130">
        <v>0</v>
      </c>
      <c r="HK130">
        <v>0</v>
      </c>
      <c r="HN130">
        <v>0</v>
      </c>
      <c r="HO130">
        <v>0</v>
      </c>
      <c r="HR130">
        <v>0</v>
      </c>
      <c r="HS130">
        <v>0</v>
      </c>
      <c r="HV130">
        <v>0</v>
      </c>
      <c r="HW130">
        <v>0</v>
      </c>
      <c r="HZ130">
        <v>0</v>
      </c>
      <c r="IA130">
        <v>0</v>
      </c>
      <c r="ID130">
        <v>0</v>
      </c>
      <c r="IE130">
        <v>0</v>
      </c>
      <c r="IH130">
        <v>0</v>
      </c>
      <c r="II130">
        <v>0</v>
      </c>
      <c r="IL130">
        <v>0</v>
      </c>
      <c r="IM130">
        <v>0</v>
      </c>
      <c r="IP130">
        <v>0</v>
      </c>
      <c r="IQ130">
        <v>0</v>
      </c>
      <c r="IT130">
        <v>0</v>
      </c>
      <c r="IU130">
        <v>0</v>
      </c>
      <c r="IX130">
        <v>0</v>
      </c>
      <c r="IY130">
        <f t="shared" ca="1" si="13"/>
        <v>1</v>
      </c>
      <c r="IZ130">
        <f t="shared" ca="1" si="13"/>
        <v>0</v>
      </c>
      <c r="JA130">
        <f t="shared" ca="1" si="13"/>
        <v>0</v>
      </c>
      <c r="JB130">
        <f t="shared" ca="1" si="13"/>
        <v>1</v>
      </c>
    </row>
    <row r="131" spans="1:262" x14ac:dyDescent="0.25">
      <c r="A131" s="54">
        <v>128</v>
      </c>
      <c r="B131" s="38" t="s">
        <v>506</v>
      </c>
      <c r="C131">
        <v>0</v>
      </c>
      <c r="F131">
        <v>0</v>
      </c>
      <c r="G131">
        <v>0</v>
      </c>
      <c r="J131">
        <v>0</v>
      </c>
      <c r="K131">
        <v>2</v>
      </c>
      <c r="N131">
        <v>2</v>
      </c>
      <c r="O131">
        <v>0</v>
      </c>
      <c r="R131">
        <v>0</v>
      </c>
      <c r="S131">
        <v>0</v>
      </c>
      <c r="V131">
        <v>0</v>
      </c>
      <c r="W131">
        <v>0</v>
      </c>
      <c r="Z131">
        <v>0</v>
      </c>
      <c r="AA131">
        <v>0</v>
      </c>
      <c r="AD131">
        <v>0</v>
      </c>
      <c r="AE131">
        <v>0</v>
      </c>
      <c r="AH131">
        <v>0</v>
      </c>
      <c r="AI131">
        <v>0</v>
      </c>
      <c r="AL131">
        <v>0</v>
      </c>
      <c r="AM131">
        <v>0</v>
      </c>
      <c r="AP131">
        <v>0</v>
      </c>
      <c r="AQ131">
        <v>2</v>
      </c>
      <c r="AT131">
        <v>2</v>
      </c>
      <c r="AU131">
        <v>0</v>
      </c>
      <c r="AX131">
        <v>0</v>
      </c>
      <c r="AY131">
        <v>0</v>
      </c>
      <c r="BB131">
        <v>0</v>
      </c>
      <c r="BC131">
        <v>0</v>
      </c>
      <c r="BF131">
        <v>0</v>
      </c>
      <c r="BG131">
        <v>0</v>
      </c>
      <c r="BJ131">
        <v>0</v>
      </c>
      <c r="BK131">
        <v>0</v>
      </c>
      <c r="BN131">
        <v>0</v>
      </c>
      <c r="BO131">
        <v>0</v>
      </c>
      <c r="BR131">
        <v>0</v>
      </c>
      <c r="BS131">
        <v>0</v>
      </c>
      <c r="BV131">
        <v>0</v>
      </c>
      <c r="BW131">
        <v>0</v>
      </c>
      <c r="BZ131">
        <v>0</v>
      </c>
      <c r="CA131">
        <v>0</v>
      </c>
      <c r="CD131">
        <v>0</v>
      </c>
      <c r="CE131">
        <v>0</v>
      </c>
      <c r="CH131">
        <v>0</v>
      </c>
      <c r="CI131">
        <v>0</v>
      </c>
      <c r="CL131">
        <v>0</v>
      </c>
      <c r="CM131">
        <v>0</v>
      </c>
      <c r="CP131">
        <v>0</v>
      </c>
      <c r="CQ131">
        <v>0</v>
      </c>
      <c r="CT131">
        <v>0</v>
      </c>
      <c r="CU131">
        <v>0</v>
      </c>
      <c r="CX131">
        <v>0</v>
      </c>
      <c r="CY131">
        <v>0</v>
      </c>
      <c r="DB131">
        <v>0</v>
      </c>
      <c r="DC131">
        <v>0</v>
      </c>
      <c r="DF131">
        <v>0</v>
      </c>
      <c r="DG131">
        <v>0</v>
      </c>
      <c r="DJ131">
        <v>0</v>
      </c>
      <c r="DK131">
        <v>0</v>
      </c>
      <c r="DN131">
        <v>0</v>
      </c>
      <c r="DO131">
        <v>0</v>
      </c>
      <c r="DR131">
        <v>0</v>
      </c>
      <c r="DS131">
        <v>0</v>
      </c>
      <c r="DV131">
        <v>0</v>
      </c>
      <c r="DW131">
        <v>0</v>
      </c>
      <c r="DZ131">
        <v>0</v>
      </c>
      <c r="EA131">
        <v>0</v>
      </c>
      <c r="ED131">
        <v>0</v>
      </c>
      <c r="EE131">
        <v>0</v>
      </c>
      <c r="EH131">
        <v>0</v>
      </c>
      <c r="EI131">
        <v>0</v>
      </c>
      <c r="EL131">
        <v>0</v>
      </c>
      <c r="EM131">
        <v>0</v>
      </c>
      <c r="EP131">
        <v>0</v>
      </c>
      <c r="EQ131">
        <v>0</v>
      </c>
      <c r="ET131">
        <v>0</v>
      </c>
      <c r="EU131">
        <v>0</v>
      </c>
      <c r="EX131">
        <v>0</v>
      </c>
      <c r="EY131">
        <v>0</v>
      </c>
      <c r="FB131">
        <v>0</v>
      </c>
      <c r="FC131">
        <v>0</v>
      </c>
      <c r="FF131">
        <v>0</v>
      </c>
      <c r="FG131">
        <v>0</v>
      </c>
      <c r="FJ131">
        <v>0</v>
      </c>
      <c r="FK131">
        <v>0</v>
      </c>
      <c r="FN131">
        <v>0</v>
      </c>
      <c r="FO131">
        <v>0</v>
      </c>
      <c r="FR131">
        <v>0</v>
      </c>
      <c r="FS131">
        <v>0</v>
      </c>
      <c r="FV131">
        <v>0</v>
      </c>
      <c r="FW131">
        <v>1</v>
      </c>
      <c r="FZ131">
        <v>1</v>
      </c>
      <c r="GA131">
        <v>1</v>
      </c>
      <c r="GD131">
        <v>1</v>
      </c>
      <c r="GE131">
        <v>0</v>
      </c>
      <c r="GH131">
        <v>0</v>
      </c>
      <c r="GI131">
        <v>0</v>
      </c>
      <c r="GL131">
        <v>0</v>
      </c>
      <c r="GM131">
        <v>0</v>
      </c>
      <c r="GP131">
        <v>0</v>
      </c>
      <c r="GQ131">
        <v>0</v>
      </c>
      <c r="GT131">
        <v>0</v>
      </c>
      <c r="GU131">
        <v>0</v>
      </c>
      <c r="GX131">
        <v>0</v>
      </c>
      <c r="GY131">
        <v>0</v>
      </c>
      <c r="HB131">
        <v>0</v>
      </c>
      <c r="HC131">
        <v>0</v>
      </c>
      <c r="HF131">
        <v>0</v>
      </c>
      <c r="HG131">
        <v>0</v>
      </c>
      <c r="HJ131">
        <v>0</v>
      </c>
      <c r="HK131">
        <v>0</v>
      </c>
      <c r="HN131">
        <v>0</v>
      </c>
      <c r="HO131">
        <v>0</v>
      </c>
      <c r="HR131">
        <v>0</v>
      </c>
      <c r="HS131">
        <v>0</v>
      </c>
      <c r="HV131">
        <v>0</v>
      </c>
      <c r="HW131">
        <v>0</v>
      </c>
      <c r="HZ131">
        <v>0</v>
      </c>
      <c r="IA131">
        <v>0</v>
      </c>
      <c r="ID131">
        <v>0</v>
      </c>
      <c r="IE131">
        <v>0</v>
      </c>
      <c r="IH131">
        <v>0</v>
      </c>
      <c r="II131">
        <v>0</v>
      </c>
      <c r="IL131">
        <v>0</v>
      </c>
      <c r="IM131">
        <v>0</v>
      </c>
      <c r="IP131">
        <v>0</v>
      </c>
      <c r="IQ131">
        <v>0</v>
      </c>
      <c r="IT131">
        <v>0</v>
      </c>
      <c r="IU131">
        <v>0</v>
      </c>
      <c r="IX131">
        <v>0</v>
      </c>
      <c r="IY131">
        <f t="shared" ca="1" si="13"/>
        <v>2</v>
      </c>
      <c r="IZ131">
        <f t="shared" ca="1" si="13"/>
        <v>0</v>
      </c>
      <c r="JA131">
        <f t="shared" ca="1" si="13"/>
        <v>0</v>
      </c>
      <c r="JB131">
        <f t="shared" ca="1" si="13"/>
        <v>2</v>
      </c>
    </row>
    <row r="132" spans="1:262" x14ac:dyDescent="0.25">
      <c r="A132" s="54">
        <v>129</v>
      </c>
      <c r="B132" s="38" t="s">
        <v>591</v>
      </c>
      <c r="C132">
        <v>0</v>
      </c>
      <c r="F132">
        <v>0</v>
      </c>
      <c r="G132">
        <v>0</v>
      </c>
      <c r="J132">
        <v>0</v>
      </c>
      <c r="K132">
        <v>1</v>
      </c>
      <c r="N132">
        <v>1</v>
      </c>
      <c r="O132">
        <v>0</v>
      </c>
      <c r="R132">
        <v>0</v>
      </c>
      <c r="S132">
        <v>0</v>
      </c>
      <c r="V132">
        <v>0</v>
      </c>
      <c r="W132">
        <v>0</v>
      </c>
      <c r="Z132">
        <v>0</v>
      </c>
      <c r="AA132">
        <v>0</v>
      </c>
      <c r="AD132">
        <v>0</v>
      </c>
      <c r="AE132">
        <v>0</v>
      </c>
      <c r="AH132">
        <v>0</v>
      </c>
      <c r="AI132">
        <v>0</v>
      </c>
      <c r="AL132">
        <v>0</v>
      </c>
      <c r="AM132">
        <v>0</v>
      </c>
      <c r="AP132">
        <v>0</v>
      </c>
      <c r="AQ132">
        <v>1</v>
      </c>
      <c r="AT132">
        <v>1</v>
      </c>
      <c r="AU132">
        <v>0</v>
      </c>
      <c r="AX132">
        <v>0</v>
      </c>
      <c r="AY132">
        <v>0</v>
      </c>
      <c r="BB132">
        <v>0</v>
      </c>
      <c r="BC132">
        <v>0</v>
      </c>
      <c r="BF132">
        <v>0</v>
      </c>
      <c r="BG132">
        <v>0</v>
      </c>
      <c r="BJ132">
        <v>0</v>
      </c>
      <c r="BK132">
        <v>0</v>
      </c>
      <c r="BN132">
        <v>0</v>
      </c>
      <c r="BO132">
        <v>0</v>
      </c>
      <c r="BR132">
        <v>0</v>
      </c>
      <c r="BS132">
        <v>0</v>
      </c>
      <c r="BV132">
        <v>0</v>
      </c>
      <c r="BW132">
        <v>0</v>
      </c>
      <c r="BZ132">
        <v>0</v>
      </c>
      <c r="CA132">
        <v>0</v>
      </c>
      <c r="CD132">
        <v>0</v>
      </c>
      <c r="CE132">
        <v>0</v>
      </c>
      <c r="CH132">
        <v>0</v>
      </c>
      <c r="CI132">
        <v>0</v>
      </c>
      <c r="CL132">
        <v>0</v>
      </c>
      <c r="CM132">
        <v>0</v>
      </c>
      <c r="CP132">
        <v>0</v>
      </c>
      <c r="CQ132">
        <v>0</v>
      </c>
      <c r="CT132">
        <v>0</v>
      </c>
      <c r="CU132">
        <v>0</v>
      </c>
      <c r="CX132">
        <v>0</v>
      </c>
      <c r="CY132">
        <v>0</v>
      </c>
      <c r="DB132">
        <v>0</v>
      </c>
      <c r="DC132">
        <v>0</v>
      </c>
      <c r="DF132">
        <v>0</v>
      </c>
      <c r="DG132">
        <v>0</v>
      </c>
      <c r="DJ132">
        <v>0</v>
      </c>
      <c r="DK132">
        <v>0</v>
      </c>
      <c r="DN132">
        <v>0</v>
      </c>
      <c r="DO132">
        <v>0</v>
      </c>
      <c r="DR132">
        <v>0</v>
      </c>
      <c r="DS132">
        <v>0</v>
      </c>
      <c r="DV132">
        <v>0</v>
      </c>
      <c r="DW132">
        <v>0</v>
      </c>
      <c r="DZ132">
        <v>0</v>
      </c>
      <c r="EA132">
        <v>0</v>
      </c>
      <c r="ED132">
        <v>0</v>
      </c>
      <c r="EE132">
        <v>0</v>
      </c>
      <c r="EH132">
        <v>0</v>
      </c>
      <c r="EI132">
        <v>0</v>
      </c>
      <c r="EL132">
        <v>0</v>
      </c>
      <c r="EM132">
        <v>0</v>
      </c>
      <c r="EP132">
        <v>0</v>
      </c>
      <c r="EQ132">
        <v>0</v>
      </c>
      <c r="ET132">
        <v>0</v>
      </c>
      <c r="EU132">
        <v>0</v>
      </c>
      <c r="EX132">
        <v>0</v>
      </c>
      <c r="EY132">
        <v>0</v>
      </c>
      <c r="FB132">
        <v>0</v>
      </c>
      <c r="FC132">
        <v>0</v>
      </c>
      <c r="FF132">
        <v>0</v>
      </c>
      <c r="FG132">
        <v>0</v>
      </c>
      <c r="FJ132">
        <v>0</v>
      </c>
      <c r="FK132">
        <v>0</v>
      </c>
      <c r="FN132">
        <v>0</v>
      </c>
      <c r="FO132">
        <v>0</v>
      </c>
      <c r="FR132">
        <v>0</v>
      </c>
      <c r="FS132">
        <v>0</v>
      </c>
      <c r="FV132">
        <v>0</v>
      </c>
      <c r="FW132">
        <v>0</v>
      </c>
      <c r="FZ132">
        <v>0</v>
      </c>
      <c r="GA132">
        <v>1</v>
      </c>
      <c r="GD132">
        <v>1</v>
      </c>
      <c r="GE132">
        <v>0</v>
      </c>
      <c r="GH132">
        <v>0</v>
      </c>
      <c r="GI132">
        <v>0</v>
      </c>
      <c r="GL132">
        <v>0</v>
      </c>
      <c r="GM132">
        <v>0</v>
      </c>
      <c r="GP132">
        <v>0</v>
      </c>
      <c r="GQ132">
        <v>0</v>
      </c>
      <c r="GT132">
        <v>0</v>
      </c>
      <c r="GU132">
        <v>0</v>
      </c>
      <c r="GX132">
        <v>0</v>
      </c>
      <c r="GY132">
        <v>0</v>
      </c>
      <c r="HB132">
        <v>0</v>
      </c>
      <c r="HC132">
        <v>0</v>
      </c>
      <c r="HF132">
        <v>0</v>
      </c>
      <c r="HG132">
        <v>0</v>
      </c>
      <c r="HJ132">
        <v>0</v>
      </c>
      <c r="HK132">
        <v>0</v>
      </c>
      <c r="HN132">
        <v>0</v>
      </c>
      <c r="HO132">
        <v>0</v>
      </c>
      <c r="HR132">
        <v>0</v>
      </c>
      <c r="HS132">
        <v>0</v>
      </c>
      <c r="HV132">
        <v>0</v>
      </c>
      <c r="HW132">
        <v>0</v>
      </c>
      <c r="HZ132">
        <v>0</v>
      </c>
      <c r="IA132">
        <v>0</v>
      </c>
      <c r="ID132">
        <v>0</v>
      </c>
      <c r="IE132">
        <v>0</v>
      </c>
      <c r="IH132">
        <v>0</v>
      </c>
      <c r="II132">
        <v>0</v>
      </c>
      <c r="IL132">
        <v>0</v>
      </c>
      <c r="IM132">
        <v>0</v>
      </c>
      <c r="IP132">
        <v>0</v>
      </c>
      <c r="IQ132">
        <v>0</v>
      </c>
      <c r="IT132">
        <v>0</v>
      </c>
      <c r="IU132">
        <v>0</v>
      </c>
      <c r="IX132">
        <v>0</v>
      </c>
      <c r="IY132">
        <f t="shared" ca="1" si="13"/>
        <v>1</v>
      </c>
      <c r="IZ132">
        <f t="shared" ca="1" si="13"/>
        <v>0</v>
      </c>
      <c r="JA132">
        <f t="shared" ca="1" si="13"/>
        <v>0</v>
      </c>
      <c r="JB132">
        <f t="shared" ca="1" si="13"/>
        <v>1</v>
      </c>
    </row>
    <row r="133" spans="1:262" x14ac:dyDescent="0.25">
      <c r="A133" s="54">
        <v>130</v>
      </c>
      <c r="B133" s="38" t="s">
        <v>474</v>
      </c>
      <c r="C133">
        <v>0</v>
      </c>
      <c r="F133">
        <v>0</v>
      </c>
      <c r="G133">
        <v>0</v>
      </c>
      <c r="J133">
        <v>0</v>
      </c>
      <c r="K133">
        <v>1</v>
      </c>
      <c r="N133">
        <v>1</v>
      </c>
      <c r="O133">
        <v>0</v>
      </c>
      <c r="R133">
        <v>0</v>
      </c>
      <c r="S133">
        <v>0</v>
      </c>
      <c r="V133">
        <v>0</v>
      </c>
      <c r="W133">
        <v>0</v>
      </c>
      <c r="Z133">
        <v>0</v>
      </c>
      <c r="AA133">
        <v>0</v>
      </c>
      <c r="AD133">
        <v>0</v>
      </c>
      <c r="AE133">
        <v>0</v>
      </c>
      <c r="AH133">
        <v>0</v>
      </c>
      <c r="AI133">
        <v>0</v>
      </c>
      <c r="AL133">
        <v>0</v>
      </c>
      <c r="AM133">
        <v>0</v>
      </c>
      <c r="AP133">
        <v>0</v>
      </c>
      <c r="AQ133">
        <v>1</v>
      </c>
      <c r="AT133">
        <v>1</v>
      </c>
      <c r="AU133">
        <v>0</v>
      </c>
      <c r="AX133">
        <v>0</v>
      </c>
      <c r="AY133">
        <v>0</v>
      </c>
      <c r="BB133">
        <v>0</v>
      </c>
      <c r="BC133">
        <v>0</v>
      </c>
      <c r="BF133">
        <v>0</v>
      </c>
      <c r="BG133">
        <v>0</v>
      </c>
      <c r="BJ133">
        <v>0</v>
      </c>
      <c r="BK133">
        <v>0</v>
      </c>
      <c r="BN133">
        <v>0</v>
      </c>
      <c r="BO133">
        <v>0</v>
      </c>
      <c r="BR133">
        <v>0</v>
      </c>
      <c r="BS133">
        <v>0</v>
      </c>
      <c r="BV133">
        <v>0</v>
      </c>
      <c r="BW133">
        <v>0</v>
      </c>
      <c r="BZ133">
        <v>0</v>
      </c>
      <c r="CA133">
        <v>0</v>
      </c>
      <c r="CD133">
        <v>0</v>
      </c>
      <c r="CE133">
        <v>0</v>
      </c>
      <c r="CH133">
        <v>0</v>
      </c>
      <c r="CI133">
        <v>0</v>
      </c>
      <c r="CL133">
        <v>0</v>
      </c>
      <c r="CM133">
        <v>0</v>
      </c>
      <c r="CP133">
        <v>0</v>
      </c>
      <c r="CQ133">
        <v>0</v>
      </c>
      <c r="CT133">
        <v>0</v>
      </c>
      <c r="CU133">
        <v>0</v>
      </c>
      <c r="CX133">
        <v>0</v>
      </c>
      <c r="CY133">
        <v>0</v>
      </c>
      <c r="DB133">
        <v>0</v>
      </c>
      <c r="DC133">
        <v>0</v>
      </c>
      <c r="DF133">
        <v>0</v>
      </c>
      <c r="DG133">
        <v>0</v>
      </c>
      <c r="DJ133">
        <v>0</v>
      </c>
      <c r="DK133">
        <v>0</v>
      </c>
      <c r="DN133">
        <v>0</v>
      </c>
      <c r="DO133">
        <v>0</v>
      </c>
      <c r="DR133">
        <v>0</v>
      </c>
      <c r="DS133">
        <v>0</v>
      </c>
      <c r="DV133">
        <v>0</v>
      </c>
      <c r="DW133">
        <v>0</v>
      </c>
      <c r="DZ133">
        <v>0</v>
      </c>
      <c r="EA133">
        <v>0</v>
      </c>
      <c r="ED133">
        <v>0</v>
      </c>
      <c r="EE133">
        <v>0</v>
      </c>
      <c r="EH133">
        <v>0</v>
      </c>
      <c r="EI133">
        <v>0</v>
      </c>
      <c r="EL133">
        <v>0</v>
      </c>
      <c r="EM133">
        <v>0</v>
      </c>
      <c r="EP133">
        <v>0</v>
      </c>
      <c r="EQ133">
        <v>0</v>
      </c>
      <c r="ET133">
        <v>0</v>
      </c>
      <c r="EU133">
        <v>0</v>
      </c>
      <c r="EX133">
        <v>0</v>
      </c>
      <c r="EY133">
        <v>0</v>
      </c>
      <c r="FB133">
        <v>0</v>
      </c>
      <c r="FC133">
        <v>0</v>
      </c>
      <c r="FF133">
        <v>0</v>
      </c>
      <c r="FG133">
        <v>0</v>
      </c>
      <c r="FJ133">
        <v>0</v>
      </c>
      <c r="FK133">
        <v>0</v>
      </c>
      <c r="FN133">
        <v>0</v>
      </c>
      <c r="FO133">
        <v>0</v>
      </c>
      <c r="FR133">
        <v>0</v>
      </c>
      <c r="FS133">
        <v>0</v>
      </c>
      <c r="FV133">
        <v>0</v>
      </c>
      <c r="FW133">
        <v>0</v>
      </c>
      <c r="FZ133">
        <v>0</v>
      </c>
      <c r="GA133">
        <v>1</v>
      </c>
      <c r="GD133">
        <v>1</v>
      </c>
      <c r="GE133">
        <v>0</v>
      </c>
      <c r="GH133">
        <v>0</v>
      </c>
      <c r="GI133">
        <v>0</v>
      </c>
      <c r="GL133">
        <v>0</v>
      </c>
      <c r="GM133">
        <v>0</v>
      </c>
      <c r="GP133">
        <v>0</v>
      </c>
      <c r="GQ133">
        <v>0</v>
      </c>
      <c r="GT133">
        <v>0</v>
      </c>
      <c r="GU133">
        <v>0</v>
      </c>
      <c r="GX133">
        <v>0</v>
      </c>
      <c r="GY133">
        <v>0</v>
      </c>
      <c r="HB133">
        <v>0</v>
      </c>
      <c r="HC133">
        <v>0</v>
      </c>
      <c r="HF133">
        <v>0</v>
      </c>
      <c r="HG133">
        <v>0</v>
      </c>
      <c r="HJ133">
        <v>0</v>
      </c>
      <c r="HK133">
        <v>0</v>
      </c>
      <c r="HN133">
        <v>0</v>
      </c>
      <c r="HO133">
        <v>0</v>
      </c>
      <c r="HR133">
        <v>0</v>
      </c>
      <c r="HS133">
        <v>0</v>
      </c>
      <c r="HV133">
        <v>0</v>
      </c>
      <c r="HW133">
        <v>0</v>
      </c>
      <c r="HZ133">
        <v>0</v>
      </c>
      <c r="IA133">
        <v>0</v>
      </c>
      <c r="ID133">
        <v>0</v>
      </c>
      <c r="IE133">
        <v>0</v>
      </c>
      <c r="IH133">
        <v>0</v>
      </c>
      <c r="II133">
        <v>0</v>
      </c>
      <c r="IL133">
        <v>0</v>
      </c>
      <c r="IM133">
        <v>0</v>
      </c>
      <c r="IP133">
        <v>0</v>
      </c>
      <c r="IQ133">
        <v>0</v>
      </c>
      <c r="IT133">
        <v>0</v>
      </c>
      <c r="IU133">
        <v>0</v>
      </c>
      <c r="IX133">
        <v>0</v>
      </c>
      <c r="IY133">
        <f t="shared" ca="1" si="13"/>
        <v>1</v>
      </c>
      <c r="IZ133">
        <f t="shared" ca="1" si="13"/>
        <v>0</v>
      </c>
      <c r="JA133">
        <f t="shared" ca="1" si="13"/>
        <v>0</v>
      </c>
      <c r="JB133">
        <f t="shared" ca="1" si="13"/>
        <v>1</v>
      </c>
    </row>
    <row r="134" spans="1:262" x14ac:dyDescent="0.25">
      <c r="A134" s="54">
        <v>131</v>
      </c>
      <c r="B134" s="38" t="s">
        <v>505</v>
      </c>
      <c r="C134">
        <v>0</v>
      </c>
      <c r="F134">
        <v>0</v>
      </c>
      <c r="G134">
        <v>0</v>
      </c>
      <c r="J134">
        <v>0</v>
      </c>
      <c r="K134">
        <v>1</v>
      </c>
      <c r="N134">
        <v>1</v>
      </c>
      <c r="O134">
        <v>0</v>
      </c>
      <c r="R134">
        <v>0</v>
      </c>
      <c r="S134">
        <v>0</v>
      </c>
      <c r="V134">
        <v>0</v>
      </c>
      <c r="W134">
        <v>0</v>
      </c>
      <c r="Z134">
        <v>0</v>
      </c>
      <c r="AA134">
        <v>0</v>
      </c>
      <c r="AD134">
        <v>0</v>
      </c>
      <c r="AE134">
        <v>0</v>
      </c>
      <c r="AH134">
        <v>0</v>
      </c>
      <c r="AI134">
        <v>0</v>
      </c>
      <c r="AL134">
        <v>0</v>
      </c>
      <c r="AM134">
        <v>0</v>
      </c>
      <c r="AP134">
        <v>0</v>
      </c>
      <c r="AQ134">
        <v>1</v>
      </c>
      <c r="AT134">
        <v>1</v>
      </c>
      <c r="AU134">
        <v>0</v>
      </c>
      <c r="AX134">
        <v>0</v>
      </c>
      <c r="AY134">
        <v>0</v>
      </c>
      <c r="BB134">
        <v>0</v>
      </c>
      <c r="BC134">
        <v>0</v>
      </c>
      <c r="BF134">
        <v>0</v>
      </c>
      <c r="BG134">
        <v>0</v>
      </c>
      <c r="BJ134">
        <v>0</v>
      </c>
      <c r="BK134">
        <v>0</v>
      </c>
      <c r="BN134">
        <v>0</v>
      </c>
      <c r="BO134">
        <v>0</v>
      </c>
      <c r="BR134">
        <v>0</v>
      </c>
      <c r="BS134">
        <v>0</v>
      </c>
      <c r="BV134">
        <v>0</v>
      </c>
      <c r="BW134">
        <v>0</v>
      </c>
      <c r="BZ134">
        <v>0</v>
      </c>
      <c r="CA134">
        <v>0</v>
      </c>
      <c r="CD134">
        <v>0</v>
      </c>
      <c r="CE134">
        <v>0</v>
      </c>
      <c r="CH134">
        <v>0</v>
      </c>
      <c r="CI134">
        <v>0</v>
      </c>
      <c r="CL134">
        <v>0</v>
      </c>
      <c r="CM134">
        <v>0</v>
      </c>
      <c r="CP134">
        <v>0</v>
      </c>
      <c r="CQ134">
        <v>0</v>
      </c>
      <c r="CT134">
        <v>0</v>
      </c>
      <c r="CU134">
        <v>0</v>
      </c>
      <c r="CX134">
        <v>0</v>
      </c>
      <c r="CY134">
        <v>0</v>
      </c>
      <c r="DB134">
        <v>0</v>
      </c>
      <c r="DC134">
        <v>0</v>
      </c>
      <c r="DF134">
        <v>0</v>
      </c>
      <c r="DG134">
        <v>0</v>
      </c>
      <c r="DJ134">
        <v>0</v>
      </c>
      <c r="DK134">
        <v>0</v>
      </c>
      <c r="DN134">
        <v>0</v>
      </c>
      <c r="DO134">
        <v>0</v>
      </c>
      <c r="DR134">
        <v>0</v>
      </c>
      <c r="DS134">
        <v>0</v>
      </c>
      <c r="DV134">
        <v>0</v>
      </c>
      <c r="DW134">
        <v>0</v>
      </c>
      <c r="DZ134">
        <v>0</v>
      </c>
      <c r="EA134">
        <v>0</v>
      </c>
      <c r="ED134">
        <v>0</v>
      </c>
      <c r="EE134">
        <v>0</v>
      </c>
      <c r="EH134">
        <v>0</v>
      </c>
      <c r="EI134">
        <v>0</v>
      </c>
      <c r="EL134">
        <v>0</v>
      </c>
      <c r="EM134">
        <v>0</v>
      </c>
      <c r="EP134">
        <v>0</v>
      </c>
      <c r="EQ134">
        <v>0</v>
      </c>
      <c r="ET134">
        <v>0</v>
      </c>
      <c r="EU134">
        <v>0</v>
      </c>
      <c r="EX134">
        <v>0</v>
      </c>
      <c r="EY134">
        <v>0</v>
      </c>
      <c r="FB134">
        <v>0</v>
      </c>
      <c r="FC134">
        <v>0</v>
      </c>
      <c r="FF134">
        <v>0</v>
      </c>
      <c r="FG134">
        <v>0</v>
      </c>
      <c r="FJ134">
        <v>0</v>
      </c>
      <c r="FK134">
        <v>0</v>
      </c>
      <c r="FN134">
        <v>0</v>
      </c>
      <c r="FO134">
        <v>0</v>
      </c>
      <c r="FR134">
        <v>0</v>
      </c>
      <c r="FS134">
        <v>0</v>
      </c>
      <c r="FV134">
        <v>0</v>
      </c>
      <c r="FW134">
        <v>0</v>
      </c>
      <c r="FZ134">
        <v>0</v>
      </c>
      <c r="GA134">
        <v>1</v>
      </c>
      <c r="GD134">
        <v>1</v>
      </c>
      <c r="GE134">
        <v>0</v>
      </c>
      <c r="GH134">
        <v>0</v>
      </c>
      <c r="GI134">
        <v>0</v>
      </c>
      <c r="GL134">
        <v>0</v>
      </c>
      <c r="GM134">
        <v>0</v>
      </c>
      <c r="GP134">
        <v>0</v>
      </c>
      <c r="GQ134">
        <v>0</v>
      </c>
      <c r="GT134">
        <v>0</v>
      </c>
      <c r="GU134">
        <v>0</v>
      </c>
      <c r="GX134">
        <v>0</v>
      </c>
      <c r="GY134">
        <v>0</v>
      </c>
      <c r="HB134">
        <v>0</v>
      </c>
      <c r="HC134">
        <v>0</v>
      </c>
      <c r="HF134">
        <v>0</v>
      </c>
      <c r="HG134">
        <v>0</v>
      </c>
      <c r="HJ134">
        <v>0</v>
      </c>
      <c r="HK134">
        <v>0</v>
      </c>
      <c r="HN134">
        <v>0</v>
      </c>
      <c r="HO134">
        <v>0</v>
      </c>
      <c r="HR134">
        <v>0</v>
      </c>
      <c r="HS134">
        <v>0</v>
      </c>
      <c r="HV134">
        <v>0</v>
      </c>
      <c r="HW134">
        <v>0</v>
      </c>
      <c r="HZ134">
        <v>0</v>
      </c>
      <c r="IA134">
        <v>0</v>
      </c>
      <c r="ID134">
        <v>0</v>
      </c>
      <c r="IE134">
        <v>0</v>
      </c>
      <c r="IH134">
        <v>0</v>
      </c>
      <c r="II134">
        <v>0</v>
      </c>
      <c r="IL134">
        <v>0</v>
      </c>
      <c r="IM134">
        <v>0</v>
      </c>
      <c r="IP134">
        <v>0</v>
      </c>
      <c r="IQ134">
        <v>0</v>
      </c>
      <c r="IT134">
        <v>0</v>
      </c>
      <c r="IU134">
        <v>0</v>
      </c>
      <c r="IX134">
        <v>0</v>
      </c>
      <c r="IY134">
        <f t="shared" ca="1" si="13"/>
        <v>1</v>
      </c>
      <c r="IZ134">
        <f t="shared" ca="1" si="13"/>
        <v>0</v>
      </c>
      <c r="JA134">
        <f t="shared" ca="1" si="13"/>
        <v>0</v>
      </c>
      <c r="JB134">
        <f t="shared" ca="1" si="13"/>
        <v>1</v>
      </c>
    </row>
    <row r="135" spans="1:262" x14ac:dyDescent="0.25">
      <c r="A135" s="54">
        <v>132</v>
      </c>
      <c r="B135" s="38" t="s">
        <v>491</v>
      </c>
      <c r="C135">
        <v>0</v>
      </c>
      <c r="F135">
        <v>0</v>
      </c>
      <c r="G135">
        <v>0</v>
      </c>
      <c r="J135">
        <v>0</v>
      </c>
      <c r="K135">
        <v>1</v>
      </c>
      <c r="N135">
        <v>1</v>
      </c>
      <c r="O135">
        <v>0</v>
      </c>
      <c r="R135">
        <v>0</v>
      </c>
      <c r="S135">
        <v>0</v>
      </c>
      <c r="V135">
        <v>0</v>
      </c>
      <c r="W135">
        <v>0</v>
      </c>
      <c r="Z135">
        <v>0</v>
      </c>
      <c r="AA135">
        <v>0</v>
      </c>
      <c r="AD135">
        <v>0</v>
      </c>
      <c r="AE135">
        <v>0</v>
      </c>
      <c r="AH135">
        <v>0</v>
      </c>
      <c r="AI135">
        <v>0</v>
      </c>
      <c r="AL135">
        <v>0</v>
      </c>
      <c r="AM135">
        <v>0</v>
      </c>
      <c r="AP135">
        <v>0</v>
      </c>
      <c r="AQ135">
        <v>1</v>
      </c>
      <c r="AT135">
        <v>1</v>
      </c>
      <c r="AU135">
        <v>0</v>
      </c>
      <c r="AX135">
        <v>0</v>
      </c>
      <c r="AY135">
        <v>0</v>
      </c>
      <c r="BB135">
        <v>0</v>
      </c>
      <c r="BC135">
        <v>0</v>
      </c>
      <c r="BF135">
        <v>0</v>
      </c>
      <c r="BG135">
        <v>0</v>
      </c>
      <c r="BJ135">
        <v>0</v>
      </c>
      <c r="BK135">
        <v>0</v>
      </c>
      <c r="BN135">
        <v>0</v>
      </c>
      <c r="BO135">
        <v>0</v>
      </c>
      <c r="BR135">
        <v>0</v>
      </c>
      <c r="BS135">
        <v>0</v>
      </c>
      <c r="BV135">
        <v>0</v>
      </c>
      <c r="BW135">
        <v>0</v>
      </c>
      <c r="BZ135">
        <v>0</v>
      </c>
      <c r="CA135">
        <v>0</v>
      </c>
      <c r="CD135">
        <v>0</v>
      </c>
      <c r="CE135">
        <v>0</v>
      </c>
      <c r="CH135">
        <v>0</v>
      </c>
      <c r="CI135">
        <v>0</v>
      </c>
      <c r="CL135">
        <v>0</v>
      </c>
      <c r="CM135">
        <v>0</v>
      </c>
      <c r="CP135">
        <v>0</v>
      </c>
      <c r="CQ135">
        <v>0</v>
      </c>
      <c r="CT135">
        <v>0</v>
      </c>
      <c r="CU135">
        <v>0</v>
      </c>
      <c r="CX135">
        <v>0</v>
      </c>
      <c r="CY135">
        <v>0</v>
      </c>
      <c r="DB135">
        <v>0</v>
      </c>
      <c r="DC135">
        <v>0</v>
      </c>
      <c r="DF135">
        <v>0</v>
      </c>
      <c r="DG135">
        <v>0</v>
      </c>
      <c r="DJ135">
        <v>0</v>
      </c>
      <c r="DK135">
        <v>0</v>
      </c>
      <c r="DN135">
        <v>0</v>
      </c>
      <c r="DO135">
        <v>0</v>
      </c>
      <c r="DR135">
        <v>0</v>
      </c>
      <c r="DS135">
        <v>0</v>
      </c>
      <c r="DV135">
        <v>0</v>
      </c>
      <c r="DW135">
        <v>0</v>
      </c>
      <c r="DZ135">
        <v>0</v>
      </c>
      <c r="EA135">
        <v>0</v>
      </c>
      <c r="ED135">
        <v>0</v>
      </c>
      <c r="EE135">
        <v>0</v>
      </c>
      <c r="EH135">
        <v>0</v>
      </c>
      <c r="EI135">
        <v>0</v>
      </c>
      <c r="EL135">
        <v>0</v>
      </c>
      <c r="EM135">
        <v>0</v>
      </c>
      <c r="EP135">
        <v>0</v>
      </c>
      <c r="EQ135">
        <v>0</v>
      </c>
      <c r="ET135">
        <v>0</v>
      </c>
      <c r="EU135">
        <v>0</v>
      </c>
      <c r="EX135">
        <v>0</v>
      </c>
      <c r="EY135">
        <v>0</v>
      </c>
      <c r="FB135">
        <v>0</v>
      </c>
      <c r="FC135">
        <v>0</v>
      </c>
      <c r="FF135">
        <v>0</v>
      </c>
      <c r="FG135">
        <v>0</v>
      </c>
      <c r="FJ135">
        <v>0</v>
      </c>
      <c r="FK135">
        <v>0</v>
      </c>
      <c r="FN135">
        <v>0</v>
      </c>
      <c r="FO135">
        <v>0</v>
      </c>
      <c r="FR135">
        <v>0</v>
      </c>
      <c r="FS135">
        <v>0</v>
      </c>
      <c r="FV135">
        <v>0</v>
      </c>
      <c r="FW135">
        <v>0</v>
      </c>
      <c r="FZ135">
        <v>0</v>
      </c>
      <c r="GA135">
        <v>1</v>
      </c>
      <c r="GD135">
        <v>1</v>
      </c>
      <c r="GE135">
        <v>0</v>
      </c>
      <c r="GH135">
        <v>0</v>
      </c>
      <c r="GI135">
        <v>0</v>
      </c>
      <c r="GL135">
        <v>0</v>
      </c>
      <c r="GM135">
        <v>0</v>
      </c>
      <c r="GP135">
        <v>0</v>
      </c>
      <c r="GQ135">
        <v>0</v>
      </c>
      <c r="GT135">
        <v>0</v>
      </c>
      <c r="GU135">
        <v>0</v>
      </c>
      <c r="GX135">
        <v>0</v>
      </c>
      <c r="GY135">
        <v>0</v>
      </c>
      <c r="HB135">
        <v>0</v>
      </c>
      <c r="HC135">
        <v>0</v>
      </c>
      <c r="HF135">
        <v>0</v>
      </c>
      <c r="HG135">
        <v>0</v>
      </c>
      <c r="HJ135">
        <v>0</v>
      </c>
      <c r="HK135">
        <v>0</v>
      </c>
      <c r="HN135">
        <v>0</v>
      </c>
      <c r="HO135">
        <v>0</v>
      </c>
      <c r="HR135">
        <v>0</v>
      </c>
      <c r="HS135">
        <v>0</v>
      </c>
      <c r="HV135">
        <v>0</v>
      </c>
      <c r="HW135">
        <v>0</v>
      </c>
      <c r="HZ135">
        <v>0</v>
      </c>
      <c r="IA135">
        <v>0</v>
      </c>
      <c r="ID135">
        <v>0</v>
      </c>
      <c r="IE135">
        <v>0</v>
      </c>
      <c r="IH135">
        <v>0</v>
      </c>
      <c r="II135">
        <v>0</v>
      </c>
      <c r="IL135">
        <v>0</v>
      </c>
      <c r="IM135">
        <v>0</v>
      </c>
      <c r="IP135">
        <v>0</v>
      </c>
      <c r="IQ135">
        <v>0</v>
      </c>
      <c r="IT135">
        <v>0</v>
      </c>
      <c r="IU135">
        <v>0</v>
      </c>
      <c r="IX135">
        <v>0</v>
      </c>
      <c r="IY135">
        <f t="shared" ca="1" si="13"/>
        <v>1</v>
      </c>
      <c r="IZ135">
        <f t="shared" ca="1" si="13"/>
        <v>0</v>
      </c>
      <c r="JA135">
        <f t="shared" ca="1" si="13"/>
        <v>0</v>
      </c>
      <c r="JB135">
        <f t="shared" ca="1" si="13"/>
        <v>1</v>
      </c>
    </row>
    <row r="136" spans="1:262" x14ac:dyDescent="0.25">
      <c r="A136" s="54">
        <v>133</v>
      </c>
      <c r="B136" s="38" t="s">
        <v>371</v>
      </c>
      <c r="C136">
        <v>0</v>
      </c>
      <c r="F136">
        <v>0</v>
      </c>
      <c r="G136">
        <v>1</v>
      </c>
      <c r="J136">
        <v>1</v>
      </c>
      <c r="K136">
        <v>2</v>
      </c>
      <c r="N136">
        <v>2</v>
      </c>
      <c r="O136">
        <v>0</v>
      </c>
      <c r="R136">
        <v>0</v>
      </c>
      <c r="S136">
        <v>0</v>
      </c>
      <c r="V136">
        <v>0</v>
      </c>
      <c r="W136">
        <v>0</v>
      </c>
      <c r="Z136">
        <v>0</v>
      </c>
      <c r="AA136">
        <v>0</v>
      </c>
      <c r="AD136">
        <v>0</v>
      </c>
      <c r="AE136">
        <v>0</v>
      </c>
      <c r="AH136">
        <v>0</v>
      </c>
      <c r="AI136">
        <v>0</v>
      </c>
      <c r="AL136">
        <v>0</v>
      </c>
      <c r="AM136">
        <v>0</v>
      </c>
      <c r="AP136">
        <v>0</v>
      </c>
      <c r="AQ136">
        <v>1</v>
      </c>
      <c r="AT136">
        <v>1</v>
      </c>
      <c r="AU136">
        <v>2</v>
      </c>
      <c r="AX136">
        <v>2</v>
      </c>
      <c r="AY136">
        <v>0</v>
      </c>
      <c r="BB136">
        <v>0</v>
      </c>
      <c r="BC136">
        <v>0</v>
      </c>
      <c r="BF136">
        <v>0</v>
      </c>
      <c r="BG136">
        <v>0</v>
      </c>
      <c r="BJ136">
        <v>0</v>
      </c>
      <c r="BK136">
        <v>0</v>
      </c>
      <c r="BN136">
        <v>0</v>
      </c>
      <c r="BO136">
        <v>0</v>
      </c>
      <c r="BR136">
        <v>0</v>
      </c>
      <c r="BS136">
        <v>0</v>
      </c>
      <c r="BV136">
        <v>0</v>
      </c>
      <c r="BW136">
        <v>0</v>
      </c>
      <c r="BZ136">
        <v>0</v>
      </c>
      <c r="CA136">
        <v>0</v>
      </c>
      <c r="CD136">
        <v>0</v>
      </c>
      <c r="CE136">
        <v>0</v>
      </c>
      <c r="CH136">
        <v>0</v>
      </c>
      <c r="CI136">
        <v>0</v>
      </c>
      <c r="CL136">
        <v>0</v>
      </c>
      <c r="CM136">
        <v>0</v>
      </c>
      <c r="CP136">
        <v>0</v>
      </c>
      <c r="CQ136">
        <v>0</v>
      </c>
      <c r="CT136">
        <v>0</v>
      </c>
      <c r="CU136">
        <v>0</v>
      </c>
      <c r="CX136">
        <v>0</v>
      </c>
      <c r="CY136">
        <v>0</v>
      </c>
      <c r="DB136">
        <v>0</v>
      </c>
      <c r="DC136">
        <v>0</v>
      </c>
      <c r="DF136">
        <v>0</v>
      </c>
      <c r="DG136">
        <v>0</v>
      </c>
      <c r="DJ136">
        <v>0</v>
      </c>
      <c r="DK136">
        <v>0</v>
      </c>
      <c r="DN136">
        <v>0</v>
      </c>
      <c r="DO136">
        <v>0</v>
      </c>
      <c r="DR136">
        <v>0</v>
      </c>
      <c r="DS136">
        <v>0</v>
      </c>
      <c r="DV136">
        <v>0</v>
      </c>
      <c r="DW136">
        <v>0</v>
      </c>
      <c r="DZ136">
        <v>0</v>
      </c>
      <c r="EA136">
        <v>0</v>
      </c>
      <c r="ED136">
        <v>0</v>
      </c>
      <c r="EE136">
        <v>1</v>
      </c>
      <c r="EH136">
        <v>1</v>
      </c>
      <c r="EI136">
        <v>0</v>
      </c>
      <c r="EL136">
        <v>0</v>
      </c>
      <c r="EM136">
        <v>0</v>
      </c>
      <c r="EP136">
        <v>0</v>
      </c>
      <c r="EQ136">
        <v>0</v>
      </c>
      <c r="ET136">
        <v>0</v>
      </c>
      <c r="EU136">
        <v>0</v>
      </c>
      <c r="EX136">
        <v>0</v>
      </c>
      <c r="EY136">
        <v>0</v>
      </c>
      <c r="FB136">
        <v>0</v>
      </c>
      <c r="FC136">
        <v>0</v>
      </c>
      <c r="FF136">
        <v>0</v>
      </c>
      <c r="FG136">
        <v>0</v>
      </c>
      <c r="FJ136">
        <v>0</v>
      </c>
      <c r="FK136">
        <v>0</v>
      </c>
      <c r="FN136">
        <v>0</v>
      </c>
      <c r="FO136">
        <v>0</v>
      </c>
      <c r="FR136">
        <v>0</v>
      </c>
      <c r="FS136">
        <v>0</v>
      </c>
      <c r="FV136">
        <v>0</v>
      </c>
      <c r="FW136">
        <v>0</v>
      </c>
      <c r="FZ136">
        <v>0</v>
      </c>
      <c r="GA136">
        <v>1</v>
      </c>
      <c r="GD136">
        <v>1</v>
      </c>
      <c r="GE136">
        <v>0</v>
      </c>
      <c r="GH136">
        <v>0</v>
      </c>
      <c r="GI136">
        <v>1</v>
      </c>
      <c r="GL136">
        <v>1</v>
      </c>
      <c r="GM136">
        <v>0</v>
      </c>
      <c r="GP136">
        <v>0</v>
      </c>
      <c r="GQ136">
        <v>0</v>
      </c>
      <c r="GT136">
        <v>0</v>
      </c>
      <c r="GU136">
        <v>0</v>
      </c>
      <c r="GX136">
        <v>0</v>
      </c>
      <c r="GY136">
        <v>0</v>
      </c>
      <c r="HB136">
        <v>0</v>
      </c>
      <c r="HC136">
        <v>0</v>
      </c>
      <c r="HF136">
        <v>0</v>
      </c>
      <c r="HG136">
        <v>0</v>
      </c>
      <c r="HJ136">
        <v>0</v>
      </c>
      <c r="HK136">
        <v>0</v>
      </c>
      <c r="HN136">
        <v>0</v>
      </c>
      <c r="HO136">
        <v>0</v>
      </c>
      <c r="HR136">
        <v>0</v>
      </c>
      <c r="HS136">
        <v>0</v>
      </c>
      <c r="HV136">
        <v>0</v>
      </c>
      <c r="HW136">
        <v>0</v>
      </c>
      <c r="HZ136">
        <v>0</v>
      </c>
      <c r="IA136">
        <v>0</v>
      </c>
      <c r="ID136">
        <v>0</v>
      </c>
      <c r="IE136">
        <v>0</v>
      </c>
      <c r="IH136">
        <v>0</v>
      </c>
      <c r="II136">
        <v>0</v>
      </c>
      <c r="IL136">
        <v>0</v>
      </c>
      <c r="IM136">
        <v>0</v>
      </c>
      <c r="IP136">
        <v>0</v>
      </c>
      <c r="IQ136">
        <v>0</v>
      </c>
      <c r="IT136">
        <v>0</v>
      </c>
      <c r="IU136">
        <v>0</v>
      </c>
      <c r="IX136">
        <v>0</v>
      </c>
      <c r="IY136">
        <f t="shared" ca="1" si="13"/>
        <v>3</v>
      </c>
      <c r="IZ136">
        <f t="shared" ca="1" si="13"/>
        <v>0</v>
      </c>
      <c r="JA136">
        <f t="shared" ca="1" si="13"/>
        <v>0</v>
      </c>
      <c r="JB136">
        <f t="shared" ca="1" si="13"/>
        <v>3</v>
      </c>
    </row>
    <row r="137" spans="1:262" x14ac:dyDescent="0.25">
      <c r="A137" s="54">
        <v>134</v>
      </c>
      <c r="B137" s="38" t="s">
        <v>367</v>
      </c>
      <c r="C137">
        <v>0</v>
      </c>
      <c r="F137">
        <v>0</v>
      </c>
      <c r="G137">
        <v>1</v>
      </c>
      <c r="J137">
        <v>1</v>
      </c>
      <c r="K137">
        <v>0</v>
      </c>
      <c r="N137">
        <v>0</v>
      </c>
      <c r="O137">
        <v>0</v>
      </c>
      <c r="R137">
        <v>0</v>
      </c>
      <c r="S137">
        <v>0</v>
      </c>
      <c r="V137">
        <v>0</v>
      </c>
      <c r="W137">
        <v>0</v>
      </c>
      <c r="Z137">
        <v>0</v>
      </c>
      <c r="AA137">
        <v>0</v>
      </c>
      <c r="AD137">
        <v>0</v>
      </c>
      <c r="AE137">
        <v>0</v>
      </c>
      <c r="AH137">
        <v>0</v>
      </c>
      <c r="AI137">
        <v>0</v>
      </c>
      <c r="AL137">
        <v>0</v>
      </c>
      <c r="AM137">
        <v>0</v>
      </c>
      <c r="AP137">
        <v>0</v>
      </c>
      <c r="AQ137">
        <v>0</v>
      </c>
      <c r="AT137">
        <v>0</v>
      </c>
      <c r="AU137">
        <v>1</v>
      </c>
      <c r="AX137">
        <v>1</v>
      </c>
      <c r="AY137">
        <v>0</v>
      </c>
      <c r="BB137">
        <v>0</v>
      </c>
      <c r="BC137">
        <v>0</v>
      </c>
      <c r="BF137">
        <v>0</v>
      </c>
      <c r="BG137">
        <v>0</v>
      </c>
      <c r="BJ137">
        <v>0</v>
      </c>
      <c r="BK137">
        <v>0</v>
      </c>
      <c r="BN137">
        <v>0</v>
      </c>
      <c r="BO137">
        <v>0</v>
      </c>
      <c r="BR137">
        <v>0</v>
      </c>
      <c r="BS137">
        <v>0</v>
      </c>
      <c r="BV137">
        <v>0</v>
      </c>
      <c r="BW137">
        <v>0</v>
      </c>
      <c r="BZ137">
        <v>0</v>
      </c>
      <c r="CA137">
        <v>0</v>
      </c>
      <c r="CD137">
        <v>0</v>
      </c>
      <c r="CE137">
        <v>0</v>
      </c>
      <c r="CH137">
        <v>0</v>
      </c>
      <c r="CI137">
        <v>0</v>
      </c>
      <c r="CL137">
        <v>0</v>
      </c>
      <c r="CM137">
        <v>0</v>
      </c>
      <c r="CP137">
        <v>0</v>
      </c>
      <c r="CQ137">
        <v>0</v>
      </c>
      <c r="CT137">
        <v>0</v>
      </c>
      <c r="CU137">
        <v>0</v>
      </c>
      <c r="CX137">
        <v>0</v>
      </c>
      <c r="CY137">
        <v>0</v>
      </c>
      <c r="DB137">
        <v>0</v>
      </c>
      <c r="DC137">
        <v>0</v>
      </c>
      <c r="DF137">
        <v>0</v>
      </c>
      <c r="DG137">
        <v>0</v>
      </c>
      <c r="DJ137">
        <v>0</v>
      </c>
      <c r="DK137">
        <v>0</v>
      </c>
      <c r="DN137">
        <v>0</v>
      </c>
      <c r="DO137">
        <v>0</v>
      </c>
      <c r="DR137">
        <v>0</v>
      </c>
      <c r="DS137">
        <v>0</v>
      </c>
      <c r="DV137">
        <v>0</v>
      </c>
      <c r="DW137">
        <v>0</v>
      </c>
      <c r="DZ137">
        <v>0</v>
      </c>
      <c r="EA137">
        <v>0</v>
      </c>
      <c r="ED137">
        <v>0</v>
      </c>
      <c r="EE137">
        <v>1</v>
      </c>
      <c r="EH137">
        <v>1</v>
      </c>
      <c r="EI137">
        <v>0</v>
      </c>
      <c r="EL137">
        <v>0</v>
      </c>
      <c r="EM137">
        <v>0</v>
      </c>
      <c r="EP137">
        <v>0</v>
      </c>
      <c r="EQ137">
        <v>0</v>
      </c>
      <c r="ET137">
        <v>0</v>
      </c>
      <c r="EU137">
        <v>0</v>
      </c>
      <c r="EX137">
        <v>0</v>
      </c>
      <c r="EY137">
        <v>0</v>
      </c>
      <c r="FB137">
        <v>0</v>
      </c>
      <c r="FC137">
        <v>0</v>
      </c>
      <c r="FF137">
        <v>0</v>
      </c>
      <c r="FG137">
        <v>0</v>
      </c>
      <c r="FJ137">
        <v>0</v>
      </c>
      <c r="FK137">
        <v>0</v>
      </c>
      <c r="FN137">
        <v>0</v>
      </c>
      <c r="FO137">
        <v>0</v>
      </c>
      <c r="FR137">
        <v>0</v>
      </c>
      <c r="FS137">
        <v>0</v>
      </c>
      <c r="FV137">
        <v>0</v>
      </c>
      <c r="FW137">
        <v>0</v>
      </c>
      <c r="FZ137">
        <v>0</v>
      </c>
      <c r="GA137">
        <v>0</v>
      </c>
      <c r="GD137">
        <v>0</v>
      </c>
      <c r="GE137">
        <v>0</v>
      </c>
      <c r="GH137">
        <v>0</v>
      </c>
      <c r="GI137">
        <v>0</v>
      </c>
      <c r="GL137">
        <v>0</v>
      </c>
      <c r="GM137">
        <v>0</v>
      </c>
      <c r="GP137">
        <v>0</v>
      </c>
      <c r="GQ137">
        <v>0</v>
      </c>
      <c r="GT137">
        <v>0</v>
      </c>
      <c r="GU137">
        <v>0</v>
      </c>
      <c r="GX137">
        <v>0</v>
      </c>
      <c r="GY137">
        <v>0</v>
      </c>
      <c r="HB137">
        <v>0</v>
      </c>
      <c r="HC137">
        <v>0</v>
      </c>
      <c r="HF137">
        <v>0</v>
      </c>
      <c r="HG137">
        <v>0</v>
      </c>
      <c r="HJ137">
        <v>0</v>
      </c>
      <c r="HK137">
        <v>0</v>
      </c>
      <c r="HN137">
        <v>0</v>
      </c>
      <c r="HO137">
        <v>0</v>
      </c>
      <c r="HR137">
        <v>0</v>
      </c>
      <c r="HS137">
        <v>0</v>
      </c>
      <c r="HV137">
        <v>0</v>
      </c>
      <c r="HW137">
        <v>0</v>
      </c>
      <c r="HZ137">
        <v>0</v>
      </c>
      <c r="IA137">
        <v>0</v>
      </c>
      <c r="ID137">
        <v>0</v>
      </c>
      <c r="IE137">
        <v>0</v>
      </c>
      <c r="IH137">
        <v>0</v>
      </c>
      <c r="II137">
        <v>0</v>
      </c>
      <c r="IL137">
        <v>0</v>
      </c>
      <c r="IM137">
        <v>0</v>
      </c>
      <c r="IP137">
        <v>0</v>
      </c>
      <c r="IQ137">
        <v>0</v>
      </c>
      <c r="IT137">
        <v>0</v>
      </c>
      <c r="IU137">
        <v>0</v>
      </c>
      <c r="IX137">
        <v>0</v>
      </c>
      <c r="IY137">
        <f t="shared" ca="1" si="13"/>
        <v>1</v>
      </c>
      <c r="IZ137">
        <f t="shared" ca="1" si="13"/>
        <v>0</v>
      </c>
      <c r="JA137">
        <f t="shared" ca="1" si="13"/>
        <v>0</v>
      </c>
      <c r="JB137">
        <f t="shared" ca="1" si="13"/>
        <v>1</v>
      </c>
    </row>
    <row r="138" spans="1:262" x14ac:dyDescent="0.25">
      <c r="A138" s="54">
        <v>135</v>
      </c>
      <c r="B138" s="38" t="s">
        <v>366</v>
      </c>
      <c r="C138">
        <v>0</v>
      </c>
      <c r="F138">
        <v>0</v>
      </c>
      <c r="G138">
        <v>1</v>
      </c>
      <c r="J138">
        <v>1</v>
      </c>
      <c r="K138">
        <v>1</v>
      </c>
      <c r="N138">
        <v>1</v>
      </c>
      <c r="O138">
        <v>0</v>
      </c>
      <c r="R138">
        <v>0</v>
      </c>
      <c r="S138">
        <v>0</v>
      </c>
      <c r="V138">
        <v>0</v>
      </c>
      <c r="W138">
        <v>0</v>
      </c>
      <c r="Z138">
        <v>0</v>
      </c>
      <c r="AA138">
        <v>0</v>
      </c>
      <c r="AD138">
        <v>0</v>
      </c>
      <c r="AE138">
        <v>0</v>
      </c>
      <c r="AH138">
        <v>0</v>
      </c>
      <c r="AI138">
        <v>0</v>
      </c>
      <c r="AL138">
        <v>0</v>
      </c>
      <c r="AM138">
        <v>0</v>
      </c>
      <c r="AP138">
        <v>0</v>
      </c>
      <c r="AQ138">
        <v>0</v>
      </c>
      <c r="AT138">
        <v>0</v>
      </c>
      <c r="AU138">
        <v>2</v>
      </c>
      <c r="AX138">
        <v>2</v>
      </c>
      <c r="AY138">
        <v>0</v>
      </c>
      <c r="BB138">
        <v>0</v>
      </c>
      <c r="BC138">
        <v>0</v>
      </c>
      <c r="BF138">
        <v>0</v>
      </c>
      <c r="BG138">
        <v>0</v>
      </c>
      <c r="BJ138">
        <v>0</v>
      </c>
      <c r="BK138">
        <v>0</v>
      </c>
      <c r="BN138">
        <v>0</v>
      </c>
      <c r="BO138">
        <v>0</v>
      </c>
      <c r="BR138">
        <v>0</v>
      </c>
      <c r="BS138">
        <v>0</v>
      </c>
      <c r="BV138">
        <v>0</v>
      </c>
      <c r="BW138">
        <v>0</v>
      </c>
      <c r="BZ138">
        <v>0</v>
      </c>
      <c r="CA138">
        <v>0</v>
      </c>
      <c r="CD138">
        <v>0</v>
      </c>
      <c r="CE138">
        <v>0</v>
      </c>
      <c r="CH138">
        <v>0</v>
      </c>
      <c r="CI138">
        <v>0</v>
      </c>
      <c r="CL138">
        <v>0</v>
      </c>
      <c r="CM138">
        <v>0</v>
      </c>
      <c r="CP138">
        <v>0</v>
      </c>
      <c r="CQ138">
        <v>0</v>
      </c>
      <c r="CT138">
        <v>0</v>
      </c>
      <c r="CU138">
        <v>0</v>
      </c>
      <c r="CX138">
        <v>0</v>
      </c>
      <c r="CY138">
        <v>0</v>
      </c>
      <c r="DB138">
        <v>0</v>
      </c>
      <c r="DC138">
        <v>0</v>
      </c>
      <c r="DF138">
        <v>0</v>
      </c>
      <c r="DG138">
        <v>0</v>
      </c>
      <c r="DJ138">
        <v>0</v>
      </c>
      <c r="DK138">
        <v>0</v>
      </c>
      <c r="DN138">
        <v>0</v>
      </c>
      <c r="DO138">
        <v>0</v>
      </c>
      <c r="DR138">
        <v>0</v>
      </c>
      <c r="DS138">
        <v>0</v>
      </c>
      <c r="DV138">
        <v>0</v>
      </c>
      <c r="DW138">
        <v>0</v>
      </c>
      <c r="DZ138">
        <v>0</v>
      </c>
      <c r="EA138">
        <v>0</v>
      </c>
      <c r="ED138">
        <v>0</v>
      </c>
      <c r="EE138">
        <v>1</v>
      </c>
      <c r="EH138">
        <v>1</v>
      </c>
      <c r="EI138">
        <v>0</v>
      </c>
      <c r="EL138">
        <v>0</v>
      </c>
      <c r="EM138">
        <v>0</v>
      </c>
      <c r="EP138">
        <v>0</v>
      </c>
      <c r="EQ138">
        <v>0</v>
      </c>
      <c r="ET138">
        <v>0</v>
      </c>
      <c r="EU138">
        <v>0</v>
      </c>
      <c r="EX138">
        <v>0</v>
      </c>
      <c r="EY138">
        <v>0</v>
      </c>
      <c r="FB138">
        <v>0</v>
      </c>
      <c r="FC138">
        <v>0</v>
      </c>
      <c r="FF138">
        <v>0</v>
      </c>
      <c r="FG138">
        <v>0</v>
      </c>
      <c r="FJ138">
        <v>0</v>
      </c>
      <c r="FK138">
        <v>0</v>
      </c>
      <c r="FN138">
        <v>0</v>
      </c>
      <c r="FO138">
        <v>0</v>
      </c>
      <c r="FR138">
        <v>0</v>
      </c>
      <c r="FS138">
        <v>0</v>
      </c>
      <c r="FV138">
        <v>0</v>
      </c>
      <c r="FW138">
        <v>0</v>
      </c>
      <c r="FZ138">
        <v>0</v>
      </c>
      <c r="GA138">
        <v>0</v>
      </c>
      <c r="GD138">
        <v>0</v>
      </c>
      <c r="GE138">
        <v>0</v>
      </c>
      <c r="GH138">
        <v>0</v>
      </c>
      <c r="GI138">
        <v>1</v>
      </c>
      <c r="GL138">
        <v>1</v>
      </c>
      <c r="GM138">
        <v>0</v>
      </c>
      <c r="GP138">
        <v>0</v>
      </c>
      <c r="GQ138">
        <v>0</v>
      </c>
      <c r="GT138">
        <v>0</v>
      </c>
      <c r="GU138">
        <v>0</v>
      </c>
      <c r="GX138">
        <v>0</v>
      </c>
      <c r="GY138">
        <v>0</v>
      </c>
      <c r="HB138">
        <v>0</v>
      </c>
      <c r="HC138">
        <v>0</v>
      </c>
      <c r="HF138">
        <v>0</v>
      </c>
      <c r="HG138">
        <v>0</v>
      </c>
      <c r="HJ138">
        <v>0</v>
      </c>
      <c r="HK138">
        <v>0</v>
      </c>
      <c r="HN138">
        <v>0</v>
      </c>
      <c r="HO138">
        <v>0</v>
      </c>
      <c r="HR138">
        <v>0</v>
      </c>
      <c r="HS138">
        <v>0</v>
      </c>
      <c r="HV138">
        <v>0</v>
      </c>
      <c r="HW138">
        <v>0</v>
      </c>
      <c r="HZ138">
        <v>0</v>
      </c>
      <c r="IA138">
        <v>0</v>
      </c>
      <c r="ID138">
        <v>0</v>
      </c>
      <c r="IE138">
        <v>0</v>
      </c>
      <c r="IH138">
        <v>0</v>
      </c>
      <c r="II138">
        <v>0</v>
      </c>
      <c r="IL138">
        <v>0</v>
      </c>
      <c r="IM138">
        <v>0</v>
      </c>
      <c r="IP138">
        <v>0</v>
      </c>
      <c r="IQ138">
        <v>0</v>
      </c>
      <c r="IT138">
        <v>0</v>
      </c>
      <c r="IU138">
        <v>0</v>
      </c>
      <c r="IX138">
        <v>0</v>
      </c>
      <c r="IY138">
        <f t="shared" ca="1" si="13"/>
        <v>2</v>
      </c>
      <c r="IZ138">
        <f t="shared" ca="1" si="13"/>
        <v>0</v>
      </c>
      <c r="JA138">
        <f t="shared" ca="1" si="13"/>
        <v>0</v>
      </c>
      <c r="JB138">
        <f t="shared" ca="1" si="13"/>
        <v>2</v>
      </c>
    </row>
    <row r="139" spans="1:262" x14ac:dyDescent="0.25">
      <c r="A139" s="54">
        <v>136</v>
      </c>
      <c r="B139" s="38" t="s">
        <v>369</v>
      </c>
      <c r="C139">
        <v>0</v>
      </c>
      <c r="F139">
        <v>0</v>
      </c>
      <c r="G139">
        <v>1</v>
      </c>
      <c r="J139">
        <v>1</v>
      </c>
      <c r="K139">
        <v>0</v>
      </c>
      <c r="N139">
        <v>0</v>
      </c>
      <c r="O139">
        <v>0</v>
      </c>
      <c r="R139">
        <v>0</v>
      </c>
      <c r="S139">
        <v>0</v>
      </c>
      <c r="V139">
        <v>0</v>
      </c>
      <c r="W139">
        <v>0</v>
      </c>
      <c r="Z139">
        <v>0</v>
      </c>
      <c r="AA139">
        <v>0</v>
      </c>
      <c r="AD139">
        <v>0</v>
      </c>
      <c r="AE139">
        <v>0</v>
      </c>
      <c r="AH139">
        <v>0</v>
      </c>
      <c r="AI139">
        <v>0</v>
      </c>
      <c r="AL139">
        <v>0</v>
      </c>
      <c r="AM139">
        <v>0</v>
      </c>
      <c r="AP139">
        <v>0</v>
      </c>
      <c r="AQ139">
        <v>0</v>
      </c>
      <c r="AT139">
        <v>0</v>
      </c>
      <c r="AU139">
        <v>1</v>
      </c>
      <c r="AX139">
        <v>1</v>
      </c>
      <c r="AY139">
        <v>0</v>
      </c>
      <c r="BB139">
        <v>0</v>
      </c>
      <c r="BC139">
        <v>0</v>
      </c>
      <c r="BF139">
        <v>0</v>
      </c>
      <c r="BG139">
        <v>0</v>
      </c>
      <c r="BJ139">
        <v>0</v>
      </c>
      <c r="BK139">
        <v>0</v>
      </c>
      <c r="BN139">
        <v>0</v>
      </c>
      <c r="BO139">
        <v>0</v>
      </c>
      <c r="BR139">
        <v>0</v>
      </c>
      <c r="BS139">
        <v>0</v>
      </c>
      <c r="BV139">
        <v>0</v>
      </c>
      <c r="BW139">
        <v>0</v>
      </c>
      <c r="BZ139">
        <v>0</v>
      </c>
      <c r="CA139">
        <v>0</v>
      </c>
      <c r="CD139">
        <v>0</v>
      </c>
      <c r="CE139">
        <v>0</v>
      </c>
      <c r="CH139">
        <v>0</v>
      </c>
      <c r="CI139">
        <v>0</v>
      </c>
      <c r="CL139">
        <v>0</v>
      </c>
      <c r="CM139">
        <v>0</v>
      </c>
      <c r="CP139">
        <v>0</v>
      </c>
      <c r="CQ139">
        <v>0</v>
      </c>
      <c r="CT139">
        <v>0</v>
      </c>
      <c r="CU139">
        <v>0</v>
      </c>
      <c r="CX139">
        <v>0</v>
      </c>
      <c r="CY139">
        <v>0</v>
      </c>
      <c r="DB139">
        <v>0</v>
      </c>
      <c r="DC139">
        <v>0</v>
      </c>
      <c r="DF139">
        <v>0</v>
      </c>
      <c r="DG139">
        <v>0</v>
      </c>
      <c r="DJ139">
        <v>0</v>
      </c>
      <c r="DK139">
        <v>0</v>
      </c>
      <c r="DN139">
        <v>0</v>
      </c>
      <c r="DO139">
        <v>0</v>
      </c>
      <c r="DR139">
        <v>0</v>
      </c>
      <c r="DS139">
        <v>0</v>
      </c>
      <c r="DV139">
        <v>0</v>
      </c>
      <c r="DW139">
        <v>0</v>
      </c>
      <c r="DZ139">
        <v>0</v>
      </c>
      <c r="EA139">
        <v>0</v>
      </c>
      <c r="ED139">
        <v>0</v>
      </c>
      <c r="EE139">
        <v>1</v>
      </c>
      <c r="EH139">
        <v>1</v>
      </c>
      <c r="EI139">
        <v>0</v>
      </c>
      <c r="EL139">
        <v>0</v>
      </c>
      <c r="EM139">
        <v>0</v>
      </c>
      <c r="EP139">
        <v>0</v>
      </c>
      <c r="EQ139">
        <v>0</v>
      </c>
      <c r="ET139">
        <v>0</v>
      </c>
      <c r="EU139">
        <v>0</v>
      </c>
      <c r="EX139">
        <v>0</v>
      </c>
      <c r="EY139">
        <v>0</v>
      </c>
      <c r="FB139">
        <v>0</v>
      </c>
      <c r="FC139">
        <v>0</v>
      </c>
      <c r="FF139">
        <v>0</v>
      </c>
      <c r="FG139">
        <v>0</v>
      </c>
      <c r="FJ139">
        <v>0</v>
      </c>
      <c r="FK139">
        <v>0</v>
      </c>
      <c r="FN139">
        <v>0</v>
      </c>
      <c r="FO139">
        <v>0</v>
      </c>
      <c r="FR139">
        <v>0</v>
      </c>
      <c r="FS139">
        <v>0</v>
      </c>
      <c r="FV139">
        <v>0</v>
      </c>
      <c r="FW139">
        <v>0</v>
      </c>
      <c r="FZ139">
        <v>0</v>
      </c>
      <c r="GA139">
        <v>0</v>
      </c>
      <c r="GD139">
        <v>0</v>
      </c>
      <c r="GE139">
        <v>0</v>
      </c>
      <c r="GH139">
        <v>0</v>
      </c>
      <c r="GI139">
        <v>0</v>
      </c>
      <c r="GL139">
        <v>0</v>
      </c>
      <c r="GM139">
        <v>0</v>
      </c>
      <c r="GP139">
        <v>0</v>
      </c>
      <c r="GQ139">
        <v>0</v>
      </c>
      <c r="GT139">
        <v>0</v>
      </c>
      <c r="GU139">
        <v>0</v>
      </c>
      <c r="GX139">
        <v>0</v>
      </c>
      <c r="GY139">
        <v>0</v>
      </c>
      <c r="HB139">
        <v>0</v>
      </c>
      <c r="HC139">
        <v>0</v>
      </c>
      <c r="HF139">
        <v>0</v>
      </c>
      <c r="HG139">
        <v>0</v>
      </c>
      <c r="HJ139">
        <v>0</v>
      </c>
      <c r="HK139">
        <v>0</v>
      </c>
      <c r="HN139">
        <v>0</v>
      </c>
      <c r="HO139">
        <v>0</v>
      </c>
      <c r="HR139">
        <v>0</v>
      </c>
      <c r="HS139">
        <v>0</v>
      </c>
      <c r="HV139">
        <v>0</v>
      </c>
      <c r="HW139">
        <v>0</v>
      </c>
      <c r="HZ139">
        <v>0</v>
      </c>
      <c r="IA139">
        <v>0</v>
      </c>
      <c r="ID139">
        <v>0</v>
      </c>
      <c r="IE139">
        <v>0</v>
      </c>
      <c r="IH139">
        <v>0</v>
      </c>
      <c r="II139">
        <v>0</v>
      </c>
      <c r="IL139">
        <v>0</v>
      </c>
      <c r="IM139">
        <v>0</v>
      </c>
      <c r="IP139">
        <v>0</v>
      </c>
      <c r="IQ139">
        <v>0</v>
      </c>
      <c r="IT139">
        <v>0</v>
      </c>
      <c r="IU139">
        <v>0</v>
      </c>
      <c r="IX139">
        <v>0</v>
      </c>
      <c r="IY139">
        <f t="shared" ca="1" si="13"/>
        <v>1</v>
      </c>
      <c r="IZ139">
        <f t="shared" ca="1" si="13"/>
        <v>0</v>
      </c>
      <c r="JA139">
        <f t="shared" ca="1" si="13"/>
        <v>0</v>
      </c>
      <c r="JB139">
        <f t="shared" ca="1" si="13"/>
        <v>1</v>
      </c>
    </row>
    <row r="140" spans="1:262" x14ac:dyDescent="0.25">
      <c r="A140" s="54">
        <v>137</v>
      </c>
      <c r="B140" s="38" t="s">
        <v>487</v>
      </c>
      <c r="C140">
        <v>0</v>
      </c>
      <c r="F140">
        <v>0</v>
      </c>
      <c r="G140">
        <v>0</v>
      </c>
      <c r="J140">
        <v>0</v>
      </c>
      <c r="K140">
        <v>1</v>
      </c>
      <c r="N140">
        <v>1</v>
      </c>
      <c r="O140">
        <v>0</v>
      </c>
      <c r="R140">
        <v>0</v>
      </c>
      <c r="S140">
        <v>0</v>
      </c>
      <c r="V140">
        <v>0</v>
      </c>
      <c r="W140">
        <v>0</v>
      </c>
      <c r="Z140">
        <v>0</v>
      </c>
      <c r="AA140">
        <v>0</v>
      </c>
      <c r="AD140">
        <v>0</v>
      </c>
      <c r="AE140">
        <v>0</v>
      </c>
      <c r="AH140">
        <v>0</v>
      </c>
      <c r="AI140">
        <v>0</v>
      </c>
      <c r="AL140">
        <v>0</v>
      </c>
      <c r="AM140">
        <v>0</v>
      </c>
      <c r="AP140">
        <v>0</v>
      </c>
      <c r="AQ140">
        <v>0</v>
      </c>
      <c r="AT140">
        <v>0</v>
      </c>
      <c r="AU140">
        <v>1</v>
      </c>
      <c r="AX140">
        <v>1</v>
      </c>
      <c r="AY140">
        <v>0</v>
      </c>
      <c r="BB140">
        <v>0</v>
      </c>
      <c r="BC140">
        <v>0</v>
      </c>
      <c r="BF140">
        <v>0</v>
      </c>
      <c r="BG140">
        <v>0</v>
      </c>
      <c r="BJ140">
        <v>0</v>
      </c>
      <c r="BK140">
        <v>0</v>
      </c>
      <c r="BN140">
        <v>0</v>
      </c>
      <c r="BO140">
        <v>0</v>
      </c>
      <c r="BR140">
        <v>0</v>
      </c>
      <c r="BS140">
        <v>0</v>
      </c>
      <c r="BV140">
        <v>0</v>
      </c>
      <c r="BW140">
        <v>0</v>
      </c>
      <c r="BZ140">
        <v>0</v>
      </c>
      <c r="CA140">
        <v>0</v>
      </c>
      <c r="CD140">
        <v>0</v>
      </c>
      <c r="CE140">
        <v>0</v>
      </c>
      <c r="CH140">
        <v>0</v>
      </c>
      <c r="CI140">
        <v>0</v>
      </c>
      <c r="CL140">
        <v>0</v>
      </c>
      <c r="CM140">
        <v>0</v>
      </c>
      <c r="CP140">
        <v>0</v>
      </c>
      <c r="CQ140">
        <v>0</v>
      </c>
      <c r="CT140">
        <v>0</v>
      </c>
      <c r="CU140">
        <v>0</v>
      </c>
      <c r="CX140">
        <v>0</v>
      </c>
      <c r="CY140">
        <v>0</v>
      </c>
      <c r="DB140">
        <v>0</v>
      </c>
      <c r="DC140">
        <v>0</v>
      </c>
      <c r="DF140">
        <v>0</v>
      </c>
      <c r="DG140">
        <v>0</v>
      </c>
      <c r="DJ140">
        <v>0</v>
      </c>
      <c r="DK140">
        <v>0</v>
      </c>
      <c r="DN140">
        <v>0</v>
      </c>
      <c r="DO140">
        <v>0</v>
      </c>
      <c r="DR140">
        <v>0</v>
      </c>
      <c r="DS140">
        <v>0</v>
      </c>
      <c r="DV140">
        <v>0</v>
      </c>
      <c r="DW140">
        <v>0</v>
      </c>
      <c r="DZ140">
        <v>0</v>
      </c>
      <c r="EA140">
        <v>0</v>
      </c>
      <c r="ED140">
        <v>0</v>
      </c>
      <c r="EE140">
        <v>0</v>
      </c>
      <c r="EH140">
        <v>0</v>
      </c>
      <c r="EI140">
        <v>0</v>
      </c>
      <c r="EL140">
        <v>0</v>
      </c>
      <c r="EM140">
        <v>0</v>
      </c>
      <c r="EP140">
        <v>0</v>
      </c>
      <c r="EQ140">
        <v>0</v>
      </c>
      <c r="ET140">
        <v>0</v>
      </c>
      <c r="EU140">
        <v>0</v>
      </c>
      <c r="EX140">
        <v>0</v>
      </c>
      <c r="EY140">
        <v>0</v>
      </c>
      <c r="FB140">
        <v>0</v>
      </c>
      <c r="FC140">
        <v>0</v>
      </c>
      <c r="FF140">
        <v>0</v>
      </c>
      <c r="FG140">
        <v>0</v>
      </c>
      <c r="FJ140">
        <v>0</v>
      </c>
      <c r="FK140">
        <v>0</v>
      </c>
      <c r="FN140">
        <v>0</v>
      </c>
      <c r="FO140">
        <v>0</v>
      </c>
      <c r="FR140">
        <v>0</v>
      </c>
      <c r="FS140">
        <v>0</v>
      </c>
      <c r="FV140">
        <v>0</v>
      </c>
      <c r="FW140">
        <v>0</v>
      </c>
      <c r="FZ140">
        <v>0</v>
      </c>
      <c r="GA140">
        <v>0</v>
      </c>
      <c r="GD140">
        <v>0</v>
      </c>
      <c r="GE140">
        <v>0</v>
      </c>
      <c r="GH140">
        <v>0</v>
      </c>
      <c r="GI140">
        <v>1</v>
      </c>
      <c r="GL140">
        <v>1</v>
      </c>
      <c r="GM140">
        <v>0</v>
      </c>
      <c r="GP140">
        <v>0</v>
      </c>
      <c r="GQ140">
        <v>0</v>
      </c>
      <c r="GT140">
        <v>0</v>
      </c>
      <c r="GU140">
        <v>0</v>
      </c>
      <c r="GX140">
        <v>0</v>
      </c>
      <c r="GY140">
        <v>0</v>
      </c>
      <c r="HB140">
        <v>0</v>
      </c>
      <c r="HC140">
        <v>0</v>
      </c>
      <c r="HF140">
        <v>0</v>
      </c>
      <c r="HG140">
        <v>0</v>
      </c>
      <c r="HJ140">
        <v>0</v>
      </c>
      <c r="HK140">
        <v>0</v>
      </c>
      <c r="HN140">
        <v>0</v>
      </c>
      <c r="HO140">
        <v>0</v>
      </c>
      <c r="HR140">
        <v>0</v>
      </c>
      <c r="HS140">
        <v>0</v>
      </c>
      <c r="HV140">
        <v>0</v>
      </c>
      <c r="HW140">
        <v>0</v>
      </c>
      <c r="HZ140">
        <v>0</v>
      </c>
      <c r="IA140">
        <v>0</v>
      </c>
      <c r="ID140">
        <v>0</v>
      </c>
      <c r="IE140">
        <v>0</v>
      </c>
      <c r="IH140">
        <v>0</v>
      </c>
      <c r="II140">
        <v>0</v>
      </c>
      <c r="IL140">
        <v>0</v>
      </c>
      <c r="IM140">
        <v>0</v>
      </c>
      <c r="IP140">
        <v>0</v>
      </c>
      <c r="IQ140">
        <v>0</v>
      </c>
      <c r="IT140">
        <v>0</v>
      </c>
      <c r="IU140">
        <v>0</v>
      </c>
      <c r="IX140">
        <v>0</v>
      </c>
      <c r="IY140">
        <f t="shared" ca="1" si="13"/>
        <v>1</v>
      </c>
      <c r="IZ140">
        <f t="shared" ca="1" si="13"/>
        <v>0</v>
      </c>
      <c r="JA140">
        <f t="shared" ca="1" si="13"/>
        <v>0</v>
      </c>
      <c r="JB140">
        <f t="shared" ca="1" si="13"/>
        <v>1</v>
      </c>
    </row>
    <row r="141" spans="1:262" x14ac:dyDescent="0.25">
      <c r="A141" s="54">
        <v>138</v>
      </c>
      <c r="B141" s="38" t="s">
        <v>488</v>
      </c>
      <c r="C141">
        <v>0</v>
      </c>
      <c r="F141">
        <v>0</v>
      </c>
      <c r="G141">
        <v>1</v>
      </c>
      <c r="J141">
        <v>1</v>
      </c>
      <c r="K141">
        <v>0</v>
      </c>
      <c r="N141">
        <v>0</v>
      </c>
      <c r="O141">
        <v>0</v>
      </c>
      <c r="R141">
        <v>0</v>
      </c>
      <c r="S141">
        <v>0</v>
      </c>
      <c r="V141">
        <v>0</v>
      </c>
      <c r="W141">
        <v>0</v>
      </c>
      <c r="Z141">
        <v>0</v>
      </c>
      <c r="AA141">
        <v>0</v>
      </c>
      <c r="AD141">
        <v>0</v>
      </c>
      <c r="AE141">
        <v>0</v>
      </c>
      <c r="AH141">
        <v>0</v>
      </c>
      <c r="AI141">
        <v>0</v>
      </c>
      <c r="AL141">
        <v>0</v>
      </c>
      <c r="AM141">
        <v>0</v>
      </c>
      <c r="AP141">
        <v>0</v>
      </c>
      <c r="AQ141">
        <v>0</v>
      </c>
      <c r="AT141">
        <v>0</v>
      </c>
      <c r="AU141">
        <v>0</v>
      </c>
      <c r="AX141">
        <v>0</v>
      </c>
      <c r="AY141">
        <v>1</v>
      </c>
      <c r="BB141">
        <v>1</v>
      </c>
      <c r="BC141">
        <v>0</v>
      </c>
      <c r="BF141">
        <v>0</v>
      </c>
      <c r="BG141">
        <v>0</v>
      </c>
      <c r="BJ141">
        <v>0</v>
      </c>
      <c r="BK141">
        <v>0</v>
      </c>
      <c r="BN141">
        <v>0</v>
      </c>
      <c r="BO141">
        <v>0</v>
      </c>
      <c r="BR141">
        <v>0</v>
      </c>
      <c r="BS141">
        <v>0</v>
      </c>
      <c r="BV141">
        <v>0</v>
      </c>
      <c r="BW141">
        <v>0</v>
      </c>
      <c r="BZ141">
        <v>0</v>
      </c>
      <c r="CA141">
        <v>0</v>
      </c>
      <c r="CD141">
        <v>0</v>
      </c>
      <c r="CE141">
        <v>0</v>
      </c>
      <c r="CH141">
        <v>0</v>
      </c>
      <c r="CI141">
        <v>0</v>
      </c>
      <c r="CL141">
        <v>0</v>
      </c>
      <c r="CM141">
        <v>0</v>
      </c>
      <c r="CP141">
        <v>0</v>
      </c>
      <c r="CQ141">
        <v>0</v>
      </c>
      <c r="CT141">
        <v>0</v>
      </c>
      <c r="CU141">
        <v>0</v>
      </c>
      <c r="CX141">
        <v>0</v>
      </c>
      <c r="CY141">
        <v>0</v>
      </c>
      <c r="DB141">
        <v>0</v>
      </c>
      <c r="DC141">
        <v>0</v>
      </c>
      <c r="DF141">
        <v>0</v>
      </c>
      <c r="DG141">
        <v>0</v>
      </c>
      <c r="DJ141">
        <v>0</v>
      </c>
      <c r="DK141">
        <v>0</v>
      </c>
      <c r="DN141">
        <v>0</v>
      </c>
      <c r="DO141">
        <v>0</v>
      </c>
      <c r="DR141">
        <v>0</v>
      </c>
      <c r="DS141">
        <v>0</v>
      </c>
      <c r="DV141">
        <v>0</v>
      </c>
      <c r="DW141">
        <v>0</v>
      </c>
      <c r="DZ141">
        <v>0</v>
      </c>
      <c r="EA141">
        <v>0</v>
      </c>
      <c r="ED141">
        <v>0</v>
      </c>
      <c r="EE141">
        <v>0</v>
      </c>
      <c r="EH141">
        <v>0</v>
      </c>
      <c r="EI141">
        <v>0</v>
      </c>
      <c r="EL141">
        <v>0</v>
      </c>
      <c r="EM141">
        <v>1</v>
      </c>
      <c r="EP141">
        <v>1</v>
      </c>
      <c r="EQ141">
        <v>0</v>
      </c>
      <c r="ET141">
        <v>0</v>
      </c>
      <c r="EU141">
        <v>0</v>
      </c>
      <c r="EX141">
        <v>0</v>
      </c>
      <c r="EY141">
        <v>0</v>
      </c>
      <c r="FB141">
        <v>0</v>
      </c>
      <c r="FC141">
        <v>0</v>
      </c>
      <c r="FF141">
        <v>0</v>
      </c>
      <c r="FG141">
        <v>0</v>
      </c>
      <c r="FJ141">
        <v>0</v>
      </c>
      <c r="FK141">
        <v>0</v>
      </c>
      <c r="FN141">
        <v>0</v>
      </c>
      <c r="FO141">
        <v>0</v>
      </c>
      <c r="FR141">
        <v>0</v>
      </c>
      <c r="FS141">
        <v>0</v>
      </c>
      <c r="FV141">
        <v>0</v>
      </c>
      <c r="FW141">
        <v>0</v>
      </c>
      <c r="FZ141">
        <v>0</v>
      </c>
      <c r="GA141">
        <v>0</v>
      </c>
      <c r="GD141">
        <v>0</v>
      </c>
      <c r="GE141">
        <v>0</v>
      </c>
      <c r="GH141">
        <v>0</v>
      </c>
      <c r="GI141">
        <v>0</v>
      </c>
      <c r="GL141">
        <v>0</v>
      </c>
      <c r="GM141">
        <v>0</v>
      </c>
      <c r="GP141">
        <v>0</v>
      </c>
      <c r="GQ141">
        <v>0</v>
      </c>
      <c r="GT141">
        <v>0</v>
      </c>
      <c r="GU141">
        <v>0</v>
      </c>
      <c r="GX141">
        <v>0</v>
      </c>
      <c r="GY141">
        <v>0</v>
      </c>
      <c r="HB141">
        <v>0</v>
      </c>
      <c r="HC141">
        <v>0</v>
      </c>
      <c r="HF141">
        <v>0</v>
      </c>
      <c r="HG141">
        <v>0</v>
      </c>
      <c r="HJ141">
        <v>0</v>
      </c>
      <c r="HK141">
        <v>0</v>
      </c>
      <c r="HN141">
        <v>0</v>
      </c>
      <c r="HO141">
        <v>0</v>
      </c>
      <c r="HR141">
        <v>0</v>
      </c>
      <c r="HS141">
        <v>0</v>
      </c>
      <c r="HV141">
        <v>0</v>
      </c>
      <c r="HW141">
        <v>0</v>
      </c>
      <c r="HZ141">
        <v>0</v>
      </c>
      <c r="IA141">
        <v>0</v>
      </c>
      <c r="ID141">
        <v>0</v>
      </c>
      <c r="IE141">
        <v>0</v>
      </c>
      <c r="IH141">
        <v>0</v>
      </c>
      <c r="II141">
        <v>0</v>
      </c>
      <c r="IL141">
        <v>0</v>
      </c>
      <c r="IM141">
        <v>0</v>
      </c>
      <c r="IP141">
        <v>0</v>
      </c>
      <c r="IQ141">
        <v>0</v>
      </c>
      <c r="IT141">
        <v>0</v>
      </c>
      <c r="IU141">
        <v>0</v>
      </c>
      <c r="IX141">
        <v>0</v>
      </c>
      <c r="IY141">
        <f t="shared" ca="1" si="13"/>
        <v>1</v>
      </c>
      <c r="IZ141">
        <f t="shared" ca="1" si="13"/>
        <v>0</v>
      </c>
      <c r="JA141">
        <f t="shared" ca="1" si="13"/>
        <v>0</v>
      </c>
      <c r="JB141">
        <f t="shared" ca="1" si="13"/>
        <v>1</v>
      </c>
    </row>
    <row r="142" spans="1:262" x14ac:dyDescent="0.25">
      <c r="A142" s="54">
        <v>139</v>
      </c>
      <c r="B142" s="38" t="s">
        <v>494</v>
      </c>
      <c r="C142">
        <v>0</v>
      </c>
      <c r="F142">
        <v>0</v>
      </c>
      <c r="G142">
        <v>1</v>
      </c>
      <c r="J142">
        <v>1</v>
      </c>
      <c r="K142">
        <v>0</v>
      </c>
      <c r="N142">
        <v>0</v>
      </c>
      <c r="O142">
        <v>0</v>
      </c>
      <c r="R142">
        <v>0</v>
      </c>
      <c r="S142">
        <v>0</v>
      </c>
      <c r="V142">
        <v>0</v>
      </c>
      <c r="W142">
        <v>0</v>
      </c>
      <c r="Z142">
        <v>0</v>
      </c>
      <c r="AA142">
        <v>0</v>
      </c>
      <c r="AD142">
        <v>0</v>
      </c>
      <c r="AE142">
        <v>0</v>
      </c>
      <c r="AH142">
        <v>0</v>
      </c>
      <c r="AI142">
        <v>0</v>
      </c>
      <c r="AL142">
        <v>0</v>
      </c>
      <c r="AM142">
        <v>0</v>
      </c>
      <c r="AP142">
        <v>0</v>
      </c>
      <c r="AQ142">
        <v>0</v>
      </c>
      <c r="AT142">
        <v>0</v>
      </c>
      <c r="AU142">
        <v>0</v>
      </c>
      <c r="AX142">
        <v>0</v>
      </c>
      <c r="AY142">
        <v>1</v>
      </c>
      <c r="BB142">
        <v>1</v>
      </c>
      <c r="BC142">
        <v>0</v>
      </c>
      <c r="BF142">
        <v>0</v>
      </c>
      <c r="BG142">
        <v>0</v>
      </c>
      <c r="BJ142">
        <v>0</v>
      </c>
      <c r="BK142">
        <v>0</v>
      </c>
      <c r="BN142">
        <v>0</v>
      </c>
      <c r="BO142">
        <v>0</v>
      </c>
      <c r="BR142">
        <v>0</v>
      </c>
      <c r="BS142">
        <v>0</v>
      </c>
      <c r="BV142">
        <v>0</v>
      </c>
      <c r="BW142">
        <v>0</v>
      </c>
      <c r="BZ142">
        <v>0</v>
      </c>
      <c r="CA142">
        <v>0</v>
      </c>
      <c r="CD142">
        <v>0</v>
      </c>
      <c r="CE142">
        <v>0</v>
      </c>
      <c r="CH142">
        <v>0</v>
      </c>
      <c r="CI142">
        <v>0</v>
      </c>
      <c r="CL142">
        <v>0</v>
      </c>
      <c r="CM142">
        <v>0</v>
      </c>
      <c r="CP142">
        <v>0</v>
      </c>
      <c r="CQ142">
        <v>0</v>
      </c>
      <c r="CT142">
        <v>0</v>
      </c>
      <c r="CU142">
        <v>0</v>
      </c>
      <c r="CX142">
        <v>0</v>
      </c>
      <c r="CY142">
        <v>0</v>
      </c>
      <c r="DB142">
        <v>0</v>
      </c>
      <c r="DC142">
        <v>0</v>
      </c>
      <c r="DF142">
        <v>0</v>
      </c>
      <c r="DG142">
        <v>0</v>
      </c>
      <c r="DJ142">
        <v>0</v>
      </c>
      <c r="DK142">
        <v>0</v>
      </c>
      <c r="DN142">
        <v>0</v>
      </c>
      <c r="DO142">
        <v>0</v>
      </c>
      <c r="DR142">
        <v>0</v>
      </c>
      <c r="DS142">
        <v>0</v>
      </c>
      <c r="DV142">
        <v>0</v>
      </c>
      <c r="DW142">
        <v>0</v>
      </c>
      <c r="DZ142">
        <v>0</v>
      </c>
      <c r="EA142">
        <v>0</v>
      </c>
      <c r="ED142">
        <v>0</v>
      </c>
      <c r="EE142">
        <v>0</v>
      </c>
      <c r="EH142">
        <v>0</v>
      </c>
      <c r="EI142">
        <v>0</v>
      </c>
      <c r="EL142">
        <v>0</v>
      </c>
      <c r="EM142">
        <v>0</v>
      </c>
      <c r="EP142">
        <v>0</v>
      </c>
      <c r="EQ142">
        <v>1</v>
      </c>
      <c r="ET142">
        <v>1</v>
      </c>
      <c r="EU142">
        <v>0</v>
      </c>
      <c r="EX142">
        <v>0</v>
      </c>
      <c r="EY142">
        <v>0</v>
      </c>
      <c r="FB142">
        <v>0</v>
      </c>
      <c r="FC142">
        <v>0</v>
      </c>
      <c r="FF142">
        <v>0</v>
      </c>
      <c r="FG142">
        <v>0</v>
      </c>
      <c r="FJ142">
        <v>0</v>
      </c>
      <c r="FK142">
        <v>0</v>
      </c>
      <c r="FN142">
        <v>0</v>
      </c>
      <c r="FO142">
        <v>0</v>
      </c>
      <c r="FR142">
        <v>0</v>
      </c>
      <c r="FS142">
        <v>0</v>
      </c>
      <c r="FV142">
        <v>0</v>
      </c>
      <c r="FW142">
        <v>0</v>
      </c>
      <c r="FZ142">
        <v>0</v>
      </c>
      <c r="GA142">
        <v>0</v>
      </c>
      <c r="GD142">
        <v>0</v>
      </c>
      <c r="GE142">
        <v>0</v>
      </c>
      <c r="GH142">
        <v>0</v>
      </c>
      <c r="GI142">
        <v>0</v>
      </c>
      <c r="GL142">
        <v>0</v>
      </c>
      <c r="GM142">
        <v>0</v>
      </c>
      <c r="GP142">
        <v>0</v>
      </c>
      <c r="GQ142">
        <v>0</v>
      </c>
      <c r="GT142">
        <v>0</v>
      </c>
      <c r="GU142">
        <v>0</v>
      </c>
      <c r="GX142">
        <v>0</v>
      </c>
      <c r="GY142">
        <v>0</v>
      </c>
      <c r="HB142">
        <v>0</v>
      </c>
      <c r="HC142">
        <v>0</v>
      </c>
      <c r="HF142">
        <v>0</v>
      </c>
      <c r="HG142">
        <v>0</v>
      </c>
      <c r="HJ142">
        <v>0</v>
      </c>
      <c r="HK142">
        <v>0</v>
      </c>
      <c r="HN142">
        <v>0</v>
      </c>
      <c r="HO142">
        <v>0</v>
      </c>
      <c r="HR142">
        <v>0</v>
      </c>
      <c r="HS142">
        <v>0</v>
      </c>
      <c r="HV142">
        <v>0</v>
      </c>
      <c r="HW142">
        <v>0</v>
      </c>
      <c r="HZ142">
        <v>0</v>
      </c>
      <c r="IA142">
        <v>0</v>
      </c>
      <c r="ID142">
        <v>0</v>
      </c>
      <c r="IE142">
        <v>0</v>
      </c>
      <c r="IH142">
        <v>0</v>
      </c>
      <c r="II142">
        <v>0</v>
      </c>
      <c r="IL142">
        <v>0</v>
      </c>
      <c r="IM142">
        <v>0</v>
      </c>
      <c r="IP142">
        <v>0</v>
      </c>
      <c r="IQ142">
        <v>0</v>
      </c>
      <c r="IT142">
        <v>0</v>
      </c>
      <c r="IU142">
        <v>0</v>
      </c>
      <c r="IX142">
        <v>0</v>
      </c>
      <c r="IY142">
        <f t="shared" ca="1" si="13"/>
        <v>1</v>
      </c>
      <c r="IZ142">
        <f t="shared" ca="1" si="13"/>
        <v>0</v>
      </c>
      <c r="JA142">
        <f t="shared" ca="1" si="13"/>
        <v>0</v>
      </c>
      <c r="JB142">
        <f t="shared" ca="1" si="13"/>
        <v>1</v>
      </c>
    </row>
    <row r="143" spans="1:262" x14ac:dyDescent="0.25">
      <c r="A143" s="54">
        <v>140</v>
      </c>
      <c r="B143" s="38" t="s">
        <v>492</v>
      </c>
      <c r="C143">
        <v>0</v>
      </c>
      <c r="F143">
        <v>0</v>
      </c>
      <c r="G143">
        <v>1</v>
      </c>
      <c r="J143">
        <v>1</v>
      </c>
      <c r="K143">
        <v>0</v>
      </c>
      <c r="N143">
        <v>0</v>
      </c>
      <c r="O143">
        <v>0</v>
      </c>
      <c r="R143">
        <v>0</v>
      </c>
      <c r="S143">
        <v>0</v>
      </c>
      <c r="V143">
        <v>0</v>
      </c>
      <c r="W143">
        <v>0</v>
      </c>
      <c r="Z143">
        <v>0</v>
      </c>
      <c r="AA143">
        <v>0</v>
      </c>
      <c r="AD143">
        <v>0</v>
      </c>
      <c r="AE143">
        <v>0</v>
      </c>
      <c r="AH143">
        <v>0</v>
      </c>
      <c r="AI143">
        <v>0</v>
      </c>
      <c r="AL143">
        <v>0</v>
      </c>
      <c r="AM143">
        <v>0</v>
      </c>
      <c r="AP143">
        <v>0</v>
      </c>
      <c r="AQ143">
        <v>0</v>
      </c>
      <c r="AT143">
        <v>0</v>
      </c>
      <c r="AU143">
        <v>0</v>
      </c>
      <c r="AX143">
        <v>0</v>
      </c>
      <c r="AY143">
        <v>1</v>
      </c>
      <c r="BB143">
        <v>1</v>
      </c>
      <c r="BC143">
        <v>0</v>
      </c>
      <c r="BF143">
        <v>0</v>
      </c>
      <c r="BG143">
        <v>0</v>
      </c>
      <c r="BJ143">
        <v>0</v>
      </c>
      <c r="BK143">
        <v>0</v>
      </c>
      <c r="BN143">
        <v>0</v>
      </c>
      <c r="BO143">
        <v>0</v>
      </c>
      <c r="BR143">
        <v>0</v>
      </c>
      <c r="BS143">
        <v>0</v>
      </c>
      <c r="BV143">
        <v>0</v>
      </c>
      <c r="BW143">
        <v>0</v>
      </c>
      <c r="BZ143">
        <v>0</v>
      </c>
      <c r="CA143">
        <v>0</v>
      </c>
      <c r="CD143">
        <v>0</v>
      </c>
      <c r="CE143">
        <v>0</v>
      </c>
      <c r="CH143">
        <v>0</v>
      </c>
      <c r="CI143">
        <v>0</v>
      </c>
      <c r="CL143">
        <v>0</v>
      </c>
      <c r="CM143">
        <v>0</v>
      </c>
      <c r="CP143">
        <v>0</v>
      </c>
      <c r="CQ143">
        <v>0</v>
      </c>
      <c r="CT143">
        <v>0</v>
      </c>
      <c r="CU143">
        <v>0</v>
      </c>
      <c r="CX143">
        <v>0</v>
      </c>
      <c r="CY143">
        <v>0</v>
      </c>
      <c r="DB143">
        <v>0</v>
      </c>
      <c r="DC143">
        <v>0</v>
      </c>
      <c r="DF143">
        <v>0</v>
      </c>
      <c r="DG143">
        <v>0</v>
      </c>
      <c r="DJ143">
        <v>0</v>
      </c>
      <c r="DK143">
        <v>0</v>
      </c>
      <c r="DN143">
        <v>0</v>
      </c>
      <c r="DO143">
        <v>0</v>
      </c>
      <c r="DR143">
        <v>0</v>
      </c>
      <c r="DS143">
        <v>0</v>
      </c>
      <c r="DV143">
        <v>0</v>
      </c>
      <c r="DW143">
        <v>0</v>
      </c>
      <c r="DZ143">
        <v>0</v>
      </c>
      <c r="EA143">
        <v>0</v>
      </c>
      <c r="ED143">
        <v>0</v>
      </c>
      <c r="EE143">
        <v>0</v>
      </c>
      <c r="EH143">
        <v>0</v>
      </c>
      <c r="EI143">
        <v>0</v>
      </c>
      <c r="EL143">
        <v>0</v>
      </c>
      <c r="EM143">
        <v>0</v>
      </c>
      <c r="EP143">
        <v>0</v>
      </c>
      <c r="EQ143">
        <v>0</v>
      </c>
      <c r="ET143">
        <v>0</v>
      </c>
      <c r="EU143">
        <v>1</v>
      </c>
      <c r="EX143">
        <v>1</v>
      </c>
      <c r="EY143">
        <v>0</v>
      </c>
      <c r="FB143">
        <v>0</v>
      </c>
      <c r="FC143">
        <v>0</v>
      </c>
      <c r="FF143">
        <v>0</v>
      </c>
      <c r="FG143">
        <v>0</v>
      </c>
      <c r="FJ143">
        <v>0</v>
      </c>
      <c r="FK143">
        <v>0</v>
      </c>
      <c r="FN143">
        <v>0</v>
      </c>
      <c r="FO143">
        <v>0</v>
      </c>
      <c r="FR143">
        <v>0</v>
      </c>
      <c r="FS143">
        <v>0</v>
      </c>
      <c r="FV143">
        <v>0</v>
      </c>
      <c r="FW143">
        <v>0</v>
      </c>
      <c r="FZ143">
        <v>0</v>
      </c>
      <c r="GA143">
        <v>0</v>
      </c>
      <c r="GD143">
        <v>0</v>
      </c>
      <c r="GE143">
        <v>0</v>
      </c>
      <c r="GH143">
        <v>0</v>
      </c>
      <c r="GI143">
        <v>0</v>
      </c>
      <c r="GL143">
        <v>0</v>
      </c>
      <c r="GM143">
        <v>0</v>
      </c>
      <c r="GP143">
        <v>0</v>
      </c>
      <c r="GQ143">
        <v>0</v>
      </c>
      <c r="GT143">
        <v>0</v>
      </c>
      <c r="GU143">
        <v>0</v>
      </c>
      <c r="GX143">
        <v>0</v>
      </c>
      <c r="GY143">
        <v>0</v>
      </c>
      <c r="HB143">
        <v>0</v>
      </c>
      <c r="HC143">
        <v>0</v>
      </c>
      <c r="HF143">
        <v>0</v>
      </c>
      <c r="HG143">
        <v>0</v>
      </c>
      <c r="HJ143">
        <v>0</v>
      </c>
      <c r="HK143">
        <v>0</v>
      </c>
      <c r="HN143">
        <v>0</v>
      </c>
      <c r="HO143">
        <v>0</v>
      </c>
      <c r="HR143">
        <v>0</v>
      </c>
      <c r="HS143">
        <v>0</v>
      </c>
      <c r="HV143">
        <v>0</v>
      </c>
      <c r="HW143">
        <v>0</v>
      </c>
      <c r="HZ143">
        <v>0</v>
      </c>
      <c r="IA143">
        <v>0</v>
      </c>
      <c r="ID143">
        <v>0</v>
      </c>
      <c r="IE143">
        <v>0</v>
      </c>
      <c r="IH143">
        <v>0</v>
      </c>
      <c r="II143">
        <v>0</v>
      </c>
      <c r="IL143">
        <v>0</v>
      </c>
      <c r="IM143">
        <v>0</v>
      </c>
      <c r="IP143">
        <v>0</v>
      </c>
      <c r="IQ143">
        <v>0</v>
      </c>
      <c r="IT143">
        <v>0</v>
      </c>
      <c r="IU143">
        <v>0</v>
      </c>
      <c r="IX143">
        <v>0</v>
      </c>
      <c r="IY143">
        <f t="shared" ca="1" si="13"/>
        <v>1</v>
      </c>
      <c r="IZ143">
        <f t="shared" ca="1" si="13"/>
        <v>0</v>
      </c>
      <c r="JA143">
        <f t="shared" ca="1" si="13"/>
        <v>0</v>
      </c>
      <c r="JB143">
        <f t="shared" ca="1" si="13"/>
        <v>1</v>
      </c>
    </row>
    <row r="144" spans="1:262" x14ac:dyDescent="0.25">
      <c r="A144" s="54">
        <v>141</v>
      </c>
      <c r="B144" s="38" t="s">
        <v>499</v>
      </c>
      <c r="C144">
        <v>0</v>
      </c>
      <c r="F144">
        <v>0</v>
      </c>
      <c r="G144">
        <v>1</v>
      </c>
      <c r="J144">
        <v>1</v>
      </c>
      <c r="K144">
        <v>0</v>
      </c>
      <c r="N144">
        <v>0</v>
      </c>
      <c r="O144">
        <v>0</v>
      </c>
      <c r="R144">
        <v>0</v>
      </c>
      <c r="S144">
        <v>0</v>
      </c>
      <c r="V144">
        <v>0</v>
      </c>
      <c r="W144">
        <v>0</v>
      </c>
      <c r="Z144">
        <v>0</v>
      </c>
      <c r="AA144">
        <v>0</v>
      </c>
      <c r="AD144">
        <v>0</v>
      </c>
      <c r="AE144">
        <v>0</v>
      </c>
      <c r="AH144">
        <v>0</v>
      </c>
      <c r="AI144">
        <v>0</v>
      </c>
      <c r="AL144">
        <v>0</v>
      </c>
      <c r="AM144">
        <v>0</v>
      </c>
      <c r="AP144">
        <v>0</v>
      </c>
      <c r="AQ144">
        <v>0</v>
      </c>
      <c r="AT144">
        <v>0</v>
      </c>
      <c r="AU144">
        <v>0</v>
      </c>
      <c r="AX144">
        <v>0</v>
      </c>
      <c r="AY144">
        <v>1</v>
      </c>
      <c r="BB144">
        <v>1</v>
      </c>
      <c r="BC144">
        <v>0</v>
      </c>
      <c r="BF144">
        <v>0</v>
      </c>
      <c r="BG144">
        <v>0</v>
      </c>
      <c r="BJ144">
        <v>0</v>
      </c>
      <c r="BK144">
        <v>0</v>
      </c>
      <c r="BN144">
        <v>0</v>
      </c>
      <c r="BO144">
        <v>0</v>
      </c>
      <c r="BR144">
        <v>0</v>
      </c>
      <c r="BS144">
        <v>0</v>
      </c>
      <c r="BV144">
        <v>0</v>
      </c>
      <c r="BW144">
        <v>0</v>
      </c>
      <c r="BZ144">
        <v>0</v>
      </c>
      <c r="CA144">
        <v>0</v>
      </c>
      <c r="CD144">
        <v>0</v>
      </c>
      <c r="CE144">
        <v>0</v>
      </c>
      <c r="CH144">
        <v>0</v>
      </c>
      <c r="CI144">
        <v>0</v>
      </c>
      <c r="CL144">
        <v>0</v>
      </c>
      <c r="CM144">
        <v>0</v>
      </c>
      <c r="CP144">
        <v>0</v>
      </c>
      <c r="CQ144">
        <v>0</v>
      </c>
      <c r="CT144">
        <v>0</v>
      </c>
      <c r="CU144">
        <v>0</v>
      </c>
      <c r="CX144">
        <v>0</v>
      </c>
      <c r="CY144">
        <v>0</v>
      </c>
      <c r="DB144">
        <v>0</v>
      </c>
      <c r="DC144">
        <v>0</v>
      </c>
      <c r="DF144">
        <v>0</v>
      </c>
      <c r="DG144">
        <v>0</v>
      </c>
      <c r="DJ144">
        <v>0</v>
      </c>
      <c r="DK144">
        <v>0</v>
      </c>
      <c r="DN144">
        <v>0</v>
      </c>
      <c r="DO144">
        <v>0</v>
      </c>
      <c r="DR144">
        <v>0</v>
      </c>
      <c r="DS144">
        <v>0</v>
      </c>
      <c r="DV144">
        <v>0</v>
      </c>
      <c r="DW144">
        <v>0</v>
      </c>
      <c r="DZ144">
        <v>0</v>
      </c>
      <c r="EA144">
        <v>0</v>
      </c>
      <c r="ED144">
        <v>0</v>
      </c>
      <c r="EE144">
        <v>0</v>
      </c>
      <c r="EH144">
        <v>0</v>
      </c>
      <c r="EI144">
        <v>0</v>
      </c>
      <c r="EL144">
        <v>0</v>
      </c>
      <c r="EM144">
        <v>0</v>
      </c>
      <c r="EP144">
        <v>0</v>
      </c>
      <c r="EQ144">
        <v>0</v>
      </c>
      <c r="ET144">
        <v>0</v>
      </c>
      <c r="EU144">
        <v>0</v>
      </c>
      <c r="EX144">
        <v>0</v>
      </c>
      <c r="EY144">
        <v>1</v>
      </c>
      <c r="FB144">
        <v>1</v>
      </c>
      <c r="FC144">
        <v>0</v>
      </c>
      <c r="FF144">
        <v>0</v>
      </c>
      <c r="FG144">
        <v>0</v>
      </c>
      <c r="FJ144">
        <v>0</v>
      </c>
      <c r="FK144">
        <v>0</v>
      </c>
      <c r="FN144">
        <v>0</v>
      </c>
      <c r="FO144">
        <v>0</v>
      </c>
      <c r="FR144">
        <v>0</v>
      </c>
      <c r="FS144">
        <v>0</v>
      </c>
      <c r="FV144">
        <v>0</v>
      </c>
      <c r="FW144">
        <v>0</v>
      </c>
      <c r="FZ144">
        <v>0</v>
      </c>
      <c r="GA144">
        <v>0</v>
      </c>
      <c r="GD144">
        <v>0</v>
      </c>
      <c r="GE144">
        <v>0</v>
      </c>
      <c r="GH144">
        <v>0</v>
      </c>
      <c r="GI144">
        <v>0</v>
      </c>
      <c r="GL144">
        <v>0</v>
      </c>
      <c r="GM144">
        <v>0</v>
      </c>
      <c r="GP144">
        <v>0</v>
      </c>
      <c r="GQ144">
        <v>0</v>
      </c>
      <c r="GT144">
        <v>0</v>
      </c>
      <c r="GU144">
        <v>0</v>
      </c>
      <c r="GX144">
        <v>0</v>
      </c>
      <c r="GY144">
        <v>0</v>
      </c>
      <c r="HB144">
        <v>0</v>
      </c>
      <c r="HC144">
        <v>0</v>
      </c>
      <c r="HF144">
        <v>0</v>
      </c>
      <c r="HG144">
        <v>0</v>
      </c>
      <c r="HJ144">
        <v>0</v>
      </c>
      <c r="HK144">
        <v>0</v>
      </c>
      <c r="HN144">
        <v>0</v>
      </c>
      <c r="HO144">
        <v>0</v>
      </c>
      <c r="HR144">
        <v>0</v>
      </c>
      <c r="HS144">
        <v>0</v>
      </c>
      <c r="HV144">
        <v>0</v>
      </c>
      <c r="HW144">
        <v>0</v>
      </c>
      <c r="HZ144">
        <v>0</v>
      </c>
      <c r="IA144">
        <v>0</v>
      </c>
      <c r="ID144">
        <v>0</v>
      </c>
      <c r="IE144">
        <v>0</v>
      </c>
      <c r="IH144">
        <v>0</v>
      </c>
      <c r="II144">
        <v>0</v>
      </c>
      <c r="IL144">
        <v>0</v>
      </c>
      <c r="IM144">
        <v>0</v>
      </c>
      <c r="IP144">
        <v>0</v>
      </c>
      <c r="IQ144">
        <v>0</v>
      </c>
      <c r="IT144">
        <v>0</v>
      </c>
      <c r="IU144">
        <v>0</v>
      </c>
      <c r="IX144">
        <v>0</v>
      </c>
      <c r="IY144">
        <f t="shared" ref="IY144:JB163" ca="1" si="14">SUMIFS($BK144:$IX144,$BK$3:$IX$3,IY$3,$BK$1:$IX$1,"&gt;0")</f>
        <v>1</v>
      </c>
      <c r="IZ144">
        <f t="shared" ca="1" si="14"/>
        <v>0</v>
      </c>
      <c r="JA144">
        <f t="shared" ca="1" si="14"/>
        <v>0</v>
      </c>
      <c r="JB144">
        <f t="shared" ca="1" si="14"/>
        <v>1</v>
      </c>
    </row>
    <row r="145" spans="1:262" x14ac:dyDescent="0.25">
      <c r="A145" s="54">
        <v>142</v>
      </c>
      <c r="B145" s="38" t="s">
        <v>373</v>
      </c>
      <c r="C145">
        <v>0</v>
      </c>
      <c r="F145">
        <v>0</v>
      </c>
      <c r="G145">
        <v>1</v>
      </c>
      <c r="J145">
        <v>1</v>
      </c>
      <c r="K145">
        <v>0</v>
      </c>
      <c r="N145">
        <v>0</v>
      </c>
      <c r="O145">
        <v>0</v>
      </c>
      <c r="R145">
        <v>0</v>
      </c>
      <c r="S145">
        <v>0</v>
      </c>
      <c r="V145">
        <v>0</v>
      </c>
      <c r="W145">
        <v>0</v>
      </c>
      <c r="Z145">
        <v>0</v>
      </c>
      <c r="AA145">
        <v>0</v>
      </c>
      <c r="AD145">
        <v>0</v>
      </c>
      <c r="AE145">
        <v>0</v>
      </c>
      <c r="AH145">
        <v>0</v>
      </c>
      <c r="AI145">
        <v>0</v>
      </c>
      <c r="AL145">
        <v>0</v>
      </c>
      <c r="AM145">
        <v>0</v>
      </c>
      <c r="AP145">
        <v>0</v>
      </c>
      <c r="AQ145">
        <v>0</v>
      </c>
      <c r="AT145">
        <v>0</v>
      </c>
      <c r="AU145">
        <v>0</v>
      </c>
      <c r="AX145">
        <v>0</v>
      </c>
      <c r="AY145">
        <v>1</v>
      </c>
      <c r="BB145">
        <v>1</v>
      </c>
      <c r="BC145">
        <v>0</v>
      </c>
      <c r="BF145">
        <v>0</v>
      </c>
      <c r="BG145">
        <v>0</v>
      </c>
      <c r="BJ145">
        <v>0</v>
      </c>
      <c r="BK145">
        <v>0</v>
      </c>
      <c r="BN145">
        <v>0</v>
      </c>
      <c r="BO145">
        <v>0</v>
      </c>
      <c r="BR145">
        <v>0</v>
      </c>
      <c r="BS145">
        <v>0</v>
      </c>
      <c r="BV145">
        <v>0</v>
      </c>
      <c r="BW145">
        <v>0</v>
      </c>
      <c r="BZ145">
        <v>0</v>
      </c>
      <c r="CA145">
        <v>0</v>
      </c>
      <c r="CD145">
        <v>0</v>
      </c>
      <c r="CE145">
        <v>0</v>
      </c>
      <c r="CH145">
        <v>0</v>
      </c>
      <c r="CI145">
        <v>0</v>
      </c>
      <c r="CL145">
        <v>0</v>
      </c>
      <c r="CM145">
        <v>0</v>
      </c>
      <c r="CP145">
        <v>0</v>
      </c>
      <c r="CQ145">
        <v>0</v>
      </c>
      <c r="CT145">
        <v>0</v>
      </c>
      <c r="CU145">
        <v>0</v>
      </c>
      <c r="CX145">
        <v>0</v>
      </c>
      <c r="CY145">
        <v>0</v>
      </c>
      <c r="DB145">
        <v>0</v>
      </c>
      <c r="DC145">
        <v>0</v>
      </c>
      <c r="DF145">
        <v>0</v>
      </c>
      <c r="DG145">
        <v>0</v>
      </c>
      <c r="DJ145">
        <v>0</v>
      </c>
      <c r="DK145">
        <v>0</v>
      </c>
      <c r="DN145">
        <v>0</v>
      </c>
      <c r="DO145">
        <v>0</v>
      </c>
      <c r="DR145">
        <v>0</v>
      </c>
      <c r="DS145">
        <v>0</v>
      </c>
      <c r="DV145">
        <v>0</v>
      </c>
      <c r="DW145">
        <v>0</v>
      </c>
      <c r="DZ145">
        <v>0</v>
      </c>
      <c r="EA145">
        <v>0</v>
      </c>
      <c r="ED145">
        <v>0</v>
      </c>
      <c r="EE145">
        <v>0</v>
      </c>
      <c r="EH145">
        <v>0</v>
      </c>
      <c r="EI145">
        <v>0</v>
      </c>
      <c r="EL145">
        <v>0</v>
      </c>
      <c r="EM145">
        <v>0</v>
      </c>
      <c r="EP145">
        <v>0</v>
      </c>
      <c r="EQ145">
        <v>0</v>
      </c>
      <c r="ET145">
        <v>0</v>
      </c>
      <c r="EU145">
        <v>0</v>
      </c>
      <c r="EX145">
        <v>0</v>
      </c>
      <c r="EY145">
        <v>1</v>
      </c>
      <c r="FB145">
        <v>1</v>
      </c>
      <c r="FC145">
        <v>0</v>
      </c>
      <c r="FF145">
        <v>0</v>
      </c>
      <c r="FG145">
        <v>0</v>
      </c>
      <c r="FJ145">
        <v>0</v>
      </c>
      <c r="FK145">
        <v>0</v>
      </c>
      <c r="FN145">
        <v>0</v>
      </c>
      <c r="FO145">
        <v>0</v>
      </c>
      <c r="FR145">
        <v>0</v>
      </c>
      <c r="FS145">
        <v>0</v>
      </c>
      <c r="FV145">
        <v>0</v>
      </c>
      <c r="FW145">
        <v>0</v>
      </c>
      <c r="FZ145">
        <v>0</v>
      </c>
      <c r="GA145">
        <v>0</v>
      </c>
      <c r="GD145">
        <v>0</v>
      </c>
      <c r="GE145">
        <v>0</v>
      </c>
      <c r="GH145">
        <v>0</v>
      </c>
      <c r="GI145">
        <v>0</v>
      </c>
      <c r="GL145">
        <v>0</v>
      </c>
      <c r="GM145">
        <v>0</v>
      </c>
      <c r="GP145">
        <v>0</v>
      </c>
      <c r="GQ145">
        <v>0</v>
      </c>
      <c r="GT145">
        <v>0</v>
      </c>
      <c r="GU145">
        <v>0</v>
      </c>
      <c r="GX145">
        <v>0</v>
      </c>
      <c r="GY145">
        <v>0</v>
      </c>
      <c r="HB145">
        <v>0</v>
      </c>
      <c r="HC145">
        <v>0</v>
      </c>
      <c r="HF145">
        <v>0</v>
      </c>
      <c r="HG145">
        <v>0</v>
      </c>
      <c r="HJ145">
        <v>0</v>
      </c>
      <c r="HK145">
        <v>0</v>
      </c>
      <c r="HN145">
        <v>0</v>
      </c>
      <c r="HO145">
        <v>0</v>
      </c>
      <c r="HR145">
        <v>0</v>
      </c>
      <c r="HS145">
        <v>0</v>
      </c>
      <c r="HV145">
        <v>0</v>
      </c>
      <c r="HW145">
        <v>0</v>
      </c>
      <c r="HZ145">
        <v>0</v>
      </c>
      <c r="IA145">
        <v>0</v>
      </c>
      <c r="ID145">
        <v>0</v>
      </c>
      <c r="IE145">
        <v>0</v>
      </c>
      <c r="IH145">
        <v>0</v>
      </c>
      <c r="II145">
        <v>0</v>
      </c>
      <c r="IL145">
        <v>0</v>
      </c>
      <c r="IM145">
        <v>0</v>
      </c>
      <c r="IP145">
        <v>0</v>
      </c>
      <c r="IQ145">
        <v>0</v>
      </c>
      <c r="IT145">
        <v>0</v>
      </c>
      <c r="IU145">
        <v>0</v>
      </c>
      <c r="IX145">
        <v>0</v>
      </c>
      <c r="IY145">
        <f t="shared" ca="1" si="14"/>
        <v>1</v>
      </c>
      <c r="IZ145">
        <f t="shared" ca="1" si="14"/>
        <v>0</v>
      </c>
      <c r="JA145">
        <f t="shared" ca="1" si="14"/>
        <v>0</v>
      </c>
      <c r="JB145">
        <f t="shared" ca="1" si="14"/>
        <v>1</v>
      </c>
    </row>
    <row r="146" spans="1:262" x14ac:dyDescent="0.25">
      <c r="A146" s="54">
        <v>143</v>
      </c>
      <c r="B146" s="38" t="s">
        <v>498</v>
      </c>
      <c r="C146">
        <v>0</v>
      </c>
      <c r="F146">
        <v>0</v>
      </c>
      <c r="G146">
        <v>1</v>
      </c>
      <c r="J146">
        <v>1</v>
      </c>
      <c r="K146">
        <v>0</v>
      </c>
      <c r="N146">
        <v>0</v>
      </c>
      <c r="O146">
        <v>0</v>
      </c>
      <c r="R146">
        <v>0</v>
      </c>
      <c r="S146">
        <v>0</v>
      </c>
      <c r="V146">
        <v>0</v>
      </c>
      <c r="W146">
        <v>0</v>
      </c>
      <c r="Z146">
        <v>0</v>
      </c>
      <c r="AA146">
        <v>0</v>
      </c>
      <c r="AD146">
        <v>0</v>
      </c>
      <c r="AE146">
        <v>0</v>
      </c>
      <c r="AH146">
        <v>0</v>
      </c>
      <c r="AI146">
        <v>0</v>
      </c>
      <c r="AL146">
        <v>0</v>
      </c>
      <c r="AM146">
        <v>0</v>
      </c>
      <c r="AP146">
        <v>0</v>
      </c>
      <c r="AQ146">
        <v>0</v>
      </c>
      <c r="AT146">
        <v>0</v>
      </c>
      <c r="AU146">
        <v>0</v>
      </c>
      <c r="AX146">
        <v>0</v>
      </c>
      <c r="AY146">
        <v>1</v>
      </c>
      <c r="BB146">
        <v>1</v>
      </c>
      <c r="BC146">
        <v>0</v>
      </c>
      <c r="BF146">
        <v>0</v>
      </c>
      <c r="BG146">
        <v>0</v>
      </c>
      <c r="BJ146">
        <v>0</v>
      </c>
      <c r="BK146">
        <v>0</v>
      </c>
      <c r="BN146">
        <v>0</v>
      </c>
      <c r="BO146">
        <v>0</v>
      </c>
      <c r="BR146">
        <v>0</v>
      </c>
      <c r="BS146">
        <v>0</v>
      </c>
      <c r="BV146">
        <v>0</v>
      </c>
      <c r="BW146">
        <v>0</v>
      </c>
      <c r="BZ146">
        <v>0</v>
      </c>
      <c r="CA146">
        <v>0</v>
      </c>
      <c r="CD146">
        <v>0</v>
      </c>
      <c r="CE146">
        <v>0</v>
      </c>
      <c r="CH146">
        <v>0</v>
      </c>
      <c r="CI146">
        <v>0</v>
      </c>
      <c r="CL146">
        <v>0</v>
      </c>
      <c r="CM146">
        <v>0</v>
      </c>
      <c r="CP146">
        <v>0</v>
      </c>
      <c r="CQ146">
        <v>0</v>
      </c>
      <c r="CT146">
        <v>0</v>
      </c>
      <c r="CU146">
        <v>0</v>
      </c>
      <c r="CX146">
        <v>0</v>
      </c>
      <c r="CY146">
        <v>0</v>
      </c>
      <c r="DB146">
        <v>0</v>
      </c>
      <c r="DC146">
        <v>0</v>
      </c>
      <c r="DF146">
        <v>0</v>
      </c>
      <c r="DG146">
        <v>0</v>
      </c>
      <c r="DJ146">
        <v>0</v>
      </c>
      <c r="DK146">
        <v>0</v>
      </c>
      <c r="DN146">
        <v>0</v>
      </c>
      <c r="DO146">
        <v>0</v>
      </c>
      <c r="DR146">
        <v>0</v>
      </c>
      <c r="DS146">
        <v>0</v>
      </c>
      <c r="DV146">
        <v>0</v>
      </c>
      <c r="DW146">
        <v>0</v>
      </c>
      <c r="DZ146">
        <v>0</v>
      </c>
      <c r="EA146">
        <v>0</v>
      </c>
      <c r="ED146">
        <v>0</v>
      </c>
      <c r="EE146">
        <v>0</v>
      </c>
      <c r="EH146">
        <v>0</v>
      </c>
      <c r="EI146">
        <v>0</v>
      </c>
      <c r="EL146">
        <v>0</v>
      </c>
      <c r="EM146">
        <v>0</v>
      </c>
      <c r="EP146">
        <v>0</v>
      </c>
      <c r="EQ146">
        <v>0</v>
      </c>
      <c r="ET146">
        <v>0</v>
      </c>
      <c r="EU146">
        <v>0</v>
      </c>
      <c r="EX146">
        <v>0</v>
      </c>
      <c r="EY146">
        <v>1</v>
      </c>
      <c r="FB146">
        <v>1</v>
      </c>
      <c r="FC146">
        <v>0</v>
      </c>
      <c r="FF146">
        <v>0</v>
      </c>
      <c r="FG146">
        <v>0</v>
      </c>
      <c r="FJ146">
        <v>0</v>
      </c>
      <c r="FK146">
        <v>0</v>
      </c>
      <c r="FN146">
        <v>0</v>
      </c>
      <c r="FO146">
        <v>0</v>
      </c>
      <c r="FR146">
        <v>0</v>
      </c>
      <c r="FS146">
        <v>0</v>
      </c>
      <c r="FV146">
        <v>0</v>
      </c>
      <c r="FW146">
        <v>0</v>
      </c>
      <c r="FZ146">
        <v>0</v>
      </c>
      <c r="GA146">
        <v>0</v>
      </c>
      <c r="GD146">
        <v>0</v>
      </c>
      <c r="GE146">
        <v>0</v>
      </c>
      <c r="GH146">
        <v>0</v>
      </c>
      <c r="GI146">
        <v>0</v>
      </c>
      <c r="GL146">
        <v>0</v>
      </c>
      <c r="GM146">
        <v>0</v>
      </c>
      <c r="GP146">
        <v>0</v>
      </c>
      <c r="GQ146">
        <v>0</v>
      </c>
      <c r="GT146">
        <v>0</v>
      </c>
      <c r="GU146">
        <v>0</v>
      </c>
      <c r="GX146">
        <v>0</v>
      </c>
      <c r="GY146">
        <v>0</v>
      </c>
      <c r="HB146">
        <v>0</v>
      </c>
      <c r="HC146">
        <v>0</v>
      </c>
      <c r="HF146">
        <v>0</v>
      </c>
      <c r="HG146">
        <v>0</v>
      </c>
      <c r="HJ146">
        <v>0</v>
      </c>
      <c r="HK146">
        <v>0</v>
      </c>
      <c r="HN146">
        <v>0</v>
      </c>
      <c r="HO146">
        <v>0</v>
      </c>
      <c r="HR146">
        <v>0</v>
      </c>
      <c r="HS146">
        <v>0</v>
      </c>
      <c r="HV146">
        <v>0</v>
      </c>
      <c r="HW146">
        <v>0</v>
      </c>
      <c r="HZ146">
        <v>0</v>
      </c>
      <c r="IA146">
        <v>0</v>
      </c>
      <c r="ID146">
        <v>0</v>
      </c>
      <c r="IE146">
        <v>0</v>
      </c>
      <c r="IH146">
        <v>0</v>
      </c>
      <c r="II146">
        <v>0</v>
      </c>
      <c r="IL146">
        <v>0</v>
      </c>
      <c r="IM146">
        <v>0</v>
      </c>
      <c r="IP146">
        <v>0</v>
      </c>
      <c r="IQ146">
        <v>0</v>
      </c>
      <c r="IT146">
        <v>0</v>
      </c>
      <c r="IU146">
        <v>0</v>
      </c>
      <c r="IX146">
        <v>0</v>
      </c>
      <c r="IY146">
        <f t="shared" ca="1" si="14"/>
        <v>1</v>
      </c>
      <c r="IZ146">
        <f t="shared" ca="1" si="14"/>
        <v>0</v>
      </c>
      <c r="JA146">
        <f t="shared" ca="1" si="14"/>
        <v>0</v>
      </c>
      <c r="JB146">
        <f t="shared" ca="1" si="14"/>
        <v>1</v>
      </c>
    </row>
    <row r="147" spans="1:262" x14ac:dyDescent="0.25">
      <c r="A147" s="54">
        <v>144</v>
      </c>
      <c r="B147" s="38" t="s">
        <v>500</v>
      </c>
      <c r="C147">
        <v>0</v>
      </c>
      <c r="F147">
        <v>0</v>
      </c>
      <c r="G147">
        <v>1</v>
      </c>
      <c r="J147">
        <v>1</v>
      </c>
      <c r="K147">
        <v>0</v>
      </c>
      <c r="N147">
        <v>0</v>
      </c>
      <c r="O147">
        <v>0</v>
      </c>
      <c r="R147">
        <v>0</v>
      </c>
      <c r="S147">
        <v>0</v>
      </c>
      <c r="V147">
        <v>0</v>
      </c>
      <c r="W147">
        <v>0</v>
      </c>
      <c r="Z147">
        <v>0</v>
      </c>
      <c r="AA147">
        <v>0</v>
      </c>
      <c r="AD147">
        <v>0</v>
      </c>
      <c r="AE147">
        <v>0</v>
      </c>
      <c r="AH147">
        <v>0</v>
      </c>
      <c r="AI147">
        <v>0</v>
      </c>
      <c r="AL147">
        <v>0</v>
      </c>
      <c r="AM147">
        <v>0</v>
      </c>
      <c r="AP147">
        <v>0</v>
      </c>
      <c r="AQ147">
        <v>0</v>
      </c>
      <c r="AT147">
        <v>0</v>
      </c>
      <c r="AU147">
        <v>0</v>
      </c>
      <c r="AX147">
        <v>0</v>
      </c>
      <c r="AY147">
        <v>1</v>
      </c>
      <c r="BB147">
        <v>1</v>
      </c>
      <c r="BC147">
        <v>0</v>
      </c>
      <c r="BF147">
        <v>0</v>
      </c>
      <c r="BG147">
        <v>0</v>
      </c>
      <c r="BJ147">
        <v>0</v>
      </c>
      <c r="BK147">
        <v>0</v>
      </c>
      <c r="BN147">
        <v>0</v>
      </c>
      <c r="BO147">
        <v>0</v>
      </c>
      <c r="BR147">
        <v>0</v>
      </c>
      <c r="BS147">
        <v>0</v>
      </c>
      <c r="BV147">
        <v>0</v>
      </c>
      <c r="BW147">
        <v>0</v>
      </c>
      <c r="BZ147">
        <v>0</v>
      </c>
      <c r="CA147">
        <v>0</v>
      </c>
      <c r="CD147">
        <v>0</v>
      </c>
      <c r="CE147">
        <v>0</v>
      </c>
      <c r="CH147">
        <v>0</v>
      </c>
      <c r="CI147">
        <v>0</v>
      </c>
      <c r="CL147">
        <v>0</v>
      </c>
      <c r="CM147">
        <v>0</v>
      </c>
      <c r="CP147">
        <v>0</v>
      </c>
      <c r="CQ147">
        <v>0</v>
      </c>
      <c r="CT147">
        <v>0</v>
      </c>
      <c r="CU147">
        <v>0</v>
      </c>
      <c r="CX147">
        <v>0</v>
      </c>
      <c r="CY147">
        <v>0</v>
      </c>
      <c r="DB147">
        <v>0</v>
      </c>
      <c r="DC147">
        <v>0</v>
      </c>
      <c r="DF147">
        <v>0</v>
      </c>
      <c r="DG147">
        <v>0</v>
      </c>
      <c r="DJ147">
        <v>0</v>
      </c>
      <c r="DK147">
        <v>0</v>
      </c>
      <c r="DN147">
        <v>0</v>
      </c>
      <c r="DO147">
        <v>0</v>
      </c>
      <c r="DR147">
        <v>0</v>
      </c>
      <c r="DS147">
        <v>0</v>
      </c>
      <c r="DV147">
        <v>0</v>
      </c>
      <c r="DW147">
        <v>0</v>
      </c>
      <c r="DZ147">
        <v>0</v>
      </c>
      <c r="EA147">
        <v>0</v>
      </c>
      <c r="ED147">
        <v>0</v>
      </c>
      <c r="EE147">
        <v>0</v>
      </c>
      <c r="EH147">
        <v>0</v>
      </c>
      <c r="EI147">
        <v>0</v>
      </c>
      <c r="EL147">
        <v>0</v>
      </c>
      <c r="EM147">
        <v>0</v>
      </c>
      <c r="EP147">
        <v>0</v>
      </c>
      <c r="EQ147">
        <v>0</v>
      </c>
      <c r="ET147">
        <v>0</v>
      </c>
      <c r="EU147">
        <v>0</v>
      </c>
      <c r="EX147">
        <v>0</v>
      </c>
      <c r="EY147">
        <v>1</v>
      </c>
      <c r="FB147">
        <v>1</v>
      </c>
      <c r="FC147">
        <v>0</v>
      </c>
      <c r="FF147">
        <v>0</v>
      </c>
      <c r="FG147">
        <v>0</v>
      </c>
      <c r="FJ147">
        <v>0</v>
      </c>
      <c r="FK147">
        <v>0</v>
      </c>
      <c r="FN147">
        <v>0</v>
      </c>
      <c r="FO147">
        <v>0</v>
      </c>
      <c r="FR147">
        <v>0</v>
      </c>
      <c r="FS147">
        <v>0</v>
      </c>
      <c r="FV147">
        <v>0</v>
      </c>
      <c r="FW147">
        <v>0</v>
      </c>
      <c r="FZ147">
        <v>0</v>
      </c>
      <c r="GA147">
        <v>0</v>
      </c>
      <c r="GD147">
        <v>0</v>
      </c>
      <c r="GE147">
        <v>0</v>
      </c>
      <c r="GH147">
        <v>0</v>
      </c>
      <c r="GI147">
        <v>0</v>
      </c>
      <c r="GL147">
        <v>0</v>
      </c>
      <c r="GM147">
        <v>0</v>
      </c>
      <c r="GP147">
        <v>0</v>
      </c>
      <c r="GQ147">
        <v>0</v>
      </c>
      <c r="GT147">
        <v>0</v>
      </c>
      <c r="GU147">
        <v>0</v>
      </c>
      <c r="GX147">
        <v>0</v>
      </c>
      <c r="GY147">
        <v>0</v>
      </c>
      <c r="HB147">
        <v>0</v>
      </c>
      <c r="HC147">
        <v>0</v>
      </c>
      <c r="HF147">
        <v>0</v>
      </c>
      <c r="HG147">
        <v>0</v>
      </c>
      <c r="HJ147">
        <v>0</v>
      </c>
      <c r="HK147">
        <v>0</v>
      </c>
      <c r="HN147">
        <v>0</v>
      </c>
      <c r="HO147">
        <v>0</v>
      </c>
      <c r="HR147">
        <v>0</v>
      </c>
      <c r="HS147">
        <v>0</v>
      </c>
      <c r="HV147">
        <v>0</v>
      </c>
      <c r="HW147">
        <v>0</v>
      </c>
      <c r="HZ147">
        <v>0</v>
      </c>
      <c r="IA147">
        <v>0</v>
      </c>
      <c r="ID147">
        <v>0</v>
      </c>
      <c r="IE147">
        <v>0</v>
      </c>
      <c r="IH147">
        <v>0</v>
      </c>
      <c r="II147">
        <v>0</v>
      </c>
      <c r="IL147">
        <v>0</v>
      </c>
      <c r="IM147">
        <v>0</v>
      </c>
      <c r="IP147">
        <v>0</v>
      </c>
      <c r="IQ147">
        <v>0</v>
      </c>
      <c r="IT147">
        <v>0</v>
      </c>
      <c r="IU147">
        <v>0</v>
      </c>
      <c r="IX147">
        <v>0</v>
      </c>
      <c r="IY147">
        <f t="shared" ca="1" si="14"/>
        <v>1</v>
      </c>
      <c r="IZ147">
        <f t="shared" ca="1" si="14"/>
        <v>0</v>
      </c>
      <c r="JA147">
        <f t="shared" ca="1" si="14"/>
        <v>0</v>
      </c>
      <c r="JB147">
        <f t="shared" ca="1" si="14"/>
        <v>1</v>
      </c>
    </row>
    <row r="148" spans="1:262" x14ac:dyDescent="0.25">
      <c r="A148" s="54">
        <v>145</v>
      </c>
      <c r="B148" s="38" t="s">
        <v>594</v>
      </c>
      <c r="C148">
        <v>0</v>
      </c>
      <c r="F148">
        <v>0</v>
      </c>
      <c r="G148">
        <v>1</v>
      </c>
      <c r="J148">
        <v>1</v>
      </c>
      <c r="K148">
        <v>0</v>
      </c>
      <c r="N148">
        <v>0</v>
      </c>
      <c r="O148">
        <v>0</v>
      </c>
      <c r="R148">
        <v>0</v>
      </c>
      <c r="S148">
        <v>0</v>
      </c>
      <c r="V148">
        <v>0</v>
      </c>
      <c r="W148">
        <v>0</v>
      </c>
      <c r="Z148">
        <v>0</v>
      </c>
      <c r="AA148">
        <v>0</v>
      </c>
      <c r="AD148">
        <v>0</v>
      </c>
      <c r="AE148">
        <v>0</v>
      </c>
      <c r="AH148">
        <v>0</v>
      </c>
      <c r="AI148">
        <v>0</v>
      </c>
      <c r="AL148">
        <v>0</v>
      </c>
      <c r="AM148">
        <v>0</v>
      </c>
      <c r="AP148">
        <v>0</v>
      </c>
      <c r="AQ148">
        <v>0</v>
      </c>
      <c r="AT148">
        <v>0</v>
      </c>
      <c r="AU148">
        <v>0</v>
      </c>
      <c r="AX148">
        <v>0</v>
      </c>
      <c r="AY148">
        <v>0</v>
      </c>
      <c r="BB148">
        <v>0</v>
      </c>
      <c r="BC148">
        <v>1</v>
      </c>
      <c r="BF148">
        <v>1</v>
      </c>
      <c r="BG148">
        <v>0</v>
      </c>
      <c r="BJ148">
        <v>0</v>
      </c>
      <c r="BK148">
        <v>0</v>
      </c>
      <c r="BN148">
        <v>0</v>
      </c>
      <c r="BO148">
        <v>0</v>
      </c>
      <c r="BR148">
        <v>0</v>
      </c>
      <c r="BS148">
        <v>0</v>
      </c>
      <c r="BV148">
        <v>0</v>
      </c>
      <c r="BW148">
        <v>0</v>
      </c>
      <c r="BZ148">
        <v>0</v>
      </c>
      <c r="CA148">
        <v>0</v>
      </c>
      <c r="CD148">
        <v>0</v>
      </c>
      <c r="CE148">
        <v>0</v>
      </c>
      <c r="CH148">
        <v>0</v>
      </c>
      <c r="CI148">
        <v>0</v>
      </c>
      <c r="CL148">
        <v>0</v>
      </c>
      <c r="CM148">
        <v>0</v>
      </c>
      <c r="CP148">
        <v>0</v>
      </c>
      <c r="CQ148">
        <v>0</v>
      </c>
      <c r="CT148">
        <v>0</v>
      </c>
      <c r="CU148">
        <v>0</v>
      </c>
      <c r="CX148">
        <v>0</v>
      </c>
      <c r="CY148">
        <v>0</v>
      </c>
      <c r="DB148">
        <v>0</v>
      </c>
      <c r="DC148">
        <v>0</v>
      </c>
      <c r="DF148">
        <v>0</v>
      </c>
      <c r="DG148">
        <v>0</v>
      </c>
      <c r="DJ148">
        <v>0</v>
      </c>
      <c r="DK148">
        <v>0</v>
      </c>
      <c r="DN148">
        <v>0</v>
      </c>
      <c r="DO148">
        <v>0</v>
      </c>
      <c r="DR148">
        <v>0</v>
      </c>
      <c r="DS148">
        <v>0</v>
      </c>
      <c r="DV148">
        <v>0</v>
      </c>
      <c r="DW148">
        <v>0</v>
      </c>
      <c r="DZ148">
        <v>0</v>
      </c>
      <c r="EA148">
        <v>0</v>
      </c>
      <c r="ED148">
        <v>0</v>
      </c>
      <c r="EE148">
        <v>0</v>
      </c>
      <c r="EH148">
        <v>0</v>
      </c>
      <c r="EI148">
        <v>0</v>
      </c>
      <c r="EL148">
        <v>0</v>
      </c>
      <c r="EM148">
        <v>0</v>
      </c>
      <c r="EP148">
        <v>0</v>
      </c>
      <c r="EQ148">
        <v>0</v>
      </c>
      <c r="ET148">
        <v>0</v>
      </c>
      <c r="EU148">
        <v>0</v>
      </c>
      <c r="EX148">
        <v>0</v>
      </c>
      <c r="EY148">
        <v>0</v>
      </c>
      <c r="FB148">
        <v>0</v>
      </c>
      <c r="FC148">
        <v>1</v>
      </c>
      <c r="FF148">
        <v>1</v>
      </c>
      <c r="FG148">
        <v>0</v>
      </c>
      <c r="FJ148">
        <v>0</v>
      </c>
      <c r="FK148">
        <v>0</v>
      </c>
      <c r="FN148">
        <v>0</v>
      </c>
      <c r="FO148">
        <v>0</v>
      </c>
      <c r="FR148">
        <v>0</v>
      </c>
      <c r="FS148">
        <v>0</v>
      </c>
      <c r="FV148">
        <v>0</v>
      </c>
      <c r="FW148">
        <v>0</v>
      </c>
      <c r="FZ148">
        <v>0</v>
      </c>
      <c r="GA148">
        <v>0</v>
      </c>
      <c r="GD148">
        <v>0</v>
      </c>
      <c r="GE148">
        <v>0</v>
      </c>
      <c r="GH148">
        <v>0</v>
      </c>
      <c r="GI148">
        <v>0</v>
      </c>
      <c r="GL148">
        <v>0</v>
      </c>
      <c r="GM148">
        <v>0</v>
      </c>
      <c r="GP148">
        <v>0</v>
      </c>
      <c r="GQ148">
        <v>0</v>
      </c>
      <c r="GT148">
        <v>0</v>
      </c>
      <c r="GU148">
        <v>0</v>
      </c>
      <c r="GX148">
        <v>0</v>
      </c>
      <c r="GY148">
        <v>0</v>
      </c>
      <c r="HB148">
        <v>0</v>
      </c>
      <c r="HC148">
        <v>0</v>
      </c>
      <c r="HF148">
        <v>0</v>
      </c>
      <c r="HG148">
        <v>0</v>
      </c>
      <c r="HJ148">
        <v>0</v>
      </c>
      <c r="HK148">
        <v>0</v>
      </c>
      <c r="HN148">
        <v>0</v>
      </c>
      <c r="HO148">
        <v>0</v>
      </c>
      <c r="HR148">
        <v>0</v>
      </c>
      <c r="HS148">
        <v>0</v>
      </c>
      <c r="HV148">
        <v>0</v>
      </c>
      <c r="HW148">
        <v>0</v>
      </c>
      <c r="HZ148">
        <v>0</v>
      </c>
      <c r="IA148">
        <v>0</v>
      </c>
      <c r="ID148">
        <v>0</v>
      </c>
      <c r="IE148">
        <v>0</v>
      </c>
      <c r="IH148">
        <v>0</v>
      </c>
      <c r="II148">
        <v>0</v>
      </c>
      <c r="IL148">
        <v>0</v>
      </c>
      <c r="IM148">
        <v>0</v>
      </c>
      <c r="IP148">
        <v>0</v>
      </c>
      <c r="IQ148">
        <v>0</v>
      </c>
      <c r="IT148">
        <v>0</v>
      </c>
      <c r="IU148">
        <v>0</v>
      </c>
      <c r="IX148">
        <v>0</v>
      </c>
      <c r="IY148">
        <f t="shared" ca="1" si="14"/>
        <v>1</v>
      </c>
      <c r="IZ148">
        <f t="shared" ca="1" si="14"/>
        <v>0</v>
      </c>
      <c r="JA148">
        <f t="shared" ca="1" si="14"/>
        <v>0</v>
      </c>
      <c r="JB148">
        <f t="shared" ca="1" si="14"/>
        <v>1</v>
      </c>
    </row>
    <row r="149" spans="1:262" x14ac:dyDescent="0.25">
      <c r="A149" s="54">
        <v>146</v>
      </c>
      <c r="B149" s="38" t="s">
        <v>357</v>
      </c>
      <c r="C149">
        <v>0</v>
      </c>
      <c r="F149">
        <v>0</v>
      </c>
      <c r="G149">
        <v>0</v>
      </c>
      <c r="J149">
        <v>0</v>
      </c>
      <c r="K149">
        <v>1</v>
      </c>
      <c r="N149">
        <v>1</v>
      </c>
      <c r="O149">
        <v>0</v>
      </c>
      <c r="R149">
        <v>0</v>
      </c>
      <c r="S149">
        <v>0</v>
      </c>
      <c r="V149">
        <v>0</v>
      </c>
      <c r="W149">
        <v>0</v>
      </c>
      <c r="Z149">
        <v>0</v>
      </c>
      <c r="AA149">
        <v>0</v>
      </c>
      <c r="AD149">
        <v>0</v>
      </c>
      <c r="AE149">
        <v>0</v>
      </c>
      <c r="AH149">
        <v>0</v>
      </c>
      <c r="AI149">
        <v>0</v>
      </c>
      <c r="AL149">
        <v>0</v>
      </c>
      <c r="AM149">
        <v>0</v>
      </c>
      <c r="AP149">
        <v>0</v>
      </c>
      <c r="AQ149">
        <v>0</v>
      </c>
      <c r="AT149">
        <v>0</v>
      </c>
      <c r="AU149">
        <v>0</v>
      </c>
      <c r="AX149">
        <v>0</v>
      </c>
      <c r="AY149">
        <v>0</v>
      </c>
      <c r="BB149">
        <v>0</v>
      </c>
      <c r="BC149">
        <v>1</v>
      </c>
      <c r="BF149">
        <v>1</v>
      </c>
      <c r="BG149">
        <v>0</v>
      </c>
      <c r="BJ149">
        <v>0</v>
      </c>
      <c r="BK149">
        <v>0</v>
      </c>
      <c r="BN149">
        <v>0</v>
      </c>
      <c r="BO149">
        <v>0</v>
      </c>
      <c r="BR149">
        <v>0</v>
      </c>
      <c r="BS149">
        <v>0</v>
      </c>
      <c r="BV149">
        <v>0</v>
      </c>
      <c r="BW149">
        <v>0</v>
      </c>
      <c r="BZ149">
        <v>0</v>
      </c>
      <c r="CA149">
        <v>0</v>
      </c>
      <c r="CD149">
        <v>0</v>
      </c>
      <c r="CE149">
        <v>0</v>
      </c>
      <c r="CH149">
        <v>0</v>
      </c>
      <c r="CI149">
        <v>0</v>
      </c>
      <c r="CL149">
        <v>0</v>
      </c>
      <c r="CM149">
        <v>0</v>
      </c>
      <c r="CP149">
        <v>0</v>
      </c>
      <c r="CQ149">
        <v>0</v>
      </c>
      <c r="CT149">
        <v>0</v>
      </c>
      <c r="CU149">
        <v>0</v>
      </c>
      <c r="CX149">
        <v>0</v>
      </c>
      <c r="CY149">
        <v>0</v>
      </c>
      <c r="DB149">
        <v>0</v>
      </c>
      <c r="DC149">
        <v>0</v>
      </c>
      <c r="DF149">
        <v>0</v>
      </c>
      <c r="DG149">
        <v>0</v>
      </c>
      <c r="DJ149">
        <v>0</v>
      </c>
      <c r="DK149">
        <v>0</v>
      </c>
      <c r="DN149">
        <v>0</v>
      </c>
      <c r="DO149">
        <v>0</v>
      </c>
      <c r="DR149">
        <v>0</v>
      </c>
      <c r="DS149">
        <v>0</v>
      </c>
      <c r="DV149">
        <v>0</v>
      </c>
      <c r="DW149">
        <v>0</v>
      </c>
      <c r="DZ149">
        <v>0</v>
      </c>
      <c r="EA149">
        <v>0</v>
      </c>
      <c r="ED149">
        <v>0</v>
      </c>
      <c r="EE149">
        <v>0</v>
      </c>
      <c r="EH149">
        <v>0</v>
      </c>
      <c r="EI149">
        <v>0</v>
      </c>
      <c r="EL149">
        <v>0</v>
      </c>
      <c r="EM149">
        <v>0</v>
      </c>
      <c r="EP149">
        <v>0</v>
      </c>
      <c r="EQ149">
        <v>0</v>
      </c>
      <c r="ET149">
        <v>0</v>
      </c>
      <c r="EU149">
        <v>0</v>
      </c>
      <c r="EX149">
        <v>0</v>
      </c>
      <c r="EY149">
        <v>0</v>
      </c>
      <c r="FB149">
        <v>0</v>
      </c>
      <c r="FC149">
        <v>0</v>
      </c>
      <c r="FF149">
        <v>0</v>
      </c>
      <c r="FG149">
        <v>0</v>
      </c>
      <c r="FJ149">
        <v>0</v>
      </c>
      <c r="FK149">
        <v>0</v>
      </c>
      <c r="FN149">
        <v>0</v>
      </c>
      <c r="FO149">
        <v>0</v>
      </c>
      <c r="FR149">
        <v>0</v>
      </c>
      <c r="FS149">
        <v>0</v>
      </c>
      <c r="FV149">
        <v>0</v>
      </c>
      <c r="FW149">
        <v>0</v>
      </c>
      <c r="FZ149">
        <v>0</v>
      </c>
      <c r="GA149">
        <v>0</v>
      </c>
      <c r="GD149">
        <v>0</v>
      </c>
      <c r="GE149">
        <v>0</v>
      </c>
      <c r="GH149">
        <v>0</v>
      </c>
      <c r="GI149">
        <v>0</v>
      </c>
      <c r="GL149">
        <v>0</v>
      </c>
      <c r="GM149">
        <v>0</v>
      </c>
      <c r="GP149">
        <v>0</v>
      </c>
      <c r="GQ149">
        <v>1</v>
      </c>
      <c r="GT149">
        <v>1</v>
      </c>
      <c r="GU149">
        <v>0</v>
      </c>
      <c r="GX149">
        <v>0</v>
      </c>
      <c r="GY149">
        <v>0</v>
      </c>
      <c r="HB149">
        <v>0</v>
      </c>
      <c r="HC149">
        <v>0</v>
      </c>
      <c r="HF149">
        <v>0</v>
      </c>
      <c r="HG149">
        <v>0</v>
      </c>
      <c r="HJ149">
        <v>0</v>
      </c>
      <c r="HK149">
        <v>0</v>
      </c>
      <c r="HN149">
        <v>0</v>
      </c>
      <c r="HO149">
        <v>0</v>
      </c>
      <c r="HR149">
        <v>0</v>
      </c>
      <c r="HS149">
        <v>0</v>
      </c>
      <c r="HV149">
        <v>0</v>
      </c>
      <c r="HW149">
        <v>0</v>
      </c>
      <c r="HZ149">
        <v>0</v>
      </c>
      <c r="IA149">
        <v>0</v>
      </c>
      <c r="ID149">
        <v>0</v>
      </c>
      <c r="IE149">
        <v>0</v>
      </c>
      <c r="IH149">
        <v>0</v>
      </c>
      <c r="II149">
        <v>0</v>
      </c>
      <c r="IL149">
        <v>0</v>
      </c>
      <c r="IM149">
        <v>0</v>
      </c>
      <c r="IP149">
        <v>0</v>
      </c>
      <c r="IQ149">
        <v>0</v>
      </c>
      <c r="IT149">
        <v>0</v>
      </c>
      <c r="IU149">
        <v>0</v>
      </c>
      <c r="IX149">
        <v>0</v>
      </c>
      <c r="IY149">
        <f t="shared" ca="1" si="14"/>
        <v>1</v>
      </c>
      <c r="IZ149">
        <f t="shared" ca="1" si="14"/>
        <v>0</v>
      </c>
      <c r="JA149">
        <f t="shared" ca="1" si="14"/>
        <v>0</v>
      </c>
      <c r="JB149">
        <f t="shared" ca="1" si="14"/>
        <v>1</v>
      </c>
    </row>
    <row r="150" spans="1:262" x14ac:dyDescent="0.25">
      <c r="A150" s="54">
        <v>147</v>
      </c>
      <c r="B150" s="38" t="s">
        <v>362</v>
      </c>
      <c r="C150">
        <v>0</v>
      </c>
      <c r="F150">
        <v>0</v>
      </c>
      <c r="G150">
        <v>0</v>
      </c>
      <c r="J150">
        <v>0</v>
      </c>
      <c r="K150">
        <v>1</v>
      </c>
      <c r="N150">
        <v>1</v>
      </c>
      <c r="O150">
        <v>0</v>
      </c>
      <c r="R150">
        <v>0</v>
      </c>
      <c r="S150">
        <v>0</v>
      </c>
      <c r="V150">
        <v>0</v>
      </c>
      <c r="W150">
        <v>0</v>
      </c>
      <c r="Z150">
        <v>0</v>
      </c>
      <c r="AA150">
        <v>0</v>
      </c>
      <c r="AD150">
        <v>0</v>
      </c>
      <c r="AE150">
        <v>0</v>
      </c>
      <c r="AH150">
        <v>0</v>
      </c>
      <c r="AI150">
        <v>0</v>
      </c>
      <c r="AL150">
        <v>0</v>
      </c>
      <c r="AM150">
        <v>0</v>
      </c>
      <c r="AP150">
        <v>0</v>
      </c>
      <c r="AQ150">
        <v>0</v>
      </c>
      <c r="AT150">
        <v>0</v>
      </c>
      <c r="AU150">
        <v>0</v>
      </c>
      <c r="AX150">
        <v>0</v>
      </c>
      <c r="AY150">
        <v>0</v>
      </c>
      <c r="BB150">
        <v>0</v>
      </c>
      <c r="BC150">
        <v>1</v>
      </c>
      <c r="BF150">
        <v>1</v>
      </c>
      <c r="BG150">
        <v>0</v>
      </c>
      <c r="BJ150">
        <v>0</v>
      </c>
      <c r="BK150">
        <v>0</v>
      </c>
      <c r="BN150">
        <v>0</v>
      </c>
      <c r="BO150">
        <v>0</v>
      </c>
      <c r="BR150">
        <v>0</v>
      </c>
      <c r="BS150">
        <v>0</v>
      </c>
      <c r="BV150">
        <v>0</v>
      </c>
      <c r="BW150">
        <v>0</v>
      </c>
      <c r="BZ150">
        <v>0</v>
      </c>
      <c r="CA150">
        <v>0</v>
      </c>
      <c r="CD150">
        <v>0</v>
      </c>
      <c r="CE150">
        <v>0</v>
      </c>
      <c r="CH150">
        <v>0</v>
      </c>
      <c r="CI150">
        <v>0</v>
      </c>
      <c r="CL150">
        <v>0</v>
      </c>
      <c r="CM150">
        <v>0</v>
      </c>
      <c r="CP150">
        <v>0</v>
      </c>
      <c r="CQ150">
        <v>0</v>
      </c>
      <c r="CT150">
        <v>0</v>
      </c>
      <c r="CU150">
        <v>0</v>
      </c>
      <c r="CX150">
        <v>0</v>
      </c>
      <c r="CY150">
        <v>0</v>
      </c>
      <c r="DB150">
        <v>0</v>
      </c>
      <c r="DC150">
        <v>0</v>
      </c>
      <c r="DF150">
        <v>0</v>
      </c>
      <c r="DG150">
        <v>0</v>
      </c>
      <c r="DJ150">
        <v>0</v>
      </c>
      <c r="DK150">
        <v>0</v>
      </c>
      <c r="DN150">
        <v>0</v>
      </c>
      <c r="DO150">
        <v>0</v>
      </c>
      <c r="DR150">
        <v>0</v>
      </c>
      <c r="DS150">
        <v>0</v>
      </c>
      <c r="DV150">
        <v>0</v>
      </c>
      <c r="DW150">
        <v>0</v>
      </c>
      <c r="DZ150">
        <v>0</v>
      </c>
      <c r="EA150">
        <v>0</v>
      </c>
      <c r="ED150">
        <v>0</v>
      </c>
      <c r="EE150">
        <v>0</v>
      </c>
      <c r="EH150">
        <v>0</v>
      </c>
      <c r="EI150">
        <v>0</v>
      </c>
      <c r="EL150">
        <v>0</v>
      </c>
      <c r="EM150">
        <v>0</v>
      </c>
      <c r="EP150">
        <v>0</v>
      </c>
      <c r="EQ150">
        <v>0</v>
      </c>
      <c r="ET150">
        <v>0</v>
      </c>
      <c r="EU150">
        <v>0</v>
      </c>
      <c r="EX150">
        <v>0</v>
      </c>
      <c r="EY150">
        <v>0</v>
      </c>
      <c r="FB150">
        <v>0</v>
      </c>
      <c r="FC150">
        <v>0</v>
      </c>
      <c r="FF150">
        <v>0</v>
      </c>
      <c r="FG150">
        <v>0</v>
      </c>
      <c r="FJ150">
        <v>0</v>
      </c>
      <c r="FK150">
        <v>0</v>
      </c>
      <c r="FN150">
        <v>0</v>
      </c>
      <c r="FO150">
        <v>0</v>
      </c>
      <c r="FR150">
        <v>0</v>
      </c>
      <c r="FS150">
        <v>0</v>
      </c>
      <c r="FV150">
        <v>0</v>
      </c>
      <c r="FW150">
        <v>0</v>
      </c>
      <c r="FZ150">
        <v>0</v>
      </c>
      <c r="GA150">
        <v>0</v>
      </c>
      <c r="GD150">
        <v>0</v>
      </c>
      <c r="GE150">
        <v>0</v>
      </c>
      <c r="GH150">
        <v>0</v>
      </c>
      <c r="GI150">
        <v>0</v>
      </c>
      <c r="GL150">
        <v>0</v>
      </c>
      <c r="GM150">
        <v>0</v>
      </c>
      <c r="GP150">
        <v>0</v>
      </c>
      <c r="GQ150">
        <v>1</v>
      </c>
      <c r="GT150">
        <v>1</v>
      </c>
      <c r="GU150">
        <v>0</v>
      </c>
      <c r="GX150">
        <v>0</v>
      </c>
      <c r="GY150">
        <v>0</v>
      </c>
      <c r="HB150">
        <v>0</v>
      </c>
      <c r="HC150">
        <v>0</v>
      </c>
      <c r="HF150">
        <v>0</v>
      </c>
      <c r="HG150">
        <v>0</v>
      </c>
      <c r="HJ150">
        <v>0</v>
      </c>
      <c r="HK150">
        <v>0</v>
      </c>
      <c r="HN150">
        <v>0</v>
      </c>
      <c r="HO150">
        <v>0</v>
      </c>
      <c r="HR150">
        <v>0</v>
      </c>
      <c r="HS150">
        <v>0</v>
      </c>
      <c r="HV150">
        <v>0</v>
      </c>
      <c r="HW150">
        <v>0</v>
      </c>
      <c r="HZ150">
        <v>0</v>
      </c>
      <c r="IA150">
        <v>0</v>
      </c>
      <c r="ID150">
        <v>0</v>
      </c>
      <c r="IE150">
        <v>0</v>
      </c>
      <c r="IH150">
        <v>0</v>
      </c>
      <c r="II150">
        <v>0</v>
      </c>
      <c r="IL150">
        <v>0</v>
      </c>
      <c r="IM150">
        <v>0</v>
      </c>
      <c r="IP150">
        <v>0</v>
      </c>
      <c r="IQ150">
        <v>0</v>
      </c>
      <c r="IT150">
        <v>0</v>
      </c>
      <c r="IU150">
        <v>0</v>
      </c>
      <c r="IX150">
        <v>0</v>
      </c>
      <c r="IY150">
        <f t="shared" ca="1" si="14"/>
        <v>1</v>
      </c>
      <c r="IZ150">
        <f t="shared" ca="1" si="14"/>
        <v>0</v>
      </c>
      <c r="JA150">
        <f t="shared" ca="1" si="14"/>
        <v>0</v>
      </c>
      <c r="JB150">
        <f t="shared" ca="1" si="14"/>
        <v>1</v>
      </c>
    </row>
    <row r="151" spans="1:262" x14ac:dyDescent="0.25">
      <c r="A151" s="54">
        <v>148</v>
      </c>
      <c r="B151" s="38" t="s">
        <v>364</v>
      </c>
      <c r="C151">
        <v>0</v>
      </c>
      <c r="F151">
        <v>0</v>
      </c>
      <c r="G151">
        <v>0</v>
      </c>
      <c r="J151">
        <v>0</v>
      </c>
      <c r="K151">
        <v>0</v>
      </c>
      <c r="N151">
        <v>0</v>
      </c>
      <c r="O151">
        <v>1</v>
      </c>
      <c r="R151">
        <v>1</v>
      </c>
      <c r="S151">
        <v>0</v>
      </c>
      <c r="V151">
        <v>0</v>
      </c>
      <c r="W151">
        <v>0</v>
      </c>
      <c r="Z151">
        <v>0</v>
      </c>
      <c r="AA151">
        <v>0</v>
      </c>
      <c r="AD151">
        <v>0</v>
      </c>
      <c r="AE151">
        <v>0</v>
      </c>
      <c r="AH151">
        <v>0</v>
      </c>
      <c r="AI151">
        <v>0</v>
      </c>
      <c r="AL151">
        <v>0</v>
      </c>
      <c r="AM151">
        <v>0</v>
      </c>
      <c r="AP151">
        <v>0</v>
      </c>
      <c r="AQ151">
        <v>0</v>
      </c>
      <c r="AT151">
        <v>0</v>
      </c>
      <c r="AU151">
        <v>0</v>
      </c>
      <c r="AX151">
        <v>0</v>
      </c>
      <c r="AY151">
        <v>0</v>
      </c>
      <c r="BB151">
        <v>0</v>
      </c>
      <c r="BC151">
        <v>1</v>
      </c>
      <c r="BF151">
        <v>1</v>
      </c>
      <c r="BG151">
        <v>0</v>
      </c>
      <c r="BJ151">
        <v>0</v>
      </c>
      <c r="BK151">
        <v>0</v>
      </c>
      <c r="BN151">
        <v>0</v>
      </c>
      <c r="BO151">
        <v>0</v>
      </c>
      <c r="BR151">
        <v>0</v>
      </c>
      <c r="BS151">
        <v>0</v>
      </c>
      <c r="BV151">
        <v>0</v>
      </c>
      <c r="BW151">
        <v>0</v>
      </c>
      <c r="BZ151">
        <v>0</v>
      </c>
      <c r="CA151">
        <v>0</v>
      </c>
      <c r="CD151">
        <v>0</v>
      </c>
      <c r="CE151">
        <v>0</v>
      </c>
      <c r="CH151">
        <v>0</v>
      </c>
      <c r="CI151">
        <v>0</v>
      </c>
      <c r="CL151">
        <v>0</v>
      </c>
      <c r="CM151">
        <v>0</v>
      </c>
      <c r="CP151">
        <v>0</v>
      </c>
      <c r="CQ151">
        <v>0</v>
      </c>
      <c r="CT151">
        <v>0</v>
      </c>
      <c r="CU151">
        <v>0</v>
      </c>
      <c r="CX151">
        <v>0</v>
      </c>
      <c r="CY151">
        <v>0</v>
      </c>
      <c r="DB151">
        <v>0</v>
      </c>
      <c r="DC151">
        <v>0</v>
      </c>
      <c r="DF151">
        <v>0</v>
      </c>
      <c r="DG151">
        <v>0</v>
      </c>
      <c r="DJ151">
        <v>0</v>
      </c>
      <c r="DK151">
        <v>0</v>
      </c>
      <c r="DN151">
        <v>0</v>
      </c>
      <c r="DO151">
        <v>0</v>
      </c>
      <c r="DR151">
        <v>0</v>
      </c>
      <c r="DS151">
        <v>0</v>
      </c>
      <c r="DV151">
        <v>0</v>
      </c>
      <c r="DW151">
        <v>0</v>
      </c>
      <c r="DZ151">
        <v>0</v>
      </c>
      <c r="EA151">
        <v>0</v>
      </c>
      <c r="ED151">
        <v>0</v>
      </c>
      <c r="EE151">
        <v>0</v>
      </c>
      <c r="EH151">
        <v>0</v>
      </c>
      <c r="EI151">
        <v>0</v>
      </c>
      <c r="EL151">
        <v>0</v>
      </c>
      <c r="EM151">
        <v>0</v>
      </c>
      <c r="EP151">
        <v>0</v>
      </c>
      <c r="EQ151">
        <v>0</v>
      </c>
      <c r="ET151">
        <v>0</v>
      </c>
      <c r="EU151">
        <v>0</v>
      </c>
      <c r="EX151">
        <v>0</v>
      </c>
      <c r="EY151">
        <v>0</v>
      </c>
      <c r="FB151">
        <v>0</v>
      </c>
      <c r="FC151">
        <v>0</v>
      </c>
      <c r="FF151">
        <v>0</v>
      </c>
      <c r="FG151">
        <v>0</v>
      </c>
      <c r="FJ151">
        <v>0</v>
      </c>
      <c r="FK151">
        <v>0</v>
      </c>
      <c r="FN151">
        <v>0</v>
      </c>
      <c r="FO151">
        <v>0</v>
      </c>
      <c r="FR151">
        <v>0</v>
      </c>
      <c r="FS151">
        <v>0</v>
      </c>
      <c r="FV151">
        <v>0</v>
      </c>
      <c r="FW151">
        <v>0</v>
      </c>
      <c r="FZ151">
        <v>0</v>
      </c>
      <c r="GA151">
        <v>0</v>
      </c>
      <c r="GD151">
        <v>0</v>
      </c>
      <c r="GE151">
        <v>0</v>
      </c>
      <c r="GH151">
        <v>0</v>
      </c>
      <c r="GI151">
        <v>0</v>
      </c>
      <c r="GL151">
        <v>0</v>
      </c>
      <c r="GM151">
        <v>0</v>
      </c>
      <c r="GP151">
        <v>0</v>
      </c>
      <c r="GQ151">
        <v>0</v>
      </c>
      <c r="GT151">
        <v>0</v>
      </c>
      <c r="GU151">
        <v>0</v>
      </c>
      <c r="GX151">
        <v>0</v>
      </c>
      <c r="GY151">
        <v>0</v>
      </c>
      <c r="HB151">
        <v>0</v>
      </c>
      <c r="HC151">
        <v>0</v>
      </c>
      <c r="HF151">
        <v>0</v>
      </c>
      <c r="HG151">
        <v>0</v>
      </c>
      <c r="HJ151">
        <v>0</v>
      </c>
      <c r="HK151">
        <v>0</v>
      </c>
      <c r="HN151">
        <v>0</v>
      </c>
      <c r="HO151">
        <v>0</v>
      </c>
      <c r="HR151">
        <v>0</v>
      </c>
      <c r="HS151">
        <v>0</v>
      </c>
      <c r="HV151">
        <v>0</v>
      </c>
      <c r="HW151">
        <v>0</v>
      </c>
      <c r="HZ151">
        <v>0</v>
      </c>
      <c r="IA151">
        <v>0</v>
      </c>
      <c r="ID151">
        <v>0</v>
      </c>
      <c r="IE151">
        <v>0</v>
      </c>
      <c r="IH151">
        <v>0</v>
      </c>
      <c r="II151">
        <v>0</v>
      </c>
      <c r="IL151">
        <v>0</v>
      </c>
      <c r="IM151">
        <v>1</v>
      </c>
      <c r="IP151">
        <v>1</v>
      </c>
      <c r="IQ151">
        <v>0</v>
      </c>
      <c r="IT151">
        <v>0</v>
      </c>
      <c r="IU151">
        <v>0</v>
      </c>
      <c r="IX151">
        <v>0</v>
      </c>
      <c r="IY151">
        <f t="shared" ca="1" si="14"/>
        <v>1</v>
      </c>
      <c r="IZ151">
        <f t="shared" ca="1" si="14"/>
        <v>0</v>
      </c>
      <c r="JA151">
        <f t="shared" ca="1" si="14"/>
        <v>0</v>
      </c>
      <c r="JB151">
        <f t="shared" ca="1" si="14"/>
        <v>1</v>
      </c>
    </row>
    <row r="152" spans="1:262" ht="16.5" customHeight="1" x14ac:dyDescent="0.25">
      <c r="A152" s="54">
        <v>149</v>
      </c>
      <c r="B152" s="38" t="s">
        <v>472</v>
      </c>
      <c r="C152">
        <v>0</v>
      </c>
      <c r="F152">
        <v>0</v>
      </c>
      <c r="G152">
        <v>0</v>
      </c>
      <c r="J152">
        <v>0</v>
      </c>
      <c r="K152">
        <v>1</v>
      </c>
      <c r="N152">
        <v>1</v>
      </c>
      <c r="O152">
        <v>0</v>
      </c>
      <c r="R152">
        <v>0</v>
      </c>
      <c r="S152">
        <v>0</v>
      </c>
      <c r="V152">
        <v>0</v>
      </c>
      <c r="W152">
        <v>0</v>
      </c>
      <c r="Z152">
        <v>0</v>
      </c>
      <c r="AA152">
        <v>0</v>
      </c>
      <c r="AD152">
        <v>0</v>
      </c>
      <c r="AE152">
        <v>0</v>
      </c>
      <c r="AH152">
        <v>0</v>
      </c>
      <c r="AI152">
        <v>0</v>
      </c>
      <c r="AL152">
        <v>0</v>
      </c>
      <c r="AM152">
        <v>0</v>
      </c>
      <c r="AP152">
        <v>0</v>
      </c>
      <c r="AQ152">
        <v>0</v>
      </c>
      <c r="AT152">
        <v>0</v>
      </c>
      <c r="AU152">
        <v>0</v>
      </c>
      <c r="AX152">
        <v>0</v>
      </c>
      <c r="AY152">
        <v>0</v>
      </c>
      <c r="BB152">
        <v>0</v>
      </c>
      <c r="BC152">
        <v>0</v>
      </c>
      <c r="BF152">
        <v>0</v>
      </c>
      <c r="BG152">
        <v>1</v>
      </c>
      <c r="BJ152">
        <v>1</v>
      </c>
      <c r="BK152">
        <v>0</v>
      </c>
      <c r="BN152">
        <v>0</v>
      </c>
      <c r="BO152">
        <v>0</v>
      </c>
      <c r="BR152">
        <v>0</v>
      </c>
      <c r="BS152">
        <v>0</v>
      </c>
      <c r="BV152">
        <v>0</v>
      </c>
      <c r="BW152">
        <v>0</v>
      </c>
      <c r="BZ152">
        <v>0</v>
      </c>
      <c r="CA152">
        <v>0</v>
      </c>
      <c r="CD152">
        <v>0</v>
      </c>
      <c r="CE152">
        <v>0</v>
      </c>
      <c r="CH152">
        <v>0</v>
      </c>
      <c r="CI152">
        <v>0</v>
      </c>
      <c r="CL152">
        <v>0</v>
      </c>
      <c r="CM152">
        <v>0</v>
      </c>
      <c r="CP152">
        <v>0</v>
      </c>
      <c r="CQ152">
        <v>0</v>
      </c>
      <c r="CT152">
        <v>0</v>
      </c>
      <c r="CU152">
        <v>0</v>
      </c>
      <c r="CX152">
        <v>0</v>
      </c>
      <c r="CY152">
        <v>0</v>
      </c>
      <c r="DB152">
        <v>0</v>
      </c>
      <c r="DC152">
        <v>0</v>
      </c>
      <c r="DF152">
        <v>0</v>
      </c>
      <c r="DG152">
        <v>0</v>
      </c>
      <c r="DJ152">
        <v>0</v>
      </c>
      <c r="DK152">
        <v>0</v>
      </c>
      <c r="DN152">
        <v>0</v>
      </c>
      <c r="DO152">
        <v>0</v>
      </c>
      <c r="DR152">
        <v>0</v>
      </c>
      <c r="DS152">
        <v>0</v>
      </c>
      <c r="DV152">
        <v>0</v>
      </c>
      <c r="DW152">
        <v>0</v>
      </c>
      <c r="DZ152">
        <v>0</v>
      </c>
      <c r="EA152">
        <v>0</v>
      </c>
      <c r="ED152">
        <v>0</v>
      </c>
      <c r="EE152">
        <v>0</v>
      </c>
      <c r="EH152">
        <v>0</v>
      </c>
      <c r="EI152">
        <v>0</v>
      </c>
      <c r="EL152">
        <v>0</v>
      </c>
      <c r="EM152">
        <v>0</v>
      </c>
      <c r="EP152">
        <v>0</v>
      </c>
      <c r="EQ152">
        <v>0</v>
      </c>
      <c r="ET152">
        <v>0</v>
      </c>
      <c r="EU152">
        <v>0</v>
      </c>
      <c r="EX152">
        <v>0</v>
      </c>
      <c r="EY152">
        <v>0</v>
      </c>
      <c r="FB152">
        <v>0</v>
      </c>
      <c r="FC152">
        <v>0</v>
      </c>
      <c r="FF152">
        <v>0</v>
      </c>
      <c r="FG152">
        <v>0</v>
      </c>
      <c r="FJ152">
        <v>0</v>
      </c>
      <c r="FK152">
        <v>0</v>
      </c>
      <c r="FN152">
        <v>0</v>
      </c>
      <c r="FO152">
        <v>0</v>
      </c>
      <c r="FR152">
        <v>0</v>
      </c>
      <c r="FS152">
        <v>0</v>
      </c>
      <c r="FV152">
        <v>0</v>
      </c>
      <c r="FW152">
        <v>0</v>
      </c>
      <c r="FZ152">
        <v>0</v>
      </c>
      <c r="GA152">
        <v>0</v>
      </c>
      <c r="GD152">
        <v>0</v>
      </c>
      <c r="GE152">
        <v>0</v>
      </c>
      <c r="GH152">
        <v>0</v>
      </c>
      <c r="GI152">
        <v>0</v>
      </c>
      <c r="GL152">
        <v>0</v>
      </c>
      <c r="GM152">
        <v>0</v>
      </c>
      <c r="GP152">
        <v>0</v>
      </c>
      <c r="GQ152">
        <v>0</v>
      </c>
      <c r="GT152">
        <v>0</v>
      </c>
      <c r="GU152">
        <v>1</v>
      </c>
      <c r="GX152">
        <v>1</v>
      </c>
      <c r="GY152">
        <v>0</v>
      </c>
      <c r="HB152">
        <v>0</v>
      </c>
      <c r="HC152">
        <v>0</v>
      </c>
      <c r="HF152">
        <v>0</v>
      </c>
      <c r="HG152">
        <v>0</v>
      </c>
      <c r="HJ152">
        <v>0</v>
      </c>
      <c r="HK152">
        <v>0</v>
      </c>
      <c r="HN152">
        <v>0</v>
      </c>
      <c r="HO152">
        <v>0</v>
      </c>
      <c r="HR152">
        <v>0</v>
      </c>
      <c r="HS152">
        <v>0</v>
      </c>
      <c r="HV152">
        <v>0</v>
      </c>
      <c r="HW152">
        <v>0</v>
      </c>
      <c r="HZ152">
        <v>0</v>
      </c>
      <c r="IA152">
        <v>0</v>
      </c>
      <c r="ID152">
        <v>0</v>
      </c>
      <c r="IE152">
        <v>0</v>
      </c>
      <c r="IH152">
        <v>0</v>
      </c>
      <c r="II152">
        <v>0</v>
      </c>
      <c r="IL152">
        <v>0</v>
      </c>
      <c r="IM152">
        <v>0</v>
      </c>
      <c r="IP152">
        <v>0</v>
      </c>
      <c r="IQ152">
        <v>0</v>
      </c>
      <c r="IT152">
        <v>0</v>
      </c>
      <c r="IU152">
        <v>0</v>
      </c>
      <c r="IX152">
        <v>0</v>
      </c>
      <c r="IY152">
        <f t="shared" ca="1" si="14"/>
        <v>1</v>
      </c>
      <c r="IZ152">
        <f t="shared" ca="1" si="14"/>
        <v>0</v>
      </c>
      <c r="JA152">
        <f t="shared" ca="1" si="14"/>
        <v>0</v>
      </c>
      <c r="JB152">
        <f t="shared" ca="1" si="14"/>
        <v>1</v>
      </c>
    </row>
    <row r="153" spans="1:262" x14ac:dyDescent="0.25">
      <c r="A153" s="182">
        <v>150</v>
      </c>
      <c r="B153" s="182" t="s">
        <v>510</v>
      </c>
      <c r="C153">
        <v>1</v>
      </c>
      <c r="F153">
        <v>1</v>
      </c>
      <c r="G153">
        <v>2</v>
      </c>
      <c r="J153">
        <v>2</v>
      </c>
      <c r="K153">
        <v>0</v>
      </c>
      <c r="N153">
        <v>0</v>
      </c>
      <c r="O153">
        <v>0</v>
      </c>
      <c r="R153">
        <v>0</v>
      </c>
      <c r="S153">
        <v>0</v>
      </c>
      <c r="V153">
        <v>0</v>
      </c>
      <c r="W153">
        <v>2</v>
      </c>
      <c r="Z153">
        <v>2</v>
      </c>
      <c r="AA153">
        <v>1</v>
      </c>
      <c r="AD153">
        <v>1</v>
      </c>
      <c r="AE153">
        <v>0</v>
      </c>
      <c r="AH153">
        <v>0</v>
      </c>
      <c r="AI153">
        <v>0</v>
      </c>
      <c r="AL153">
        <v>0</v>
      </c>
      <c r="AM153">
        <v>0</v>
      </c>
      <c r="AP153">
        <v>0</v>
      </c>
      <c r="AQ153">
        <v>0</v>
      </c>
      <c r="AT153">
        <v>0</v>
      </c>
      <c r="AU153">
        <v>0</v>
      </c>
      <c r="AX153">
        <v>0</v>
      </c>
      <c r="AY153">
        <v>0</v>
      </c>
      <c r="BB153">
        <v>0</v>
      </c>
      <c r="BC153">
        <v>0</v>
      </c>
      <c r="BF153">
        <v>0</v>
      </c>
      <c r="BG153">
        <v>0</v>
      </c>
      <c r="BJ153">
        <v>0</v>
      </c>
      <c r="BK153">
        <v>1</v>
      </c>
      <c r="BN153">
        <v>1</v>
      </c>
      <c r="BO153">
        <v>0</v>
      </c>
      <c r="BR153">
        <v>0</v>
      </c>
      <c r="BS153">
        <v>1</v>
      </c>
      <c r="BV153">
        <v>1</v>
      </c>
      <c r="BW153">
        <v>0</v>
      </c>
      <c r="BZ153">
        <v>0</v>
      </c>
      <c r="CA153">
        <v>1</v>
      </c>
      <c r="CD153">
        <v>1</v>
      </c>
      <c r="CE153">
        <v>0</v>
      </c>
      <c r="CH153">
        <v>0</v>
      </c>
      <c r="CI153">
        <v>0</v>
      </c>
      <c r="CL153">
        <v>0</v>
      </c>
      <c r="CM153">
        <v>0</v>
      </c>
      <c r="CP153">
        <v>0</v>
      </c>
      <c r="CQ153">
        <v>0</v>
      </c>
      <c r="CT153">
        <v>0</v>
      </c>
      <c r="CU153">
        <v>0</v>
      </c>
      <c r="CX153">
        <v>0</v>
      </c>
      <c r="CY153">
        <v>0</v>
      </c>
      <c r="DB153">
        <v>0</v>
      </c>
      <c r="DC153">
        <v>0</v>
      </c>
      <c r="DF153">
        <v>0</v>
      </c>
      <c r="DG153">
        <v>0</v>
      </c>
      <c r="DJ153">
        <v>0</v>
      </c>
      <c r="DK153">
        <v>0</v>
      </c>
      <c r="DN153">
        <v>0</v>
      </c>
      <c r="DO153">
        <v>0</v>
      </c>
      <c r="DR153">
        <v>0</v>
      </c>
      <c r="DS153">
        <v>0</v>
      </c>
      <c r="DV153">
        <v>0</v>
      </c>
      <c r="DW153">
        <v>0</v>
      </c>
      <c r="DZ153">
        <v>0</v>
      </c>
      <c r="EA153">
        <v>0</v>
      </c>
      <c r="ED153">
        <v>0</v>
      </c>
      <c r="EE153">
        <v>0</v>
      </c>
      <c r="EH153">
        <v>0</v>
      </c>
      <c r="EI153">
        <v>0</v>
      </c>
      <c r="EL153">
        <v>0</v>
      </c>
      <c r="EM153">
        <v>0</v>
      </c>
      <c r="EP153">
        <v>0</v>
      </c>
      <c r="EQ153">
        <v>0</v>
      </c>
      <c r="ET153">
        <v>0</v>
      </c>
      <c r="EU153">
        <v>0</v>
      </c>
      <c r="EX153">
        <v>0</v>
      </c>
      <c r="EY153">
        <v>0</v>
      </c>
      <c r="FB153">
        <v>0</v>
      </c>
      <c r="FC153">
        <v>0</v>
      </c>
      <c r="FF153">
        <v>0</v>
      </c>
      <c r="FG153">
        <v>0</v>
      </c>
      <c r="FJ153">
        <v>0</v>
      </c>
      <c r="FK153">
        <v>0</v>
      </c>
      <c r="FN153">
        <v>0</v>
      </c>
      <c r="FO153">
        <v>0</v>
      </c>
      <c r="FR153">
        <v>0</v>
      </c>
      <c r="FS153">
        <v>0</v>
      </c>
      <c r="FV153">
        <v>0</v>
      </c>
      <c r="FW153">
        <v>0</v>
      </c>
      <c r="FZ153">
        <v>0</v>
      </c>
      <c r="GA153">
        <v>0</v>
      </c>
      <c r="GD153">
        <v>0</v>
      </c>
      <c r="GE153">
        <v>0</v>
      </c>
      <c r="GH153">
        <v>0</v>
      </c>
      <c r="GI153">
        <v>0</v>
      </c>
      <c r="GL153">
        <v>0</v>
      </c>
      <c r="GM153">
        <v>0</v>
      </c>
      <c r="GP153">
        <v>0</v>
      </c>
      <c r="GQ153">
        <v>0</v>
      </c>
      <c r="GT153">
        <v>0</v>
      </c>
      <c r="GU153">
        <v>0</v>
      </c>
      <c r="GX153">
        <v>0</v>
      </c>
      <c r="GY153">
        <v>0</v>
      </c>
      <c r="HB153">
        <v>0</v>
      </c>
      <c r="HC153">
        <v>0</v>
      </c>
      <c r="HF153">
        <v>0</v>
      </c>
      <c r="HG153">
        <v>0</v>
      </c>
      <c r="HJ153">
        <v>0</v>
      </c>
      <c r="HK153">
        <v>0</v>
      </c>
      <c r="HN153">
        <v>0</v>
      </c>
      <c r="HO153">
        <v>0</v>
      </c>
      <c r="HR153">
        <v>0</v>
      </c>
      <c r="HS153">
        <v>0</v>
      </c>
      <c r="HV153">
        <v>0</v>
      </c>
      <c r="HW153">
        <v>0</v>
      </c>
      <c r="HZ153">
        <v>0</v>
      </c>
      <c r="IA153">
        <v>0</v>
      </c>
      <c r="ID153">
        <v>0</v>
      </c>
      <c r="IE153">
        <v>0</v>
      </c>
      <c r="IH153">
        <v>0</v>
      </c>
      <c r="II153">
        <v>0</v>
      </c>
      <c r="IL153">
        <v>0</v>
      </c>
      <c r="IM153">
        <v>0</v>
      </c>
      <c r="IP153">
        <v>0</v>
      </c>
      <c r="IQ153">
        <v>0</v>
      </c>
      <c r="IT153">
        <v>0</v>
      </c>
      <c r="IU153">
        <v>0</v>
      </c>
      <c r="IX153">
        <v>0</v>
      </c>
      <c r="IY153">
        <f t="shared" ca="1" si="14"/>
        <v>3</v>
      </c>
      <c r="IZ153">
        <f t="shared" ca="1" si="14"/>
        <v>0</v>
      </c>
      <c r="JA153">
        <f t="shared" ca="1" si="14"/>
        <v>0</v>
      </c>
      <c r="JB153">
        <f t="shared" ca="1" si="14"/>
        <v>3</v>
      </c>
    </row>
    <row r="154" spans="1:262" x14ac:dyDescent="0.25">
      <c r="A154" s="182">
        <v>151</v>
      </c>
      <c r="B154" s="182" t="s">
        <v>394</v>
      </c>
      <c r="C154">
        <v>2</v>
      </c>
      <c r="F154">
        <v>2</v>
      </c>
      <c r="G154">
        <v>4</v>
      </c>
      <c r="J154">
        <v>4</v>
      </c>
      <c r="K154">
        <v>0</v>
      </c>
      <c r="N154">
        <v>0</v>
      </c>
      <c r="O154">
        <v>0</v>
      </c>
      <c r="R154">
        <v>0</v>
      </c>
      <c r="S154">
        <v>0</v>
      </c>
      <c r="V154">
        <v>0</v>
      </c>
      <c r="W154">
        <v>2</v>
      </c>
      <c r="Z154">
        <v>2</v>
      </c>
      <c r="AA154">
        <v>1</v>
      </c>
      <c r="AD154">
        <v>1</v>
      </c>
      <c r="AE154">
        <v>0</v>
      </c>
      <c r="AH154">
        <v>0</v>
      </c>
      <c r="AI154">
        <v>0</v>
      </c>
      <c r="AL154">
        <v>0</v>
      </c>
      <c r="AM154">
        <v>1</v>
      </c>
      <c r="AP154">
        <v>1</v>
      </c>
      <c r="AQ154">
        <v>0</v>
      </c>
      <c r="AT154">
        <v>0</v>
      </c>
      <c r="AU154">
        <v>0</v>
      </c>
      <c r="AX154">
        <v>0</v>
      </c>
      <c r="AY154">
        <v>1</v>
      </c>
      <c r="BB154">
        <v>1</v>
      </c>
      <c r="BC154">
        <v>0</v>
      </c>
      <c r="BF154">
        <v>0</v>
      </c>
      <c r="BG154">
        <v>1</v>
      </c>
      <c r="BJ154">
        <v>1</v>
      </c>
      <c r="BK154">
        <v>1</v>
      </c>
      <c r="BN154">
        <v>1</v>
      </c>
      <c r="BO154">
        <v>1</v>
      </c>
      <c r="BR154">
        <v>1</v>
      </c>
      <c r="BS154">
        <v>1</v>
      </c>
      <c r="BV154">
        <v>1</v>
      </c>
      <c r="BW154">
        <v>0</v>
      </c>
      <c r="BZ154">
        <v>0</v>
      </c>
      <c r="CA154">
        <v>1</v>
      </c>
      <c r="CD154">
        <v>1</v>
      </c>
      <c r="CE154">
        <v>0</v>
      </c>
      <c r="CH154">
        <v>0</v>
      </c>
      <c r="CI154">
        <v>0</v>
      </c>
      <c r="CL154">
        <v>0</v>
      </c>
      <c r="CM154">
        <v>0</v>
      </c>
      <c r="CP154">
        <v>0</v>
      </c>
      <c r="CQ154">
        <v>0</v>
      </c>
      <c r="CT154">
        <v>0</v>
      </c>
      <c r="CU154">
        <v>0</v>
      </c>
      <c r="CX154">
        <v>0</v>
      </c>
      <c r="CY154">
        <v>0</v>
      </c>
      <c r="DB154">
        <v>0</v>
      </c>
      <c r="DC154">
        <v>0</v>
      </c>
      <c r="DF154">
        <v>0</v>
      </c>
      <c r="DG154">
        <v>0</v>
      </c>
      <c r="DJ154">
        <v>0</v>
      </c>
      <c r="DK154">
        <v>0</v>
      </c>
      <c r="DN154">
        <v>0</v>
      </c>
      <c r="DO154">
        <v>0</v>
      </c>
      <c r="DR154">
        <v>0</v>
      </c>
      <c r="DS154">
        <v>1</v>
      </c>
      <c r="DV154">
        <v>1</v>
      </c>
      <c r="DW154">
        <v>0</v>
      </c>
      <c r="DZ154">
        <v>0</v>
      </c>
      <c r="EA154">
        <v>0</v>
      </c>
      <c r="ED154">
        <v>0</v>
      </c>
      <c r="EE154">
        <v>0</v>
      </c>
      <c r="EH154">
        <v>0</v>
      </c>
      <c r="EI154">
        <v>0</v>
      </c>
      <c r="EL154">
        <v>0</v>
      </c>
      <c r="EM154">
        <v>1</v>
      </c>
      <c r="EP154">
        <v>1</v>
      </c>
      <c r="EQ154">
        <v>0</v>
      </c>
      <c r="ET154">
        <v>0</v>
      </c>
      <c r="EU154">
        <v>0</v>
      </c>
      <c r="EX154">
        <v>0</v>
      </c>
      <c r="EY154">
        <v>0</v>
      </c>
      <c r="FB154">
        <v>0</v>
      </c>
      <c r="FC154">
        <v>0</v>
      </c>
      <c r="FF154">
        <v>0</v>
      </c>
      <c r="FG154">
        <v>0</v>
      </c>
      <c r="FJ154">
        <v>0</v>
      </c>
      <c r="FK154">
        <v>0</v>
      </c>
      <c r="FN154">
        <v>0</v>
      </c>
      <c r="FO154">
        <v>0</v>
      </c>
      <c r="FR154">
        <v>0</v>
      </c>
      <c r="FS154">
        <v>0</v>
      </c>
      <c r="FV154">
        <v>0</v>
      </c>
      <c r="FW154">
        <v>0</v>
      </c>
      <c r="FZ154">
        <v>0</v>
      </c>
      <c r="GA154">
        <v>0</v>
      </c>
      <c r="GD154">
        <v>0</v>
      </c>
      <c r="GE154">
        <v>0</v>
      </c>
      <c r="GH154">
        <v>0</v>
      </c>
      <c r="GI154">
        <v>0</v>
      </c>
      <c r="GL154">
        <v>0</v>
      </c>
      <c r="GM154">
        <v>0</v>
      </c>
      <c r="GP154">
        <v>0</v>
      </c>
      <c r="GQ154">
        <v>0</v>
      </c>
      <c r="GT154">
        <v>0</v>
      </c>
      <c r="GU154">
        <v>0</v>
      </c>
      <c r="GX154">
        <v>0</v>
      </c>
      <c r="GY154">
        <v>0</v>
      </c>
      <c r="HB154">
        <v>0</v>
      </c>
      <c r="HC154">
        <v>0</v>
      </c>
      <c r="HF154">
        <v>0</v>
      </c>
      <c r="HG154">
        <v>0</v>
      </c>
      <c r="HJ154">
        <v>0</v>
      </c>
      <c r="HK154">
        <v>0</v>
      </c>
      <c r="HN154">
        <v>0</v>
      </c>
      <c r="HO154">
        <v>0</v>
      </c>
      <c r="HR154">
        <v>0</v>
      </c>
      <c r="HS154">
        <v>0</v>
      </c>
      <c r="HV154">
        <v>0</v>
      </c>
      <c r="HW154">
        <v>0</v>
      </c>
      <c r="HZ154">
        <v>0</v>
      </c>
      <c r="IA154">
        <v>0</v>
      </c>
      <c r="ID154">
        <v>0</v>
      </c>
      <c r="IE154">
        <v>0</v>
      </c>
      <c r="IH154">
        <v>0</v>
      </c>
      <c r="II154">
        <v>0</v>
      </c>
      <c r="IL154">
        <v>0</v>
      </c>
      <c r="IM154">
        <v>0</v>
      </c>
      <c r="IP154">
        <v>0</v>
      </c>
      <c r="IQ154">
        <v>0</v>
      </c>
      <c r="IT154">
        <v>0</v>
      </c>
      <c r="IU154">
        <v>0</v>
      </c>
      <c r="IX154">
        <v>0</v>
      </c>
      <c r="IY154">
        <f t="shared" ca="1" si="14"/>
        <v>6</v>
      </c>
      <c r="IZ154">
        <f t="shared" ca="1" si="14"/>
        <v>0</v>
      </c>
      <c r="JA154">
        <f t="shared" ca="1" si="14"/>
        <v>0</v>
      </c>
      <c r="JB154">
        <f t="shared" ca="1" si="14"/>
        <v>6</v>
      </c>
    </row>
    <row r="155" spans="1:262" x14ac:dyDescent="0.25">
      <c r="A155" s="182">
        <v>152</v>
      </c>
      <c r="B155" s="182" t="s">
        <v>511</v>
      </c>
      <c r="C155">
        <v>1</v>
      </c>
      <c r="F155">
        <v>1</v>
      </c>
      <c r="G155">
        <v>7</v>
      </c>
      <c r="J155">
        <v>7</v>
      </c>
      <c r="K155">
        <v>0</v>
      </c>
      <c r="N155">
        <v>0</v>
      </c>
      <c r="O155">
        <v>0</v>
      </c>
      <c r="R155">
        <v>0</v>
      </c>
      <c r="S155">
        <v>0</v>
      </c>
      <c r="V155">
        <v>0</v>
      </c>
      <c r="W155">
        <v>2</v>
      </c>
      <c r="Z155">
        <v>2</v>
      </c>
      <c r="AA155">
        <v>1</v>
      </c>
      <c r="AD155">
        <v>1</v>
      </c>
      <c r="AE155">
        <v>0</v>
      </c>
      <c r="AH155">
        <v>0</v>
      </c>
      <c r="AI155">
        <v>0</v>
      </c>
      <c r="AL155">
        <v>0</v>
      </c>
      <c r="AM155">
        <v>1</v>
      </c>
      <c r="AP155">
        <v>1</v>
      </c>
      <c r="AQ155">
        <v>0</v>
      </c>
      <c r="AT155">
        <v>0</v>
      </c>
      <c r="AU155">
        <v>0</v>
      </c>
      <c r="AX155">
        <v>0</v>
      </c>
      <c r="AY155">
        <v>4</v>
      </c>
      <c r="BB155">
        <v>4</v>
      </c>
      <c r="BC155">
        <v>0</v>
      </c>
      <c r="BF155">
        <v>0</v>
      </c>
      <c r="BG155">
        <v>0</v>
      </c>
      <c r="BJ155">
        <v>0</v>
      </c>
      <c r="BK155">
        <v>1</v>
      </c>
      <c r="BN155">
        <v>1</v>
      </c>
      <c r="BO155">
        <v>0</v>
      </c>
      <c r="BR155">
        <v>0</v>
      </c>
      <c r="BS155">
        <v>1</v>
      </c>
      <c r="BV155">
        <v>1</v>
      </c>
      <c r="BW155">
        <v>0</v>
      </c>
      <c r="BZ155">
        <v>0</v>
      </c>
      <c r="CA155">
        <v>1</v>
      </c>
      <c r="CD155">
        <v>1</v>
      </c>
      <c r="CE155">
        <v>0</v>
      </c>
      <c r="CH155">
        <v>0</v>
      </c>
      <c r="CI155">
        <v>0</v>
      </c>
      <c r="CL155">
        <v>0</v>
      </c>
      <c r="CM155">
        <v>0</v>
      </c>
      <c r="CP155">
        <v>0</v>
      </c>
      <c r="CQ155">
        <v>0</v>
      </c>
      <c r="CT155">
        <v>0</v>
      </c>
      <c r="CU155">
        <v>0</v>
      </c>
      <c r="CX155">
        <v>0</v>
      </c>
      <c r="CY155">
        <v>0</v>
      </c>
      <c r="DB155">
        <v>0</v>
      </c>
      <c r="DC155">
        <v>0</v>
      </c>
      <c r="DF155">
        <v>0</v>
      </c>
      <c r="DG155">
        <v>0</v>
      </c>
      <c r="DJ155">
        <v>0</v>
      </c>
      <c r="DK155">
        <v>0</v>
      </c>
      <c r="DN155">
        <v>0</v>
      </c>
      <c r="DO155">
        <v>0</v>
      </c>
      <c r="DR155">
        <v>0</v>
      </c>
      <c r="DS155">
        <v>1</v>
      </c>
      <c r="DV155">
        <v>1</v>
      </c>
      <c r="DW155">
        <v>0</v>
      </c>
      <c r="DZ155">
        <v>0</v>
      </c>
      <c r="EA155">
        <v>0</v>
      </c>
      <c r="ED155">
        <v>0</v>
      </c>
      <c r="EE155">
        <v>0</v>
      </c>
      <c r="EH155">
        <v>0</v>
      </c>
      <c r="EI155">
        <v>0</v>
      </c>
      <c r="EL155">
        <v>0</v>
      </c>
      <c r="EM155">
        <v>1</v>
      </c>
      <c r="EP155">
        <v>1</v>
      </c>
      <c r="EQ155">
        <v>1</v>
      </c>
      <c r="ET155">
        <v>1</v>
      </c>
      <c r="EU155">
        <v>1</v>
      </c>
      <c r="EX155">
        <v>1</v>
      </c>
      <c r="EY155">
        <v>1</v>
      </c>
      <c r="FB155">
        <v>1</v>
      </c>
      <c r="FC155">
        <v>0</v>
      </c>
      <c r="FF155">
        <v>0</v>
      </c>
      <c r="FG155">
        <v>0</v>
      </c>
      <c r="FJ155">
        <v>0</v>
      </c>
      <c r="FK155">
        <v>0</v>
      </c>
      <c r="FN155">
        <v>0</v>
      </c>
      <c r="FO155">
        <v>0</v>
      </c>
      <c r="FR155">
        <v>0</v>
      </c>
      <c r="FS155">
        <v>0</v>
      </c>
      <c r="FV155">
        <v>0</v>
      </c>
      <c r="FW155">
        <v>0</v>
      </c>
      <c r="FZ155">
        <v>0</v>
      </c>
      <c r="GA155">
        <v>0</v>
      </c>
      <c r="GD155">
        <v>0</v>
      </c>
      <c r="GE155">
        <v>0</v>
      </c>
      <c r="GH155">
        <v>0</v>
      </c>
      <c r="GI155">
        <v>0</v>
      </c>
      <c r="GL155">
        <v>0</v>
      </c>
      <c r="GM155">
        <v>0</v>
      </c>
      <c r="GP155">
        <v>0</v>
      </c>
      <c r="GQ155">
        <v>0</v>
      </c>
      <c r="GT155">
        <v>0</v>
      </c>
      <c r="GU155">
        <v>0</v>
      </c>
      <c r="GX155">
        <v>0</v>
      </c>
      <c r="GY155">
        <v>0</v>
      </c>
      <c r="HB155">
        <v>0</v>
      </c>
      <c r="HC155">
        <v>0</v>
      </c>
      <c r="HF155">
        <v>0</v>
      </c>
      <c r="HG155">
        <v>0</v>
      </c>
      <c r="HJ155">
        <v>0</v>
      </c>
      <c r="HK155">
        <v>0</v>
      </c>
      <c r="HN155">
        <v>0</v>
      </c>
      <c r="HO155">
        <v>0</v>
      </c>
      <c r="HR155">
        <v>0</v>
      </c>
      <c r="HS155">
        <v>0</v>
      </c>
      <c r="HV155">
        <v>0</v>
      </c>
      <c r="HW155">
        <v>0</v>
      </c>
      <c r="HZ155">
        <v>0</v>
      </c>
      <c r="IA155">
        <v>0</v>
      </c>
      <c r="ID155">
        <v>0</v>
      </c>
      <c r="IE155">
        <v>0</v>
      </c>
      <c r="IH155">
        <v>0</v>
      </c>
      <c r="II155">
        <v>0</v>
      </c>
      <c r="IL155">
        <v>0</v>
      </c>
      <c r="IM155">
        <v>0</v>
      </c>
      <c r="IP155">
        <v>0</v>
      </c>
      <c r="IQ155">
        <v>0</v>
      </c>
      <c r="IT155">
        <v>0</v>
      </c>
      <c r="IU155">
        <v>0</v>
      </c>
      <c r="IX155">
        <v>0</v>
      </c>
      <c r="IY155">
        <f t="shared" ca="1" si="14"/>
        <v>8</v>
      </c>
      <c r="IZ155">
        <f t="shared" ca="1" si="14"/>
        <v>0</v>
      </c>
      <c r="JA155">
        <f t="shared" ca="1" si="14"/>
        <v>0</v>
      </c>
      <c r="JB155">
        <f t="shared" ca="1" si="14"/>
        <v>8</v>
      </c>
    </row>
    <row r="156" spans="1:262" x14ac:dyDescent="0.25">
      <c r="A156" s="182">
        <v>153</v>
      </c>
      <c r="B156" s="182" t="s">
        <v>563</v>
      </c>
      <c r="C156">
        <v>1</v>
      </c>
      <c r="F156">
        <v>1</v>
      </c>
      <c r="G156">
        <v>1</v>
      </c>
      <c r="J156">
        <v>1</v>
      </c>
      <c r="K156">
        <v>0</v>
      </c>
      <c r="N156">
        <v>0</v>
      </c>
      <c r="O156">
        <v>1</v>
      </c>
      <c r="R156">
        <v>1</v>
      </c>
      <c r="S156">
        <v>0</v>
      </c>
      <c r="V156">
        <v>0</v>
      </c>
      <c r="W156">
        <v>0</v>
      </c>
      <c r="Z156">
        <v>0</v>
      </c>
      <c r="AA156">
        <v>1</v>
      </c>
      <c r="AD156">
        <v>1</v>
      </c>
      <c r="AE156">
        <v>0</v>
      </c>
      <c r="AH156">
        <v>0</v>
      </c>
      <c r="AI156">
        <v>0</v>
      </c>
      <c r="AL156">
        <v>0</v>
      </c>
      <c r="AM156">
        <v>1</v>
      </c>
      <c r="AP156">
        <v>1</v>
      </c>
      <c r="AQ156">
        <v>0</v>
      </c>
      <c r="AT156">
        <v>0</v>
      </c>
      <c r="AU156">
        <v>0</v>
      </c>
      <c r="AX156">
        <v>0</v>
      </c>
      <c r="AY156">
        <v>0</v>
      </c>
      <c r="BB156">
        <v>0</v>
      </c>
      <c r="BC156">
        <v>0</v>
      </c>
      <c r="BF156">
        <v>0</v>
      </c>
      <c r="BG156">
        <v>1</v>
      </c>
      <c r="BJ156">
        <v>1</v>
      </c>
      <c r="BK156">
        <v>0</v>
      </c>
      <c r="BN156">
        <v>0</v>
      </c>
      <c r="BO156">
        <v>1</v>
      </c>
      <c r="BR156">
        <v>1</v>
      </c>
      <c r="BS156">
        <v>0</v>
      </c>
      <c r="BV156">
        <v>0</v>
      </c>
      <c r="BW156">
        <v>0</v>
      </c>
      <c r="BZ156">
        <v>0</v>
      </c>
      <c r="CA156">
        <v>1</v>
      </c>
      <c r="CD156">
        <v>1</v>
      </c>
      <c r="CE156">
        <v>0</v>
      </c>
      <c r="CH156">
        <v>0</v>
      </c>
      <c r="CI156">
        <v>0</v>
      </c>
      <c r="CL156">
        <v>0</v>
      </c>
      <c r="CM156">
        <v>0</v>
      </c>
      <c r="CP156">
        <v>0</v>
      </c>
      <c r="CQ156">
        <v>0</v>
      </c>
      <c r="CT156">
        <v>0</v>
      </c>
      <c r="CU156">
        <v>0</v>
      </c>
      <c r="CX156">
        <v>0</v>
      </c>
      <c r="CY156">
        <v>0</v>
      </c>
      <c r="DB156">
        <v>0</v>
      </c>
      <c r="DC156">
        <v>0</v>
      </c>
      <c r="DF156">
        <v>0</v>
      </c>
      <c r="DG156">
        <v>0</v>
      </c>
      <c r="DJ156">
        <v>0</v>
      </c>
      <c r="DK156">
        <v>0</v>
      </c>
      <c r="DN156">
        <v>0</v>
      </c>
      <c r="DO156">
        <v>0</v>
      </c>
      <c r="DR156">
        <v>0</v>
      </c>
      <c r="DS156">
        <v>0</v>
      </c>
      <c r="DV156">
        <v>0</v>
      </c>
      <c r="DW156">
        <v>0</v>
      </c>
      <c r="DZ156">
        <v>0</v>
      </c>
      <c r="EA156">
        <v>0</v>
      </c>
      <c r="ED156">
        <v>0</v>
      </c>
      <c r="EE156">
        <v>0</v>
      </c>
      <c r="EH156">
        <v>0</v>
      </c>
      <c r="EI156">
        <v>0</v>
      </c>
      <c r="EL156">
        <v>0</v>
      </c>
      <c r="EM156">
        <v>0</v>
      </c>
      <c r="EP156">
        <v>0</v>
      </c>
      <c r="EQ156">
        <v>0</v>
      </c>
      <c r="ET156">
        <v>0</v>
      </c>
      <c r="EU156">
        <v>0</v>
      </c>
      <c r="EX156">
        <v>0</v>
      </c>
      <c r="EY156">
        <v>0</v>
      </c>
      <c r="FB156">
        <v>0</v>
      </c>
      <c r="FC156">
        <v>0</v>
      </c>
      <c r="FF156">
        <v>0</v>
      </c>
      <c r="FG156">
        <v>0</v>
      </c>
      <c r="FJ156">
        <v>0</v>
      </c>
      <c r="FK156">
        <v>0</v>
      </c>
      <c r="FN156">
        <v>0</v>
      </c>
      <c r="FO156">
        <v>0</v>
      </c>
      <c r="FR156">
        <v>0</v>
      </c>
      <c r="FS156">
        <v>0</v>
      </c>
      <c r="FV156">
        <v>0</v>
      </c>
      <c r="FW156">
        <v>0</v>
      </c>
      <c r="FZ156">
        <v>0</v>
      </c>
      <c r="GA156">
        <v>0</v>
      </c>
      <c r="GD156">
        <v>0</v>
      </c>
      <c r="GE156">
        <v>0</v>
      </c>
      <c r="GH156">
        <v>0</v>
      </c>
      <c r="GI156">
        <v>0</v>
      </c>
      <c r="GL156">
        <v>0</v>
      </c>
      <c r="GM156">
        <v>0</v>
      </c>
      <c r="GP156">
        <v>0</v>
      </c>
      <c r="GQ156">
        <v>0</v>
      </c>
      <c r="GT156">
        <v>0</v>
      </c>
      <c r="GU156">
        <v>0</v>
      </c>
      <c r="GX156">
        <v>0</v>
      </c>
      <c r="GY156">
        <v>0</v>
      </c>
      <c r="HB156">
        <v>0</v>
      </c>
      <c r="HC156">
        <v>0</v>
      </c>
      <c r="HF156">
        <v>0</v>
      </c>
      <c r="HG156">
        <v>0</v>
      </c>
      <c r="HJ156">
        <v>0</v>
      </c>
      <c r="HK156">
        <v>0</v>
      </c>
      <c r="HN156">
        <v>0</v>
      </c>
      <c r="HO156">
        <v>0</v>
      </c>
      <c r="HR156">
        <v>0</v>
      </c>
      <c r="HS156">
        <v>0</v>
      </c>
      <c r="HV156">
        <v>0</v>
      </c>
      <c r="HW156">
        <v>1</v>
      </c>
      <c r="HZ156">
        <v>1</v>
      </c>
      <c r="IA156">
        <v>0</v>
      </c>
      <c r="ID156">
        <v>0</v>
      </c>
      <c r="IE156">
        <v>0</v>
      </c>
      <c r="IH156">
        <v>0</v>
      </c>
      <c r="II156">
        <v>0</v>
      </c>
      <c r="IL156">
        <v>0</v>
      </c>
      <c r="IM156">
        <v>0</v>
      </c>
      <c r="IP156">
        <v>0</v>
      </c>
      <c r="IQ156">
        <v>0</v>
      </c>
      <c r="IT156">
        <v>0</v>
      </c>
      <c r="IU156">
        <v>0</v>
      </c>
      <c r="IX156">
        <v>0</v>
      </c>
      <c r="IY156">
        <f t="shared" ca="1" si="14"/>
        <v>3</v>
      </c>
      <c r="IZ156">
        <f t="shared" ca="1" si="14"/>
        <v>0</v>
      </c>
      <c r="JA156">
        <f t="shared" ca="1" si="14"/>
        <v>0</v>
      </c>
      <c r="JB156">
        <f t="shared" ca="1" si="14"/>
        <v>3</v>
      </c>
    </row>
    <row r="157" spans="1:262" x14ac:dyDescent="0.25">
      <c r="A157" s="177">
        <v>154</v>
      </c>
      <c r="B157" s="177" t="s">
        <v>507</v>
      </c>
      <c r="C157">
        <v>0</v>
      </c>
      <c r="F157">
        <v>0</v>
      </c>
      <c r="G157">
        <v>3</v>
      </c>
      <c r="J157">
        <v>3</v>
      </c>
      <c r="K157">
        <v>0</v>
      </c>
      <c r="N157">
        <v>0</v>
      </c>
      <c r="O157">
        <v>0</v>
      </c>
      <c r="R157">
        <v>0</v>
      </c>
      <c r="S157">
        <v>0</v>
      </c>
      <c r="V157">
        <v>0</v>
      </c>
      <c r="W157">
        <v>0</v>
      </c>
      <c r="Z157">
        <v>0</v>
      </c>
      <c r="AA157">
        <v>1</v>
      </c>
      <c r="AD157">
        <v>1</v>
      </c>
      <c r="AE157">
        <v>0</v>
      </c>
      <c r="AH157">
        <v>0</v>
      </c>
      <c r="AI157">
        <v>0</v>
      </c>
      <c r="AL157">
        <v>0</v>
      </c>
      <c r="AM157">
        <v>1</v>
      </c>
      <c r="AP157">
        <v>1</v>
      </c>
      <c r="AQ157">
        <v>0</v>
      </c>
      <c r="AT157">
        <v>0</v>
      </c>
      <c r="AU157">
        <v>0</v>
      </c>
      <c r="AX157">
        <v>0</v>
      </c>
      <c r="AY157">
        <v>0</v>
      </c>
      <c r="BB157">
        <v>0</v>
      </c>
      <c r="BC157">
        <v>0</v>
      </c>
      <c r="BF157">
        <v>0</v>
      </c>
      <c r="BG157">
        <v>1</v>
      </c>
      <c r="BJ157">
        <v>1</v>
      </c>
      <c r="BK157">
        <v>0</v>
      </c>
      <c r="BN157">
        <v>0</v>
      </c>
      <c r="BO157">
        <v>0</v>
      </c>
      <c r="BR157">
        <v>0</v>
      </c>
      <c r="BS157">
        <v>0</v>
      </c>
      <c r="BV157">
        <v>0</v>
      </c>
      <c r="BW157">
        <v>0</v>
      </c>
      <c r="BZ157">
        <v>0</v>
      </c>
      <c r="CA157">
        <v>1</v>
      </c>
      <c r="CD157">
        <v>1</v>
      </c>
      <c r="CE157">
        <v>0</v>
      </c>
      <c r="CH157">
        <v>0</v>
      </c>
      <c r="CI157">
        <v>0</v>
      </c>
      <c r="CL157">
        <v>0</v>
      </c>
      <c r="CM157">
        <v>0</v>
      </c>
      <c r="CP157">
        <v>0</v>
      </c>
      <c r="CQ157">
        <v>0</v>
      </c>
      <c r="CT157">
        <v>0</v>
      </c>
      <c r="CU157">
        <v>0</v>
      </c>
      <c r="CX157">
        <v>0</v>
      </c>
      <c r="CY157">
        <v>0</v>
      </c>
      <c r="DB157">
        <v>0</v>
      </c>
      <c r="DC157">
        <v>0</v>
      </c>
      <c r="DF157">
        <v>0</v>
      </c>
      <c r="DG157">
        <v>0</v>
      </c>
      <c r="DJ157">
        <v>0</v>
      </c>
      <c r="DK157">
        <v>0</v>
      </c>
      <c r="DN157">
        <v>0</v>
      </c>
      <c r="DO157">
        <v>0</v>
      </c>
      <c r="DR157">
        <v>0</v>
      </c>
      <c r="DS157">
        <v>1</v>
      </c>
      <c r="DV157">
        <v>1</v>
      </c>
      <c r="DW157">
        <v>0</v>
      </c>
      <c r="DZ157">
        <v>0</v>
      </c>
      <c r="EA157">
        <v>0</v>
      </c>
      <c r="ED157">
        <v>0</v>
      </c>
      <c r="EE157">
        <v>0</v>
      </c>
      <c r="EH157">
        <v>0</v>
      </c>
      <c r="EI157">
        <v>0</v>
      </c>
      <c r="EL157">
        <v>0</v>
      </c>
      <c r="EM157">
        <v>0</v>
      </c>
      <c r="EP157">
        <v>0</v>
      </c>
      <c r="EQ157">
        <v>0</v>
      </c>
      <c r="ET157">
        <v>0</v>
      </c>
      <c r="EU157">
        <v>0</v>
      </c>
      <c r="EX157">
        <v>0</v>
      </c>
      <c r="EY157">
        <v>0</v>
      </c>
      <c r="FB157">
        <v>0</v>
      </c>
      <c r="FC157">
        <v>0</v>
      </c>
      <c r="FF157">
        <v>0</v>
      </c>
      <c r="FG157">
        <v>1</v>
      </c>
      <c r="FJ157">
        <v>1</v>
      </c>
      <c r="FK157">
        <v>0</v>
      </c>
      <c r="FN157">
        <v>0</v>
      </c>
      <c r="FO157">
        <v>0</v>
      </c>
      <c r="FR157">
        <v>0</v>
      </c>
      <c r="FS157">
        <v>0</v>
      </c>
      <c r="FV157">
        <v>0</v>
      </c>
      <c r="FW157">
        <v>0</v>
      </c>
      <c r="FZ157">
        <v>0</v>
      </c>
      <c r="GA157">
        <v>0</v>
      </c>
      <c r="GD157">
        <v>0</v>
      </c>
      <c r="GE157">
        <v>0</v>
      </c>
      <c r="GH157">
        <v>0</v>
      </c>
      <c r="GI157">
        <v>0</v>
      </c>
      <c r="GL157">
        <v>0</v>
      </c>
      <c r="GM157">
        <v>0</v>
      </c>
      <c r="GP157">
        <v>0</v>
      </c>
      <c r="GQ157">
        <v>0</v>
      </c>
      <c r="GT157">
        <v>0</v>
      </c>
      <c r="GU157">
        <v>0</v>
      </c>
      <c r="GX157">
        <v>0</v>
      </c>
      <c r="GY157">
        <v>0</v>
      </c>
      <c r="HB157">
        <v>0</v>
      </c>
      <c r="HC157">
        <v>0</v>
      </c>
      <c r="HF157">
        <v>0</v>
      </c>
      <c r="HG157">
        <v>0</v>
      </c>
      <c r="HJ157">
        <v>0</v>
      </c>
      <c r="HK157">
        <v>0</v>
      </c>
      <c r="HN157">
        <v>0</v>
      </c>
      <c r="HO157">
        <v>0</v>
      </c>
      <c r="HR157">
        <v>0</v>
      </c>
      <c r="HS157">
        <v>0</v>
      </c>
      <c r="HV157">
        <v>0</v>
      </c>
      <c r="HW157">
        <v>0</v>
      </c>
      <c r="HZ157">
        <v>0</v>
      </c>
      <c r="IA157">
        <v>0</v>
      </c>
      <c r="ID157">
        <v>0</v>
      </c>
      <c r="IE157">
        <v>0</v>
      </c>
      <c r="IH157">
        <v>0</v>
      </c>
      <c r="II157">
        <v>0</v>
      </c>
      <c r="IL157">
        <v>0</v>
      </c>
      <c r="IM157">
        <v>0</v>
      </c>
      <c r="IP157">
        <v>0</v>
      </c>
      <c r="IQ157">
        <v>0</v>
      </c>
      <c r="IT157">
        <v>0</v>
      </c>
      <c r="IU157">
        <v>0</v>
      </c>
      <c r="IX157">
        <v>0</v>
      </c>
      <c r="IY157">
        <f t="shared" ca="1" si="14"/>
        <v>3</v>
      </c>
      <c r="IZ157">
        <f t="shared" ca="1" si="14"/>
        <v>0</v>
      </c>
      <c r="JA157">
        <f t="shared" ca="1" si="14"/>
        <v>0</v>
      </c>
      <c r="JB157">
        <f t="shared" ca="1" si="14"/>
        <v>3</v>
      </c>
    </row>
    <row r="158" spans="1:262" x14ac:dyDescent="0.25">
      <c r="A158" s="182">
        <v>155</v>
      </c>
      <c r="B158" s="182" t="s">
        <v>508</v>
      </c>
      <c r="C158">
        <v>0</v>
      </c>
      <c r="F158">
        <v>0</v>
      </c>
      <c r="G158">
        <v>0</v>
      </c>
      <c r="J158">
        <v>0</v>
      </c>
      <c r="K158">
        <v>0</v>
      </c>
      <c r="N158">
        <v>0</v>
      </c>
      <c r="O158">
        <v>1</v>
      </c>
      <c r="R158">
        <v>1</v>
      </c>
      <c r="S158">
        <v>0</v>
      </c>
      <c r="V158">
        <v>0</v>
      </c>
      <c r="W158">
        <v>0</v>
      </c>
      <c r="Z158">
        <v>0</v>
      </c>
      <c r="AA158">
        <v>0</v>
      </c>
      <c r="AD158">
        <v>0</v>
      </c>
      <c r="AE158">
        <v>0</v>
      </c>
      <c r="AH158">
        <v>0</v>
      </c>
      <c r="AI158">
        <v>0</v>
      </c>
      <c r="AL158">
        <v>0</v>
      </c>
      <c r="AM158">
        <v>1</v>
      </c>
      <c r="AP158">
        <v>1</v>
      </c>
      <c r="AQ158">
        <v>0</v>
      </c>
      <c r="AT158">
        <v>0</v>
      </c>
      <c r="AU158">
        <v>0</v>
      </c>
      <c r="AX158">
        <v>0</v>
      </c>
      <c r="AY158">
        <v>0</v>
      </c>
      <c r="BB158">
        <v>0</v>
      </c>
      <c r="BC158">
        <v>0</v>
      </c>
      <c r="BF158">
        <v>0</v>
      </c>
      <c r="BG158">
        <v>0</v>
      </c>
      <c r="BJ158">
        <v>0</v>
      </c>
      <c r="BK158">
        <v>0</v>
      </c>
      <c r="BN158">
        <v>0</v>
      </c>
      <c r="BO158">
        <v>0</v>
      </c>
      <c r="BR158">
        <v>0</v>
      </c>
      <c r="BS158">
        <v>0</v>
      </c>
      <c r="BV158">
        <v>0</v>
      </c>
      <c r="BW158">
        <v>0</v>
      </c>
      <c r="BZ158">
        <v>0</v>
      </c>
      <c r="CA158">
        <v>0</v>
      </c>
      <c r="CD158">
        <v>0</v>
      </c>
      <c r="CE158">
        <v>0</v>
      </c>
      <c r="CH158">
        <v>0</v>
      </c>
      <c r="CI158">
        <v>0</v>
      </c>
      <c r="CL158">
        <v>0</v>
      </c>
      <c r="CM158">
        <v>0</v>
      </c>
      <c r="CP158">
        <v>0</v>
      </c>
      <c r="CQ158">
        <v>0</v>
      </c>
      <c r="CT158">
        <v>0</v>
      </c>
      <c r="CU158">
        <v>0</v>
      </c>
      <c r="CX158">
        <v>0</v>
      </c>
      <c r="CY158">
        <v>0</v>
      </c>
      <c r="DB158">
        <v>0</v>
      </c>
      <c r="DC158">
        <v>0</v>
      </c>
      <c r="DF158">
        <v>0</v>
      </c>
      <c r="DG158">
        <v>0</v>
      </c>
      <c r="DJ158">
        <v>0</v>
      </c>
      <c r="DK158">
        <v>0</v>
      </c>
      <c r="DN158">
        <v>0</v>
      </c>
      <c r="DO158">
        <v>0</v>
      </c>
      <c r="DR158">
        <v>0</v>
      </c>
      <c r="DS158">
        <v>0</v>
      </c>
      <c r="DV158">
        <v>0</v>
      </c>
      <c r="DW158">
        <v>0</v>
      </c>
      <c r="DZ158">
        <v>0</v>
      </c>
      <c r="EA158">
        <v>0</v>
      </c>
      <c r="ED158">
        <v>0</v>
      </c>
      <c r="EE158">
        <v>0</v>
      </c>
      <c r="EH158">
        <v>0</v>
      </c>
      <c r="EI158">
        <v>0</v>
      </c>
      <c r="EL158">
        <v>0</v>
      </c>
      <c r="EM158">
        <v>0</v>
      </c>
      <c r="EP158">
        <v>0</v>
      </c>
      <c r="EQ158">
        <v>0</v>
      </c>
      <c r="ET158">
        <v>0</v>
      </c>
      <c r="EU158">
        <v>0</v>
      </c>
      <c r="EX158">
        <v>0</v>
      </c>
      <c r="EY158">
        <v>0</v>
      </c>
      <c r="FB158">
        <v>0</v>
      </c>
      <c r="FC158">
        <v>0</v>
      </c>
      <c r="FF158">
        <v>0</v>
      </c>
      <c r="FG158">
        <v>0</v>
      </c>
      <c r="FJ158">
        <v>0</v>
      </c>
      <c r="FK158">
        <v>0</v>
      </c>
      <c r="FN158">
        <v>0</v>
      </c>
      <c r="FO158">
        <v>0</v>
      </c>
      <c r="FR158">
        <v>0</v>
      </c>
      <c r="FS158">
        <v>0</v>
      </c>
      <c r="FV158">
        <v>0</v>
      </c>
      <c r="FW158">
        <v>0</v>
      </c>
      <c r="FZ158">
        <v>0</v>
      </c>
      <c r="GA158">
        <v>0</v>
      </c>
      <c r="GD158">
        <v>0</v>
      </c>
      <c r="GE158">
        <v>0</v>
      </c>
      <c r="GH158">
        <v>0</v>
      </c>
      <c r="GI158">
        <v>0</v>
      </c>
      <c r="GL158">
        <v>0</v>
      </c>
      <c r="GM158">
        <v>0</v>
      </c>
      <c r="GP158">
        <v>0</v>
      </c>
      <c r="GQ158">
        <v>0</v>
      </c>
      <c r="GT158">
        <v>0</v>
      </c>
      <c r="GU158">
        <v>0</v>
      </c>
      <c r="GX158">
        <v>0</v>
      </c>
      <c r="GY158">
        <v>0</v>
      </c>
      <c r="HB158">
        <v>0</v>
      </c>
      <c r="HC158">
        <v>0</v>
      </c>
      <c r="HF158">
        <v>0</v>
      </c>
      <c r="HG158">
        <v>0</v>
      </c>
      <c r="HJ158">
        <v>0</v>
      </c>
      <c r="HK158">
        <v>0</v>
      </c>
      <c r="HN158">
        <v>0</v>
      </c>
      <c r="HO158">
        <v>0</v>
      </c>
      <c r="HR158">
        <v>0</v>
      </c>
      <c r="HS158">
        <v>0</v>
      </c>
      <c r="HV158">
        <v>0</v>
      </c>
      <c r="HW158">
        <v>1</v>
      </c>
      <c r="HZ158">
        <v>1</v>
      </c>
      <c r="IA158">
        <v>0</v>
      </c>
      <c r="ID158">
        <v>0</v>
      </c>
      <c r="IE158">
        <v>0</v>
      </c>
      <c r="IH158">
        <v>0</v>
      </c>
      <c r="II158">
        <v>0</v>
      </c>
      <c r="IL158">
        <v>0</v>
      </c>
      <c r="IM158">
        <v>0</v>
      </c>
      <c r="IP158">
        <v>0</v>
      </c>
      <c r="IQ158">
        <v>0</v>
      </c>
      <c r="IT158">
        <v>0</v>
      </c>
      <c r="IU158">
        <v>0</v>
      </c>
      <c r="IX158">
        <v>0</v>
      </c>
      <c r="IY158">
        <f t="shared" ca="1" si="14"/>
        <v>1</v>
      </c>
      <c r="IZ158">
        <f t="shared" ca="1" si="14"/>
        <v>0</v>
      </c>
      <c r="JA158">
        <f t="shared" ca="1" si="14"/>
        <v>0</v>
      </c>
      <c r="JB158">
        <f t="shared" ca="1" si="14"/>
        <v>1</v>
      </c>
    </row>
    <row r="159" spans="1:262" x14ac:dyDescent="0.25">
      <c r="A159" s="182">
        <v>156</v>
      </c>
      <c r="B159" s="182" t="s">
        <v>509</v>
      </c>
      <c r="C159">
        <v>0</v>
      </c>
      <c r="F159">
        <v>0</v>
      </c>
      <c r="G159">
        <v>2</v>
      </c>
      <c r="J159">
        <v>2</v>
      </c>
      <c r="K159">
        <v>1</v>
      </c>
      <c r="N159">
        <v>1</v>
      </c>
      <c r="O159">
        <v>1</v>
      </c>
      <c r="R159">
        <v>1</v>
      </c>
      <c r="S159">
        <v>0</v>
      </c>
      <c r="V159">
        <v>0</v>
      </c>
      <c r="W159">
        <v>1</v>
      </c>
      <c r="Z159">
        <v>1</v>
      </c>
      <c r="AA159">
        <v>0</v>
      </c>
      <c r="AD159">
        <v>0</v>
      </c>
      <c r="AE159">
        <v>0</v>
      </c>
      <c r="AH159">
        <v>0</v>
      </c>
      <c r="AI159">
        <v>0</v>
      </c>
      <c r="AL159">
        <v>0</v>
      </c>
      <c r="AM159">
        <v>2</v>
      </c>
      <c r="AP159">
        <v>2</v>
      </c>
      <c r="AQ159">
        <v>0</v>
      </c>
      <c r="AT159">
        <v>0</v>
      </c>
      <c r="AU159">
        <v>0</v>
      </c>
      <c r="AX159">
        <v>0</v>
      </c>
      <c r="AY159">
        <v>1</v>
      </c>
      <c r="BB159">
        <v>1</v>
      </c>
      <c r="BC159">
        <v>0</v>
      </c>
      <c r="BF159">
        <v>0</v>
      </c>
      <c r="BG159">
        <v>0</v>
      </c>
      <c r="BJ159">
        <v>0</v>
      </c>
      <c r="BK159">
        <v>0</v>
      </c>
      <c r="BN159">
        <v>0</v>
      </c>
      <c r="BO159">
        <v>0</v>
      </c>
      <c r="BR159">
        <v>0</v>
      </c>
      <c r="BS159">
        <v>1</v>
      </c>
      <c r="BV159">
        <v>1</v>
      </c>
      <c r="BW159">
        <v>0</v>
      </c>
      <c r="BZ159">
        <v>0</v>
      </c>
      <c r="CA159">
        <v>0</v>
      </c>
      <c r="CD159">
        <v>0</v>
      </c>
      <c r="CE159">
        <v>0</v>
      </c>
      <c r="CH159">
        <v>0</v>
      </c>
      <c r="CI159">
        <v>0</v>
      </c>
      <c r="CL159">
        <v>0</v>
      </c>
      <c r="CM159">
        <v>0</v>
      </c>
      <c r="CP159">
        <v>0</v>
      </c>
      <c r="CQ159">
        <v>0</v>
      </c>
      <c r="CT159">
        <v>0</v>
      </c>
      <c r="CU159">
        <v>0</v>
      </c>
      <c r="CX159">
        <v>0</v>
      </c>
      <c r="CY159">
        <v>0</v>
      </c>
      <c r="DB159">
        <v>0</v>
      </c>
      <c r="DC159">
        <v>0</v>
      </c>
      <c r="DF159">
        <v>0</v>
      </c>
      <c r="DG159">
        <v>0</v>
      </c>
      <c r="DJ159">
        <v>0</v>
      </c>
      <c r="DK159">
        <v>0</v>
      </c>
      <c r="DN159">
        <v>0</v>
      </c>
      <c r="DO159">
        <v>0</v>
      </c>
      <c r="DR159">
        <v>0</v>
      </c>
      <c r="DS159">
        <v>0</v>
      </c>
      <c r="DV159">
        <v>0</v>
      </c>
      <c r="DW159">
        <v>0</v>
      </c>
      <c r="DZ159">
        <v>0</v>
      </c>
      <c r="EA159">
        <v>0</v>
      </c>
      <c r="ED159">
        <v>0</v>
      </c>
      <c r="EE159">
        <v>0</v>
      </c>
      <c r="EH159">
        <v>0</v>
      </c>
      <c r="EI159">
        <v>0</v>
      </c>
      <c r="EL159">
        <v>0</v>
      </c>
      <c r="EM159">
        <v>1</v>
      </c>
      <c r="EP159">
        <v>1</v>
      </c>
      <c r="EQ159">
        <v>0</v>
      </c>
      <c r="ET159">
        <v>0</v>
      </c>
      <c r="EU159">
        <v>0</v>
      </c>
      <c r="EX159">
        <v>0</v>
      </c>
      <c r="EY159">
        <v>0</v>
      </c>
      <c r="FB159">
        <v>0</v>
      </c>
      <c r="FC159">
        <v>0</v>
      </c>
      <c r="FF159">
        <v>0</v>
      </c>
      <c r="FG159">
        <v>0</v>
      </c>
      <c r="FJ159">
        <v>0</v>
      </c>
      <c r="FK159">
        <v>0</v>
      </c>
      <c r="FN159">
        <v>0</v>
      </c>
      <c r="FO159">
        <v>0</v>
      </c>
      <c r="FR159">
        <v>0</v>
      </c>
      <c r="FS159">
        <v>1</v>
      </c>
      <c r="FV159">
        <v>1</v>
      </c>
      <c r="FW159">
        <v>0</v>
      </c>
      <c r="FZ159">
        <v>0</v>
      </c>
      <c r="GA159">
        <v>0</v>
      </c>
      <c r="GD159">
        <v>0</v>
      </c>
      <c r="GE159">
        <v>0</v>
      </c>
      <c r="GH159">
        <v>0</v>
      </c>
      <c r="GI159">
        <v>0</v>
      </c>
      <c r="GL159">
        <v>0</v>
      </c>
      <c r="GM159">
        <v>0</v>
      </c>
      <c r="GP159">
        <v>0</v>
      </c>
      <c r="GQ159">
        <v>0</v>
      </c>
      <c r="GT159">
        <v>0</v>
      </c>
      <c r="GU159">
        <v>0</v>
      </c>
      <c r="GX159">
        <v>0</v>
      </c>
      <c r="GY159">
        <v>0</v>
      </c>
      <c r="HB159">
        <v>0</v>
      </c>
      <c r="HC159">
        <v>0</v>
      </c>
      <c r="HF159">
        <v>0</v>
      </c>
      <c r="HG159">
        <v>0</v>
      </c>
      <c r="HJ159">
        <v>0</v>
      </c>
      <c r="HK159">
        <v>0</v>
      </c>
      <c r="HN159">
        <v>0</v>
      </c>
      <c r="HO159">
        <v>0</v>
      </c>
      <c r="HR159">
        <v>0</v>
      </c>
      <c r="HS159">
        <v>0</v>
      </c>
      <c r="HV159">
        <v>0</v>
      </c>
      <c r="HW159">
        <v>1</v>
      </c>
      <c r="HZ159">
        <v>1</v>
      </c>
      <c r="IA159">
        <v>0</v>
      </c>
      <c r="ID159">
        <v>0</v>
      </c>
      <c r="IE159">
        <v>0</v>
      </c>
      <c r="IH159">
        <v>0</v>
      </c>
      <c r="II159">
        <v>0</v>
      </c>
      <c r="IL159">
        <v>0</v>
      </c>
      <c r="IM159">
        <v>0</v>
      </c>
      <c r="IP159">
        <v>0</v>
      </c>
      <c r="IQ159">
        <v>0</v>
      </c>
      <c r="IT159">
        <v>0</v>
      </c>
      <c r="IU159">
        <v>0</v>
      </c>
      <c r="IX159">
        <v>0</v>
      </c>
      <c r="IY159">
        <f t="shared" ca="1" si="14"/>
        <v>4</v>
      </c>
      <c r="IZ159">
        <f t="shared" ca="1" si="14"/>
        <v>0</v>
      </c>
      <c r="JA159">
        <f t="shared" ca="1" si="14"/>
        <v>0</v>
      </c>
      <c r="JB159">
        <f t="shared" ca="1" si="14"/>
        <v>4</v>
      </c>
    </row>
    <row r="160" spans="1:262" x14ac:dyDescent="0.25">
      <c r="A160" s="182">
        <v>157</v>
      </c>
      <c r="B160" s="182" t="s">
        <v>513</v>
      </c>
      <c r="C160">
        <v>0</v>
      </c>
      <c r="F160">
        <v>0</v>
      </c>
      <c r="G160">
        <v>0</v>
      </c>
      <c r="J160">
        <v>0</v>
      </c>
      <c r="K160">
        <v>0</v>
      </c>
      <c r="N160">
        <v>0</v>
      </c>
      <c r="O160">
        <v>1</v>
      </c>
      <c r="R160">
        <v>1</v>
      </c>
      <c r="S160">
        <v>0</v>
      </c>
      <c r="V160">
        <v>0</v>
      </c>
      <c r="W160">
        <v>0</v>
      </c>
      <c r="Z160">
        <v>0</v>
      </c>
      <c r="AA160">
        <v>0</v>
      </c>
      <c r="AD160">
        <v>0</v>
      </c>
      <c r="AE160">
        <v>0</v>
      </c>
      <c r="AH160">
        <v>0</v>
      </c>
      <c r="AI160">
        <v>0</v>
      </c>
      <c r="AL160">
        <v>0</v>
      </c>
      <c r="AM160">
        <v>1</v>
      </c>
      <c r="AP160">
        <v>1</v>
      </c>
      <c r="AQ160">
        <v>0</v>
      </c>
      <c r="AT160">
        <v>0</v>
      </c>
      <c r="AU160">
        <v>0</v>
      </c>
      <c r="AX160">
        <v>0</v>
      </c>
      <c r="AY160">
        <v>0</v>
      </c>
      <c r="BB160">
        <v>0</v>
      </c>
      <c r="BC160">
        <v>0</v>
      </c>
      <c r="BF160">
        <v>0</v>
      </c>
      <c r="BG160">
        <v>0</v>
      </c>
      <c r="BJ160">
        <v>0</v>
      </c>
      <c r="BK160">
        <v>0</v>
      </c>
      <c r="BN160">
        <v>0</v>
      </c>
      <c r="BO160">
        <v>0</v>
      </c>
      <c r="BR160">
        <v>0</v>
      </c>
      <c r="BS160">
        <v>0</v>
      </c>
      <c r="BV160">
        <v>0</v>
      </c>
      <c r="BW160">
        <v>0</v>
      </c>
      <c r="BZ160">
        <v>0</v>
      </c>
      <c r="CA160">
        <v>0</v>
      </c>
      <c r="CD160">
        <v>0</v>
      </c>
      <c r="CE160">
        <v>0</v>
      </c>
      <c r="CH160">
        <v>0</v>
      </c>
      <c r="CI160">
        <v>0</v>
      </c>
      <c r="CL160">
        <v>0</v>
      </c>
      <c r="CM160">
        <v>0</v>
      </c>
      <c r="CP160">
        <v>0</v>
      </c>
      <c r="CQ160">
        <v>0</v>
      </c>
      <c r="CT160">
        <v>0</v>
      </c>
      <c r="CU160">
        <v>0</v>
      </c>
      <c r="CX160">
        <v>0</v>
      </c>
      <c r="CY160">
        <v>0</v>
      </c>
      <c r="DB160">
        <v>0</v>
      </c>
      <c r="DC160">
        <v>0</v>
      </c>
      <c r="DF160">
        <v>0</v>
      </c>
      <c r="DG160">
        <v>0</v>
      </c>
      <c r="DJ160">
        <v>0</v>
      </c>
      <c r="DK160">
        <v>0</v>
      </c>
      <c r="DN160">
        <v>0</v>
      </c>
      <c r="DO160">
        <v>0</v>
      </c>
      <c r="DR160">
        <v>0</v>
      </c>
      <c r="DS160">
        <v>0</v>
      </c>
      <c r="DV160">
        <v>0</v>
      </c>
      <c r="DW160">
        <v>0</v>
      </c>
      <c r="DZ160">
        <v>0</v>
      </c>
      <c r="EA160">
        <v>0</v>
      </c>
      <c r="ED160">
        <v>0</v>
      </c>
      <c r="EE160">
        <v>0</v>
      </c>
      <c r="EH160">
        <v>0</v>
      </c>
      <c r="EI160">
        <v>0</v>
      </c>
      <c r="EL160">
        <v>0</v>
      </c>
      <c r="EM160">
        <v>0</v>
      </c>
      <c r="EP160">
        <v>0</v>
      </c>
      <c r="EQ160">
        <v>0</v>
      </c>
      <c r="ET160">
        <v>0</v>
      </c>
      <c r="EU160">
        <v>0</v>
      </c>
      <c r="EX160">
        <v>0</v>
      </c>
      <c r="EY160">
        <v>0</v>
      </c>
      <c r="FB160">
        <v>0</v>
      </c>
      <c r="FC160">
        <v>0</v>
      </c>
      <c r="FF160">
        <v>0</v>
      </c>
      <c r="FG160">
        <v>0</v>
      </c>
      <c r="FJ160">
        <v>0</v>
      </c>
      <c r="FK160">
        <v>0</v>
      </c>
      <c r="FN160">
        <v>0</v>
      </c>
      <c r="FO160">
        <v>0</v>
      </c>
      <c r="FR160">
        <v>0</v>
      </c>
      <c r="FS160">
        <v>0</v>
      </c>
      <c r="FV160">
        <v>0</v>
      </c>
      <c r="FW160">
        <v>0</v>
      </c>
      <c r="FZ160">
        <v>0</v>
      </c>
      <c r="GA160">
        <v>0</v>
      </c>
      <c r="GD160">
        <v>0</v>
      </c>
      <c r="GE160">
        <v>0</v>
      </c>
      <c r="GH160">
        <v>0</v>
      </c>
      <c r="GI160">
        <v>0</v>
      </c>
      <c r="GL160">
        <v>0</v>
      </c>
      <c r="GM160">
        <v>0</v>
      </c>
      <c r="GP160">
        <v>0</v>
      </c>
      <c r="GQ160">
        <v>0</v>
      </c>
      <c r="GT160">
        <v>0</v>
      </c>
      <c r="GU160">
        <v>0</v>
      </c>
      <c r="GX160">
        <v>0</v>
      </c>
      <c r="GY160">
        <v>0</v>
      </c>
      <c r="HB160">
        <v>0</v>
      </c>
      <c r="HC160">
        <v>0</v>
      </c>
      <c r="HF160">
        <v>0</v>
      </c>
      <c r="HG160">
        <v>0</v>
      </c>
      <c r="HJ160">
        <v>0</v>
      </c>
      <c r="HK160">
        <v>0</v>
      </c>
      <c r="HN160">
        <v>0</v>
      </c>
      <c r="HO160">
        <v>0</v>
      </c>
      <c r="HR160">
        <v>0</v>
      </c>
      <c r="HS160">
        <v>0</v>
      </c>
      <c r="HV160">
        <v>0</v>
      </c>
      <c r="HW160">
        <v>1</v>
      </c>
      <c r="HZ160">
        <v>1</v>
      </c>
      <c r="IA160">
        <v>0</v>
      </c>
      <c r="ID160">
        <v>0</v>
      </c>
      <c r="IE160">
        <v>0</v>
      </c>
      <c r="IH160">
        <v>0</v>
      </c>
      <c r="II160">
        <v>0</v>
      </c>
      <c r="IL160">
        <v>0</v>
      </c>
      <c r="IM160">
        <v>0</v>
      </c>
      <c r="IP160">
        <v>0</v>
      </c>
      <c r="IQ160">
        <v>0</v>
      </c>
      <c r="IT160">
        <v>0</v>
      </c>
      <c r="IU160">
        <v>0</v>
      </c>
      <c r="IX160">
        <v>0</v>
      </c>
      <c r="IY160">
        <f t="shared" ca="1" si="14"/>
        <v>1</v>
      </c>
      <c r="IZ160">
        <f t="shared" ca="1" si="14"/>
        <v>0</v>
      </c>
      <c r="JA160">
        <f t="shared" ca="1" si="14"/>
        <v>0</v>
      </c>
      <c r="JB160">
        <f t="shared" ca="1" si="14"/>
        <v>1</v>
      </c>
    </row>
    <row r="161" spans="1:262" ht="16.5" customHeight="1" x14ac:dyDescent="0.25">
      <c r="A161" s="182">
        <v>158</v>
      </c>
      <c r="B161" s="182" t="s">
        <v>512</v>
      </c>
      <c r="C161">
        <v>0</v>
      </c>
      <c r="F161">
        <v>0</v>
      </c>
      <c r="G161">
        <v>1</v>
      </c>
      <c r="J161">
        <v>1</v>
      </c>
      <c r="K161">
        <v>0</v>
      </c>
      <c r="N161">
        <v>0</v>
      </c>
      <c r="O161">
        <v>0</v>
      </c>
      <c r="R161">
        <v>0</v>
      </c>
      <c r="S161">
        <v>0</v>
      </c>
      <c r="V161">
        <v>0</v>
      </c>
      <c r="W161">
        <v>0</v>
      </c>
      <c r="Z161">
        <v>0</v>
      </c>
      <c r="AA161">
        <v>0</v>
      </c>
      <c r="AD161">
        <v>0</v>
      </c>
      <c r="AE161">
        <v>0</v>
      </c>
      <c r="AH161">
        <v>0</v>
      </c>
      <c r="AI161">
        <v>0</v>
      </c>
      <c r="AL161">
        <v>0</v>
      </c>
      <c r="AM161">
        <v>0</v>
      </c>
      <c r="AP161">
        <v>0</v>
      </c>
      <c r="AQ161">
        <v>0</v>
      </c>
      <c r="AT161">
        <v>0</v>
      </c>
      <c r="AU161">
        <v>0</v>
      </c>
      <c r="AX161">
        <v>0</v>
      </c>
      <c r="AY161">
        <v>0</v>
      </c>
      <c r="BB161">
        <v>0</v>
      </c>
      <c r="BC161">
        <v>1</v>
      </c>
      <c r="BF161">
        <v>1</v>
      </c>
      <c r="BG161">
        <v>0</v>
      </c>
      <c r="BJ161">
        <v>0</v>
      </c>
      <c r="BK161">
        <v>0</v>
      </c>
      <c r="BN161">
        <v>0</v>
      </c>
      <c r="BO161">
        <v>0</v>
      </c>
      <c r="BR161">
        <v>0</v>
      </c>
      <c r="BS161">
        <v>0</v>
      </c>
      <c r="BV161">
        <v>0</v>
      </c>
      <c r="BW161">
        <v>0</v>
      </c>
      <c r="BZ161">
        <v>0</v>
      </c>
      <c r="CA161">
        <v>0</v>
      </c>
      <c r="CD161">
        <v>0</v>
      </c>
      <c r="CE161">
        <v>0</v>
      </c>
      <c r="CH161">
        <v>0</v>
      </c>
      <c r="CI161">
        <v>0</v>
      </c>
      <c r="CL161">
        <v>0</v>
      </c>
      <c r="CM161">
        <v>0</v>
      </c>
      <c r="CP161">
        <v>0</v>
      </c>
      <c r="CQ161">
        <v>0</v>
      </c>
      <c r="CT161">
        <v>0</v>
      </c>
      <c r="CU161">
        <v>0</v>
      </c>
      <c r="CX161">
        <v>0</v>
      </c>
      <c r="CY161">
        <v>0</v>
      </c>
      <c r="DB161">
        <v>0</v>
      </c>
      <c r="DC161">
        <v>0</v>
      </c>
      <c r="DF161">
        <v>0</v>
      </c>
      <c r="DG161">
        <v>0</v>
      </c>
      <c r="DJ161">
        <v>0</v>
      </c>
      <c r="DK161">
        <v>0</v>
      </c>
      <c r="DN161">
        <v>0</v>
      </c>
      <c r="DO161">
        <v>0</v>
      </c>
      <c r="DR161">
        <v>0</v>
      </c>
      <c r="DS161">
        <v>0</v>
      </c>
      <c r="DV161">
        <v>0</v>
      </c>
      <c r="DW161">
        <v>0</v>
      </c>
      <c r="DZ161">
        <v>0</v>
      </c>
      <c r="EA161">
        <v>0</v>
      </c>
      <c r="ED161">
        <v>0</v>
      </c>
      <c r="EE161">
        <v>0</v>
      </c>
      <c r="EH161">
        <v>0</v>
      </c>
      <c r="EI161">
        <v>0</v>
      </c>
      <c r="EL161">
        <v>0</v>
      </c>
      <c r="EM161">
        <v>0</v>
      </c>
      <c r="EP161">
        <v>0</v>
      </c>
      <c r="EQ161">
        <v>0</v>
      </c>
      <c r="ET161">
        <v>0</v>
      </c>
      <c r="EU161">
        <v>0</v>
      </c>
      <c r="EX161">
        <v>0</v>
      </c>
      <c r="EY161">
        <v>0</v>
      </c>
      <c r="FB161">
        <v>0</v>
      </c>
      <c r="FC161">
        <v>1</v>
      </c>
      <c r="FF161">
        <v>1</v>
      </c>
      <c r="FG161">
        <v>0</v>
      </c>
      <c r="FJ161">
        <v>0</v>
      </c>
      <c r="FK161">
        <v>0</v>
      </c>
      <c r="FN161">
        <v>0</v>
      </c>
      <c r="FO161">
        <v>0</v>
      </c>
      <c r="FR161">
        <v>0</v>
      </c>
      <c r="FS161">
        <v>0</v>
      </c>
      <c r="FV161">
        <v>0</v>
      </c>
      <c r="FW161">
        <v>0</v>
      </c>
      <c r="FZ161">
        <v>0</v>
      </c>
      <c r="GA161">
        <v>0</v>
      </c>
      <c r="GD161">
        <v>0</v>
      </c>
      <c r="GE161">
        <v>0</v>
      </c>
      <c r="GH161">
        <v>0</v>
      </c>
      <c r="GI161">
        <v>0</v>
      </c>
      <c r="GL161">
        <v>0</v>
      </c>
      <c r="GM161">
        <v>0</v>
      </c>
      <c r="GP161">
        <v>0</v>
      </c>
      <c r="GQ161">
        <v>0</v>
      </c>
      <c r="GT161">
        <v>0</v>
      </c>
      <c r="GU161">
        <v>0</v>
      </c>
      <c r="GX161">
        <v>0</v>
      </c>
      <c r="GY161">
        <v>0</v>
      </c>
      <c r="HB161">
        <v>0</v>
      </c>
      <c r="HC161">
        <v>0</v>
      </c>
      <c r="HF161">
        <v>0</v>
      </c>
      <c r="HG161">
        <v>0</v>
      </c>
      <c r="HJ161">
        <v>0</v>
      </c>
      <c r="HK161">
        <v>0</v>
      </c>
      <c r="HN161">
        <v>0</v>
      </c>
      <c r="HO161">
        <v>0</v>
      </c>
      <c r="HR161">
        <v>0</v>
      </c>
      <c r="HS161">
        <v>0</v>
      </c>
      <c r="HV161">
        <v>0</v>
      </c>
      <c r="HW161">
        <v>0</v>
      </c>
      <c r="HZ161">
        <v>0</v>
      </c>
      <c r="IA161">
        <v>0</v>
      </c>
      <c r="ID161">
        <v>0</v>
      </c>
      <c r="IE161">
        <v>0</v>
      </c>
      <c r="IH161">
        <v>0</v>
      </c>
      <c r="II161">
        <v>0</v>
      </c>
      <c r="IL161">
        <v>0</v>
      </c>
      <c r="IM161">
        <v>0</v>
      </c>
      <c r="IP161">
        <v>0</v>
      </c>
      <c r="IQ161">
        <v>0</v>
      </c>
      <c r="IT161">
        <v>0</v>
      </c>
      <c r="IU161">
        <v>0</v>
      </c>
      <c r="IX161">
        <v>0</v>
      </c>
      <c r="IY161">
        <f t="shared" ca="1" si="14"/>
        <v>1</v>
      </c>
      <c r="IZ161">
        <f t="shared" ca="1" si="14"/>
        <v>0</v>
      </c>
      <c r="JA161">
        <f t="shared" ca="1" si="14"/>
        <v>0</v>
      </c>
      <c r="JB161">
        <f t="shared" ca="1" si="14"/>
        <v>1</v>
      </c>
    </row>
    <row r="162" spans="1:262" x14ac:dyDescent="0.25">
      <c r="A162" s="172">
        <v>159</v>
      </c>
      <c r="B162" s="172" t="s">
        <v>514</v>
      </c>
      <c r="C162">
        <v>0</v>
      </c>
      <c r="F162">
        <v>0</v>
      </c>
      <c r="G162">
        <v>6</v>
      </c>
      <c r="J162">
        <v>6</v>
      </c>
      <c r="K162">
        <v>1</v>
      </c>
      <c r="N162">
        <v>1</v>
      </c>
      <c r="O162">
        <v>4</v>
      </c>
      <c r="R162">
        <v>4</v>
      </c>
      <c r="S162">
        <v>0</v>
      </c>
      <c r="V162">
        <v>0</v>
      </c>
      <c r="W162">
        <v>2</v>
      </c>
      <c r="Z162">
        <v>2</v>
      </c>
      <c r="AA162">
        <v>2</v>
      </c>
      <c r="AD162">
        <v>2</v>
      </c>
      <c r="AE162">
        <v>1</v>
      </c>
      <c r="AH162">
        <v>1</v>
      </c>
      <c r="AI162">
        <v>1</v>
      </c>
      <c r="AL162">
        <v>1</v>
      </c>
      <c r="AM162">
        <v>1</v>
      </c>
      <c r="AP162">
        <v>1</v>
      </c>
      <c r="AQ162">
        <v>2</v>
      </c>
      <c r="AT162">
        <v>2</v>
      </c>
      <c r="AU162">
        <v>0</v>
      </c>
      <c r="AX162">
        <v>0</v>
      </c>
      <c r="AY162">
        <v>1</v>
      </c>
      <c r="BB162">
        <v>1</v>
      </c>
      <c r="BC162">
        <v>0</v>
      </c>
      <c r="BF162">
        <v>0</v>
      </c>
      <c r="BG162">
        <v>1</v>
      </c>
      <c r="BJ162">
        <v>1</v>
      </c>
      <c r="BK162">
        <v>0</v>
      </c>
      <c r="BN162">
        <v>0</v>
      </c>
      <c r="BO162">
        <v>0</v>
      </c>
      <c r="BR162">
        <v>0</v>
      </c>
      <c r="BS162">
        <v>0</v>
      </c>
      <c r="BV162">
        <v>0</v>
      </c>
      <c r="BW162">
        <v>1</v>
      </c>
      <c r="BZ162">
        <v>1</v>
      </c>
      <c r="CA162">
        <v>0</v>
      </c>
      <c r="CD162">
        <v>0</v>
      </c>
      <c r="CE162">
        <v>1</v>
      </c>
      <c r="CH162">
        <v>1</v>
      </c>
      <c r="CI162">
        <v>0</v>
      </c>
      <c r="CL162">
        <v>0</v>
      </c>
      <c r="CM162">
        <v>0</v>
      </c>
      <c r="CP162">
        <v>0</v>
      </c>
      <c r="CQ162">
        <v>0</v>
      </c>
      <c r="CT162">
        <v>0</v>
      </c>
      <c r="CU162">
        <v>0</v>
      </c>
      <c r="CX162">
        <v>0</v>
      </c>
      <c r="CY162">
        <v>1</v>
      </c>
      <c r="DB162">
        <v>1</v>
      </c>
      <c r="DC162">
        <v>0</v>
      </c>
      <c r="DF162">
        <v>0</v>
      </c>
      <c r="DG162">
        <v>0</v>
      </c>
      <c r="DJ162">
        <v>0</v>
      </c>
      <c r="DK162">
        <v>1</v>
      </c>
      <c r="DN162">
        <v>1</v>
      </c>
      <c r="DO162">
        <v>0</v>
      </c>
      <c r="DR162">
        <v>0</v>
      </c>
      <c r="DS162">
        <v>0</v>
      </c>
      <c r="DV162">
        <v>0</v>
      </c>
      <c r="DW162">
        <v>0</v>
      </c>
      <c r="DZ162">
        <v>0</v>
      </c>
      <c r="EA162">
        <v>1</v>
      </c>
      <c r="ED162">
        <v>1</v>
      </c>
      <c r="EE162">
        <v>0</v>
      </c>
      <c r="EH162">
        <v>0</v>
      </c>
      <c r="EI162">
        <v>0</v>
      </c>
      <c r="EL162">
        <v>0</v>
      </c>
      <c r="EM162">
        <v>0</v>
      </c>
      <c r="EP162">
        <v>0</v>
      </c>
      <c r="EQ162">
        <v>0</v>
      </c>
      <c r="ET162">
        <v>0</v>
      </c>
      <c r="EU162">
        <v>0</v>
      </c>
      <c r="EX162">
        <v>0</v>
      </c>
      <c r="EY162">
        <v>1</v>
      </c>
      <c r="FB162">
        <v>1</v>
      </c>
      <c r="FC162">
        <v>0</v>
      </c>
      <c r="FF162">
        <v>0</v>
      </c>
      <c r="FG162">
        <v>0</v>
      </c>
      <c r="FJ162">
        <v>0</v>
      </c>
      <c r="FK162">
        <v>0</v>
      </c>
      <c r="FN162">
        <v>0</v>
      </c>
      <c r="FO162">
        <v>0</v>
      </c>
      <c r="FR162">
        <v>0</v>
      </c>
      <c r="FS162">
        <v>1</v>
      </c>
      <c r="FV162">
        <v>1</v>
      </c>
      <c r="FW162">
        <v>0</v>
      </c>
      <c r="FZ162">
        <v>0</v>
      </c>
      <c r="GA162">
        <v>0</v>
      </c>
      <c r="GD162">
        <v>0</v>
      </c>
      <c r="GE162">
        <v>0</v>
      </c>
      <c r="GH162">
        <v>0</v>
      </c>
      <c r="GI162">
        <v>0</v>
      </c>
      <c r="GL162">
        <v>0</v>
      </c>
      <c r="GM162">
        <v>0</v>
      </c>
      <c r="GP162">
        <v>0</v>
      </c>
      <c r="GQ162">
        <v>0</v>
      </c>
      <c r="GT162">
        <v>0</v>
      </c>
      <c r="GU162">
        <v>0</v>
      </c>
      <c r="GX162">
        <v>0</v>
      </c>
      <c r="GY162">
        <v>1</v>
      </c>
      <c r="HB162">
        <v>1</v>
      </c>
      <c r="HC162">
        <v>1</v>
      </c>
      <c r="HF162">
        <v>1</v>
      </c>
      <c r="HG162">
        <v>0</v>
      </c>
      <c r="HJ162">
        <v>0</v>
      </c>
      <c r="HK162">
        <v>0</v>
      </c>
      <c r="HN162">
        <v>0</v>
      </c>
      <c r="HO162">
        <v>0</v>
      </c>
      <c r="HR162">
        <v>0</v>
      </c>
      <c r="HS162">
        <v>0</v>
      </c>
      <c r="HV162">
        <v>0</v>
      </c>
      <c r="HW162">
        <v>0</v>
      </c>
      <c r="HZ162">
        <v>0</v>
      </c>
      <c r="IA162">
        <v>1</v>
      </c>
      <c r="ID162">
        <v>1</v>
      </c>
      <c r="IE162">
        <v>0</v>
      </c>
      <c r="IH162">
        <v>0</v>
      </c>
      <c r="II162">
        <v>0</v>
      </c>
      <c r="IL162">
        <v>0</v>
      </c>
      <c r="IM162">
        <v>0</v>
      </c>
      <c r="IP162">
        <v>0</v>
      </c>
      <c r="IQ162">
        <v>1</v>
      </c>
      <c r="IT162">
        <v>1</v>
      </c>
      <c r="IU162">
        <v>0</v>
      </c>
      <c r="IX162">
        <v>0</v>
      </c>
      <c r="IY162">
        <f t="shared" ca="1" si="14"/>
        <v>11</v>
      </c>
      <c r="IZ162">
        <f t="shared" ca="1" si="14"/>
        <v>0</v>
      </c>
      <c r="JA162">
        <f t="shared" ca="1" si="14"/>
        <v>0</v>
      </c>
      <c r="JB162">
        <f t="shared" ca="1" si="14"/>
        <v>11</v>
      </c>
    </row>
    <row r="163" spans="1:262" x14ac:dyDescent="0.25">
      <c r="A163" s="172">
        <v>160</v>
      </c>
      <c r="B163" s="172" t="s">
        <v>518</v>
      </c>
      <c r="C163">
        <v>0</v>
      </c>
      <c r="F163">
        <v>0</v>
      </c>
      <c r="G163">
        <v>2</v>
      </c>
      <c r="J163">
        <v>2</v>
      </c>
      <c r="K163">
        <v>0</v>
      </c>
      <c r="N163">
        <v>0</v>
      </c>
      <c r="O163">
        <v>3</v>
      </c>
      <c r="R163">
        <v>3</v>
      </c>
      <c r="S163">
        <v>0</v>
      </c>
      <c r="V163">
        <v>0</v>
      </c>
      <c r="W163">
        <v>2</v>
      </c>
      <c r="Z163">
        <v>2</v>
      </c>
      <c r="AA163">
        <v>0</v>
      </c>
      <c r="AD163">
        <v>0</v>
      </c>
      <c r="AE163">
        <v>0</v>
      </c>
      <c r="AH163">
        <v>0</v>
      </c>
      <c r="AI163">
        <v>0</v>
      </c>
      <c r="AL163">
        <v>0</v>
      </c>
      <c r="AM163">
        <v>1</v>
      </c>
      <c r="AP163">
        <v>1</v>
      </c>
      <c r="AQ163">
        <v>1</v>
      </c>
      <c r="AT163">
        <v>1</v>
      </c>
      <c r="AU163">
        <v>0</v>
      </c>
      <c r="AX163">
        <v>0</v>
      </c>
      <c r="AY163">
        <v>1</v>
      </c>
      <c r="BB163">
        <v>1</v>
      </c>
      <c r="BC163">
        <v>0</v>
      </c>
      <c r="BF163">
        <v>0</v>
      </c>
      <c r="BG163">
        <v>0</v>
      </c>
      <c r="BJ163">
        <v>0</v>
      </c>
      <c r="BK163">
        <v>0</v>
      </c>
      <c r="BN163">
        <v>0</v>
      </c>
      <c r="BO163">
        <v>0</v>
      </c>
      <c r="BR163">
        <v>0</v>
      </c>
      <c r="BS163">
        <v>0</v>
      </c>
      <c r="BV163">
        <v>0</v>
      </c>
      <c r="BW163">
        <v>0</v>
      </c>
      <c r="BZ163">
        <v>0</v>
      </c>
      <c r="CA163">
        <v>0</v>
      </c>
      <c r="CD163">
        <v>0</v>
      </c>
      <c r="CE163">
        <v>0</v>
      </c>
      <c r="CH163">
        <v>0</v>
      </c>
      <c r="CI163">
        <v>0</v>
      </c>
      <c r="CL163">
        <v>0</v>
      </c>
      <c r="CM163">
        <v>0</v>
      </c>
      <c r="CP163">
        <v>0</v>
      </c>
      <c r="CQ163">
        <v>0</v>
      </c>
      <c r="CT163">
        <v>0</v>
      </c>
      <c r="CU163">
        <v>0</v>
      </c>
      <c r="CX163">
        <v>0</v>
      </c>
      <c r="CY163">
        <v>0</v>
      </c>
      <c r="DB163">
        <v>0</v>
      </c>
      <c r="DC163">
        <v>0</v>
      </c>
      <c r="DF163">
        <v>0</v>
      </c>
      <c r="DG163">
        <v>0</v>
      </c>
      <c r="DJ163">
        <v>0</v>
      </c>
      <c r="DK163">
        <v>0</v>
      </c>
      <c r="DN163">
        <v>0</v>
      </c>
      <c r="DO163">
        <v>0</v>
      </c>
      <c r="DR163">
        <v>0</v>
      </c>
      <c r="DS163">
        <v>1</v>
      </c>
      <c r="DV163">
        <v>1</v>
      </c>
      <c r="DW163">
        <v>0</v>
      </c>
      <c r="DZ163">
        <v>0</v>
      </c>
      <c r="EA163">
        <v>0</v>
      </c>
      <c r="ED163">
        <v>0</v>
      </c>
      <c r="EE163">
        <v>0</v>
      </c>
      <c r="EH163">
        <v>0</v>
      </c>
      <c r="EI163">
        <v>0</v>
      </c>
      <c r="EL163">
        <v>0</v>
      </c>
      <c r="EM163">
        <v>0</v>
      </c>
      <c r="EP163">
        <v>0</v>
      </c>
      <c r="EQ163">
        <v>0</v>
      </c>
      <c r="ET163">
        <v>0</v>
      </c>
      <c r="EU163">
        <v>0</v>
      </c>
      <c r="EX163">
        <v>0</v>
      </c>
      <c r="EY163">
        <v>1</v>
      </c>
      <c r="FB163">
        <v>1</v>
      </c>
      <c r="FC163">
        <v>0</v>
      </c>
      <c r="FF163">
        <v>0</v>
      </c>
      <c r="FG163">
        <v>0</v>
      </c>
      <c r="FJ163">
        <v>0</v>
      </c>
      <c r="FK163">
        <v>0</v>
      </c>
      <c r="FN163">
        <v>0</v>
      </c>
      <c r="FO163">
        <v>0</v>
      </c>
      <c r="FR163">
        <v>0</v>
      </c>
      <c r="FS163">
        <v>0</v>
      </c>
      <c r="FV163">
        <v>0</v>
      </c>
      <c r="FW163">
        <v>0</v>
      </c>
      <c r="FZ163">
        <v>0</v>
      </c>
      <c r="GA163">
        <v>0</v>
      </c>
      <c r="GD163">
        <v>0</v>
      </c>
      <c r="GE163">
        <v>0</v>
      </c>
      <c r="GH163">
        <v>0</v>
      </c>
      <c r="GI163">
        <v>0</v>
      </c>
      <c r="GL163">
        <v>0</v>
      </c>
      <c r="GM163">
        <v>0</v>
      </c>
      <c r="GP163">
        <v>0</v>
      </c>
      <c r="GQ163">
        <v>0</v>
      </c>
      <c r="GT163">
        <v>0</v>
      </c>
      <c r="GU163">
        <v>0</v>
      </c>
      <c r="GX163">
        <v>0</v>
      </c>
      <c r="GY163">
        <v>1</v>
      </c>
      <c r="HB163">
        <v>1</v>
      </c>
      <c r="HC163">
        <v>1</v>
      </c>
      <c r="HF163">
        <v>1</v>
      </c>
      <c r="HG163">
        <v>0</v>
      </c>
      <c r="HJ163">
        <v>0</v>
      </c>
      <c r="HK163">
        <v>0</v>
      </c>
      <c r="HN163">
        <v>0</v>
      </c>
      <c r="HO163">
        <v>0</v>
      </c>
      <c r="HR163">
        <v>0</v>
      </c>
      <c r="HS163">
        <v>0</v>
      </c>
      <c r="HV163">
        <v>0</v>
      </c>
      <c r="HW163">
        <v>0</v>
      </c>
      <c r="HZ163">
        <v>0</v>
      </c>
      <c r="IA163">
        <v>1</v>
      </c>
      <c r="ID163">
        <v>1</v>
      </c>
      <c r="IE163">
        <v>0</v>
      </c>
      <c r="IH163">
        <v>0</v>
      </c>
      <c r="II163">
        <v>0</v>
      </c>
      <c r="IL163">
        <v>0</v>
      </c>
      <c r="IM163">
        <v>0</v>
      </c>
      <c r="IP163">
        <v>0</v>
      </c>
      <c r="IQ163">
        <v>0</v>
      </c>
      <c r="IT163">
        <v>0</v>
      </c>
      <c r="IU163">
        <v>0</v>
      </c>
      <c r="IX163">
        <v>0</v>
      </c>
      <c r="IY163">
        <f t="shared" ca="1" si="14"/>
        <v>5</v>
      </c>
      <c r="IZ163">
        <f t="shared" ca="1" si="14"/>
        <v>0</v>
      </c>
      <c r="JA163">
        <f t="shared" ca="1" si="14"/>
        <v>0</v>
      </c>
      <c r="JB163">
        <f t="shared" ca="1" si="14"/>
        <v>5</v>
      </c>
    </row>
    <row r="164" spans="1:262" x14ac:dyDescent="0.25">
      <c r="A164" s="172">
        <v>161</v>
      </c>
      <c r="B164" s="172" t="s">
        <v>520</v>
      </c>
      <c r="C164">
        <v>0</v>
      </c>
      <c r="F164">
        <v>0</v>
      </c>
      <c r="G164">
        <v>0</v>
      </c>
      <c r="J164">
        <v>0</v>
      </c>
      <c r="K164">
        <v>0</v>
      </c>
      <c r="N164">
        <v>0</v>
      </c>
      <c r="O164">
        <v>4</v>
      </c>
      <c r="R164">
        <v>4</v>
      </c>
      <c r="S164">
        <v>0</v>
      </c>
      <c r="V164">
        <v>0</v>
      </c>
      <c r="W164">
        <v>1</v>
      </c>
      <c r="Z164">
        <v>1</v>
      </c>
      <c r="AA164">
        <v>0</v>
      </c>
      <c r="AD164">
        <v>0</v>
      </c>
      <c r="AE164">
        <v>1</v>
      </c>
      <c r="AH164">
        <v>1</v>
      </c>
      <c r="AI164">
        <v>1</v>
      </c>
      <c r="AL164">
        <v>1</v>
      </c>
      <c r="AM164">
        <v>0</v>
      </c>
      <c r="AP164">
        <v>0</v>
      </c>
      <c r="AQ164">
        <v>0</v>
      </c>
      <c r="AT164">
        <v>0</v>
      </c>
      <c r="AU164">
        <v>0</v>
      </c>
      <c r="AX164">
        <v>0</v>
      </c>
      <c r="AY164">
        <v>0</v>
      </c>
      <c r="BB164">
        <v>0</v>
      </c>
      <c r="BC164">
        <v>1</v>
      </c>
      <c r="BF164">
        <v>1</v>
      </c>
      <c r="BG164">
        <v>0</v>
      </c>
      <c r="BJ164">
        <v>0</v>
      </c>
      <c r="BK164">
        <v>0</v>
      </c>
      <c r="BN164">
        <v>0</v>
      </c>
      <c r="BO164">
        <v>0</v>
      </c>
      <c r="BR164">
        <v>0</v>
      </c>
      <c r="BS164">
        <v>0</v>
      </c>
      <c r="BV164">
        <v>0</v>
      </c>
      <c r="BW164">
        <v>0</v>
      </c>
      <c r="BZ164">
        <v>0</v>
      </c>
      <c r="CA164">
        <v>0</v>
      </c>
      <c r="CD164">
        <v>0</v>
      </c>
      <c r="CE164">
        <v>0</v>
      </c>
      <c r="CH164">
        <v>0</v>
      </c>
      <c r="CI164">
        <v>0</v>
      </c>
      <c r="CL164">
        <v>0</v>
      </c>
      <c r="CM164">
        <v>0</v>
      </c>
      <c r="CP164">
        <v>0</v>
      </c>
      <c r="CQ164">
        <v>0</v>
      </c>
      <c r="CT164">
        <v>0</v>
      </c>
      <c r="CU164">
        <v>0</v>
      </c>
      <c r="CX164">
        <v>0</v>
      </c>
      <c r="CY164">
        <v>0</v>
      </c>
      <c r="DB164">
        <v>0</v>
      </c>
      <c r="DC164">
        <v>0</v>
      </c>
      <c r="DF164">
        <v>0</v>
      </c>
      <c r="DG164">
        <v>0</v>
      </c>
      <c r="DJ164">
        <v>0</v>
      </c>
      <c r="DK164">
        <v>0</v>
      </c>
      <c r="DN164">
        <v>0</v>
      </c>
      <c r="DO164">
        <v>0</v>
      </c>
      <c r="DR164">
        <v>0</v>
      </c>
      <c r="DS164">
        <v>0</v>
      </c>
      <c r="DV164">
        <v>0</v>
      </c>
      <c r="DW164">
        <v>0</v>
      </c>
      <c r="DZ164">
        <v>0</v>
      </c>
      <c r="EA164">
        <v>0</v>
      </c>
      <c r="ED164">
        <v>0</v>
      </c>
      <c r="EE164">
        <v>0</v>
      </c>
      <c r="EH164">
        <v>0</v>
      </c>
      <c r="EI164">
        <v>0</v>
      </c>
      <c r="EL164">
        <v>0</v>
      </c>
      <c r="EM164">
        <v>0</v>
      </c>
      <c r="EP164">
        <v>0</v>
      </c>
      <c r="EQ164">
        <v>0</v>
      </c>
      <c r="ET164">
        <v>0</v>
      </c>
      <c r="EU164">
        <v>0</v>
      </c>
      <c r="EX164">
        <v>0</v>
      </c>
      <c r="EY164">
        <v>0</v>
      </c>
      <c r="FB164">
        <v>0</v>
      </c>
      <c r="FC164">
        <v>0</v>
      </c>
      <c r="FF164">
        <v>0</v>
      </c>
      <c r="FG164">
        <v>0</v>
      </c>
      <c r="FJ164">
        <v>0</v>
      </c>
      <c r="FK164">
        <v>0</v>
      </c>
      <c r="FN164">
        <v>0</v>
      </c>
      <c r="FO164">
        <v>0</v>
      </c>
      <c r="FR164">
        <v>0</v>
      </c>
      <c r="FS164">
        <v>0</v>
      </c>
      <c r="FV164">
        <v>0</v>
      </c>
      <c r="FW164">
        <v>0</v>
      </c>
      <c r="FZ164">
        <v>0</v>
      </c>
      <c r="GA164">
        <v>0</v>
      </c>
      <c r="GD164">
        <v>0</v>
      </c>
      <c r="GE164">
        <v>0</v>
      </c>
      <c r="GH164">
        <v>0</v>
      </c>
      <c r="GI164">
        <v>0</v>
      </c>
      <c r="GL164">
        <v>0</v>
      </c>
      <c r="GM164">
        <v>0</v>
      </c>
      <c r="GP164">
        <v>0</v>
      </c>
      <c r="GQ164">
        <v>0</v>
      </c>
      <c r="GT164">
        <v>0</v>
      </c>
      <c r="GU164">
        <v>0</v>
      </c>
      <c r="GX164">
        <v>0</v>
      </c>
      <c r="GY164">
        <v>1</v>
      </c>
      <c r="HB164">
        <v>1</v>
      </c>
      <c r="HC164">
        <v>0</v>
      </c>
      <c r="HF164">
        <v>0</v>
      </c>
      <c r="HG164">
        <v>0</v>
      </c>
      <c r="HJ164">
        <v>0</v>
      </c>
      <c r="HK164">
        <v>0</v>
      </c>
      <c r="HN164">
        <v>0</v>
      </c>
      <c r="HO164">
        <v>1</v>
      </c>
      <c r="HR164">
        <v>1</v>
      </c>
      <c r="HS164">
        <v>1</v>
      </c>
      <c r="HV164">
        <v>1</v>
      </c>
      <c r="HW164">
        <v>0</v>
      </c>
      <c r="HZ164">
        <v>0</v>
      </c>
      <c r="IA164">
        <v>0</v>
      </c>
      <c r="ID164">
        <v>0</v>
      </c>
      <c r="IE164">
        <v>0</v>
      </c>
      <c r="IH164">
        <v>0</v>
      </c>
      <c r="II164">
        <v>0</v>
      </c>
      <c r="IL164">
        <v>0</v>
      </c>
      <c r="IM164">
        <v>1</v>
      </c>
      <c r="IP164">
        <v>1</v>
      </c>
      <c r="IQ164">
        <v>0</v>
      </c>
      <c r="IT164">
        <v>0</v>
      </c>
      <c r="IU164">
        <v>0</v>
      </c>
      <c r="IX164">
        <v>0</v>
      </c>
      <c r="IY164">
        <f t="shared" ref="IY164:JB183" ca="1" si="15">SUMIFS($BK164:$IX164,$BK$3:$IX$3,IY$3,$BK$1:$IX$1,"&gt;0")</f>
        <v>4</v>
      </c>
      <c r="IZ164">
        <f t="shared" ca="1" si="15"/>
        <v>0</v>
      </c>
      <c r="JA164">
        <f t="shared" ca="1" si="15"/>
        <v>0</v>
      </c>
      <c r="JB164">
        <f t="shared" ca="1" si="15"/>
        <v>4</v>
      </c>
    </row>
    <row r="165" spans="1:262" x14ac:dyDescent="0.25">
      <c r="A165" s="172">
        <v>162</v>
      </c>
      <c r="B165" s="172" t="s">
        <v>537</v>
      </c>
      <c r="C165">
        <v>0</v>
      </c>
      <c r="F165">
        <v>0</v>
      </c>
      <c r="G165">
        <v>0</v>
      </c>
      <c r="J165">
        <v>0</v>
      </c>
      <c r="K165">
        <v>0</v>
      </c>
      <c r="N165">
        <v>0</v>
      </c>
      <c r="O165">
        <v>6</v>
      </c>
      <c r="R165">
        <v>6</v>
      </c>
      <c r="S165">
        <v>1</v>
      </c>
      <c r="V165">
        <v>1</v>
      </c>
      <c r="W165">
        <v>2</v>
      </c>
      <c r="Z165">
        <v>2</v>
      </c>
      <c r="AA165">
        <v>1</v>
      </c>
      <c r="AD165">
        <v>1</v>
      </c>
      <c r="AE165">
        <v>1</v>
      </c>
      <c r="AH165">
        <v>1</v>
      </c>
      <c r="AI165">
        <v>1</v>
      </c>
      <c r="AL165">
        <v>1</v>
      </c>
      <c r="AM165">
        <v>0</v>
      </c>
      <c r="AP165">
        <v>0</v>
      </c>
      <c r="AQ165">
        <v>1</v>
      </c>
      <c r="AT165">
        <v>1</v>
      </c>
      <c r="AU165">
        <v>0</v>
      </c>
      <c r="AX165">
        <v>0</v>
      </c>
      <c r="AY165">
        <v>0</v>
      </c>
      <c r="BB165">
        <v>0</v>
      </c>
      <c r="BC165">
        <v>1</v>
      </c>
      <c r="BF165">
        <v>1</v>
      </c>
      <c r="BG165">
        <v>0</v>
      </c>
      <c r="BJ165">
        <v>0</v>
      </c>
      <c r="BK165">
        <v>0</v>
      </c>
      <c r="BN165">
        <v>0</v>
      </c>
      <c r="BO165">
        <v>0</v>
      </c>
      <c r="BR165">
        <v>0</v>
      </c>
      <c r="BS165">
        <v>0</v>
      </c>
      <c r="BV165">
        <v>0</v>
      </c>
      <c r="BW165">
        <v>0</v>
      </c>
      <c r="BZ165">
        <v>0</v>
      </c>
      <c r="CA165">
        <v>0</v>
      </c>
      <c r="CD165">
        <v>0</v>
      </c>
      <c r="CE165">
        <v>0</v>
      </c>
      <c r="CH165">
        <v>0</v>
      </c>
      <c r="CI165">
        <v>0</v>
      </c>
      <c r="CL165">
        <v>0</v>
      </c>
      <c r="CM165">
        <v>0</v>
      </c>
      <c r="CP165">
        <v>0</v>
      </c>
      <c r="CQ165">
        <v>0</v>
      </c>
      <c r="CT165">
        <v>0</v>
      </c>
      <c r="CU165">
        <v>0</v>
      </c>
      <c r="CX165">
        <v>0</v>
      </c>
      <c r="CY165">
        <v>0</v>
      </c>
      <c r="DB165">
        <v>0</v>
      </c>
      <c r="DC165">
        <v>0</v>
      </c>
      <c r="DF165">
        <v>0</v>
      </c>
      <c r="DG165">
        <v>0</v>
      </c>
      <c r="DJ165">
        <v>0</v>
      </c>
      <c r="DK165">
        <v>0</v>
      </c>
      <c r="DN165">
        <v>0</v>
      </c>
      <c r="DO165">
        <v>0</v>
      </c>
      <c r="DR165">
        <v>0</v>
      </c>
      <c r="DS165">
        <v>0</v>
      </c>
      <c r="DV165">
        <v>0</v>
      </c>
      <c r="DW165">
        <v>0</v>
      </c>
      <c r="DZ165">
        <v>0</v>
      </c>
      <c r="EA165">
        <v>0</v>
      </c>
      <c r="ED165">
        <v>0</v>
      </c>
      <c r="EE165">
        <v>0</v>
      </c>
      <c r="EH165">
        <v>0</v>
      </c>
      <c r="EI165">
        <v>0</v>
      </c>
      <c r="EL165">
        <v>0</v>
      </c>
      <c r="EM165">
        <v>0</v>
      </c>
      <c r="EP165">
        <v>0</v>
      </c>
      <c r="EQ165">
        <v>0</v>
      </c>
      <c r="ET165">
        <v>0</v>
      </c>
      <c r="EU165">
        <v>0</v>
      </c>
      <c r="EX165">
        <v>0</v>
      </c>
      <c r="EY165">
        <v>0</v>
      </c>
      <c r="FB165">
        <v>0</v>
      </c>
      <c r="FC165">
        <v>0</v>
      </c>
      <c r="FF165">
        <v>0</v>
      </c>
      <c r="FG165">
        <v>0</v>
      </c>
      <c r="FJ165">
        <v>0</v>
      </c>
      <c r="FK165">
        <v>0</v>
      </c>
      <c r="FN165">
        <v>0</v>
      </c>
      <c r="FO165">
        <v>0</v>
      </c>
      <c r="FR165">
        <v>0</v>
      </c>
      <c r="FS165">
        <v>0</v>
      </c>
      <c r="FV165">
        <v>0</v>
      </c>
      <c r="FW165">
        <v>0</v>
      </c>
      <c r="FZ165">
        <v>0</v>
      </c>
      <c r="GA165">
        <v>0</v>
      </c>
      <c r="GD165">
        <v>0</v>
      </c>
      <c r="GE165">
        <v>0</v>
      </c>
      <c r="GH165">
        <v>0</v>
      </c>
      <c r="GI165">
        <v>0</v>
      </c>
      <c r="GL165">
        <v>0</v>
      </c>
      <c r="GM165">
        <v>0</v>
      </c>
      <c r="GP165">
        <v>0</v>
      </c>
      <c r="GQ165">
        <v>0</v>
      </c>
      <c r="GT165">
        <v>0</v>
      </c>
      <c r="GU165">
        <v>0</v>
      </c>
      <c r="GX165">
        <v>0</v>
      </c>
      <c r="GY165">
        <v>1</v>
      </c>
      <c r="HB165">
        <v>1</v>
      </c>
      <c r="HC165">
        <v>0</v>
      </c>
      <c r="HF165">
        <v>0</v>
      </c>
      <c r="HG165">
        <v>0</v>
      </c>
      <c r="HJ165">
        <v>0</v>
      </c>
      <c r="HK165">
        <v>1</v>
      </c>
      <c r="HN165">
        <v>1</v>
      </c>
      <c r="HO165">
        <v>1</v>
      </c>
      <c r="HR165">
        <v>1</v>
      </c>
      <c r="HS165">
        <v>1</v>
      </c>
      <c r="HV165">
        <v>1</v>
      </c>
      <c r="HW165">
        <v>0</v>
      </c>
      <c r="HZ165">
        <v>0</v>
      </c>
      <c r="IA165">
        <v>1</v>
      </c>
      <c r="ID165">
        <v>1</v>
      </c>
      <c r="IE165">
        <v>0</v>
      </c>
      <c r="IH165">
        <v>0</v>
      </c>
      <c r="II165">
        <v>0</v>
      </c>
      <c r="IL165">
        <v>0</v>
      </c>
      <c r="IM165">
        <v>1</v>
      </c>
      <c r="IP165">
        <v>1</v>
      </c>
      <c r="IQ165">
        <v>0</v>
      </c>
      <c r="IT165">
        <v>0</v>
      </c>
      <c r="IU165">
        <v>1</v>
      </c>
      <c r="IX165">
        <v>1</v>
      </c>
      <c r="IY165">
        <f t="shared" ca="1" si="15"/>
        <v>7</v>
      </c>
      <c r="IZ165">
        <f t="shared" ca="1" si="15"/>
        <v>0</v>
      </c>
      <c r="JA165">
        <f t="shared" ca="1" si="15"/>
        <v>0</v>
      </c>
      <c r="JB165">
        <f t="shared" ca="1" si="15"/>
        <v>7</v>
      </c>
    </row>
    <row r="166" spans="1:262" x14ac:dyDescent="0.25">
      <c r="A166" s="172">
        <v>163</v>
      </c>
      <c r="B166" s="172" t="s">
        <v>538</v>
      </c>
      <c r="C166">
        <v>0</v>
      </c>
      <c r="F166">
        <v>0</v>
      </c>
      <c r="G166">
        <v>0</v>
      </c>
      <c r="J166">
        <v>0</v>
      </c>
      <c r="K166">
        <v>0</v>
      </c>
      <c r="N166">
        <v>0</v>
      </c>
      <c r="O166">
        <v>4</v>
      </c>
      <c r="R166">
        <v>4</v>
      </c>
      <c r="S166">
        <v>1</v>
      </c>
      <c r="V166">
        <v>1</v>
      </c>
      <c r="W166">
        <v>2</v>
      </c>
      <c r="Z166">
        <v>2</v>
      </c>
      <c r="AA166">
        <v>1</v>
      </c>
      <c r="AD166">
        <v>1</v>
      </c>
      <c r="AE166">
        <v>1</v>
      </c>
      <c r="AH166">
        <v>1</v>
      </c>
      <c r="AI166">
        <v>1</v>
      </c>
      <c r="AL166">
        <v>1</v>
      </c>
      <c r="AM166">
        <v>0</v>
      </c>
      <c r="AP166">
        <v>0</v>
      </c>
      <c r="AQ166">
        <v>0</v>
      </c>
      <c r="AT166">
        <v>0</v>
      </c>
      <c r="AU166">
        <v>0</v>
      </c>
      <c r="AX166">
        <v>0</v>
      </c>
      <c r="AY166">
        <v>0</v>
      </c>
      <c r="BB166">
        <v>0</v>
      </c>
      <c r="BC166">
        <v>0</v>
      </c>
      <c r="BF166">
        <v>0</v>
      </c>
      <c r="BG166">
        <v>0</v>
      </c>
      <c r="BJ166">
        <v>0</v>
      </c>
      <c r="BK166">
        <v>0</v>
      </c>
      <c r="BN166">
        <v>0</v>
      </c>
      <c r="BO166">
        <v>0</v>
      </c>
      <c r="BR166">
        <v>0</v>
      </c>
      <c r="BS166">
        <v>0</v>
      </c>
      <c r="BV166">
        <v>0</v>
      </c>
      <c r="BW166">
        <v>0</v>
      </c>
      <c r="BZ166">
        <v>0</v>
      </c>
      <c r="CA166">
        <v>0</v>
      </c>
      <c r="CD166">
        <v>0</v>
      </c>
      <c r="CE166">
        <v>0</v>
      </c>
      <c r="CH166">
        <v>0</v>
      </c>
      <c r="CI166">
        <v>0</v>
      </c>
      <c r="CL166">
        <v>0</v>
      </c>
      <c r="CM166">
        <v>0</v>
      </c>
      <c r="CP166">
        <v>0</v>
      </c>
      <c r="CQ166">
        <v>0</v>
      </c>
      <c r="CT166">
        <v>0</v>
      </c>
      <c r="CU166">
        <v>0</v>
      </c>
      <c r="CX166">
        <v>0</v>
      </c>
      <c r="CY166">
        <v>0</v>
      </c>
      <c r="DB166">
        <v>0</v>
      </c>
      <c r="DC166">
        <v>0</v>
      </c>
      <c r="DF166">
        <v>0</v>
      </c>
      <c r="DG166">
        <v>0</v>
      </c>
      <c r="DJ166">
        <v>0</v>
      </c>
      <c r="DK166">
        <v>0</v>
      </c>
      <c r="DN166">
        <v>0</v>
      </c>
      <c r="DO166">
        <v>0</v>
      </c>
      <c r="DR166">
        <v>0</v>
      </c>
      <c r="DS166">
        <v>0</v>
      </c>
      <c r="DV166">
        <v>0</v>
      </c>
      <c r="DW166">
        <v>0</v>
      </c>
      <c r="DZ166">
        <v>0</v>
      </c>
      <c r="EA166">
        <v>0</v>
      </c>
      <c r="ED166">
        <v>0</v>
      </c>
      <c r="EE166">
        <v>0</v>
      </c>
      <c r="EH166">
        <v>0</v>
      </c>
      <c r="EI166">
        <v>0</v>
      </c>
      <c r="EL166">
        <v>0</v>
      </c>
      <c r="EM166">
        <v>0</v>
      </c>
      <c r="EP166">
        <v>0</v>
      </c>
      <c r="EQ166">
        <v>0</v>
      </c>
      <c r="ET166">
        <v>0</v>
      </c>
      <c r="EU166">
        <v>0</v>
      </c>
      <c r="EX166">
        <v>0</v>
      </c>
      <c r="EY166">
        <v>0</v>
      </c>
      <c r="FB166">
        <v>0</v>
      </c>
      <c r="FC166">
        <v>0</v>
      </c>
      <c r="FF166">
        <v>0</v>
      </c>
      <c r="FG166">
        <v>0</v>
      </c>
      <c r="FJ166">
        <v>0</v>
      </c>
      <c r="FK166">
        <v>0</v>
      </c>
      <c r="FN166">
        <v>0</v>
      </c>
      <c r="FO166">
        <v>0</v>
      </c>
      <c r="FR166">
        <v>0</v>
      </c>
      <c r="FS166">
        <v>0</v>
      </c>
      <c r="FV166">
        <v>0</v>
      </c>
      <c r="FW166">
        <v>0</v>
      </c>
      <c r="FZ166">
        <v>0</v>
      </c>
      <c r="GA166">
        <v>0</v>
      </c>
      <c r="GD166">
        <v>0</v>
      </c>
      <c r="GE166">
        <v>0</v>
      </c>
      <c r="GH166">
        <v>0</v>
      </c>
      <c r="GI166">
        <v>0</v>
      </c>
      <c r="GL166">
        <v>0</v>
      </c>
      <c r="GM166">
        <v>0</v>
      </c>
      <c r="GP166">
        <v>0</v>
      </c>
      <c r="GQ166">
        <v>0</v>
      </c>
      <c r="GT166">
        <v>0</v>
      </c>
      <c r="GU166">
        <v>0</v>
      </c>
      <c r="GX166">
        <v>0</v>
      </c>
      <c r="GY166">
        <v>1</v>
      </c>
      <c r="HB166">
        <v>1</v>
      </c>
      <c r="HC166">
        <v>0</v>
      </c>
      <c r="HF166">
        <v>0</v>
      </c>
      <c r="HG166">
        <v>0</v>
      </c>
      <c r="HJ166">
        <v>0</v>
      </c>
      <c r="HK166">
        <v>1</v>
      </c>
      <c r="HN166">
        <v>1</v>
      </c>
      <c r="HO166">
        <v>1</v>
      </c>
      <c r="HR166">
        <v>1</v>
      </c>
      <c r="HS166">
        <v>1</v>
      </c>
      <c r="HV166">
        <v>1</v>
      </c>
      <c r="HW166">
        <v>0</v>
      </c>
      <c r="HZ166">
        <v>0</v>
      </c>
      <c r="IA166">
        <v>0</v>
      </c>
      <c r="ID166">
        <v>0</v>
      </c>
      <c r="IE166">
        <v>0</v>
      </c>
      <c r="IH166">
        <v>0</v>
      </c>
      <c r="II166">
        <v>0</v>
      </c>
      <c r="IL166">
        <v>0</v>
      </c>
      <c r="IM166">
        <v>0</v>
      </c>
      <c r="IP166">
        <v>0</v>
      </c>
      <c r="IQ166">
        <v>0</v>
      </c>
      <c r="IT166">
        <v>0</v>
      </c>
      <c r="IU166">
        <v>1</v>
      </c>
      <c r="IX166">
        <v>1</v>
      </c>
      <c r="IY166">
        <f t="shared" ca="1" si="15"/>
        <v>5</v>
      </c>
      <c r="IZ166">
        <f t="shared" ca="1" si="15"/>
        <v>0</v>
      </c>
      <c r="JA166">
        <f t="shared" ca="1" si="15"/>
        <v>0</v>
      </c>
      <c r="JB166">
        <f t="shared" ca="1" si="15"/>
        <v>5</v>
      </c>
    </row>
    <row r="167" spans="1:262" x14ac:dyDescent="0.25">
      <c r="A167" s="172">
        <v>164</v>
      </c>
      <c r="B167" s="172" t="s">
        <v>527</v>
      </c>
      <c r="C167">
        <v>0</v>
      </c>
      <c r="F167">
        <v>0</v>
      </c>
      <c r="G167">
        <v>0</v>
      </c>
      <c r="J167">
        <v>0</v>
      </c>
      <c r="K167">
        <v>0</v>
      </c>
      <c r="N167">
        <v>0</v>
      </c>
      <c r="O167">
        <v>0</v>
      </c>
      <c r="R167">
        <v>0</v>
      </c>
      <c r="S167">
        <v>1</v>
      </c>
      <c r="V167">
        <v>1</v>
      </c>
      <c r="W167">
        <v>1</v>
      </c>
      <c r="Z167">
        <v>1</v>
      </c>
      <c r="AA167">
        <v>0</v>
      </c>
      <c r="AD167">
        <v>0</v>
      </c>
      <c r="AE167">
        <v>0</v>
      </c>
      <c r="AH167">
        <v>0</v>
      </c>
      <c r="AI167">
        <v>0</v>
      </c>
      <c r="AL167">
        <v>0</v>
      </c>
      <c r="AM167">
        <v>0</v>
      </c>
      <c r="AP167">
        <v>0</v>
      </c>
      <c r="AQ167">
        <v>0</v>
      </c>
      <c r="AT167">
        <v>0</v>
      </c>
      <c r="AU167">
        <v>0</v>
      </c>
      <c r="AX167">
        <v>0</v>
      </c>
      <c r="AY167">
        <v>0</v>
      </c>
      <c r="BB167">
        <v>0</v>
      </c>
      <c r="BC167">
        <v>0</v>
      </c>
      <c r="BF167">
        <v>0</v>
      </c>
      <c r="BG167">
        <v>0</v>
      </c>
      <c r="BJ167">
        <v>0</v>
      </c>
      <c r="BK167">
        <v>0</v>
      </c>
      <c r="BN167">
        <v>0</v>
      </c>
      <c r="BO167">
        <v>0</v>
      </c>
      <c r="BR167">
        <v>0</v>
      </c>
      <c r="BS167">
        <v>0</v>
      </c>
      <c r="BV167">
        <v>0</v>
      </c>
      <c r="BW167">
        <v>0</v>
      </c>
      <c r="BZ167">
        <v>0</v>
      </c>
      <c r="CA167">
        <v>0</v>
      </c>
      <c r="CD167">
        <v>0</v>
      </c>
      <c r="CE167">
        <v>0</v>
      </c>
      <c r="CH167">
        <v>0</v>
      </c>
      <c r="CI167">
        <v>0</v>
      </c>
      <c r="CL167">
        <v>0</v>
      </c>
      <c r="CM167">
        <v>0</v>
      </c>
      <c r="CP167">
        <v>0</v>
      </c>
      <c r="CQ167">
        <v>0</v>
      </c>
      <c r="CT167">
        <v>0</v>
      </c>
      <c r="CU167">
        <v>0</v>
      </c>
      <c r="CX167">
        <v>0</v>
      </c>
      <c r="CY167">
        <v>0</v>
      </c>
      <c r="DB167">
        <v>0</v>
      </c>
      <c r="DC167">
        <v>0</v>
      </c>
      <c r="DF167">
        <v>0</v>
      </c>
      <c r="DG167">
        <v>0</v>
      </c>
      <c r="DJ167">
        <v>0</v>
      </c>
      <c r="DK167">
        <v>0</v>
      </c>
      <c r="DN167">
        <v>0</v>
      </c>
      <c r="DO167">
        <v>0</v>
      </c>
      <c r="DR167">
        <v>0</v>
      </c>
      <c r="DS167">
        <v>0</v>
      </c>
      <c r="DV167">
        <v>0</v>
      </c>
      <c r="DW167">
        <v>0</v>
      </c>
      <c r="DZ167">
        <v>0</v>
      </c>
      <c r="EA167">
        <v>0</v>
      </c>
      <c r="ED167">
        <v>0</v>
      </c>
      <c r="EE167">
        <v>0</v>
      </c>
      <c r="EH167">
        <v>0</v>
      </c>
      <c r="EI167">
        <v>0</v>
      </c>
      <c r="EL167">
        <v>0</v>
      </c>
      <c r="EM167">
        <v>0</v>
      </c>
      <c r="EP167">
        <v>0</v>
      </c>
      <c r="EQ167">
        <v>0</v>
      </c>
      <c r="ET167">
        <v>0</v>
      </c>
      <c r="EU167">
        <v>0</v>
      </c>
      <c r="EX167">
        <v>0</v>
      </c>
      <c r="EY167">
        <v>0</v>
      </c>
      <c r="FB167">
        <v>0</v>
      </c>
      <c r="FC167">
        <v>0</v>
      </c>
      <c r="FF167">
        <v>0</v>
      </c>
      <c r="FG167">
        <v>0</v>
      </c>
      <c r="FJ167">
        <v>0</v>
      </c>
      <c r="FK167">
        <v>0</v>
      </c>
      <c r="FN167">
        <v>0</v>
      </c>
      <c r="FO167">
        <v>0</v>
      </c>
      <c r="FR167">
        <v>0</v>
      </c>
      <c r="FS167">
        <v>0</v>
      </c>
      <c r="FV167">
        <v>0</v>
      </c>
      <c r="FW167">
        <v>0</v>
      </c>
      <c r="FZ167">
        <v>0</v>
      </c>
      <c r="GA167">
        <v>0</v>
      </c>
      <c r="GD167">
        <v>0</v>
      </c>
      <c r="GE167">
        <v>0</v>
      </c>
      <c r="GH167">
        <v>0</v>
      </c>
      <c r="GI167">
        <v>0</v>
      </c>
      <c r="GL167">
        <v>0</v>
      </c>
      <c r="GM167">
        <v>0</v>
      </c>
      <c r="GP167">
        <v>0</v>
      </c>
      <c r="GQ167">
        <v>0</v>
      </c>
      <c r="GT167">
        <v>0</v>
      </c>
      <c r="GU167">
        <v>0</v>
      </c>
      <c r="GX167">
        <v>0</v>
      </c>
      <c r="GY167">
        <v>0</v>
      </c>
      <c r="HB167">
        <v>0</v>
      </c>
      <c r="HC167">
        <v>0</v>
      </c>
      <c r="HF167">
        <v>0</v>
      </c>
      <c r="HG167">
        <v>0</v>
      </c>
      <c r="HJ167">
        <v>0</v>
      </c>
      <c r="HK167">
        <v>0</v>
      </c>
      <c r="HN167">
        <v>0</v>
      </c>
      <c r="HO167">
        <v>0</v>
      </c>
      <c r="HR167">
        <v>0</v>
      </c>
      <c r="HS167">
        <v>0</v>
      </c>
      <c r="HV167">
        <v>0</v>
      </c>
      <c r="HW167">
        <v>0</v>
      </c>
      <c r="HZ167">
        <v>0</v>
      </c>
      <c r="IA167">
        <v>0</v>
      </c>
      <c r="ID167">
        <v>0</v>
      </c>
      <c r="IE167">
        <v>0</v>
      </c>
      <c r="IH167">
        <v>0</v>
      </c>
      <c r="II167">
        <v>0</v>
      </c>
      <c r="IL167">
        <v>0</v>
      </c>
      <c r="IM167">
        <v>0</v>
      </c>
      <c r="IP167">
        <v>0</v>
      </c>
      <c r="IQ167">
        <v>0</v>
      </c>
      <c r="IT167">
        <v>0</v>
      </c>
      <c r="IU167">
        <v>1</v>
      </c>
      <c r="IX167">
        <v>1</v>
      </c>
      <c r="IY167">
        <f t="shared" ca="1" si="15"/>
        <v>1</v>
      </c>
      <c r="IZ167">
        <f t="shared" ca="1" si="15"/>
        <v>0</v>
      </c>
      <c r="JA167">
        <f t="shared" ca="1" si="15"/>
        <v>0</v>
      </c>
      <c r="JB167">
        <f t="shared" ca="1" si="15"/>
        <v>1</v>
      </c>
    </row>
    <row r="168" spans="1:262" x14ac:dyDescent="0.25">
      <c r="A168" s="172">
        <v>165</v>
      </c>
      <c r="B168" s="172" t="s">
        <v>519</v>
      </c>
      <c r="C168">
        <v>1</v>
      </c>
      <c r="F168">
        <v>1</v>
      </c>
      <c r="G168">
        <v>2</v>
      </c>
      <c r="J168">
        <v>2</v>
      </c>
      <c r="K168">
        <v>1</v>
      </c>
      <c r="N168">
        <v>1</v>
      </c>
      <c r="O168">
        <v>0</v>
      </c>
      <c r="R168">
        <v>0</v>
      </c>
      <c r="S168">
        <v>1</v>
      </c>
      <c r="V168">
        <v>1</v>
      </c>
      <c r="W168">
        <v>1</v>
      </c>
      <c r="Z168">
        <v>1</v>
      </c>
      <c r="AA168">
        <v>1</v>
      </c>
      <c r="AD168">
        <v>1</v>
      </c>
      <c r="AE168">
        <v>0</v>
      </c>
      <c r="AH168">
        <v>0</v>
      </c>
      <c r="AI168">
        <v>0</v>
      </c>
      <c r="AL168">
        <v>0</v>
      </c>
      <c r="AM168">
        <v>1</v>
      </c>
      <c r="AP168">
        <v>1</v>
      </c>
      <c r="AQ168">
        <v>0</v>
      </c>
      <c r="AT168">
        <v>0</v>
      </c>
      <c r="AU168">
        <v>0</v>
      </c>
      <c r="AX168">
        <v>0</v>
      </c>
      <c r="AY168">
        <v>1</v>
      </c>
      <c r="BB168">
        <v>1</v>
      </c>
      <c r="BC168">
        <v>0</v>
      </c>
      <c r="BF168">
        <v>0</v>
      </c>
      <c r="BG168">
        <v>1</v>
      </c>
      <c r="BJ168">
        <v>1</v>
      </c>
      <c r="BK168">
        <v>0</v>
      </c>
      <c r="BN168">
        <v>0</v>
      </c>
      <c r="BO168">
        <v>1</v>
      </c>
      <c r="BR168">
        <v>1</v>
      </c>
      <c r="BS168">
        <v>0</v>
      </c>
      <c r="BV168">
        <v>0</v>
      </c>
      <c r="BW168">
        <v>0</v>
      </c>
      <c r="BZ168">
        <v>0</v>
      </c>
      <c r="CA168">
        <v>1</v>
      </c>
      <c r="CD168">
        <v>1</v>
      </c>
      <c r="CE168">
        <v>0</v>
      </c>
      <c r="CH168">
        <v>0</v>
      </c>
      <c r="CI168">
        <v>0</v>
      </c>
      <c r="CL168">
        <v>0</v>
      </c>
      <c r="CM168">
        <v>0</v>
      </c>
      <c r="CP168">
        <v>0</v>
      </c>
      <c r="CQ168">
        <v>0</v>
      </c>
      <c r="CT168">
        <v>0</v>
      </c>
      <c r="CU168">
        <v>0</v>
      </c>
      <c r="CX168">
        <v>0</v>
      </c>
      <c r="CY168">
        <v>0</v>
      </c>
      <c r="DB168">
        <v>0</v>
      </c>
      <c r="DC168">
        <v>0</v>
      </c>
      <c r="DF168">
        <v>0</v>
      </c>
      <c r="DG168">
        <v>0</v>
      </c>
      <c r="DJ168">
        <v>0</v>
      </c>
      <c r="DK168">
        <v>0</v>
      </c>
      <c r="DN168">
        <v>0</v>
      </c>
      <c r="DO168">
        <v>0</v>
      </c>
      <c r="DR168">
        <v>0</v>
      </c>
      <c r="DS168">
        <v>0</v>
      </c>
      <c r="DV168">
        <v>0</v>
      </c>
      <c r="DW168">
        <v>0</v>
      </c>
      <c r="DZ168">
        <v>0</v>
      </c>
      <c r="EA168">
        <v>0</v>
      </c>
      <c r="ED168">
        <v>0</v>
      </c>
      <c r="EE168">
        <v>0</v>
      </c>
      <c r="EH168">
        <v>0</v>
      </c>
      <c r="EI168">
        <v>0</v>
      </c>
      <c r="EL168">
        <v>0</v>
      </c>
      <c r="EM168">
        <v>1</v>
      </c>
      <c r="EP168">
        <v>1</v>
      </c>
      <c r="EQ168">
        <v>0</v>
      </c>
      <c r="ET168">
        <v>0</v>
      </c>
      <c r="EU168">
        <v>0</v>
      </c>
      <c r="EX168">
        <v>0</v>
      </c>
      <c r="EY168">
        <v>0</v>
      </c>
      <c r="FB168">
        <v>0</v>
      </c>
      <c r="FC168">
        <v>0</v>
      </c>
      <c r="FF168">
        <v>0</v>
      </c>
      <c r="FG168">
        <v>0</v>
      </c>
      <c r="FJ168">
        <v>0</v>
      </c>
      <c r="FK168">
        <v>0</v>
      </c>
      <c r="FN168">
        <v>0</v>
      </c>
      <c r="FO168">
        <v>0</v>
      </c>
      <c r="FR168">
        <v>0</v>
      </c>
      <c r="FS168">
        <v>1</v>
      </c>
      <c r="FV168">
        <v>1</v>
      </c>
      <c r="FW168">
        <v>0</v>
      </c>
      <c r="FZ168">
        <v>0</v>
      </c>
      <c r="GA168">
        <v>0</v>
      </c>
      <c r="GD168">
        <v>0</v>
      </c>
      <c r="GE168">
        <v>0</v>
      </c>
      <c r="GH168">
        <v>0</v>
      </c>
      <c r="GI168">
        <v>0</v>
      </c>
      <c r="GL168">
        <v>0</v>
      </c>
      <c r="GM168">
        <v>0</v>
      </c>
      <c r="GP168">
        <v>0</v>
      </c>
      <c r="GQ168">
        <v>0</v>
      </c>
      <c r="GT168">
        <v>0</v>
      </c>
      <c r="GU168">
        <v>0</v>
      </c>
      <c r="GX168">
        <v>0</v>
      </c>
      <c r="GY168">
        <v>0</v>
      </c>
      <c r="HB168">
        <v>0</v>
      </c>
      <c r="HC168">
        <v>0</v>
      </c>
      <c r="HF168">
        <v>0</v>
      </c>
      <c r="HG168">
        <v>0</v>
      </c>
      <c r="HJ168">
        <v>0</v>
      </c>
      <c r="HK168">
        <v>0</v>
      </c>
      <c r="HN168">
        <v>0</v>
      </c>
      <c r="HO168">
        <v>0</v>
      </c>
      <c r="HR168">
        <v>0</v>
      </c>
      <c r="HS168">
        <v>0</v>
      </c>
      <c r="HV168">
        <v>0</v>
      </c>
      <c r="HW168">
        <v>0</v>
      </c>
      <c r="HZ168">
        <v>0</v>
      </c>
      <c r="IA168">
        <v>0</v>
      </c>
      <c r="ID168">
        <v>0</v>
      </c>
      <c r="IE168">
        <v>0</v>
      </c>
      <c r="IH168">
        <v>0</v>
      </c>
      <c r="II168">
        <v>0</v>
      </c>
      <c r="IL168">
        <v>0</v>
      </c>
      <c r="IM168">
        <v>0</v>
      </c>
      <c r="IP168">
        <v>0</v>
      </c>
      <c r="IQ168">
        <v>0</v>
      </c>
      <c r="IT168">
        <v>0</v>
      </c>
      <c r="IU168">
        <v>1</v>
      </c>
      <c r="IX168">
        <v>1</v>
      </c>
      <c r="IY168">
        <f t="shared" ca="1" si="15"/>
        <v>5</v>
      </c>
      <c r="IZ168">
        <f t="shared" ca="1" si="15"/>
        <v>0</v>
      </c>
      <c r="JA168">
        <f t="shared" ca="1" si="15"/>
        <v>0</v>
      </c>
      <c r="JB168">
        <f t="shared" ca="1" si="15"/>
        <v>5</v>
      </c>
    </row>
    <row r="169" spans="1:262" x14ac:dyDescent="0.25">
      <c r="A169" s="172">
        <v>166</v>
      </c>
      <c r="B169" s="172" t="s">
        <v>528</v>
      </c>
      <c r="C169">
        <v>0</v>
      </c>
      <c r="F169">
        <v>0</v>
      </c>
      <c r="G169">
        <v>3</v>
      </c>
      <c r="J169">
        <v>3</v>
      </c>
      <c r="K169">
        <v>0</v>
      </c>
      <c r="N169">
        <v>0</v>
      </c>
      <c r="O169">
        <v>2</v>
      </c>
      <c r="R169">
        <v>2</v>
      </c>
      <c r="S169">
        <v>0</v>
      </c>
      <c r="V169">
        <v>0</v>
      </c>
      <c r="W169">
        <v>0</v>
      </c>
      <c r="Z169">
        <v>0</v>
      </c>
      <c r="AA169">
        <v>0</v>
      </c>
      <c r="AD169">
        <v>0</v>
      </c>
      <c r="AE169">
        <v>1</v>
      </c>
      <c r="AH169">
        <v>1</v>
      </c>
      <c r="AI169">
        <v>3</v>
      </c>
      <c r="AL169">
        <v>3</v>
      </c>
      <c r="AM169">
        <v>0</v>
      </c>
      <c r="AP169">
        <v>0</v>
      </c>
      <c r="AQ169">
        <v>0</v>
      </c>
      <c r="AT169">
        <v>0</v>
      </c>
      <c r="AU169">
        <v>0</v>
      </c>
      <c r="AX169">
        <v>0</v>
      </c>
      <c r="AY169">
        <v>1</v>
      </c>
      <c r="BB169">
        <v>1</v>
      </c>
      <c r="BC169">
        <v>0</v>
      </c>
      <c r="BF169">
        <v>0</v>
      </c>
      <c r="BG169">
        <v>0</v>
      </c>
      <c r="BJ169">
        <v>0</v>
      </c>
      <c r="BK169">
        <v>0</v>
      </c>
      <c r="BN169">
        <v>0</v>
      </c>
      <c r="BO169">
        <v>0</v>
      </c>
      <c r="BR169">
        <v>0</v>
      </c>
      <c r="BS169">
        <v>0</v>
      </c>
      <c r="BV169">
        <v>0</v>
      </c>
      <c r="BW169">
        <v>0</v>
      </c>
      <c r="BZ169">
        <v>0</v>
      </c>
      <c r="CA169">
        <v>0</v>
      </c>
      <c r="CD169">
        <v>0</v>
      </c>
      <c r="CE169">
        <v>0</v>
      </c>
      <c r="CH169">
        <v>0</v>
      </c>
      <c r="CI169">
        <v>0</v>
      </c>
      <c r="CL169">
        <v>0</v>
      </c>
      <c r="CM169">
        <v>0</v>
      </c>
      <c r="CP169">
        <v>0</v>
      </c>
      <c r="CQ169">
        <v>0</v>
      </c>
      <c r="CT169">
        <v>0</v>
      </c>
      <c r="CU169">
        <v>0</v>
      </c>
      <c r="CX169">
        <v>0</v>
      </c>
      <c r="CY169">
        <v>1</v>
      </c>
      <c r="DB169">
        <v>1</v>
      </c>
      <c r="DC169">
        <v>0</v>
      </c>
      <c r="DF169">
        <v>0</v>
      </c>
      <c r="DG169">
        <v>0</v>
      </c>
      <c r="DJ169">
        <v>0</v>
      </c>
      <c r="DK169">
        <v>1</v>
      </c>
      <c r="DN169">
        <v>1</v>
      </c>
      <c r="DO169">
        <v>1</v>
      </c>
      <c r="DR169">
        <v>1</v>
      </c>
      <c r="DS169">
        <v>0</v>
      </c>
      <c r="DV169">
        <v>0</v>
      </c>
      <c r="DW169">
        <v>0</v>
      </c>
      <c r="DZ169">
        <v>0</v>
      </c>
      <c r="EA169">
        <v>0</v>
      </c>
      <c r="ED169">
        <v>0</v>
      </c>
      <c r="EE169">
        <v>0</v>
      </c>
      <c r="EH169">
        <v>0</v>
      </c>
      <c r="EI169">
        <v>0</v>
      </c>
      <c r="EL169">
        <v>0</v>
      </c>
      <c r="EM169">
        <v>0</v>
      </c>
      <c r="EP169">
        <v>0</v>
      </c>
      <c r="EQ169">
        <v>0</v>
      </c>
      <c r="ET169">
        <v>0</v>
      </c>
      <c r="EU169">
        <v>0</v>
      </c>
      <c r="EX169">
        <v>0</v>
      </c>
      <c r="EY169">
        <v>0</v>
      </c>
      <c r="FB169">
        <v>0</v>
      </c>
      <c r="FC169">
        <v>0</v>
      </c>
      <c r="FF169">
        <v>0</v>
      </c>
      <c r="FG169">
        <v>0</v>
      </c>
      <c r="FJ169">
        <v>0</v>
      </c>
      <c r="FK169">
        <v>0</v>
      </c>
      <c r="FN169">
        <v>0</v>
      </c>
      <c r="FO169">
        <v>0</v>
      </c>
      <c r="FR169">
        <v>0</v>
      </c>
      <c r="FS169">
        <v>0</v>
      </c>
      <c r="FV169">
        <v>0</v>
      </c>
      <c r="FW169">
        <v>0</v>
      </c>
      <c r="FZ169">
        <v>0</v>
      </c>
      <c r="GA169">
        <v>0</v>
      </c>
      <c r="GD169">
        <v>0</v>
      </c>
      <c r="GE169">
        <v>0</v>
      </c>
      <c r="GH169">
        <v>0</v>
      </c>
      <c r="GI169">
        <v>0</v>
      </c>
      <c r="GL169">
        <v>0</v>
      </c>
      <c r="GM169">
        <v>0</v>
      </c>
      <c r="GP169">
        <v>0</v>
      </c>
      <c r="GQ169">
        <v>0</v>
      </c>
      <c r="GT169">
        <v>0</v>
      </c>
      <c r="GU169">
        <v>0</v>
      </c>
      <c r="GX169">
        <v>0</v>
      </c>
      <c r="GY169">
        <v>0</v>
      </c>
      <c r="HB169">
        <v>0</v>
      </c>
      <c r="HC169">
        <v>0</v>
      </c>
      <c r="HF169">
        <v>0</v>
      </c>
      <c r="HG169">
        <v>0</v>
      </c>
      <c r="HJ169">
        <v>0</v>
      </c>
      <c r="HK169">
        <v>0</v>
      </c>
      <c r="HN169">
        <v>0</v>
      </c>
      <c r="HO169">
        <v>0</v>
      </c>
      <c r="HR169">
        <v>0</v>
      </c>
      <c r="HS169">
        <v>1</v>
      </c>
      <c r="HV169">
        <v>1</v>
      </c>
      <c r="HW169">
        <v>0</v>
      </c>
      <c r="HZ169">
        <v>0</v>
      </c>
      <c r="IA169">
        <v>0</v>
      </c>
      <c r="ID169">
        <v>0</v>
      </c>
      <c r="IE169">
        <v>0</v>
      </c>
      <c r="IH169">
        <v>0</v>
      </c>
      <c r="II169">
        <v>1</v>
      </c>
      <c r="IL169">
        <v>1</v>
      </c>
      <c r="IM169">
        <v>0</v>
      </c>
      <c r="IP169">
        <v>0</v>
      </c>
      <c r="IQ169">
        <v>0</v>
      </c>
      <c r="IT169">
        <v>0</v>
      </c>
      <c r="IU169">
        <v>0</v>
      </c>
      <c r="IX169">
        <v>0</v>
      </c>
      <c r="IY169">
        <f t="shared" ca="1" si="15"/>
        <v>5</v>
      </c>
      <c r="IZ169">
        <f t="shared" ca="1" si="15"/>
        <v>0</v>
      </c>
      <c r="JA169">
        <f t="shared" ca="1" si="15"/>
        <v>0</v>
      </c>
      <c r="JB169">
        <f t="shared" ca="1" si="15"/>
        <v>5</v>
      </c>
    </row>
    <row r="170" spans="1:262" x14ac:dyDescent="0.25">
      <c r="A170" s="172">
        <v>167</v>
      </c>
      <c r="B170" s="172" t="s">
        <v>533</v>
      </c>
      <c r="C170">
        <v>0</v>
      </c>
      <c r="F170">
        <v>0</v>
      </c>
      <c r="G170">
        <v>2</v>
      </c>
      <c r="J170">
        <v>2</v>
      </c>
      <c r="K170">
        <v>0</v>
      </c>
      <c r="N170">
        <v>0</v>
      </c>
      <c r="O170">
        <v>0</v>
      </c>
      <c r="R170">
        <v>0</v>
      </c>
      <c r="S170">
        <v>0</v>
      </c>
      <c r="V170">
        <v>0</v>
      </c>
      <c r="W170">
        <v>0</v>
      </c>
      <c r="Z170">
        <v>0</v>
      </c>
      <c r="AA170">
        <v>0</v>
      </c>
      <c r="AD170">
        <v>0</v>
      </c>
      <c r="AE170">
        <v>1</v>
      </c>
      <c r="AH170">
        <v>1</v>
      </c>
      <c r="AI170">
        <v>0</v>
      </c>
      <c r="AL170">
        <v>0</v>
      </c>
      <c r="AM170">
        <v>0</v>
      </c>
      <c r="AP170">
        <v>0</v>
      </c>
      <c r="AQ170">
        <v>0</v>
      </c>
      <c r="AT170">
        <v>0</v>
      </c>
      <c r="AU170">
        <v>0</v>
      </c>
      <c r="AX170">
        <v>0</v>
      </c>
      <c r="AY170">
        <v>1</v>
      </c>
      <c r="BB170">
        <v>1</v>
      </c>
      <c r="BC170">
        <v>0</v>
      </c>
      <c r="BF170">
        <v>0</v>
      </c>
      <c r="BG170">
        <v>0</v>
      </c>
      <c r="BJ170">
        <v>0</v>
      </c>
      <c r="BK170">
        <v>0</v>
      </c>
      <c r="BN170">
        <v>0</v>
      </c>
      <c r="BO170">
        <v>0</v>
      </c>
      <c r="BR170">
        <v>0</v>
      </c>
      <c r="BS170">
        <v>0</v>
      </c>
      <c r="BV170">
        <v>0</v>
      </c>
      <c r="BW170">
        <v>0</v>
      </c>
      <c r="BZ170">
        <v>0</v>
      </c>
      <c r="CA170">
        <v>0</v>
      </c>
      <c r="CD170">
        <v>0</v>
      </c>
      <c r="CE170">
        <v>0</v>
      </c>
      <c r="CH170">
        <v>0</v>
      </c>
      <c r="CI170">
        <v>0</v>
      </c>
      <c r="CL170">
        <v>0</v>
      </c>
      <c r="CM170">
        <v>0</v>
      </c>
      <c r="CP170">
        <v>0</v>
      </c>
      <c r="CQ170">
        <v>0</v>
      </c>
      <c r="CT170">
        <v>0</v>
      </c>
      <c r="CU170">
        <v>0</v>
      </c>
      <c r="CX170">
        <v>0</v>
      </c>
      <c r="CY170">
        <v>0</v>
      </c>
      <c r="DB170">
        <v>0</v>
      </c>
      <c r="DC170">
        <v>1</v>
      </c>
      <c r="DF170">
        <v>1</v>
      </c>
      <c r="DG170">
        <v>0</v>
      </c>
      <c r="DJ170">
        <v>0</v>
      </c>
      <c r="DK170">
        <v>0</v>
      </c>
      <c r="DN170">
        <v>0</v>
      </c>
      <c r="DO170">
        <v>0</v>
      </c>
      <c r="DR170">
        <v>0</v>
      </c>
      <c r="DS170">
        <v>0</v>
      </c>
      <c r="DV170">
        <v>0</v>
      </c>
      <c r="DW170">
        <v>0</v>
      </c>
      <c r="DZ170">
        <v>0</v>
      </c>
      <c r="EA170">
        <v>0</v>
      </c>
      <c r="ED170">
        <v>0</v>
      </c>
      <c r="EE170">
        <v>0</v>
      </c>
      <c r="EH170">
        <v>0</v>
      </c>
      <c r="EI170">
        <v>0</v>
      </c>
      <c r="EL170">
        <v>0</v>
      </c>
      <c r="EM170">
        <v>0</v>
      </c>
      <c r="EP170">
        <v>0</v>
      </c>
      <c r="EQ170">
        <v>0</v>
      </c>
      <c r="ET170">
        <v>0</v>
      </c>
      <c r="EU170">
        <v>1</v>
      </c>
      <c r="EX170">
        <v>1</v>
      </c>
      <c r="EY170">
        <v>0</v>
      </c>
      <c r="FB170">
        <v>0</v>
      </c>
      <c r="FC170">
        <v>0</v>
      </c>
      <c r="FF170">
        <v>0</v>
      </c>
      <c r="FG170">
        <v>0</v>
      </c>
      <c r="FJ170">
        <v>0</v>
      </c>
      <c r="FK170">
        <v>0</v>
      </c>
      <c r="FN170">
        <v>0</v>
      </c>
      <c r="FO170">
        <v>0</v>
      </c>
      <c r="FR170">
        <v>0</v>
      </c>
      <c r="FS170">
        <v>0</v>
      </c>
      <c r="FV170">
        <v>0</v>
      </c>
      <c r="FW170">
        <v>0</v>
      </c>
      <c r="FZ170">
        <v>0</v>
      </c>
      <c r="GA170">
        <v>0</v>
      </c>
      <c r="GD170">
        <v>0</v>
      </c>
      <c r="GE170">
        <v>0</v>
      </c>
      <c r="GH170">
        <v>0</v>
      </c>
      <c r="GI170">
        <v>0</v>
      </c>
      <c r="GL170">
        <v>0</v>
      </c>
      <c r="GM170">
        <v>0</v>
      </c>
      <c r="GP170">
        <v>0</v>
      </c>
      <c r="GQ170">
        <v>0</v>
      </c>
      <c r="GT170">
        <v>0</v>
      </c>
      <c r="GU170">
        <v>0</v>
      </c>
      <c r="GX170">
        <v>0</v>
      </c>
      <c r="GY170">
        <v>0</v>
      </c>
      <c r="HB170">
        <v>0</v>
      </c>
      <c r="HC170">
        <v>0</v>
      </c>
      <c r="HF170">
        <v>0</v>
      </c>
      <c r="HG170">
        <v>0</v>
      </c>
      <c r="HJ170">
        <v>0</v>
      </c>
      <c r="HK170">
        <v>0</v>
      </c>
      <c r="HN170">
        <v>0</v>
      </c>
      <c r="HO170">
        <v>0</v>
      </c>
      <c r="HR170">
        <v>0</v>
      </c>
      <c r="HS170">
        <v>0</v>
      </c>
      <c r="HV170">
        <v>0</v>
      </c>
      <c r="HW170">
        <v>0</v>
      </c>
      <c r="HZ170">
        <v>0</v>
      </c>
      <c r="IA170">
        <v>0</v>
      </c>
      <c r="ID170">
        <v>0</v>
      </c>
      <c r="IE170">
        <v>0</v>
      </c>
      <c r="IH170">
        <v>0</v>
      </c>
      <c r="II170">
        <v>0</v>
      </c>
      <c r="IL170">
        <v>0</v>
      </c>
      <c r="IM170">
        <v>0</v>
      </c>
      <c r="IP170">
        <v>0</v>
      </c>
      <c r="IQ170">
        <v>0</v>
      </c>
      <c r="IT170">
        <v>0</v>
      </c>
      <c r="IU170">
        <v>0</v>
      </c>
      <c r="IX170">
        <v>0</v>
      </c>
      <c r="IY170">
        <f t="shared" ca="1" si="15"/>
        <v>2</v>
      </c>
      <c r="IZ170">
        <f t="shared" ca="1" si="15"/>
        <v>0</v>
      </c>
      <c r="JA170">
        <f t="shared" ca="1" si="15"/>
        <v>0</v>
      </c>
      <c r="JB170">
        <f t="shared" ca="1" si="15"/>
        <v>2</v>
      </c>
    </row>
    <row r="171" spans="1:262" x14ac:dyDescent="0.25">
      <c r="A171" s="172">
        <v>168</v>
      </c>
      <c r="B171" s="172" t="s">
        <v>595</v>
      </c>
      <c r="C171">
        <v>0</v>
      </c>
      <c r="F171">
        <v>0</v>
      </c>
      <c r="G171">
        <v>1</v>
      </c>
      <c r="J171">
        <v>1</v>
      </c>
      <c r="K171">
        <v>0</v>
      </c>
      <c r="N171">
        <v>0</v>
      </c>
      <c r="O171">
        <v>1</v>
      </c>
      <c r="R171">
        <v>1</v>
      </c>
      <c r="S171">
        <v>0</v>
      </c>
      <c r="V171">
        <v>0</v>
      </c>
      <c r="W171">
        <v>0</v>
      </c>
      <c r="Z171">
        <v>0</v>
      </c>
      <c r="AA171">
        <v>0</v>
      </c>
      <c r="AD171">
        <v>0</v>
      </c>
      <c r="AE171">
        <v>2</v>
      </c>
      <c r="AH171">
        <v>2</v>
      </c>
      <c r="AI171">
        <v>0</v>
      </c>
      <c r="AL171">
        <v>0</v>
      </c>
      <c r="AM171">
        <v>0</v>
      </c>
      <c r="AP171">
        <v>0</v>
      </c>
      <c r="AQ171">
        <v>0</v>
      </c>
      <c r="AT171">
        <v>0</v>
      </c>
      <c r="AU171">
        <v>0</v>
      </c>
      <c r="AX171">
        <v>0</v>
      </c>
      <c r="AY171">
        <v>0</v>
      </c>
      <c r="BB171">
        <v>0</v>
      </c>
      <c r="BC171">
        <v>0</v>
      </c>
      <c r="BF171">
        <v>0</v>
      </c>
      <c r="BG171">
        <v>0</v>
      </c>
      <c r="BJ171">
        <v>0</v>
      </c>
      <c r="BK171">
        <v>0</v>
      </c>
      <c r="BN171">
        <v>0</v>
      </c>
      <c r="BO171">
        <v>0</v>
      </c>
      <c r="BR171">
        <v>0</v>
      </c>
      <c r="BS171">
        <v>0</v>
      </c>
      <c r="BV171">
        <v>0</v>
      </c>
      <c r="BW171">
        <v>0</v>
      </c>
      <c r="BZ171">
        <v>0</v>
      </c>
      <c r="CA171">
        <v>0</v>
      </c>
      <c r="CD171">
        <v>0</v>
      </c>
      <c r="CE171">
        <v>0</v>
      </c>
      <c r="CH171">
        <v>0</v>
      </c>
      <c r="CI171">
        <v>0</v>
      </c>
      <c r="CL171">
        <v>0</v>
      </c>
      <c r="CM171">
        <v>0</v>
      </c>
      <c r="CP171">
        <v>0</v>
      </c>
      <c r="CQ171">
        <v>0</v>
      </c>
      <c r="CT171">
        <v>0</v>
      </c>
      <c r="CU171">
        <v>0</v>
      </c>
      <c r="CX171">
        <v>0</v>
      </c>
      <c r="CY171">
        <v>0</v>
      </c>
      <c r="DB171">
        <v>0</v>
      </c>
      <c r="DC171">
        <v>1</v>
      </c>
      <c r="DF171">
        <v>1</v>
      </c>
      <c r="DG171">
        <v>0</v>
      </c>
      <c r="DJ171">
        <v>0</v>
      </c>
      <c r="DK171">
        <v>0</v>
      </c>
      <c r="DN171">
        <v>0</v>
      </c>
      <c r="DO171">
        <v>0</v>
      </c>
      <c r="DR171">
        <v>0</v>
      </c>
      <c r="DS171">
        <v>0</v>
      </c>
      <c r="DV171">
        <v>0</v>
      </c>
      <c r="DW171">
        <v>0</v>
      </c>
      <c r="DZ171">
        <v>0</v>
      </c>
      <c r="EA171">
        <v>0</v>
      </c>
      <c r="ED171">
        <v>0</v>
      </c>
      <c r="EE171">
        <v>0</v>
      </c>
      <c r="EH171">
        <v>0</v>
      </c>
      <c r="EI171">
        <v>0</v>
      </c>
      <c r="EL171">
        <v>0</v>
      </c>
      <c r="EM171">
        <v>0</v>
      </c>
      <c r="EP171">
        <v>0</v>
      </c>
      <c r="EQ171">
        <v>0</v>
      </c>
      <c r="ET171">
        <v>0</v>
      </c>
      <c r="EU171">
        <v>0</v>
      </c>
      <c r="EX171">
        <v>0</v>
      </c>
      <c r="EY171">
        <v>0</v>
      </c>
      <c r="FB171">
        <v>0</v>
      </c>
      <c r="FC171">
        <v>0</v>
      </c>
      <c r="FF171">
        <v>0</v>
      </c>
      <c r="FG171">
        <v>0</v>
      </c>
      <c r="FJ171">
        <v>0</v>
      </c>
      <c r="FK171">
        <v>0</v>
      </c>
      <c r="FN171">
        <v>0</v>
      </c>
      <c r="FO171">
        <v>0</v>
      </c>
      <c r="FR171">
        <v>0</v>
      </c>
      <c r="FS171">
        <v>0</v>
      </c>
      <c r="FV171">
        <v>0</v>
      </c>
      <c r="FW171">
        <v>0</v>
      </c>
      <c r="FZ171">
        <v>0</v>
      </c>
      <c r="GA171">
        <v>0</v>
      </c>
      <c r="GD171">
        <v>0</v>
      </c>
      <c r="GE171">
        <v>0</v>
      </c>
      <c r="GH171">
        <v>0</v>
      </c>
      <c r="GI171">
        <v>0</v>
      </c>
      <c r="GL171">
        <v>0</v>
      </c>
      <c r="GM171">
        <v>0</v>
      </c>
      <c r="GP171">
        <v>0</v>
      </c>
      <c r="GQ171">
        <v>0</v>
      </c>
      <c r="GT171">
        <v>0</v>
      </c>
      <c r="GU171">
        <v>0</v>
      </c>
      <c r="GX171">
        <v>0</v>
      </c>
      <c r="GY171">
        <v>0</v>
      </c>
      <c r="HB171">
        <v>0</v>
      </c>
      <c r="HC171">
        <v>0</v>
      </c>
      <c r="HF171">
        <v>0</v>
      </c>
      <c r="HG171">
        <v>0</v>
      </c>
      <c r="HJ171">
        <v>0</v>
      </c>
      <c r="HK171">
        <v>0</v>
      </c>
      <c r="HN171">
        <v>0</v>
      </c>
      <c r="HO171">
        <v>1</v>
      </c>
      <c r="HR171">
        <v>1</v>
      </c>
      <c r="HS171">
        <v>0</v>
      </c>
      <c r="HV171">
        <v>0</v>
      </c>
      <c r="HW171">
        <v>0</v>
      </c>
      <c r="HZ171">
        <v>0</v>
      </c>
      <c r="IA171">
        <v>0</v>
      </c>
      <c r="ID171">
        <v>0</v>
      </c>
      <c r="IE171">
        <v>0</v>
      </c>
      <c r="IH171">
        <v>0</v>
      </c>
      <c r="II171">
        <v>0</v>
      </c>
      <c r="IL171">
        <v>0</v>
      </c>
      <c r="IM171">
        <v>0</v>
      </c>
      <c r="IP171">
        <v>0</v>
      </c>
      <c r="IQ171">
        <v>0</v>
      </c>
      <c r="IT171">
        <v>0</v>
      </c>
      <c r="IU171">
        <v>0</v>
      </c>
      <c r="IX171">
        <v>0</v>
      </c>
      <c r="IY171">
        <f t="shared" ca="1" si="15"/>
        <v>2</v>
      </c>
      <c r="IZ171">
        <f t="shared" ca="1" si="15"/>
        <v>0</v>
      </c>
      <c r="JA171">
        <f t="shared" ca="1" si="15"/>
        <v>0</v>
      </c>
      <c r="JB171">
        <f t="shared" ca="1" si="15"/>
        <v>2</v>
      </c>
    </row>
    <row r="172" spans="1:262" x14ac:dyDescent="0.25">
      <c r="A172" s="172">
        <v>169</v>
      </c>
      <c r="B172" s="172" t="s">
        <v>524</v>
      </c>
      <c r="C172">
        <v>0</v>
      </c>
      <c r="F172">
        <v>0</v>
      </c>
      <c r="G172">
        <v>0</v>
      </c>
      <c r="J172">
        <v>0</v>
      </c>
      <c r="K172">
        <v>0</v>
      </c>
      <c r="N172">
        <v>0</v>
      </c>
      <c r="O172">
        <v>4</v>
      </c>
      <c r="R172">
        <v>4</v>
      </c>
      <c r="S172">
        <v>0</v>
      </c>
      <c r="V172">
        <v>0</v>
      </c>
      <c r="W172">
        <v>0</v>
      </c>
      <c r="Z172">
        <v>0</v>
      </c>
      <c r="AA172">
        <v>0</v>
      </c>
      <c r="AD172">
        <v>0</v>
      </c>
      <c r="AE172">
        <v>1</v>
      </c>
      <c r="AH172">
        <v>1</v>
      </c>
      <c r="AI172">
        <v>0</v>
      </c>
      <c r="AL172">
        <v>0</v>
      </c>
      <c r="AM172">
        <v>1</v>
      </c>
      <c r="AP172">
        <v>1</v>
      </c>
      <c r="AQ172">
        <v>1</v>
      </c>
      <c r="AT172">
        <v>1</v>
      </c>
      <c r="AU172">
        <v>0</v>
      </c>
      <c r="AX172">
        <v>0</v>
      </c>
      <c r="AY172">
        <v>0</v>
      </c>
      <c r="BB172">
        <v>0</v>
      </c>
      <c r="BC172">
        <v>1</v>
      </c>
      <c r="BF172">
        <v>1</v>
      </c>
      <c r="BG172">
        <v>0</v>
      </c>
      <c r="BJ172">
        <v>0</v>
      </c>
      <c r="BK172">
        <v>0</v>
      </c>
      <c r="BN172">
        <v>0</v>
      </c>
      <c r="BO172">
        <v>0</v>
      </c>
      <c r="BR172">
        <v>0</v>
      </c>
      <c r="BS172">
        <v>0</v>
      </c>
      <c r="BV172">
        <v>0</v>
      </c>
      <c r="BW172">
        <v>0</v>
      </c>
      <c r="BZ172">
        <v>0</v>
      </c>
      <c r="CA172">
        <v>0</v>
      </c>
      <c r="CD172">
        <v>0</v>
      </c>
      <c r="CE172">
        <v>0</v>
      </c>
      <c r="CH172">
        <v>0</v>
      </c>
      <c r="CI172">
        <v>0</v>
      </c>
      <c r="CL172">
        <v>0</v>
      </c>
      <c r="CM172">
        <v>0</v>
      </c>
      <c r="CP172">
        <v>0</v>
      </c>
      <c r="CQ172">
        <v>0</v>
      </c>
      <c r="CT172">
        <v>0</v>
      </c>
      <c r="CU172">
        <v>0</v>
      </c>
      <c r="CX172">
        <v>0</v>
      </c>
      <c r="CY172">
        <v>0</v>
      </c>
      <c r="DB172">
        <v>0</v>
      </c>
      <c r="DC172">
        <v>0</v>
      </c>
      <c r="DF172">
        <v>0</v>
      </c>
      <c r="DG172">
        <v>0</v>
      </c>
      <c r="DJ172">
        <v>0</v>
      </c>
      <c r="DK172">
        <v>0</v>
      </c>
      <c r="DN172">
        <v>0</v>
      </c>
      <c r="DO172">
        <v>0</v>
      </c>
      <c r="DR172">
        <v>0</v>
      </c>
      <c r="DS172">
        <v>0</v>
      </c>
      <c r="DV172">
        <v>0</v>
      </c>
      <c r="DW172">
        <v>0</v>
      </c>
      <c r="DZ172">
        <v>0</v>
      </c>
      <c r="EA172">
        <v>0</v>
      </c>
      <c r="ED172">
        <v>0</v>
      </c>
      <c r="EE172">
        <v>0</v>
      </c>
      <c r="EH172">
        <v>0</v>
      </c>
      <c r="EI172">
        <v>0</v>
      </c>
      <c r="EL172">
        <v>0</v>
      </c>
      <c r="EM172">
        <v>0</v>
      </c>
      <c r="EP172">
        <v>0</v>
      </c>
      <c r="EQ172">
        <v>0</v>
      </c>
      <c r="ET172">
        <v>0</v>
      </c>
      <c r="EU172">
        <v>0</v>
      </c>
      <c r="EX172">
        <v>0</v>
      </c>
      <c r="EY172">
        <v>0</v>
      </c>
      <c r="FB172">
        <v>0</v>
      </c>
      <c r="FC172">
        <v>0</v>
      </c>
      <c r="FF172">
        <v>0</v>
      </c>
      <c r="FG172">
        <v>0</v>
      </c>
      <c r="FJ172">
        <v>0</v>
      </c>
      <c r="FK172">
        <v>0</v>
      </c>
      <c r="FN172">
        <v>0</v>
      </c>
      <c r="FO172">
        <v>0</v>
      </c>
      <c r="FR172">
        <v>0</v>
      </c>
      <c r="FS172">
        <v>0</v>
      </c>
      <c r="FV172">
        <v>0</v>
      </c>
      <c r="FW172">
        <v>0</v>
      </c>
      <c r="FZ172">
        <v>0</v>
      </c>
      <c r="GA172">
        <v>0</v>
      </c>
      <c r="GD172">
        <v>0</v>
      </c>
      <c r="GE172">
        <v>0</v>
      </c>
      <c r="GH172">
        <v>0</v>
      </c>
      <c r="GI172">
        <v>0</v>
      </c>
      <c r="GL172">
        <v>0</v>
      </c>
      <c r="GM172">
        <v>0</v>
      </c>
      <c r="GP172">
        <v>0</v>
      </c>
      <c r="GQ172">
        <v>0</v>
      </c>
      <c r="GT172">
        <v>0</v>
      </c>
      <c r="GU172">
        <v>0</v>
      </c>
      <c r="GX172">
        <v>0</v>
      </c>
      <c r="GY172">
        <v>0</v>
      </c>
      <c r="HB172">
        <v>0</v>
      </c>
      <c r="HC172">
        <v>0</v>
      </c>
      <c r="HF172">
        <v>0</v>
      </c>
      <c r="HG172">
        <v>0</v>
      </c>
      <c r="HJ172">
        <v>0</v>
      </c>
      <c r="HK172">
        <v>0</v>
      </c>
      <c r="HN172">
        <v>0</v>
      </c>
      <c r="HO172">
        <v>1</v>
      </c>
      <c r="HR172">
        <v>1</v>
      </c>
      <c r="HS172">
        <v>0</v>
      </c>
      <c r="HV172">
        <v>0</v>
      </c>
      <c r="HW172">
        <v>1</v>
      </c>
      <c r="HZ172">
        <v>1</v>
      </c>
      <c r="IA172">
        <v>1</v>
      </c>
      <c r="ID172">
        <v>1</v>
      </c>
      <c r="IE172">
        <v>0</v>
      </c>
      <c r="IH172">
        <v>0</v>
      </c>
      <c r="II172">
        <v>0</v>
      </c>
      <c r="IL172">
        <v>0</v>
      </c>
      <c r="IM172">
        <v>1</v>
      </c>
      <c r="IP172">
        <v>1</v>
      </c>
      <c r="IQ172">
        <v>0</v>
      </c>
      <c r="IT172">
        <v>0</v>
      </c>
      <c r="IU172">
        <v>0</v>
      </c>
      <c r="IX172">
        <v>0</v>
      </c>
      <c r="IY172">
        <f t="shared" ca="1" si="15"/>
        <v>4</v>
      </c>
      <c r="IZ172">
        <f t="shared" ca="1" si="15"/>
        <v>0</v>
      </c>
      <c r="JA172">
        <f t="shared" ca="1" si="15"/>
        <v>0</v>
      </c>
      <c r="JB172">
        <f t="shared" ca="1" si="15"/>
        <v>4</v>
      </c>
    </row>
    <row r="173" spans="1:262" x14ac:dyDescent="0.25">
      <c r="A173" s="172">
        <v>170</v>
      </c>
      <c r="B173" s="172" t="s">
        <v>522</v>
      </c>
      <c r="C173">
        <v>0</v>
      </c>
      <c r="F173">
        <v>0</v>
      </c>
      <c r="G173">
        <v>0</v>
      </c>
      <c r="J173">
        <v>0</v>
      </c>
      <c r="K173">
        <v>0</v>
      </c>
      <c r="N173">
        <v>0</v>
      </c>
      <c r="O173">
        <v>1</v>
      </c>
      <c r="R173">
        <v>1</v>
      </c>
      <c r="S173">
        <v>0</v>
      </c>
      <c r="V173">
        <v>0</v>
      </c>
      <c r="W173">
        <v>0</v>
      </c>
      <c r="Z173">
        <v>0</v>
      </c>
      <c r="AA173">
        <v>0</v>
      </c>
      <c r="AD173">
        <v>0</v>
      </c>
      <c r="AE173">
        <v>1</v>
      </c>
      <c r="AH173">
        <v>1</v>
      </c>
      <c r="AI173">
        <v>0</v>
      </c>
      <c r="AL173">
        <v>0</v>
      </c>
      <c r="AM173">
        <v>0</v>
      </c>
      <c r="AP173">
        <v>0</v>
      </c>
      <c r="AQ173">
        <v>0</v>
      </c>
      <c r="AT173">
        <v>0</v>
      </c>
      <c r="AU173">
        <v>0</v>
      </c>
      <c r="AX173">
        <v>0</v>
      </c>
      <c r="AY173">
        <v>0</v>
      </c>
      <c r="BB173">
        <v>0</v>
      </c>
      <c r="BC173">
        <v>0</v>
      </c>
      <c r="BF173">
        <v>0</v>
      </c>
      <c r="BG173">
        <v>0</v>
      </c>
      <c r="BJ173">
        <v>0</v>
      </c>
      <c r="BK173">
        <v>0</v>
      </c>
      <c r="BN173">
        <v>0</v>
      </c>
      <c r="BO173">
        <v>0</v>
      </c>
      <c r="BR173">
        <v>0</v>
      </c>
      <c r="BS173">
        <v>0</v>
      </c>
      <c r="BV173">
        <v>0</v>
      </c>
      <c r="BW173">
        <v>0</v>
      </c>
      <c r="BZ173">
        <v>0</v>
      </c>
      <c r="CA173">
        <v>0</v>
      </c>
      <c r="CD173">
        <v>0</v>
      </c>
      <c r="CE173">
        <v>0</v>
      </c>
      <c r="CH173">
        <v>0</v>
      </c>
      <c r="CI173">
        <v>0</v>
      </c>
      <c r="CL173">
        <v>0</v>
      </c>
      <c r="CM173">
        <v>0</v>
      </c>
      <c r="CP173">
        <v>0</v>
      </c>
      <c r="CQ173">
        <v>0</v>
      </c>
      <c r="CT173">
        <v>0</v>
      </c>
      <c r="CU173">
        <v>0</v>
      </c>
      <c r="CX173">
        <v>0</v>
      </c>
      <c r="CY173">
        <v>0</v>
      </c>
      <c r="DB173">
        <v>0</v>
      </c>
      <c r="DC173">
        <v>0</v>
      </c>
      <c r="DF173">
        <v>0</v>
      </c>
      <c r="DG173">
        <v>0</v>
      </c>
      <c r="DJ173">
        <v>0</v>
      </c>
      <c r="DK173">
        <v>0</v>
      </c>
      <c r="DN173">
        <v>0</v>
      </c>
      <c r="DO173">
        <v>0</v>
      </c>
      <c r="DR173">
        <v>0</v>
      </c>
      <c r="DS173">
        <v>0</v>
      </c>
      <c r="DV173">
        <v>0</v>
      </c>
      <c r="DW173">
        <v>0</v>
      </c>
      <c r="DZ173">
        <v>0</v>
      </c>
      <c r="EA173">
        <v>0</v>
      </c>
      <c r="ED173">
        <v>0</v>
      </c>
      <c r="EE173">
        <v>0</v>
      </c>
      <c r="EH173">
        <v>0</v>
      </c>
      <c r="EI173">
        <v>0</v>
      </c>
      <c r="EL173">
        <v>0</v>
      </c>
      <c r="EM173">
        <v>0</v>
      </c>
      <c r="EP173">
        <v>0</v>
      </c>
      <c r="EQ173">
        <v>0</v>
      </c>
      <c r="ET173">
        <v>0</v>
      </c>
      <c r="EU173">
        <v>0</v>
      </c>
      <c r="EX173">
        <v>0</v>
      </c>
      <c r="EY173">
        <v>0</v>
      </c>
      <c r="FB173">
        <v>0</v>
      </c>
      <c r="FC173">
        <v>0</v>
      </c>
      <c r="FF173">
        <v>0</v>
      </c>
      <c r="FG173">
        <v>0</v>
      </c>
      <c r="FJ173">
        <v>0</v>
      </c>
      <c r="FK173">
        <v>0</v>
      </c>
      <c r="FN173">
        <v>0</v>
      </c>
      <c r="FO173">
        <v>0</v>
      </c>
      <c r="FR173">
        <v>0</v>
      </c>
      <c r="FS173">
        <v>0</v>
      </c>
      <c r="FV173">
        <v>0</v>
      </c>
      <c r="FW173">
        <v>0</v>
      </c>
      <c r="FZ173">
        <v>0</v>
      </c>
      <c r="GA173">
        <v>0</v>
      </c>
      <c r="GD173">
        <v>0</v>
      </c>
      <c r="GE173">
        <v>0</v>
      </c>
      <c r="GH173">
        <v>0</v>
      </c>
      <c r="GI173">
        <v>0</v>
      </c>
      <c r="GL173">
        <v>0</v>
      </c>
      <c r="GM173">
        <v>0</v>
      </c>
      <c r="GP173">
        <v>0</v>
      </c>
      <c r="GQ173">
        <v>0</v>
      </c>
      <c r="GT173">
        <v>0</v>
      </c>
      <c r="GU173">
        <v>0</v>
      </c>
      <c r="GX173">
        <v>0</v>
      </c>
      <c r="GY173">
        <v>0</v>
      </c>
      <c r="HB173">
        <v>0</v>
      </c>
      <c r="HC173">
        <v>0</v>
      </c>
      <c r="HF173">
        <v>0</v>
      </c>
      <c r="HG173">
        <v>0</v>
      </c>
      <c r="HJ173">
        <v>0</v>
      </c>
      <c r="HK173">
        <v>0</v>
      </c>
      <c r="HN173">
        <v>0</v>
      </c>
      <c r="HO173">
        <v>1</v>
      </c>
      <c r="HR173">
        <v>1</v>
      </c>
      <c r="HS173">
        <v>0</v>
      </c>
      <c r="HV173">
        <v>0</v>
      </c>
      <c r="HW173">
        <v>0</v>
      </c>
      <c r="HZ173">
        <v>0</v>
      </c>
      <c r="IA173">
        <v>0</v>
      </c>
      <c r="ID173">
        <v>0</v>
      </c>
      <c r="IE173">
        <v>0</v>
      </c>
      <c r="IH173">
        <v>0</v>
      </c>
      <c r="II173">
        <v>0</v>
      </c>
      <c r="IL173">
        <v>0</v>
      </c>
      <c r="IM173">
        <v>0</v>
      </c>
      <c r="IP173">
        <v>0</v>
      </c>
      <c r="IQ173">
        <v>0</v>
      </c>
      <c r="IT173">
        <v>0</v>
      </c>
      <c r="IU173">
        <v>0</v>
      </c>
      <c r="IX173">
        <v>0</v>
      </c>
      <c r="IY173">
        <f t="shared" ca="1" si="15"/>
        <v>1</v>
      </c>
      <c r="IZ173">
        <f t="shared" ca="1" si="15"/>
        <v>0</v>
      </c>
      <c r="JA173">
        <f t="shared" ca="1" si="15"/>
        <v>0</v>
      </c>
      <c r="JB173">
        <f t="shared" ca="1" si="15"/>
        <v>1</v>
      </c>
    </row>
    <row r="174" spans="1:262" x14ac:dyDescent="0.25">
      <c r="A174" s="172">
        <v>171</v>
      </c>
      <c r="B174" s="172" t="s">
        <v>517</v>
      </c>
      <c r="C174">
        <v>0</v>
      </c>
      <c r="F174">
        <v>0</v>
      </c>
      <c r="G174">
        <v>2</v>
      </c>
      <c r="J174">
        <v>2</v>
      </c>
      <c r="K174">
        <v>0</v>
      </c>
      <c r="N174">
        <v>0</v>
      </c>
      <c r="O174">
        <v>0</v>
      </c>
      <c r="R174">
        <v>0</v>
      </c>
      <c r="S174">
        <v>0</v>
      </c>
      <c r="V174">
        <v>0</v>
      </c>
      <c r="W174">
        <v>0</v>
      </c>
      <c r="Z174">
        <v>0</v>
      </c>
      <c r="AA174">
        <v>0</v>
      </c>
      <c r="AD174">
        <v>0</v>
      </c>
      <c r="AE174">
        <v>0</v>
      </c>
      <c r="AH174">
        <v>0</v>
      </c>
      <c r="AI174">
        <v>1</v>
      </c>
      <c r="AL174">
        <v>1</v>
      </c>
      <c r="AM174">
        <v>1</v>
      </c>
      <c r="AP174">
        <v>1</v>
      </c>
      <c r="AQ174">
        <v>0</v>
      </c>
      <c r="AT174">
        <v>0</v>
      </c>
      <c r="AU174">
        <v>0</v>
      </c>
      <c r="AX174">
        <v>0</v>
      </c>
      <c r="AY174">
        <v>0</v>
      </c>
      <c r="BB174">
        <v>0</v>
      </c>
      <c r="BC174">
        <v>0</v>
      </c>
      <c r="BF174">
        <v>0</v>
      </c>
      <c r="BG174">
        <v>0</v>
      </c>
      <c r="BJ174">
        <v>0</v>
      </c>
      <c r="BK174">
        <v>0</v>
      </c>
      <c r="BN174">
        <v>0</v>
      </c>
      <c r="BO174">
        <v>0</v>
      </c>
      <c r="BR174">
        <v>0</v>
      </c>
      <c r="BS174">
        <v>0</v>
      </c>
      <c r="BV174">
        <v>0</v>
      </c>
      <c r="BW174">
        <v>0</v>
      </c>
      <c r="BZ174">
        <v>0</v>
      </c>
      <c r="CA174">
        <v>0</v>
      </c>
      <c r="CD174">
        <v>0</v>
      </c>
      <c r="CE174">
        <v>0</v>
      </c>
      <c r="CH174">
        <v>0</v>
      </c>
      <c r="CI174">
        <v>0</v>
      </c>
      <c r="CL174">
        <v>0</v>
      </c>
      <c r="CM174">
        <v>0</v>
      </c>
      <c r="CP174">
        <v>0</v>
      </c>
      <c r="CQ174">
        <v>0</v>
      </c>
      <c r="CT174">
        <v>0</v>
      </c>
      <c r="CU174">
        <v>0</v>
      </c>
      <c r="CX174">
        <v>0</v>
      </c>
      <c r="CY174">
        <v>0</v>
      </c>
      <c r="DB174">
        <v>0</v>
      </c>
      <c r="DC174">
        <v>0</v>
      </c>
      <c r="DF174">
        <v>0</v>
      </c>
      <c r="DG174">
        <v>0</v>
      </c>
      <c r="DJ174">
        <v>0</v>
      </c>
      <c r="DK174">
        <v>1</v>
      </c>
      <c r="DN174">
        <v>1</v>
      </c>
      <c r="DO174">
        <v>0</v>
      </c>
      <c r="DR174">
        <v>0</v>
      </c>
      <c r="DS174">
        <v>1</v>
      </c>
      <c r="DV174">
        <v>1</v>
      </c>
      <c r="DW174">
        <v>0</v>
      </c>
      <c r="DZ174">
        <v>0</v>
      </c>
      <c r="EA174">
        <v>0</v>
      </c>
      <c r="ED174">
        <v>0</v>
      </c>
      <c r="EE174">
        <v>0</v>
      </c>
      <c r="EH174">
        <v>0</v>
      </c>
      <c r="EI174">
        <v>0</v>
      </c>
      <c r="EL174">
        <v>0</v>
      </c>
      <c r="EM174">
        <v>0</v>
      </c>
      <c r="EP174">
        <v>0</v>
      </c>
      <c r="EQ174">
        <v>0</v>
      </c>
      <c r="ET174">
        <v>0</v>
      </c>
      <c r="EU174">
        <v>0</v>
      </c>
      <c r="EX174">
        <v>0</v>
      </c>
      <c r="EY174">
        <v>0</v>
      </c>
      <c r="FB174">
        <v>0</v>
      </c>
      <c r="FC174">
        <v>0</v>
      </c>
      <c r="FF174">
        <v>0</v>
      </c>
      <c r="FG174">
        <v>0</v>
      </c>
      <c r="FJ174">
        <v>0</v>
      </c>
      <c r="FK174">
        <v>0</v>
      </c>
      <c r="FN174">
        <v>0</v>
      </c>
      <c r="FO174">
        <v>0</v>
      </c>
      <c r="FR174">
        <v>0</v>
      </c>
      <c r="FS174">
        <v>0</v>
      </c>
      <c r="FV174">
        <v>0</v>
      </c>
      <c r="FW174">
        <v>0</v>
      </c>
      <c r="FZ174">
        <v>0</v>
      </c>
      <c r="GA174">
        <v>0</v>
      </c>
      <c r="GD174">
        <v>0</v>
      </c>
      <c r="GE174">
        <v>0</v>
      </c>
      <c r="GH174">
        <v>0</v>
      </c>
      <c r="GI174">
        <v>0</v>
      </c>
      <c r="GL174">
        <v>0</v>
      </c>
      <c r="GM174">
        <v>0</v>
      </c>
      <c r="GP174">
        <v>0</v>
      </c>
      <c r="GQ174">
        <v>0</v>
      </c>
      <c r="GT174">
        <v>0</v>
      </c>
      <c r="GU174">
        <v>0</v>
      </c>
      <c r="GX174">
        <v>0</v>
      </c>
      <c r="GY174">
        <v>0</v>
      </c>
      <c r="HB174">
        <v>0</v>
      </c>
      <c r="HC174">
        <v>0</v>
      </c>
      <c r="HF174">
        <v>0</v>
      </c>
      <c r="HG174">
        <v>0</v>
      </c>
      <c r="HJ174">
        <v>0</v>
      </c>
      <c r="HK174">
        <v>0</v>
      </c>
      <c r="HN174">
        <v>0</v>
      </c>
      <c r="HO174">
        <v>0</v>
      </c>
      <c r="HR174">
        <v>0</v>
      </c>
      <c r="HS174">
        <v>0</v>
      </c>
      <c r="HV174">
        <v>0</v>
      </c>
      <c r="HW174">
        <v>0</v>
      </c>
      <c r="HZ174">
        <v>0</v>
      </c>
      <c r="IA174">
        <v>0</v>
      </c>
      <c r="ID174">
        <v>0</v>
      </c>
      <c r="IE174">
        <v>0</v>
      </c>
      <c r="IH174">
        <v>0</v>
      </c>
      <c r="II174">
        <v>0</v>
      </c>
      <c r="IL174">
        <v>0</v>
      </c>
      <c r="IM174">
        <v>0</v>
      </c>
      <c r="IP174">
        <v>0</v>
      </c>
      <c r="IQ174">
        <v>0</v>
      </c>
      <c r="IT174">
        <v>0</v>
      </c>
      <c r="IU174">
        <v>0</v>
      </c>
      <c r="IX174">
        <v>0</v>
      </c>
      <c r="IY174">
        <f t="shared" ca="1" si="15"/>
        <v>2</v>
      </c>
      <c r="IZ174">
        <f t="shared" ca="1" si="15"/>
        <v>0</v>
      </c>
      <c r="JA174">
        <f t="shared" ca="1" si="15"/>
        <v>0</v>
      </c>
      <c r="JB174">
        <f t="shared" ca="1" si="15"/>
        <v>2</v>
      </c>
    </row>
    <row r="175" spans="1:262" x14ac:dyDescent="0.25">
      <c r="A175" s="172">
        <v>172</v>
      </c>
      <c r="B175" s="172" t="s">
        <v>531</v>
      </c>
      <c r="C175">
        <v>0</v>
      </c>
      <c r="F175">
        <v>0</v>
      </c>
      <c r="G175">
        <v>2</v>
      </c>
      <c r="J175">
        <v>2</v>
      </c>
      <c r="K175">
        <v>1</v>
      </c>
      <c r="N175">
        <v>1</v>
      </c>
      <c r="O175">
        <v>3</v>
      </c>
      <c r="R175">
        <v>3</v>
      </c>
      <c r="S175">
        <v>0</v>
      </c>
      <c r="V175">
        <v>0</v>
      </c>
      <c r="W175">
        <v>1</v>
      </c>
      <c r="Z175">
        <v>1</v>
      </c>
      <c r="AA175">
        <v>0</v>
      </c>
      <c r="AD175">
        <v>0</v>
      </c>
      <c r="AE175">
        <v>0</v>
      </c>
      <c r="AH175">
        <v>0</v>
      </c>
      <c r="AI175">
        <v>0</v>
      </c>
      <c r="AL175">
        <v>0</v>
      </c>
      <c r="AM175">
        <v>2</v>
      </c>
      <c r="AP175">
        <v>2</v>
      </c>
      <c r="AQ175">
        <v>0</v>
      </c>
      <c r="AT175">
        <v>0</v>
      </c>
      <c r="AU175">
        <v>0</v>
      </c>
      <c r="AX175">
        <v>0</v>
      </c>
      <c r="AY175">
        <v>1</v>
      </c>
      <c r="BB175">
        <v>1</v>
      </c>
      <c r="BC175">
        <v>0</v>
      </c>
      <c r="BF175">
        <v>0</v>
      </c>
      <c r="BG175">
        <v>2</v>
      </c>
      <c r="BJ175">
        <v>2</v>
      </c>
      <c r="BK175">
        <v>0</v>
      </c>
      <c r="BN175">
        <v>0</v>
      </c>
      <c r="BO175">
        <v>0</v>
      </c>
      <c r="BR175">
        <v>0</v>
      </c>
      <c r="BS175">
        <v>0</v>
      </c>
      <c r="BV175">
        <v>0</v>
      </c>
      <c r="BW175">
        <v>0</v>
      </c>
      <c r="BZ175">
        <v>0</v>
      </c>
      <c r="CA175">
        <v>0</v>
      </c>
      <c r="CD175">
        <v>0</v>
      </c>
      <c r="CE175">
        <v>0</v>
      </c>
      <c r="CH175">
        <v>0</v>
      </c>
      <c r="CI175">
        <v>0</v>
      </c>
      <c r="CL175">
        <v>0</v>
      </c>
      <c r="CM175">
        <v>0</v>
      </c>
      <c r="CP175">
        <v>0</v>
      </c>
      <c r="CQ175">
        <v>0</v>
      </c>
      <c r="CT175">
        <v>0</v>
      </c>
      <c r="CU175">
        <v>0</v>
      </c>
      <c r="CX175">
        <v>0</v>
      </c>
      <c r="CY175">
        <v>0</v>
      </c>
      <c r="DB175">
        <v>0</v>
      </c>
      <c r="DC175">
        <v>0</v>
      </c>
      <c r="DF175">
        <v>0</v>
      </c>
      <c r="DG175">
        <v>0</v>
      </c>
      <c r="DJ175">
        <v>0</v>
      </c>
      <c r="DK175">
        <v>0</v>
      </c>
      <c r="DN175">
        <v>0</v>
      </c>
      <c r="DO175">
        <v>0</v>
      </c>
      <c r="DR175">
        <v>0</v>
      </c>
      <c r="DS175">
        <v>0</v>
      </c>
      <c r="DV175">
        <v>0</v>
      </c>
      <c r="DW175">
        <v>0</v>
      </c>
      <c r="DZ175">
        <v>0</v>
      </c>
      <c r="EA175">
        <v>0</v>
      </c>
      <c r="ED175">
        <v>0</v>
      </c>
      <c r="EE175">
        <v>0</v>
      </c>
      <c r="EH175">
        <v>0</v>
      </c>
      <c r="EI175">
        <v>0</v>
      </c>
      <c r="EL175">
        <v>0</v>
      </c>
      <c r="EM175">
        <v>1</v>
      </c>
      <c r="EP175">
        <v>1</v>
      </c>
      <c r="EQ175">
        <v>0</v>
      </c>
      <c r="ET175">
        <v>0</v>
      </c>
      <c r="EU175">
        <v>0</v>
      </c>
      <c r="EX175">
        <v>0</v>
      </c>
      <c r="EY175">
        <v>0</v>
      </c>
      <c r="FB175">
        <v>0</v>
      </c>
      <c r="FC175">
        <v>0</v>
      </c>
      <c r="FF175">
        <v>0</v>
      </c>
      <c r="FG175">
        <v>1</v>
      </c>
      <c r="FJ175">
        <v>1</v>
      </c>
      <c r="FK175">
        <v>0</v>
      </c>
      <c r="FN175">
        <v>0</v>
      </c>
      <c r="FO175">
        <v>0</v>
      </c>
      <c r="FR175">
        <v>0</v>
      </c>
      <c r="FS175">
        <v>1</v>
      </c>
      <c r="FV175">
        <v>1</v>
      </c>
      <c r="FW175">
        <v>0</v>
      </c>
      <c r="FZ175">
        <v>0</v>
      </c>
      <c r="GA175">
        <v>0</v>
      </c>
      <c r="GD175">
        <v>0</v>
      </c>
      <c r="GE175">
        <v>0</v>
      </c>
      <c r="GH175">
        <v>0</v>
      </c>
      <c r="GI175">
        <v>0</v>
      </c>
      <c r="GL175">
        <v>0</v>
      </c>
      <c r="GM175">
        <v>0</v>
      </c>
      <c r="GP175">
        <v>0</v>
      </c>
      <c r="GQ175">
        <v>0</v>
      </c>
      <c r="GT175">
        <v>0</v>
      </c>
      <c r="GU175">
        <v>0</v>
      </c>
      <c r="GX175">
        <v>0</v>
      </c>
      <c r="GY175">
        <v>1</v>
      </c>
      <c r="HB175">
        <v>1</v>
      </c>
      <c r="HC175">
        <v>0</v>
      </c>
      <c r="HF175">
        <v>0</v>
      </c>
      <c r="HG175">
        <v>0</v>
      </c>
      <c r="HJ175">
        <v>0</v>
      </c>
      <c r="HK175">
        <v>0</v>
      </c>
      <c r="HN175">
        <v>0</v>
      </c>
      <c r="HO175">
        <v>0</v>
      </c>
      <c r="HR175">
        <v>0</v>
      </c>
      <c r="HS175">
        <v>0</v>
      </c>
      <c r="HV175">
        <v>0</v>
      </c>
      <c r="HW175">
        <v>1</v>
      </c>
      <c r="HZ175">
        <v>1</v>
      </c>
      <c r="IA175">
        <v>0</v>
      </c>
      <c r="ID175">
        <v>0</v>
      </c>
      <c r="IE175">
        <v>0</v>
      </c>
      <c r="IH175">
        <v>0</v>
      </c>
      <c r="II175">
        <v>0</v>
      </c>
      <c r="IL175">
        <v>0</v>
      </c>
      <c r="IM175">
        <v>0</v>
      </c>
      <c r="IP175">
        <v>0</v>
      </c>
      <c r="IQ175">
        <v>1</v>
      </c>
      <c r="IT175">
        <v>1</v>
      </c>
      <c r="IU175">
        <v>0</v>
      </c>
      <c r="IX175">
        <v>0</v>
      </c>
      <c r="IY175">
        <f t="shared" ca="1" si="15"/>
        <v>6</v>
      </c>
      <c r="IZ175">
        <f t="shared" ca="1" si="15"/>
        <v>0</v>
      </c>
      <c r="JA175">
        <f t="shared" ca="1" si="15"/>
        <v>0</v>
      </c>
      <c r="JB175">
        <f t="shared" ca="1" si="15"/>
        <v>6</v>
      </c>
    </row>
    <row r="176" spans="1:262" x14ac:dyDescent="0.25">
      <c r="A176" s="172">
        <v>173</v>
      </c>
      <c r="B176" s="172" t="s">
        <v>525</v>
      </c>
      <c r="C176">
        <v>0</v>
      </c>
      <c r="F176">
        <v>0</v>
      </c>
      <c r="G176">
        <v>0</v>
      </c>
      <c r="J176">
        <v>0</v>
      </c>
      <c r="K176">
        <v>1</v>
      </c>
      <c r="N176">
        <v>1</v>
      </c>
      <c r="O176">
        <v>0</v>
      </c>
      <c r="R176">
        <v>0</v>
      </c>
      <c r="S176">
        <v>0</v>
      </c>
      <c r="V176">
        <v>0</v>
      </c>
      <c r="W176">
        <v>0</v>
      </c>
      <c r="Z176">
        <v>0</v>
      </c>
      <c r="AA176">
        <v>0</v>
      </c>
      <c r="AD176">
        <v>0</v>
      </c>
      <c r="AE176">
        <v>0</v>
      </c>
      <c r="AH176">
        <v>0</v>
      </c>
      <c r="AI176">
        <v>0</v>
      </c>
      <c r="AL176">
        <v>0</v>
      </c>
      <c r="AM176">
        <v>1</v>
      </c>
      <c r="AP176">
        <v>1</v>
      </c>
      <c r="AQ176">
        <v>0</v>
      </c>
      <c r="AT176">
        <v>0</v>
      </c>
      <c r="AU176">
        <v>0</v>
      </c>
      <c r="AX176">
        <v>0</v>
      </c>
      <c r="AY176">
        <v>0</v>
      </c>
      <c r="BB176">
        <v>0</v>
      </c>
      <c r="BC176">
        <v>0</v>
      </c>
      <c r="BF176">
        <v>0</v>
      </c>
      <c r="BG176">
        <v>0</v>
      </c>
      <c r="BJ176">
        <v>0</v>
      </c>
      <c r="BK176">
        <v>0</v>
      </c>
      <c r="BN176">
        <v>0</v>
      </c>
      <c r="BO176">
        <v>0</v>
      </c>
      <c r="BR176">
        <v>0</v>
      </c>
      <c r="BS176">
        <v>0</v>
      </c>
      <c r="BV176">
        <v>0</v>
      </c>
      <c r="BW176">
        <v>0</v>
      </c>
      <c r="BZ176">
        <v>0</v>
      </c>
      <c r="CA176">
        <v>0</v>
      </c>
      <c r="CD176">
        <v>0</v>
      </c>
      <c r="CE176">
        <v>0</v>
      </c>
      <c r="CH176">
        <v>0</v>
      </c>
      <c r="CI176">
        <v>0</v>
      </c>
      <c r="CL176">
        <v>0</v>
      </c>
      <c r="CM176">
        <v>0</v>
      </c>
      <c r="CP176">
        <v>0</v>
      </c>
      <c r="CQ176">
        <v>0</v>
      </c>
      <c r="CT176">
        <v>0</v>
      </c>
      <c r="CU176">
        <v>0</v>
      </c>
      <c r="CX176">
        <v>0</v>
      </c>
      <c r="CY176">
        <v>0</v>
      </c>
      <c r="DB176">
        <v>0</v>
      </c>
      <c r="DC176">
        <v>0</v>
      </c>
      <c r="DF176">
        <v>0</v>
      </c>
      <c r="DG176">
        <v>0</v>
      </c>
      <c r="DJ176">
        <v>0</v>
      </c>
      <c r="DK176">
        <v>0</v>
      </c>
      <c r="DN176">
        <v>0</v>
      </c>
      <c r="DO176">
        <v>0</v>
      </c>
      <c r="DR176">
        <v>0</v>
      </c>
      <c r="DS176">
        <v>0</v>
      </c>
      <c r="DV176">
        <v>0</v>
      </c>
      <c r="DW176">
        <v>0</v>
      </c>
      <c r="DZ176">
        <v>0</v>
      </c>
      <c r="EA176">
        <v>0</v>
      </c>
      <c r="ED176">
        <v>0</v>
      </c>
      <c r="EE176">
        <v>0</v>
      </c>
      <c r="EH176">
        <v>0</v>
      </c>
      <c r="EI176">
        <v>0</v>
      </c>
      <c r="EL176">
        <v>0</v>
      </c>
      <c r="EM176">
        <v>0</v>
      </c>
      <c r="EP176">
        <v>0</v>
      </c>
      <c r="EQ176">
        <v>0</v>
      </c>
      <c r="ET176">
        <v>0</v>
      </c>
      <c r="EU176">
        <v>0</v>
      </c>
      <c r="EX176">
        <v>0</v>
      </c>
      <c r="EY176">
        <v>0</v>
      </c>
      <c r="FB176">
        <v>0</v>
      </c>
      <c r="FC176">
        <v>0</v>
      </c>
      <c r="FF176">
        <v>0</v>
      </c>
      <c r="FG176">
        <v>0</v>
      </c>
      <c r="FJ176">
        <v>0</v>
      </c>
      <c r="FK176">
        <v>0</v>
      </c>
      <c r="FN176">
        <v>0</v>
      </c>
      <c r="FO176">
        <v>0</v>
      </c>
      <c r="FR176">
        <v>0</v>
      </c>
      <c r="FS176">
        <v>1</v>
      </c>
      <c r="FV176">
        <v>1</v>
      </c>
      <c r="FW176">
        <v>0</v>
      </c>
      <c r="FZ176">
        <v>0</v>
      </c>
      <c r="GA176">
        <v>0</v>
      </c>
      <c r="GD176">
        <v>0</v>
      </c>
      <c r="GE176">
        <v>0</v>
      </c>
      <c r="GH176">
        <v>0</v>
      </c>
      <c r="GI176">
        <v>0</v>
      </c>
      <c r="GL176">
        <v>0</v>
      </c>
      <c r="GM176">
        <v>0</v>
      </c>
      <c r="GP176">
        <v>0</v>
      </c>
      <c r="GQ176">
        <v>0</v>
      </c>
      <c r="GT176">
        <v>0</v>
      </c>
      <c r="GU176">
        <v>0</v>
      </c>
      <c r="GX176">
        <v>0</v>
      </c>
      <c r="GY176">
        <v>0</v>
      </c>
      <c r="HB176">
        <v>0</v>
      </c>
      <c r="HC176">
        <v>0</v>
      </c>
      <c r="HF176">
        <v>0</v>
      </c>
      <c r="HG176">
        <v>0</v>
      </c>
      <c r="HJ176">
        <v>0</v>
      </c>
      <c r="HK176">
        <v>0</v>
      </c>
      <c r="HN176">
        <v>0</v>
      </c>
      <c r="HO176">
        <v>0</v>
      </c>
      <c r="HR176">
        <v>0</v>
      </c>
      <c r="HS176">
        <v>0</v>
      </c>
      <c r="HV176">
        <v>0</v>
      </c>
      <c r="HW176">
        <v>0</v>
      </c>
      <c r="HZ176">
        <v>0</v>
      </c>
      <c r="IA176">
        <v>0</v>
      </c>
      <c r="ID176">
        <v>0</v>
      </c>
      <c r="IE176">
        <v>0</v>
      </c>
      <c r="IH176">
        <v>0</v>
      </c>
      <c r="II176">
        <v>0</v>
      </c>
      <c r="IL176">
        <v>0</v>
      </c>
      <c r="IM176">
        <v>0</v>
      </c>
      <c r="IP176">
        <v>0</v>
      </c>
      <c r="IQ176">
        <v>0</v>
      </c>
      <c r="IT176">
        <v>0</v>
      </c>
      <c r="IU176">
        <v>0</v>
      </c>
      <c r="IX176">
        <v>0</v>
      </c>
      <c r="IY176">
        <f t="shared" ca="1" si="15"/>
        <v>1</v>
      </c>
      <c r="IZ176">
        <f t="shared" ca="1" si="15"/>
        <v>0</v>
      </c>
      <c r="JA176">
        <f t="shared" ca="1" si="15"/>
        <v>0</v>
      </c>
      <c r="JB176">
        <f t="shared" ca="1" si="15"/>
        <v>1</v>
      </c>
    </row>
    <row r="177" spans="1:262" x14ac:dyDescent="0.25">
      <c r="A177" s="172">
        <v>174</v>
      </c>
      <c r="B177" s="172" t="s">
        <v>535</v>
      </c>
      <c r="C177">
        <v>0</v>
      </c>
      <c r="F177">
        <v>0</v>
      </c>
      <c r="G177">
        <v>1</v>
      </c>
      <c r="J177">
        <v>1</v>
      </c>
      <c r="K177">
        <v>0</v>
      </c>
      <c r="N177">
        <v>0</v>
      </c>
      <c r="O177">
        <v>0</v>
      </c>
      <c r="R177">
        <v>0</v>
      </c>
      <c r="S177">
        <v>0</v>
      </c>
      <c r="V177">
        <v>0</v>
      </c>
      <c r="W177">
        <v>0</v>
      </c>
      <c r="Z177">
        <v>0</v>
      </c>
      <c r="AA177">
        <v>0</v>
      </c>
      <c r="AD177">
        <v>0</v>
      </c>
      <c r="AE177">
        <v>0</v>
      </c>
      <c r="AH177">
        <v>0</v>
      </c>
      <c r="AI177">
        <v>0</v>
      </c>
      <c r="AL177">
        <v>0</v>
      </c>
      <c r="AM177">
        <v>0</v>
      </c>
      <c r="AP177">
        <v>0</v>
      </c>
      <c r="AQ177">
        <v>0</v>
      </c>
      <c r="AT177">
        <v>0</v>
      </c>
      <c r="AU177">
        <v>0</v>
      </c>
      <c r="AX177">
        <v>0</v>
      </c>
      <c r="AY177">
        <v>1</v>
      </c>
      <c r="BB177">
        <v>1</v>
      </c>
      <c r="BC177">
        <v>0</v>
      </c>
      <c r="BF177">
        <v>0</v>
      </c>
      <c r="BG177">
        <v>0</v>
      </c>
      <c r="BJ177">
        <v>0</v>
      </c>
      <c r="BK177">
        <v>0</v>
      </c>
      <c r="BN177">
        <v>0</v>
      </c>
      <c r="BO177">
        <v>0</v>
      </c>
      <c r="BR177">
        <v>0</v>
      </c>
      <c r="BS177">
        <v>0</v>
      </c>
      <c r="BV177">
        <v>0</v>
      </c>
      <c r="BW177">
        <v>0</v>
      </c>
      <c r="BZ177">
        <v>0</v>
      </c>
      <c r="CA177">
        <v>0</v>
      </c>
      <c r="CD177">
        <v>0</v>
      </c>
      <c r="CE177">
        <v>0</v>
      </c>
      <c r="CH177">
        <v>0</v>
      </c>
      <c r="CI177">
        <v>0</v>
      </c>
      <c r="CL177">
        <v>0</v>
      </c>
      <c r="CM177">
        <v>0</v>
      </c>
      <c r="CP177">
        <v>0</v>
      </c>
      <c r="CQ177">
        <v>0</v>
      </c>
      <c r="CT177">
        <v>0</v>
      </c>
      <c r="CU177">
        <v>0</v>
      </c>
      <c r="CX177">
        <v>0</v>
      </c>
      <c r="CY177">
        <v>0</v>
      </c>
      <c r="DB177">
        <v>0</v>
      </c>
      <c r="DC177">
        <v>0</v>
      </c>
      <c r="DF177">
        <v>0</v>
      </c>
      <c r="DG177">
        <v>0</v>
      </c>
      <c r="DJ177">
        <v>0</v>
      </c>
      <c r="DK177">
        <v>0</v>
      </c>
      <c r="DN177">
        <v>0</v>
      </c>
      <c r="DO177">
        <v>0</v>
      </c>
      <c r="DR177">
        <v>0</v>
      </c>
      <c r="DS177">
        <v>0</v>
      </c>
      <c r="DV177">
        <v>0</v>
      </c>
      <c r="DW177">
        <v>0</v>
      </c>
      <c r="DZ177">
        <v>0</v>
      </c>
      <c r="EA177">
        <v>0</v>
      </c>
      <c r="ED177">
        <v>0</v>
      </c>
      <c r="EE177">
        <v>0</v>
      </c>
      <c r="EH177">
        <v>0</v>
      </c>
      <c r="EI177">
        <v>0</v>
      </c>
      <c r="EL177">
        <v>0</v>
      </c>
      <c r="EM177">
        <v>1</v>
      </c>
      <c r="EP177">
        <v>1</v>
      </c>
      <c r="EQ177">
        <v>0</v>
      </c>
      <c r="ET177">
        <v>0</v>
      </c>
      <c r="EU177">
        <v>0</v>
      </c>
      <c r="EX177">
        <v>0</v>
      </c>
      <c r="EY177">
        <v>0</v>
      </c>
      <c r="FB177">
        <v>0</v>
      </c>
      <c r="FC177">
        <v>0</v>
      </c>
      <c r="FF177">
        <v>0</v>
      </c>
      <c r="FG177">
        <v>0</v>
      </c>
      <c r="FJ177">
        <v>0</v>
      </c>
      <c r="FK177">
        <v>0</v>
      </c>
      <c r="FN177">
        <v>0</v>
      </c>
      <c r="FO177">
        <v>0</v>
      </c>
      <c r="FR177">
        <v>0</v>
      </c>
      <c r="FS177">
        <v>0</v>
      </c>
      <c r="FV177">
        <v>0</v>
      </c>
      <c r="FW177">
        <v>0</v>
      </c>
      <c r="FZ177">
        <v>0</v>
      </c>
      <c r="GA177">
        <v>0</v>
      </c>
      <c r="GD177">
        <v>0</v>
      </c>
      <c r="GE177">
        <v>0</v>
      </c>
      <c r="GH177">
        <v>0</v>
      </c>
      <c r="GI177">
        <v>0</v>
      </c>
      <c r="GL177">
        <v>0</v>
      </c>
      <c r="GM177">
        <v>0</v>
      </c>
      <c r="GP177">
        <v>0</v>
      </c>
      <c r="GQ177">
        <v>0</v>
      </c>
      <c r="GT177">
        <v>0</v>
      </c>
      <c r="GU177">
        <v>0</v>
      </c>
      <c r="GX177">
        <v>0</v>
      </c>
      <c r="GY177">
        <v>0</v>
      </c>
      <c r="HB177">
        <v>0</v>
      </c>
      <c r="HC177">
        <v>0</v>
      </c>
      <c r="HF177">
        <v>0</v>
      </c>
      <c r="HG177">
        <v>0</v>
      </c>
      <c r="HJ177">
        <v>0</v>
      </c>
      <c r="HK177">
        <v>0</v>
      </c>
      <c r="HN177">
        <v>0</v>
      </c>
      <c r="HO177">
        <v>0</v>
      </c>
      <c r="HR177">
        <v>0</v>
      </c>
      <c r="HS177">
        <v>0</v>
      </c>
      <c r="HV177">
        <v>0</v>
      </c>
      <c r="HW177">
        <v>0</v>
      </c>
      <c r="HZ177">
        <v>0</v>
      </c>
      <c r="IA177">
        <v>0</v>
      </c>
      <c r="ID177">
        <v>0</v>
      </c>
      <c r="IE177">
        <v>0</v>
      </c>
      <c r="IH177">
        <v>0</v>
      </c>
      <c r="II177">
        <v>0</v>
      </c>
      <c r="IL177">
        <v>0</v>
      </c>
      <c r="IM177">
        <v>0</v>
      </c>
      <c r="IP177">
        <v>0</v>
      </c>
      <c r="IQ177">
        <v>0</v>
      </c>
      <c r="IT177">
        <v>0</v>
      </c>
      <c r="IU177">
        <v>0</v>
      </c>
      <c r="IX177">
        <v>0</v>
      </c>
      <c r="IY177">
        <f t="shared" ca="1" si="15"/>
        <v>1</v>
      </c>
      <c r="IZ177">
        <f t="shared" ca="1" si="15"/>
        <v>0</v>
      </c>
      <c r="JA177">
        <f t="shared" ca="1" si="15"/>
        <v>0</v>
      </c>
      <c r="JB177">
        <f t="shared" ca="1" si="15"/>
        <v>1</v>
      </c>
    </row>
    <row r="178" spans="1:262" x14ac:dyDescent="0.25">
      <c r="A178" s="172">
        <v>175</v>
      </c>
      <c r="B178" s="172" t="s">
        <v>516</v>
      </c>
      <c r="C178">
        <v>0</v>
      </c>
      <c r="F178">
        <v>0</v>
      </c>
      <c r="G178">
        <v>2</v>
      </c>
      <c r="J178">
        <v>2</v>
      </c>
      <c r="K178">
        <v>0</v>
      </c>
      <c r="N178">
        <v>0</v>
      </c>
      <c r="O178">
        <v>0</v>
      </c>
      <c r="R178">
        <v>0</v>
      </c>
      <c r="S178">
        <v>0</v>
      </c>
      <c r="V178">
        <v>0</v>
      </c>
      <c r="W178">
        <v>0</v>
      </c>
      <c r="Z178">
        <v>0</v>
      </c>
      <c r="AA178">
        <v>0</v>
      </c>
      <c r="AD178">
        <v>0</v>
      </c>
      <c r="AE178">
        <v>0</v>
      </c>
      <c r="AH178">
        <v>0</v>
      </c>
      <c r="AI178">
        <v>0</v>
      </c>
      <c r="AL178">
        <v>0</v>
      </c>
      <c r="AM178">
        <v>0</v>
      </c>
      <c r="AP178">
        <v>0</v>
      </c>
      <c r="AQ178">
        <v>0</v>
      </c>
      <c r="AT178">
        <v>0</v>
      </c>
      <c r="AU178">
        <v>0</v>
      </c>
      <c r="AX178">
        <v>0</v>
      </c>
      <c r="AY178">
        <v>1</v>
      </c>
      <c r="BB178">
        <v>1</v>
      </c>
      <c r="BC178">
        <v>0</v>
      </c>
      <c r="BF178">
        <v>0</v>
      </c>
      <c r="BG178">
        <v>1</v>
      </c>
      <c r="BJ178">
        <v>1</v>
      </c>
      <c r="BK178">
        <v>0</v>
      </c>
      <c r="BN178">
        <v>0</v>
      </c>
      <c r="BO178">
        <v>0</v>
      </c>
      <c r="BR178">
        <v>0</v>
      </c>
      <c r="BS178">
        <v>0</v>
      </c>
      <c r="BV178">
        <v>0</v>
      </c>
      <c r="BW178">
        <v>0</v>
      </c>
      <c r="BZ178">
        <v>0</v>
      </c>
      <c r="CA178">
        <v>0</v>
      </c>
      <c r="CD178">
        <v>0</v>
      </c>
      <c r="CE178">
        <v>0</v>
      </c>
      <c r="CH178">
        <v>0</v>
      </c>
      <c r="CI178">
        <v>0</v>
      </c>
      <c r="CL178">
        <v>0</v>
      </c>
      <c r="CM178">
        <v>0</v>
      </c>
      <c r="CP178">
        <v>0</v>
      </c>
      <c r="CQ178">
        <v>0</v>
      </c>
      <c r="CT178">
        <v>0</v>
      </c>
      <c r="CU178">
        <v>0</v>
      </c>
      <c r="CX178">
        <v>0</v>
      </c>
      <c r="CY178">
        <v>0</v>
      </c>
      <c r="DB178">
        <v>0</v>
      </c>
      <c r="DC178">
        <v>0</v>
      </c>
      <c r="DF178">
        <v>0</v>
      </c>
      <c r="DG178">
        <v>0</v>
      </c>
      <c r="DJ178">
        <v>0</v>
      </c>
      <c r="DK178">
        <v>0</v>
      </c>
      <c r="DN178">
        <v>0</v>
      </c>
      <c r="DO178">
        <v>0</v>
      </c>
      <c r="DR178">
        <v>0</v>
      </c>
      <c r="DS178">
        <v>0</v>
      </c>
      <c r="DV178">
        <v>0</v>
      </c>
      <c r="DW178">
        <v>0</v>
      </c>
      <c r="DZ178">
        <v>0</v>
      </c>
      <c r="EA178">
        <v>0</v>
      </c>
      <c r="ED178">
        <v>0</v>
      </c>
      <c r="EE178">
        <v>0</v>
      </c>
      <c r="EH178">
        <v>0</v>
      </c>
      <c r="EI178">
        <v>0</v>
      </c>
      <c r="EL178">
        <v>0</v>
      </c>
      <c r="EM178">
        <v>1</v>
      </c>
      <c r="EP178">
        <v>1</v>
      </c>
      <c r="EQ178">
        <v>0</v>
      </c>
      <c r="ET178">
        <v>0</v>
      </c>
      <c r="EU178">
        <v>0</v>
      </c>
      <c r="EX178">
        <v>0</v>
      </c>
      <c r="EY178">
        <v>0</v>
      </c>
      <c r="FB178">
        <v>0</v>
      </c>
      <c r="FC178">
        <v>0</v>
      </c>
      <c r="FF178">
        <v>0</v>
      </c>
      <c r="FG178">
        <v>1</v>
      </c>
      <c r="FJ178">
        <v>1</v>
      </c>
      <c r="FK178">
        <v>0</v>
      </c>
      <c r="FN178">
        <v>0</v>
      </c>
      <c r="FO178">
        <v>0</v>
      </c>
      <c r="FR178">
        <v>0</v>
      </c>
      <c r="FS178">
        <v>0</v>
      </c>
      <c r="FV178">
        <v>0</v>
      </c>
      <c r="FW178">
        <v>0</v>
      </c>
      <c r="FZ178">
        <v>0</v>
      </c>
      <c r="GA178">
        <v>0</v>
      </c>
      <c r="GD178">
        <v>0</v>
      </c>
      <c r="GE178">
        <v>0</v>
      </c>
      <c r="GH178">
        <v>0</v>
      </c>
      <c r="GI178">
        <v>0</v>
      </c>
      <c r="GL178">
        <v>0</v>
      </c>
      <c r="GM178">
        <v>0</v>
      </c>
      <c r="GP178">
        <v>0</v>
      </c>
      <c r="GQ178">
        <v>0</v>
      </c>
      <c r="GT178">
        <v>0</v>
      </c>
      <c r="GU178">
        <v>0</v>
      </c>
      <c r="GX178">
        <v>0</v>
      </c>
      <c r="GY178">
        <v>0</v>
      </c>
      <c r="HB178">
        <v>0</v>
      </c>
      <c r="HC178">
        <v>0</v>
      </c>
      <c r="HF178">
        <v>0</v>
      </c>
      <c r="HG178">
        <v>0</v>
      </c>
      <c r="HJ178">
        <v>0</v>
      </c>
      <c r="HK178">
        <v>0</v>
      </c>
      <c r="HN178">
        <v>0</v>
      </c>
      <c r="HO178">
        <v>0</v>
      </c>
      <c r="HR178">
        <v>0</v>
      </c>
      <c r="HS178">
        <v>0</v>
      </c>
      <c r="HV178">
        <v>0</v>
      </c>
      <c r="HW178">
        <v>0</v>
      </c>
      <c r="HZ178">
        <v>0</v>
      </c>
      <c r="IA178">
        <v>0</v>
      </c>
      <c r="ID178">
        <v>0</v>
      </c>
      <c r="IE178">
        <v>0</v>
      </c>
      <c r="IH178">
        <v>0</v>
      </c>
      <c r="II178">
        <v>0</v>
      </c>
      <c r="IL178">
        <v>0</v>
      </c>
      <c r="IM178">
        <v>0</v>
      </c>
      <c r="IP178">
        <v>0</v>
      </c>
      <c r="IQ178">
        <v>0</v>
      </c>
      <c r="IT178">
        <v>0</v>
      </c>
      <c r="IU178">
        <v>0</v>
      </c>
      <c r="IX178">
        <v>0</v>
      </c>
      <c r="IY178">
        <f t="shared" ca="1" si="15"/>
        <v>2</v>
      </c>
      <c r="IZ178">
        <f t="shared" ca="1" si="15"/>
        <v>0</v>
      </c>
      <c r="JA178">
        <f t="shared" ca="1" si="15"/>
        <v>0</v>
      </c>
      <c r="JB178">
        <f t="shared" ca="1" si="15"/>
        <v>2</v>
      </c>
    </row>
    <row r="179" spans="1:262" x14ac:dyDescent="0.25">
      <c r="A179" s="172">
        <v>176</v>
      </c>
      <c r="B179" s="172" t="s">
        <v>530</v>
      </c>
      <c r="C179">
        <v>0</v>
      </c>
      <c r="F179">
        <v>0</v>
      </c>
      <c r="G179">
        <v>1</v>
      </c>
      <c r="J179">
        <v>1</v>
      </c>
      <c r="K179">
        <v>0</v>
      </c>
      <c r="N179">
        <v>0</v>
      </c>
      <c r="O179">
        <v>0</v>
      </c>
      <c r="R179">
        <v>0</v>
      </c>
      <c r="S179">
        <v>0</v>
      </c>
      <c r="V179">
        <v>0</v>
      </c>
      <c r="W179">
        <v>0</v>
      </c>
      <c r="Z179">
        <v>0</v>
      </c>
      <c r="AA179">
        <v>0</v>
      </c>
      <c r="AD179">
        <v>0</v>
      </c>
      <c r="AE179">
        <v>0</v>
      </c>
      <c r="AH179">
        <v>0</v>
      </c>
      <c r="AI179">
        <v>0</v>
      </c>
      <c r="AL179">
        <v>0</v>
      </c>
      <c r="AM179">
        <v>0</v>
      </c>
      <c r="AP179">
        <v>0</v>
      </c>
      <c r="AQ179">
        <v>0</v>
      </c>
      <c r="AT179">
        <v>0</v>
      </c>
      <c r="AU179">
        <v>0</v>
      </c>
      <c r="AX179">
        <v>0</v>
      </c>
      <c r="AY179">
        <v>1</v>
      </c>
      <c r="BB179">
        <v>1</v>
      </c>
      <c r="BC179">
        <v>0</v>
      </c>
      <c r="BF179">
        <v>0</v>
      </c>
      <c r="BG179">
        <v>0</v>
      </c>
      <c r="BJ179">
        <v>0</v>
      </c>
      <c r="BK179">
        <v>0</v>
      </c>
      <c r="BN179">
        <v>0</v>
      </c>
      <c r="BO179">
        <v>0</v>
      </c>
      <c r="BR179">
        <v>0</v>
      </c>
      <c r="BS179">
        <v>0</v>
      </c>
      <c r="BV179">
        <v>0</v>
      </c>
      <c r="BW179">
        <v>0</v>
      </c>
      <c r="BZ179">
        <v>0</v>
      </c>
      <c r="CA179">
        <v>0</v>
      </c>
      <c r="CD179">
        <v>0</v>
      </c>
      <c r="CE179">
        <v>0</v>
      </c>
      <c r="CH179">
        <v>0</v>
      </c>
      <c r="CI179">
        <v>0</v>
      </c>
      <c r="CL179">
        <v>0</v>
      </c>
      <c r="CM179">
        <v>0</v>
      </c>
      <c r="CP179">
        <v>0</v>
      </c>
      <c r="CQ179">
        <v>0</v>
      </c>
      <c r="CT179">
        <v>0</v>
      </c>
      <c r="CU179">
        <v>0</v>
      </c>
      <c r="CX179">
        <v>0</v>
      </c>
      <c r="CY179">
        <v>0</v>
      </c>
      <c r="DB179">
        <v>0</v>
      </c>
      <c r="DC179">
        <v>0</v>
      </c>
      <c r="DF179">
        <v>0</v>
      </c>
      <c r="DG179">
        <v>0</v>
      </c>
      <c r="DJ179">
        <v>0</v>
      </c>
      <c r="DK179">
        <v>0</v>
      </c>
      <c r="DN179">
        <v>0</v>
      </c>
      <c r="DO179">
        <v>0</v>
      </c>
      <c r="DR179">
        <v>0</v>
      </c>
      <c r="DS179">
        <v>0</v>
      </c>
      <c r="DV179">
        <v>0</v>
      </c>
      <c r="DW179">
        <v>0</v>
      </c>
      <c r="DZ179">
        <v>0</v>
      </c>
      <c r="EA179">
        <v>0</v>
      </c>
      <c r="ED179">
        <v>0</v>
      </c>
      <c r="EE179">
        <v>0</v>
      </c>
      <c r="EH179">
        <v>0</v>
      </c>
      <c r="EI179">
        <v>0</v>
      </c>
      <c r="EL179">
        <v>0</v>
      </c>
      <c r="EM179">
        <v>0</v>
      </c>
      <c r="EP179">
        <v>0</v>
      </c>
      <c r="EQ179">
        <v>1</v>
      </c>
      <c r="ET179">
        <v>1</v>
      </c>
      <c r="EU179">
        <v>0</v>
      </c>
      <c r="EX179">
        <v>0</v>
      </c>
      <c r="EY179">
        <v>0</v>
      </c>
      <c r="FB179">
        <v>0</v>
      </c>
      <c r="FC179">
        <v>0</v>
      </c>
      <c r="FF179">
        <v>0</v>
      </c>
      <c r="FG179">
        <v>0</v>
      </c>
      <c r="FJ179">
        <v>0</v>
      </c>
      <c r="FK179">
        <v>0</v>
      </c>
      <c r="FN179">
        <v>0</v>
      </c>
      <c r="FO179">
        <v>0</v>
      </c>
      <c r="FR179">
        <v>0</v>
      </c>
      <c r="FS179">
        <v>0</v>
      </c>
      <c r="FV179">
        <v>0</v>
      </c>
      <c r="FW179">
        <v>0</v>
      </c>
      <c r="FZ179">
        <v>0</v>
      </c>
      <c r="GA179">
        <v>0</v>
      </c>
      <c r="GD179">
        <v>0</v>
      </c>
      <c r="GE179">
        <v>0</v>
      </c>
      <c r="GH179">
        <v>0</v>
      </c>
      <c r="GI179">
        <v>0</v>
      </c>
      <c r="GL179">
        <v>0</v>
      </c>
      <c r="GM179">
        <v>0</v>
      </c>
      <c r="GP179">
        <v>0</v>
      </c>
      <c r="GQ179">
        <v>0</v>
      </c>
      <c r="GT179">
        <v>0</v>
      </c>
      <c r="GU179">
        <v>0</v>
      </c>
      <c r="GX179">
        <v>0</v>
      </c>
      <c r="GY179">
        <v>0</v>
      </c>
      <c r="HB179">
        <v>0</v>
      </c>
      <c r="HC179">
        <v>0</v>
      </c>
      <c r="HF179">
        <v>0</v>
      </c>
      <c r="HG179">
        <v>0</v>
      </c>
      <c r="HJ179">
        <v>0</v>
      </c>
      <c r="HK179">
        <v>0</v>
      </c>
      <c r="HN179">
        <v>0</v>
      </c>
      <c r="HO179">
        <v>0</v>
      </c>
      <c r="HR179">
        <v>0</v>
      </c>
      <c r="HS179">
        <v>0</v>
      </c>
      <c r="HV179">
        <v>0</v>
      </c>
      <c r="HW179">
        <v>0</v>
      </c>
      <c r="HZ179">
        <v>0</v>
      </c>
      <c r="IA179">
        <v>0</v>
      </c>
      <c r="ID179">
        <v>0</v>
      </c>
      <c r="IE179">
        <v>0</v>
      </c>
      <c r="IH179">
        <v>0</v>
      </c>
      <c r="II179">
        <v>0</v>
      </c>
      <c r="IL179">
        <v>0</v>
      </c>
      <c r="IM179">
        <v>0</v>
      </c>
      <c r="IP179">
        <v>0</v>
      </c>
      <c r="IQ179">
        <v>0</v>
      </c>
      <c r="IT179">
        <v>0</v>
      </c>
      <c r="IU179">
        <v>0</v>
      </c>
      <c r="IX179">
        <v>0</v>
      </c>
      <c r="IY179">
        <f t="shared" ca="1" si="15"/>
        <v>1</v>
      </c>
      <c r="IZ179">
        <f t="shared" ca="1" si="15"/>
        <v>0</v>
      </c>
      <c r="JA179">
        <f t="shared" ca="1" si="15"/>
        <v>0</v>
      </c>
      <c r="JB179">
        <f t="shared" ca="1" si="15"/>
        <v>1</v>
      </c>
    </row>
    <row r="180" spans="1:262" x14ac:dyDescent="0.25">
      <c r="A180" s="172">
        <v>177</v>
      </c>
      <c r="B180" s="172" t="s">
        <v>529</v>
      </c>
      <c r="C180">
        <v>0</v>
      </c>
      <c r="F180">
        <v>0</v>
      </c>
      <c r="G180">
        <v>1</v>
      </c>
      <c r="J180">
        <v>1</v>
      </c>
      <c r="K180">
        <v>0</v>
      </c>
      <c r="N180">
        <v>0</v>
      </c>
      <c r="O180">
        <v>0</v>
      </c>
      <c r="R180">
        <v>0</v>
      </c>
      <c r="S180">
        <v>0</v>
      </c>
      <c r="V180">
        <v>0</v>
      </c>
      <c r="W180">
        <v>0</v>
      </c>
      <c r="Z180">
        <v>0</v>
      </c>
      <c r="AA180">
        <v>0</v>
      </c>
      <c r="AD180">
        <v>0</v>
      </c>
      <c r="AE180">
        <v>0</v>
      </c>
      <c r="AH180">
        <v>0</v>
      </c>
      <c r="AI180">
        <v>0</v>
      </c>
      <c r="AL180">
        <v>0</v>
      </c>
      <c r="AM180">
        <v>0</v>
      </c>
      <c r="AP180">
        <v>0</v>
      </c>
      <c r="AQ180">
        <v>0</v>
      </c>
      <c r="AT180">
        <v>0</v>
      </c>
      <c r="AU180">
        <v>0</v>
      </c>
      <c r="AX180">
        <v>0</v>
      </c>
      <c r="AY180">
        <v>1</v>
      </c>
      <c r="BB180">
        <v>1</v>
      </c>
      <c r="BC180">
        <v>0</v>
      </c>
      <c r="BF180">
        <v>0</v>
      </c>
      <c r="BG180">
        <v>0</v>
      </c>
      <c r="BJ180">
        <v>0</v>
      </c>
      <c r="BK180">
        <v>0</v>
      </c>
      <c r="BN180">
        <v>0</v>
      </c>
      <c r="BO180">
        <v>0</v>
      </c>
      <c r="BR180">
        <v>0</v>
      </c>
      <c r="BS180">
        <v>0</v>
      </c>
      <c r="BV180">
        <v>0</v>
      </c>
      <c r="BW180">
        <v>0</v>
      </c>
      <c r="BZ180">
        <v>0</v>
      </c>
      <c r="CA180">
        <v>0</v>
      </c>
      <c r="CD180">
        <v>0</v>
      </c>
      <c r="CE180">
        <v>0</v>
      </c>
      <c r="CH180">
        <v>0</v>
      </c>
      <c r="CI180">
        <v>0</v>
      </c>
      <c r="CL180">
        <v>0</v>
      </c>
      <c r="CM180">
        <v>0</v>
      </c>
      <c r="CP180">
        <v>0</v>
      </c>
      <c r="CQ180">
        <v>0</v>
      </c>
      <c r="CT180">
        <v>0</v>
      </c>
      <c r="CU180">
        <v>0</v>
      </c>
      <c r="CX180">
        <v>0</v>
      </c>
      <c r="CY180">
        <v>0</v>
      </c>
      <c r="DB180">
        <v>0</v>
      </c>
      <c r="DC180">
        <v>0</v>
      </c>
      <c r="DF180">
        <v>0</v>
      </c>
      <c r="DG180">
        <v>0</v>
      </c>
      <c r="DJ180">
        <v>0</v>
      </c>
      <c r="DK180">
        <v>0</v>
      </c>
      <c r="DN180">
        <v>0</v>
      </c>
      <c r="DO180">
        <v>0</v>
      </c>
      <c r="DR180">
        <v>0</v>
      </c>
      <c r="DS180">
        <v>0</v>
      </c>
      <c r="DV180">
        <v>0</v>
      </c>
      <c r="DW180">
        <v>0</v>
      </c>
      <c r="DZ180">
        <v>0</v>
      </c>
      <c r="EA180">
        <v>0</v>
      </c>
      <c r="ED180">
        <v>0</v>
      </c>
      <c r="EE180">
        <v>0</v>
      </c>
      <c r="EH180">
        <v>0</v>
      </c>
      <c r="EI180">
        <v>0</v>
      </c>
      <c r="EL180">
        <v>0</v>
      </c>
      <c r="EM180">
        <v>0</v>
      </c>
      <c r="EP180">
        <v>0</v>
      </c>
      <c r="EQ180">
        <v>1</v>
      </c>
      <c r="ET180">
        <v>1</v>
      </c>
      <c r="EU180">
        <v>0</v>
      </c>
      <c r="EX180">
        <v>0</v>
      </c>
      <c r="EY180">
        <v>0</v>
      </c>
      <c r="FB180">
        <v>0</v>
      </c>
      <c r="FC180">
        <v>0</v>
      </c>
      <c r="FF180">
        <v>0</v>
      </c>
      <c r="FG180">
        <v>0</v>
      </c>
      <c r="FJ180">
        <v>0</v>
      </c>
      <c r="FK180">
        <v>0</v>
      </c>
      <c r="FN180">
        <v>0</v>
      </c>
      <c r="FO180">
        <v>0</v>
      </c>
      <c r="FR180">
        <v>0</v>
      </c>
      <c r="FS180">
        <v>0</v>
      </c>
      <c r="FV180">
        <v>0</v>
      </c>
      <c r="FW180">
        <v>0</v>
      </c>
      <c r="FZ180">
        <v>0</v>
      </c>
      <c r="GA180">
        <v>0</v>
      </c>
      <c r="GD180">
        <v>0</v>
      </c>
      <c r="GE180">
        <v>0</v>
      </c>
      <c r="GH180">
        <v>0</v>
      </c>
      <c r="GI180">
        <v>0</v>
      </c>
      <c r="GL180">
        <v>0</v>
      </c>
      <c r="GM180">
        <v>0</v>
      </c>
      <c r="GP180">
        <v>0</v>
      </c>
      <c r="GQ180">
        <v>0</v>
      </c>
      <c r="GT180">
        <v>0</v>
      </c>
      <c r="GU180">
        <v>0</v>
      </c>
      <c r="GX180">
        <v>0</v>
      </c>
      <c r="GY180">
        <v>0</v>
      </c>
      <c r="HB180">
        <v>0</v>
      </c>
      <c r="HC180">
        <v>0</v>
      </c>
      <c r="HF180">
        <v>0</v>
      </c>
      <c r="HG180">
        <v>0</v>
      </c>
      <c r="HJ180">
        <v>0</v>
      </c>
      <c r="HK180">
        <v>0</v>
      </c>
      <c r="HN180">
        <v>0</v>
      </c>
      <c r="HO180">
        <v>0</v>
      </c>
      <c r="HR180">
        <v>0</v>
      </c>
      <c r="HS180">
        <v>0</v>
      </c>
      <c r="HV180">
        <v>0</v>
      </c>
      <c r="HW180">
        <v>0</v>
      </c>
      <c r="HZ180">
        <v>0</v>
      </c>
      <c r="IA180">
        <v>0</v>
      </c>
      <c r="ID180">
        <v>0</v>
      </c>
      <c r="IE180">
        <v>0</v>
      </c>
      <c r="IH180">
        <v>0</v>
      </c>
      <c r="II180">
        <v>0</v>
      </c>
      <c r="IL180">
        <v>0</v>
      </c>
      <c r="IM180">
        <v>0</v>
      </c>
      <c r="IP180">
        <v>0</v>
      </c>
      <c r="IQ180">
        <v>0</v>
      </c>
      <c r="IT180">
        <v>0</v>
      </c>
      <c r="IU180">
        <v>0</v>
      </c>
      <c r="IX180">
        <v>0</v>
      </c>
      <c r="IY180">
        <f t="shared" ca="1" si="15"/>
        <v>1</v>
      </c>
      <c r="IZ180">
        <f t="shared" ca="1" si="15"/>
        <v>0</v>
      </c>
      <c r="JA180">
        <f t="shared" ca="1" si="15"/>
        <v>0</v>
      </c>
      <c r="JB180">
        <f t="shared" ca="1" si="15"/>
        <v>1</v>
      </c>
    </row>
    <row r="181" spans="1:262" x14ac:dyDescent="0.25">
      <c r="A181" s="172">
        <v>178</v>
      </c>
      <c r="B181" s="172" t="s">
        <v>515</v>
      </c>
      <c r="C181">
        <v>0</v>
      </c>
      <c r="F181">
        <v>0</v>
      </c>
      <c r="G181">
        <v>1</v>
      </c>
      <c r="J181">
        <v>1</v>
      </c>
      <c r="K181">
        <v>0</v>
      </c>
      <c r="N181">
        <v>0</v>
      </c>
      <c r="O181">
        <v>0</v>
      </c>
      <c r="R181">
        <v>0</v>
      </c>
      <c r="S181">
        <v>0</v>
      </c>
      <c r="V181">
        <v>0</v>
      </c>
      <c r="W181">
        <v>0</v>
      </c>
      <c r="Z181">
        <v>0</v>
      </c>
      <c r="AA181">
        <v>0</v>
      </c>
      <c r="AD181">
        <v>0</v>
      </c>
      <c r="AE181">
        <v>0</v>
      </c>
      <c r="AH181">
        <v>0</v>
      </c>
      <c r="AI181">
        <v>0</v>
      </c>
      <c r="AL181">
        <v>0</v>
      </c>
      <c r="AM181">
        <v>0</v>
      </c>
      <c r="AP181">
        <v>0</v>
      </c>
      <c r="AQ181">
        <v>0</v>
      </c>
      <c r="AT181">
        <v>0</v>
      </c>
      <c r="AU181">
        <v>0</v>
      </c>
      <c r="AX181">
        <v>0</v>
      </c>
      <c r="AY181">
        <v>1</v>
      </c>
      <c r="BB181">
        <v>1</v>
      </c>
      <c r="BC181">
        <v>0</v>
      </c>
      <c r="BF181">
        <v>0</v>
      </c>
      <c r="BG181">
        <v>0</v>
      </c>
      <c r="BJ181">
        <v>0</v>
      </c>
      <c r="BK181">
        <v>0</v>
      </c>
      <c r="BN181">
        <v>0</v>
      </c>
      <c r="BO181">
        <v>0</v>
      </c>
      <c r="BR181">
        <v>0</v>
      </c>
      <c r="BS181">
        <v>0</v>
      </c>
      <c r="BV181">
        <v>0</v>
      </c>
      <c r="BW181">
        <v>0</v>
      </c>
      <c r="BZ181">
        <v>0</v>
      </c>
      <c r="CA181">
        <v>0</v>
      </c>
      <c r="CD181">
        <v>0</v>
      </c>
      <c r="CE181">
        <v>0</v>
      </c>
      <c r="CH181">
        <v>0</v>
      </c>
      <c r="CI181">
        <v>0</v>
      </c>
      <c r="CL181">
        <v>0</v>
      </c>
      <c r="CM181">
        <v>0</v>
      </c>
      <c r="CP181">
        <v>0</v>
      </c>
      <c r="CQ181">
        <v>0</v>
      </c>
      <c r="CT181">
        <v>0</v>
      </c>
      <c r="CU181">
        <v>0</v>
      </c>
      <c r="CX181">
        <v>0</v>
      </c>
      <c r="CY181">
        <v>0</v>
      </c>
      <c r="DB181">
        <v>0</v>
      </c>
      <c r="DC181">
        <v>0</v>
      </c>
      <c r="DF181">
        <v>0</v>
      </c>
      <c r="DG181">
        <v>0</v>
      </c>
      <c r="DJ181">
        <v>0</v>
      </c>
      <c r="DK181">
        <v>0</v>
      </c>
      <c r="DN181">
        <v>0</v>
      </c>
      <c r="DO181">
        <v>0</v>
      </c>
      <c r="DR181">
        <v>0</v>
      </c>
      <c r="DS181">
        <v>0</v>
      </c>
      <c r="DV181">
        <v>0</v>
      </c>
      <c r="DW181">
        <v>0</v>
      </c>
      <c r="DZ181">
        <v>0</v>
      </c>
      <c r="EA181">
        <v>0</v>
      </c>
      <c r="ED181">
        <v>0</v>
      </c>
      <c r="EE181">
        <v>0</v>
      </c>
      <c r="EH181">
        <v>0</v>
      </c>
      <c r="EI181">
        <v>0</v>
      </c>
      <c r="EL181">
        <v>0</v>
      </c>
      <c r="EM181">
        <v>0</v>
      </c>
      <c r="EP181">
        <v>0</v>
      </c>
      <c r="EQ181">
        <v>1</v>
      </c>
      <c r="ET181">
        <v>1</v>
      </c>
      <c r="EU181">
        <v>0</v>
      </c>
      <c r="EX181">
        <v>0</v>
      </c>
      <c r="EY181">
        <v>0</v>
      </c>
      <c r="FB181">
        <v>0</v>
      </c>
      <c r="FC181">
        <v>0</v>
      </c>
      <c r="FF181">
        <v>0</v>
      </c>
      <c r="FG181">
        <v>0</v>
      </c>
      <c r="FJ181">
        <v>0</v>
      </c>
      <c r="FK181">
        <v>0</v>
      </c>
      <c r="FN181">
        <v>0</v>
      </c>
      <c r="FO181">
        <v>0</v>
      </c>
      <c r="FR181">
        <v>0</v>
      </c>
      <c r="FS181">
        <v>0</v>
      </c>
      <c r="FV181">
        <v>0</v>
      </c>
      <c r="FW181">
        <v>0</v>
      </c>
      <c r="FZ181">
        <v>0</v>
      </c>
      <c r="GA181">
        <v>0</v>
      </c>
      <c r="GD181">
        <v>0</v>
      </c>
      <c r="GE181">
        <v>0</v>
      </c>
      <c r="GH181">
        <v>0</v>
      </c>
      <c r="GI181">
        <v>0</v>
      </c>
      <c r="GL181">
        <v>0</v>
      </c>
      <c r="GM181">
        <v>0</v>
      </c>
      <c r="GP181">
        <v>0</v>
      </c>
      <c r="GQ181">
        <v>0</v>
      </c>
      <c r="GT181">
        <v>0</v>
      </c>
      <c r="GU181">
        <v>0</v>
      </c>
      <c r="GX181">
        <v>0</v>
      </c>
      <c r="GY181">
        <v>0</v>
      </c>
      <c r="HB181">
        <v>0</v>
      </c>
      <c r="HC181">
        <v>0</v>
      </c>
      <c r="HF181">
        <v>0</v>
      </c>
      <c r="HG181">
        <v>0</v>
      </c>
      <c r="HJ181">
        <v>0</v>
      </c>
      <c r="HK181">
        <v>0</v>
      </c>
      <c r="HN181">
        <v>0</v>
      </c>
      <c r="HO181">
        <v>0</v>
      </c>
      <c r="HR181">
        <v>0</v>
      </c>
      <c r="HS181">
        <v>0</v>
      </c>
      <c r="HV181">
        <v>0</v>
      </c>
      <c r="HW181">
        <v>0</v>
      </c>
      <c r="HZ181">
        <v>0</v>
      </c>
      <c r="IA181">
        <v>0</v>
      </c>
      <c r="ID181">
        <v>0</v>
      </c>
      <c r="IE181">
        <v>0</v>
      </c>
      <c r="IH181">
        <v>0</v>
      </c>
      <c r="II181">
        <v>0</v>
      </c>
      <c r="IL181">
        <v>0</v>
      </c>
      <c r="IM181">
        <v>0</v>
      </c>
      <c r="IP181">
        <v>0</v>
      </c>
      <c r="IQ181">
        <v>0</v>
      </c>
      <c r="IT181">
        <v>0</v>
      </c>
      <c r="IU181">
        <v>0</v>
      </c>
      <c r="IX181">
        <v>0</v>
      </c>
      <c r="IY181">
        <f t="shared" ca="1" si="15"/>
        <v>1</v>
      </c>
      <c r="IZ181">
        <f t="shared" ca="1" si="15"/>
        <v>0</v>
      </c>
      <c r="JA181">
        <f t="shared" ca="1" si="15"/>
        <v>0</v>
      </c>
      <c r="JB181">
        <f t="shared" ca="1" si="15"/>
        <v>1</v>
      </c>
    </row>
    <row r="182" spans="1:262" x14ac:dyDescent="0.25">
      <c r="A182" s="172">
        <v>179</v>
      </c>
      <c r="B182" s="172" t="s">
        <v>521</v>
      </c>
      <c r="C182">
        <v>0</v>
      </c>
      <c r="F182">
        <v>0</v>
      </c>
      <c r="G182">
        <v>1</v>
      </c>
      <c r="J182">
        <v>1</v>
      </c>
      <c r="K182">
        <v>0</v>
      </c>
      <c r="N182">
        <v>0</v>
      </c>
      <c r="O182">
        <v>0</v>
      </c>
      <c r="R182">
        <v>0</v>
      </c>
      <c r="S182">
        <v>0</v>
      </c>
      <c r="V182">
        <v>0</v>
      </c>
      <c r="W182">
        <v>0</v>
      </c>
      <c r="Z182">
        <v>0</v>
      </c>
      <c r="AA182">
        <v>0</v>
      </c>
      <c r="AD182">
        <v>0</v>
      </c>
      <c r="AE182">
        <v>0</v>
      </c>
      <c r="AH182">
        <v>0</v>
      </c>
      <c r="AI182">
        <v>0</v>
      </c>
      <c r="AL182">
        <v>0</v>
      </c>
      <c r="AM182">
        <v>0</v>
      </c>
      <c r="AP182">
        <v>0</v>
      </c>
      <c r="AQ182">
        <v>0</v>
      </c>
      <c r="AT182">
        <v>0</v>
      </c>
      <c r="AU182">
        <v>0</v>
      </c>
      <c r="AX182">
        <v>0</v>
      </c>
      <c r="AY182">
        <v>1</v>
      </c>
      <c r="BB182">
        <v>1</v>
      </c>
      <c r="BC182">
        <v>0</v>
      </c>
      <c r="BF182">
        <v>0</v>
      </c>
      <c r="BG182">
        <v>0</v>
      </c>
      <c r="BJ182">
        <v>0</v>
      </c>
      <c r="BK182">
        <v>0</v>
      </c>
      <c r="BN182">
        <v>0</v>
      </c>
      <c r="BO182">
        <v>0</v>
      </c>
      <c r="BR182">
        <v>0</v>
      </c>
      <c r="BS182">
        <v>0</v>
      </c>
      <c r="BV182">
        <v>0</v>
      </c>
      <c r="BW182">
        <v>0</v>
      </c>
      <c r="BZ182">
        <v>0</v>
      </c>
      <c r="CA182">
        <v>0</v>
      </c>
      <c r="CD182">
        <v>0</v>
      </c>
      <c r="CE182">
        <v>0</v>
      </c>
      <c r="CH182">
        <v>0</v>
      </c>
      <c r="CI182">
        <v>0</v>
      </c>
      <c r="CL182">
        <v>0</v>
      </c>
      <c r="CM182">
        <v>0</v>
      </c>
      <c r="CP182">
        <v>0</v>
      </c>
      <c r="CQ182">
        <v>0</v>
      </c>
      <c r="CT182">
        <v>0</v>
      </c>
      <c r="CU182">
        <v>0</v>
      </c>
      <c r="CX182">
        <v>0</v>
      </c>
      <c r="CY182">
        <v>0</v>
      </c>
      <c r="DB182">
        <v>0</v>
      </c>
      <c r="DC182">
        <v>0</v>
      </c>
      <c r="DF182">
        <v>0</v>
      </c>
      <c r="DG182">
        <v>0</v>
      </c>
      <c r="DJ182">
        <v>0</v>
      </c>
      <c r="DK182">
        <v>0</v>
      </c>
      <c r="DN182">
        <v>0</v>
      </c>
      <c r="DO182">
        <v>0</v>
      </c>
      <c r="DR182">
        <v>0</v>
      </c>
      <c r="DS182">
        <v>0</v>
      </c>
      <c r="DV182">
        <v>0</v>
      </c>
      <c r="DW182">
        <v>0</v>
      </c>
      <c r="DZ182">
        <v>0</v>
      </c>
      <c r="EA182">
        <v>0</v>
      </c>
      <c r="ED182">
        <v>0</v>
      </c>
      <c r="EE182">
        <v>0</v>
      </c>
      <c r="EH182">
        <v>0</v>
      </c>
      <c r="EI182">
        <v>0</v>
      </c>
      <c r="EL182">
        <v>0</v>
      </c>
      <c r="EM182">
        <v>0</v>
      </c>
      <c r="EP182">
        <v>0</v>
      </c>
      <c r="EQ182">
        <v>0</v>
      </c>
      <c r="ET182">
        <v>0</v>
      </c>
      <c r="EU182">
        <v>1</v>
      </c>
      <c r="EX182">
        <v>1</v>
      </c>
      <c r="EY182">
        <v>0</v>
      </c>
      <c r="FB182">
        <v>0</v>
      </c>
      <c r="FC182">
        <v>0</v>
      </c>
      <c r="FF182">
        <v>0</v>
      </c>
      <c r="FG182">
        <v>0</v>
      </c>
      <c r="FJ182">
        <v>0</v>
      </c>
      <c r="FK182">
        <v>0</v>
      </c>
      <c r="FN182">
        <v>0</v>
      </c>
      <c r="FO182">
        <v>0</v>
      </c>
      <c r="FR182">
        <v>0</v>
      </c>
      <c r="FS182">
        <v>0</v>
      </c>
      <c r="FV182">
        <v>0</v>
      </c>
      <c r="FW182">
        <v>0</v>
      </c>
      <c r="FZ182">
        <v>0</v>
      </c>
      <c r="GA182">
        <v>0</v>
      </c>
      <c r="GD182">
        <v>0</v>
      </c>
      <c r="GE182">
        <v>0</v>
      </c>
      <c r="GH182">
        <v>0</v>
      </c>
      <c r="GI182">
        <v>0</v>
      </c>
      <c r="GL182">
        <v>0</v>
      </c>
      <c r="GM182">
        <v>0</v>
      </c>
      <c r="GP182">
        <v>0</v>
      </c>
      <c r="GQ182">
        <v>0</v>
      </c>
      <c r="GT182">
        <v>0</v>
      </c>
      <c r="GU182">
        <v>0</v>
      </c>
      <c r="GX182">
        <v>0</v>
      </c>
      <c r="GY182">
        <v>0</v>
      </c>
      <c r="HB182">
        <v>0</v>
      </c>
      <c r="HC182">
        <v>0</v>
      </c>
      <c r="HF182">
        <v>0</v>
      </c>
      <c r="HG182">
        <v>0</v>
      </c>
      <c r="HJ182">
        <v>0</v>
      </c>
      <c r="HK182">
        <v>0</v>
      </c>
      <c r="HN182">
        <v>0</v>
      </c>
      <c r="HO182">
        <v>0</v>
      </c>
      <c r="HR182">
        <v>0</v>
      </c>
      <c r="HS182">
        <v>0</v>
      </c>
      <c r="HV182">
        <v>0</v>
      </c>
      <c r="HW182">
        <v>0</v>
      </c>
      <c r="HZ182">
        <v>0</v>
      </c>
      <c r="IA182">
        <v>0</v>
      </c>
      <c r="ID182">
        <v>0</v>
      </c>
      <c r="IE182">
        <v>0</v>
      </c>
      <c r="IH182">
        <v>0</v>
      </c>
      <c r="II182">
        <v>0</v>
      </c>
      <c r="IL182">
        <v>0</v>
      </c>
      <c r="IM182">
        <v>0</v>
      </c>
      <c r="IP182">
        <v>0</v>
      </c>
      <c r="IQ182">
        <v>0</v>
      </c>
      <c r="IT182">
        <v>0</v>
      </c>
      <c r="IU182">
        <v>0</v>
      </c>
      <c r="IX182">
        <v>0</v>
      </c>
      <c r="IY182">
        <f t="shared" ca="1" si="15"/>
        <v>1</v>
      </c>
      <c r="IZ182">
        <f t="shared" ca="1" si="15"/>
        <v>0</v>
      </c>
      <c r="JA182">
        <f t="shared" ca="1" si="15"/>
        <v>0</v>
      </c>
      <c r="JB182">
        <f t="shared" ca="1" si="15"/>
        <v>1</v>
      </c>
    </row>
    <row r="183" spans="1:262" x14ac:dyDescent="0.25">
      <c r="A183" s="172">
        <v>180</v>
      </c>
      <c r="B183" s="172" t="s">
        <v>532</v>
      </c>
      <c r="C183">
        <v>0</v>
      </c>
      <c r="F183">
        <v>0</v>
      </c>
      <c r="G183">
        <v>1</v>
      </c>
      <c r="J183">
        <v>1</v>
      </c>
      <c r="K183">
        <v>0</v>
      </c>
      <c r="N183">
        <v>0</v>
      </c>
      <c r="O183">
        <v>0</v>
      </c>
      <c r="R183">
        <v>0</v>
      </c>
      <c r="S183">
        <v>0</v>
      </c>
      <c r="V183">
        <v>0</v>
      </c>
      <c r="W183">
        <v>0</v>
      </c>
      <c r="Z183">
        <v>0</v>
      </c>
      <c r="AA183">
        <v>0</v>
      </c>
      <c r="AD183">
        <v>0</v>
      </c>
      <c r="AE183">
        <v>0</v>
      </c>
      <c r="AH183">
        <v>0</v>
      </c>
      <c r="AI183">
        <v>0</v>
      </c>
      <c r="AL183">
        <v>0</v>
      </c>
      <c r="AM183">
        <v>0</v>
      </c>
      <c r="AP183">
        <v>0</v>
      </c>
      <c r="AQ183">
        <v>0</v>
      </c>
      <c r="AT183">
        <v>0</v>
      </c>
      <c r="AU183">
        <v>0</v>
      </c>
      <c r="AX183">
        <v>0</v>
      </c>
      <c r="AY183">
        <v>1</v>
      </c>
      <c r="BB183">
        <v>1</v>
      </c>
      <c r="BC183">
        <v>0</v>
      </c>
      <c r="BF183">
        <v>0</v>
      </c>
      <c r="BG183">
        <v>0</v>
      </c>
      <c r="BJ183">
        <v>0</v>
      </c>
      <c r="BK183">
        <v>0</v>
      </c>
      <c r="BN183">
        <v>0</v>
      </c>
      <c r="BO183">
        <v>0</v>
      </c>
      <c r="BR183">
        <v>0</v>
      </c>
      <c r="BS183">
        <v>0</v>
      </c>
      <c r="BV183">
        <v>0</v>
      </c>
      <c r="BW183">
        <v>0</v>
      </c>
      <c r="BZ183">
        <v>0</v>
      </c>
      <c r="CA183">
        <v>0</v>
      </c>
      <c r="CD183">
        <v>0</v>
      </c>
      <c r="CE183">
        <v>0</v>
      </c>
      <c r="CH183">
        <v>0</v>
      </c>
      <c r="CI183">
        <v>0</v>
      </c>
      <c r="CL183">
        <v>0</v>
      </c>
      <c r="CM183">
        <v>0</v>
      </c>
      <c r="CP183">
        <v>0</v>
      </c>
      <c r="CQ183">
        <v>0</v>
      </c>
      <c r="CT183">
        <v>0</v>
      </c>
      <c r="CU183">
        <v>0</v>
      </c>
      <c r="CX183">
        <v>0</v>
      </c>
      <c r="CY183">
        <v>0</v>
      </c>
      <c r="DB183">
        <v>0</v>
      </c>
      <c r="DC183">
        <v>0</v>
      </c>
      <c r="DF183">
        <v>0</v>
      </c>
      <c r="DG183">
        <v>0</v>
      </c>
      <c r="DJ183">
        <v>0</v>
      </c>
      <c r="DK183">
        <v>0</v>
      </c>
      <c r="DN183">
        <v>0</v>
      </c>
      <c r="DO183">
        <v>0</v>
      </c>
      <c r="DR183">
        <v>0</v>
      </c>
      <c r="DS183">
        <v>0</v>
      </c>
      <c r="DV183">
        <v>0</v>
      </c>
      <c r="DW183">
        <v>0</v>
      </c>
      <c r="DZ183">
        <v>0</v>
      </c>
      <c r="EA183">
        <v>0</v>
      </c>
      <c r="ED183">
        <v>0</v>
      </c>
      <c r="EE183">
        <v>0</v>
      </c>
      <c r="EH183">
        <v>0</v>
      </c>
      <c r="EI183">
        <v>0</v>
      </c>
      <c r="EL183">
        <v>0</v>
      </c>
      <c r="EM183">
        <v>0</v>
      </c>
      <c r="EP183">
        <v>0</v>
      </c>
      <c r="EQ183">
        <v>0</v>
      </c>
      <c r="ET183">
        <v>0</v>
      </c>
      <c r="EU183">
        <v>1</v>
      </c>
      <c r="EX183">
        <v>1</v>
      </c>
      <c r="EY183">
        <v>0</v>
      </c>
      <c r="FB183">
        <v>0</v>
      </c>
      <c r="FC183">
        <v>0</v>
      </c>
      <c r="FF183">
        <v>0</v>
      </c>
      <c r="FG183">
        <v>0</v>
      </c>
      <c r="FJ183">
        <v>0</v>
      </c>
      <c r="FK183">
        <v>0</v>
      </c>
      <c r="FN183">
        <v>0</v>
      </c>
      <c r="FO183">
        <v>0</v>
      </c>
      <c r="FR183">
        <v>0</v>
      </c>
      <c r="FS183">
        <v>0</v>
      </c>
      <c r="FV183">
        <v>0</v>
      </c>
      <c r="FW183">
        <v>0</v>
      </c>
      <c r="FZ183">
        <v>0</v>
      </c>
      <c r="GA183">
        <v>0</v>
      </c>
      <c r="GD183">
        <v>0</v>
      </c>
      <c r="GE183">
        <v>0</v>
      </c>
      <c r="GH183">
        <v>0</v>
      </c>
      <c r="GI183">
        <v>0</v>
      </c>
      <c r="GL183">
        <v>0</v>
      </c>
      <c r="GM183">
        <v>0</v>
      </c>
      <c r="GP183">
        <v>0</v>
      </c>
      <c r="GQ183">
        <v>0</v>
      </c>
      <c r="GT183">
        <v>0</v>
      </c>
      <c r="GU183">
        <v>0</v>
      </c>
      <c r="GX183">
        <v>0</v>
      </c>
      <c r="GY183">
        <v>0</v>
      </c>
      <c r="HB183">
        <v>0</v>
      </c>
      <c r="HC183">
        <v>0</v>
      </c>
      <c r="HF183">
        <v>0</v>
      </c>
      <c r="HG183">
        <v>0</v>
      </c>
      <c r="HJ183">
        <v>0</v>
      </c>
      <c r="HK183">
        <v>0</v>
      </c>
      <c r="HN183">
        <v>0</v>
      </c>
      <c r="HO183">
        <v>0</v>
      </c>
      <c r="HR183">
        <v>0</v>
      </c>
      <c r="HS183">
        <v>0</v>
      </c>
      <c r="HV183">
        <v>0</v>
      </c>
      <c r="HW183">
        <v>0</v>
      </c>
      <c r="HZ183">
        <v>0</v>
      </c>
      <c r="IA183">
        <v>0</v>
      </c>
      <c r="ID183">
        <v>0</v>
      </c>
      <c r="IE183">
        <v>0</v>
      </c>
      <c r="IH183">
        <v>0</v>
      </c>
      <c r="II183">
        <v>0</v>
      </c>
      <c r="IL183">
        <v>0</v>
      </c>
      <c r="IM183">
        <v>0</v>
      </c>
      <c r="IP183">
        <v>0</v>
      </c>
      <c r="IQ183">
        <v>0</v>
      </c>
      <c r="IT183">
        <v>0</v>
      </c>
      <c r="IU183">
        <v>0</v>
      </c>
      <c r="IX183">
        <v>0</v>
      </c>
      <c r="IY183">
        <f t="shared" ca="1" si="15"/>
        <v>1</v>
      </c>
      <c r="IZ183">
        <f t="shared" ca="1" si="15"/>
        <v>0</v>
      </c>
      <c r="JA183">
        <f t="shared" ca="1" si="15"/>
        <v>0</v>
      </c>
      <c r="JB183">
        <f t="shared" ca="1" si="15"/>
        <v>1</v>
      </c>
    </row>
    <row r="184" spans="1:262" x14ac:dyDescent="0.25">
      <c r="A184" s="172">
        <v>181</v>
      </c>
      <c r="B184" s="172" t="s">
        <v>299</v>
      </c>
      <c r="C184">
        <v>0</v>
      </c>
      <c r="F184">
        <v>0</v>
      </c>
      <c r="G184">
        <v>1</v>
      </c>
      <c r="J184">
        <v>1</v>
      </c>
      <c r="K184">
        <v>0</v>
      </c>
      <c r="N184">
        <v>0</v>
      </c>
      <c r="O184">
        <v>0</v>
      </c>
      <c r="R184">
        <v>0</v>
      </c>
      <c r="S184">
        <v>0</v>
      </c>
      <c r="V184">
        <v>0</v>
      </c>
      <c r="W184">
        <v>0</v>
      </c>
      <c r="Z184">
        <v>0</v>
      </c>
      <c r="AA184">
        <v>0</v>
      </c>
      <c r="AD184">
        <v>0</v>
      </c>
      <c r="AE184">
        <v>0</v>
      </c>
      <c r="AH184">
        <v>0</v>
      </c>
      <c r="AI184">
        <v>0</v>
      </c>
      <c r="AL184">
        <v>0</v>
      </c>
      <c r="AM184">
        <v>0</v>
      </c>
      <c r="AP184">
        <v>0</v>
      </c>
      <c r="AQ184">
        <v>0</v>
      </c>
      <c r="AT184">
        <v>0</v>
      </c>
      <c r="AU184">
        <v>0</v>
      </c>
      <c r="AX184">
        <v>0</v>
      </c>
      <c r="AY184">
        <v>1</v>
      </c>
      <c r="BB184">
        <v>1</v>
      </c>
      <c r="BC184">
        <v>0</v>
      </c>
      <c r="BF184">
        <v>0</v>
      </c>
      <c r="BG184">
        <v>0</v>
      </c>
      <c r="BJ184">
        <v>0</v>
      </c>
      <c r="BK184">
        <v>0</v>
      </c>
      <c r="BN184">
        <v>0</v>
      </c>
      <c r="BO184">
        <v>0</v>
      </c>
      <c r="BR184">
        <v>0</v>
      </c>
      <c r="BS184">
        <v>0</v>
      </c>
      <c r="BV184">
        <v>0</v>
      </c>
      <c r="BW184">
        <v>0</v>
      </c>
      <c r="BZ184">
        <v>0</v>
      </c>
      <c r="CA184">
        <v>0</v>
      </c>
      <c r="CD184">
        <v>0</v>
      </c>
      <c r="CE184">
        <v>0</v>
      </c>
      <c r="CH184">
        <v>0</v>
      </c>
      <c r="CI184">
        <v>0</v>
      </c>
      <c r="CL184">
        <v>0</v>
      </c>
      <c r="CM184">
        <v>0</v>
      </c>
      <c r="CP184">
        <v>0</v>
      </c>
      <c r="CQ184">
        <v>0</v>
      </c>
      <c r="CT184">
        <v>0</v>
      </c>
      <c r="CU184">
        <v>0</v>
      </c>
      <c r="CX184">
        <v>0</v>
      </c>
      <c r="CY184">
        <v>0</v>
      </c>
      <c r="DB184">
        <v>0</v>
      </c>
      <c r="DC184">
        <v>0</v>
      </c>
      <c r="DF184">
        <v>0</v>
      </c>
      <c r="DG184">
        <v>0</v>
      </c>
      <c r="DJ184">
        <v>0</v>
      </c>
      <c r="DK184">
        <v>0</v>
      </c>
      <c r="DN184">
        <v>0</v>
      </c>
      <c r="DO184">
        <v>0</v>
      </c>
      <c r="DR184">
        <v>0</v>
      </c>
      <c r="DS184">
        <v>0</v>
      </c>
      <c r="DV184">
        <v>0</v>
      </c>
      <c r="DW184">
        <v>0</v>
      </c>
      <c r="DZ184">
        <v>0</v>
      </c>
      <c r="EA184">
        <v>0</v>
      </c>
      <c r="ED184">
        <v>0</v>
      </c>
      <c r="EE184">
        <v>0</v>
      </c>
      <c r="EH184">
        <v>0</v>
      </c>
      <c r="EI184">
        <v>0</v>
      </c>
      <c r="EL184">
        <v>0</v>
      </c>
      <c r="EM184">
        <v>0</v>
      </c>
      <c r="EP184">
        <v>0</v>
      </c>
      <c r="EQ184">
        <v>0</v>
      </c>
      <c r="ET184">
        <v>0</v>
      </c>
      <c r="EU184">
        <v>1</v>
      </c>
      <c r="EX184">
        <v>1</v>
      </c>
      <c r="EY184">
        <v>0</v>
      </c>
      <c r="FB184">
        <v>0</v>
      </c>
      <c r="FC184">
        <v>0</v>
      </c>
      <c r="FF184">
        <v>0</v>
      </c>
      <c r="FG184">
        <v>0</v>
      </c>
      <c r="FJ184">
        <v>0</v>
      </c>
      <c r="FK184">
        <v>0</v>
      </c>
      <c r="FN184">
        <v>0</v>
      </c>
      <c r="FO184">
        <v>0</v>
      </c>
      <c r="FR184">
        <v>0</v>
      </c>
      <c r="FS184">
        <v>0</v>
      </c>
      <c r="FV184">
        <v>0</v>
      </c>
      <c r="FW184">
        <v>0</v>
      </c>
      <c r="FZ184">
        <v>0</v>
      </c>
      <c r="GA184">
        <v>0</v>
      </c>
      <c r="GD184">
        <v>0</v>
      </c>
      <c r="GE184">
        <v>0</v>
      </c>
      <c r="GH184">
        <v>0</v>
      </c>
      <c r="GI184">
        <v>0</v>
      </c>
      <c r="GL184">
        <v>0</v>
      </c>
      <c r="GM184">
        <v>0</v>
      </c>
      <c r="GP184">
        <v>0</v>
      </c>
      <c r="GQ184">
        <v>0</v>
      </c>
      <c r="GT184">
        <v>0</v>
      </c>
      <c r="GU184">
        <v>0</v>
      </c>
      <c r="GX184">
        <v>0</v>
      </c>
      <c r="GY184">
        <v>0</v>
      </c>
      <c r="HB184">
        <v>0</v>
      </c>
      <c r="HC184">
        <v>0</v>
      </c>
      <c r="HF184">
        <v>0</v>
      </c>
      <c r="HG184">
        <v>0</v>
      </c>
      <c r="HJ184">
        <v>0</v>
      </c>
      <c r="HK184">
        <v>0</v>
      </c>
      <c r="HN184">
        <v>0</v>
      </c>
      <c r="HO184">
        <v>0</v>
      </c>
      <c r="HR184">
        <v>0</v>
      </c>
      <c r="HS184">
        <v>0</v>
      </c>
      <c r="HV184">
        <v>0</v>
      </c>
      <c r="HW184">
        <v>0</v>
      </c>
      <c r="HZ184">
        <v>0</v>
      </c>
      <c r="IA184">
        <v>0</v>
      </c>
      <c r="ID184">
        <v>0</v>
      </c>
      <c r="IE184">
        <v>0</v>
      </c>
      <c r="IH184">
        <v>0</v>
      </c>
      <c r="II184">
        <v>0</v>
      </c>
      <c r="IL184">
        <v>0</v>
      </c>
      <c r="IM184">
        <v>0</v>
      </c>
      <c r="IP184">
        <v>0</v>
      </c>
      <c r="IQ184">
        <v>0</v>
      </c>
      <c r="IT184">
        <v>0</v>
      </c>
      <c r="IU184">
        <v>0</v>
      </c>
      <c r="IX184">
        <v>0</v>
      </c>
      <c r="IY184">
        <f t="shared" ref="IY184:JB203" ca="1" si="16">SUMIFS($BK184:$IX184,$BK$3:$IX$3,IY$3,$BK$1:$IX$1,"&gt;0")</f>
        <v>1</v>
      </c>
      <c r="IZ184">
        <f t="shared" ca="1" si="16"/>
        <v>0</v>
      </c>
      <c r="JA184">
        <f t="shared" ca="1" si="16"/>
        <v>0</v>
      </c>
      <c r="JB184">
        <f t="shared" ca="1" si="16"/>
        <v>1</v>
      </c>
    </row>
    <row r="185" spans="1:262" x14ac:dyDescent="0.25">
      <c r="A185" s="172">
        <v>182</v>
      </c>
      <c r="B185" s="172" t="s">
        <v>536</v>
      </c>
      <c r="C185">
        <v>0</v>
      </c>
      <c r="F185">
        <v>0</v>
      </c>
      <c r="G185">
        <v>0</v>
      </c>
      <c r="J185">
        <v>0</v>
      </c>
      <c r="K185">
        <v>0</v>
      </c>
      <c r="N185">
        <v>0</v>
      </c>
      <c r="O185">
        <v>1</v>
      </c>
      <c r="R185">
        <v>1</v>
      </c>
      <c r="S185">
        <v>0</v>
      </c>
      <c r="V185">
        <v>0</v>
      </c>
      <c r="W185">
        <v>0</v>
      </c>
      <c r="Z185">
        <v>0</v>
      </c>
      <c r="AA185">
        <v>0</v>
      </c>
      <c r="AD185">
        <v>0</v>
      </c>
      <c r="AE185">
        <v>0</v>
      </c>
      <c r="AH185">
        <v>0</v>
      </c>
      <c r="AI185">
        <v>0</v>
      </c>
      <c r="AL185">
        <v>0</v>
      </c>
      <c r="AM185">
        <v>0</v>
      </c>
      <c r="AP185">
        <v>0</v>
      </c>
      <c r="AQ185">
        <v>0</v>
      </c>
      <c r="AT185">
        <v>0</v>
      </c>
      <c r="AU185">
        <v>0</v>
      </c>
      <c r="AX185">
        <v>0</v>
      </c>
      <c r="AY185">
        <v>1</v>
      </c>
      <c r="BB185">
        <v>1</v>
      </c>
      <c r="BC185">
        <v>0</v>
      </c>
      <c r="BF185">
        <v>0</v>
      </c>
      <c r="BG185">
        <v>0</v>
      </c>
      <c r="BJ185">
        <v>0</v>
      </c>
      <c r="BK185">
        <v>0</v>
      </c>
      <c r="BN185">
        <v>0</v>
      </c>
      <c r="BO185">
        <v>0</v>
      </c>
      <c r="BR185">
        <v>0</v>
      </c>
      <c r="BS185">
        <v>0</v>
      </c>
      <c r="BV185">
        <v>0</v>
      </c>
      <c r="BW185">
        <v>0</v>
      </c>
      <c r="BZ185">
        <v>0</v>
      </c>
      <c r="CA185">
        <v>0</v>
      </c>
      <c r="CD185">
        <v>0</v>
      </c>
      <c r="CE185">
        <v>0</v>
      </c>
      <c r="CH185">
        <v>0</v>
      </c>
      <c r="CI185">
        <v>0</v>
      </c>
      <c r="CL185">
        <v>0</v>
      </c>
      <c r="CM185">
        <v>0</v>
      </c>
      <c r="CP185">
        <v>0</v>
      </c>
      <c r="CQ185">
        <v>0</v>
      </c>
      <c r="CT185">
        <v>0</v>
      </c>
      <c r="CU185">
        <v>0</v>
      </c>
      <c r="CX185">
        <v>0</v>
      </c>
      <c r="CY185">
        <v>0</v>
      </c>
      <c r="DB185">
        <v>0</v>
      </c>
      <c r="DC185">
        <v>0</v>
      </c>
      <c r="DF185">
        <v>0</v>
      </c>
      <c r="DG185">
        <v>0</v>
      </c>
      <c r="DJ185">
        <v>0</v>
      </c>
      <c r="DK185">
        <v>0</v>
      </c>
      <c r="DN185">
        <v>0</v>
      </c>
      <c r="DO185">
        <v>0</v>
      </c>
      <c r="DR185">
        <v>0</v>
      </c>
      <c r="DS185">
        <v>0</v>
      </c>
      <c r="DV185">
        <v>0</v>
      </c>
      <c r="DW185">
        <v>0</v>
      </c>
      <c r="DZ185">
        <v>0</v>
      </c>
      <c r="EA185">
        <v>0</v>
      </c>
      <c r="ED185">
        <v>0</v>
      </c>
      <c r="EE185">
        <v>0</v>
      </c>
      <c r="EH185">
        <v>0</v>
      </c>
      <c r="EI185">
        <v>0</v>
      </c>
      <c r="EL185">
        <v>0</v>
      </c>
      <c r="EM185">
        <v>0</v>
      </c>
      <c r="EP185">
        <v>0</v>
      </c>
      <c r="EQ185">
        <v>0</v>
      </c>
      <c r="ET185">
        <v>0</v>
      </c>
      <c r="EU185">
        <v>0</v>
      </c>
      <c r="EX185">
        <v>0</v>
      </c>
      <c r="EY185">
        <v>0</v>
      </c>
      <c r="FB185">
        <v>0</v>
      </c>
      <c r="FC185">
        <v>0</v>
      </c>
      <c r="FF185">
        <v>0</v>
      </c>
      <c r="FG185">
        <v>0</v>
      </c>
      <c r="FJ185">
        <v>0</v>
      </c>
      <c r="FK185">
        <v>0</v>
      </c>
      <c r="FN185">
        <v>0</v>
      </c>
      <c r="FO185">
        <v>0</v>
      </c>
      <c r="FR185">
        <v>0</v>
      </c>
      <c r="FS185">
        <v>0</v>
      </c>
      <c r="FV185">
        <v>0</v>
      </c>
      <c r="FW185">
        <v>0</v>
      </c>
      <c r="FZ185">
        <v>0</v>
      </c>
      <c r="GA185">
        <v>0</v>
      </c>
      <c r="GD185">
        <v>0</v>
      </c>
      <c r="GE185">
        <v>0</v>
      </c>
      <c r="GH185">
        <v>0</v>
      </c>
      <c r="GI185">
        <v>0</v>
      </c>
      <c r="GL185">
        <v>0</v>
      </c>
      <c r="GM185">
        <v>0</v>
      </c>
      <c r="GP185">
        <v>0</v>
      </c>
      <c r="GQ185">
        <v>0</v>
      </c>
      <c r="GT185">
        <v>0</v>
      </c>
      <c r="GU185">
        <v>0</v>
      </c>
      <c r="GX185">
        <v>0</v>
      </c>
      <c r="GY185">
        <v>0</v>
      </c>
      <c r="HB185">
        <v>0</v>
      </c>
      <c r="HC185">
        <v>0</v>
      </c>
      <c r="HF185">
        <v>0</v>
      </c>
      <c r="HG185">
        <v>0</v>
      </c>
      <c r="HJ185">
        <v>0</v>
      </c>
      <c r="HK185">
        <v>0</v>
      </c>
      <c r="HN185">
        <v>0</v>
      </c>
      <c r="HO185">
        <v>0</v>
      </c>
      <c r="HR185">
        <v>0</v>
      </c>
      <c r="HS185">
        <v>0</v>
      </c>
      <c r="HV185">
        <v>0</v>
      </c>
      <c r="HW185">
        <v>0</v>
      </c>
      <c r="HZ185">
        <v>0</v>
      </c>
      <c r="IA185">
        <v>0</v>
      </c>
      <c r="ID185">
        <v>0</v>
      </c>
      <c r="IE185">
        <v>0</v>
      </c>
      <c r="IH185">
        <v>0</v>
      </c>
      <c r="II185">
        <v>1</v>
      </c>
      <c r="IL185">
        <v>1</v>
      </c>
      <c r="IM185">
        <v>0</v>
      </c>
      <c r="IP185">
        <v>0</v>
      </c>
      <c r="IQ185">
        <v>0</v>
      </c>
      <c r="IT185">
        <v>0</v>
      </c>
      <c r="IU185">
        <v>0</v>
      </c>
      <c r="IX185">
        <v>0</v>
      </c>
      <c r="IY185">
        <f t="shared" ca="1" si="16"/>
        <v>1</v>
      </c>
      <c r="IZ185">
        <f t="shared" ca="1" si="16"/>
        <v>0</v>
      </c>
      <c r="JA185">
        <f t="shared" ca="1" si="16"/>
        <v>0</v>
      </c>
      <c r="JB185">
        <f t="shared" ca="1" si="16"/>
        <v>1</v>
      </c>
    </row>
    <row r="186" spans="1:262" x14ac:dyDescent="0.25">
      <c r="A186" s="172">
        <v>183</v>
      </c>
      <c r="B186" s="172" t="s">
        <v>523</v>
      </c>
      <c r="C186">
        <v>0</v>
      </c>
      <c r="F186">
        <v>0</v>
      </c>
      <c r="G186">
        <v>1</v>
      </c>
      <c r="J186">
        <v>1</v>
      </c>
      <c r="K186">
        <v>0</v>
      </c>
      <c r="N186">
        <v>0</v>
      </c>
      <c r="O186">
        <v>0</v>
      </c>
      <c r="R186">
        <v>0</v>
      </c>
      <c r="S186">
        <v>0</v>
      </c>
      <c r="V186">
        <v>0</v>
      </c>
      <c r="W186">
        <v>0</v>
      </c>
      <c r="Z186">
        <v>0</v>
      </c>
      <c r="AA186">
        <v>0</v>
      </c>
      <c r="AD186">
        <v>0</v>
      </c>
      <c r="AE186">
        <v>0</v>
      </c>
      <c r="AH186">
        <v>0</v>
      </c>
      <c r="AI186">
        <v>0</v>
      </c>
      <c r="AL186">
        <v>0</v>
      </c>
      <c r="AM186">
        <v>0</v>
      </c>
      <c r="AP186">
        <v>0</v>
      </c>
      <c r="AQ186">
        <v>0</v>
      </c>
      <c r="AT186">
        <v>0</v>
      </c>
      <c r="AU186">
        <v>0</v>
      </c>
      <c r="AX186">
        <v>0</v>
      </c>
      <c r="AY186">
        <v>0</v>
      </c>
      <c r="BB186">
        <v>0</v>
      </c>
      <c r="BC186">
        <v>1</v>
      </c>
      <c r="BF186">
        <v>1</v>
      </c>
      <c r="BG186">
        <v>0</v>
      </c>
      <c r="BJ186">
        <v>0</v>
      </c>
      <c r="BK186">
        <v>0</v>
      </c>
      <c r="BN186">
        <v>0</v>
      </c>
      <c r="BO186">
        <v>0</v>
      </c>
      <c r="BR186">
        <v>0</v>
      </c>
      <c r="BS186">
        <v>0</v>
      </c>
      <c r="BV186">
        <v>0</v>
      </c>
      <c r="BW186">
        <v>0</v>
      </c>
      <c r="BZ186">
        <v>0</v>
      </c>
      <c r="CA186">
        <v>0</v>
      </c>
      <c r="CD186">
        <v>0</v>
      </c>
      <c r="CE186">
        <v>0</v>
      </c>
      <c r="CH186">
        <v>0</v>
      </c>
      <c r="CI186">
        <v>0</v>
      </c>
      <c r="CL186">
        <v>0</v>
      </c>
      <c r="CM186">
        <v>0</v>
      </c>
      <c r="CP186">
        <v>0</v>
      </c>
      <c r="CQ186">
        <v>0</v>
      </c>
      <c r="CT186">
        <v>0</v>
      </c>
      <c r="CU186">
        <v>0</v>
      </c>
      <c r="CX186">
        <v>0</v>
      </c>
      <c r="CY186">
        <v>0</v>
      </c>
      <c r="DB186">
        <v>0</v>
      </c>
      <c r="DC186">
        <v>0</v>
      </c>
      <c r="DF186">
        <v>0</v>
      </c>
      <c r="DG186">
        <v>0</v>
      </c>
      <c r="DJ186">
        <v>0</v>
      </c>
      <c r="DK186">
        <v>0</v>
      </c>
      <c r="DN186">
        <v>0</v>
      </c>
      <c r="DO186">
        <v>0</v>
      </c>
      <c r="DR186">
        <v>0</v>
      </c>
      <c r="DS186">
        <v>0</v>
      </c>
      <c r="DV186">
        <v>0</v>
      </c>
      <c r="DW186">
        <v>0</v>
      </c>
      <c r="DZ186">
        <v>0</v>
      </c>
      <c r="EA186">
        <v>0</v>
      </c>
      <c r="ED186">
        <v>0</v>
      </c>
      <c r="EE186">
        <v>0</v>
      </c>
      <c r="EH186">
        <v>0</v>
      </c>
      <c r="EI186">
        <v>0</v>
      </c>
      <c r="EL186">
        <v>0</v>
      </c>
      <c r="EM186">
        <v>0</v>
      </c>
      <c r="EP186">
        <v>0</v>
      </c>
      <c r="EQ186">
        <v>0</v>
      </c>
      <c r="ET186">
        <v>0</v>
      </c>
      <c r="EU186">
        <v>0</v>
      </c>
      <c r="EX186">
        <v>0</v>
      </c>
      <c r="EY186">
        <v>0</v>
      </c>
      <c r="FB186">
        <v>0</v>
      </c>
      <c r="FC186">
        <v>1</v>
      </c>
      <c r="FF186">
        <v>1</v>
      </c>
      <c r="FG186">
        <v>0</v>
      </c>
      <c r="FJ186">
        <v>0</v>
      </c>
      <c r="FK186">
        <v>0</v>
      </c>
      <c r="FN186">
        <v>0</v>
      </c>
      <c r="FO186">
        <v>0</v>
      </c>
      <c r="FR186">
        <v>0</v>
      </c>
      <c r="FS186">
        <v>0</v>
      </c>
      <c r="FV186">
        <v>0</v>
      </c>
      <c r="FW186">
        <v>0</v>
      </c>
      <c r="FZ186">
        <v>0</v>
      </c>
      <c r="GA186">
        <v>0</v>
      </c>
      <c r="GD186">
        <v>0</v>
      </c>
      <c r="GE186">
        <v>0</v>
      </c>
      <c r="GH186">
        <v>0</v>
      </c>
      <c r="GI186">
        <v>0</v>
      </c>
      <c r="GL186">
        <v>0</v>
      </c>
      <c r="GM186">
        <v>0</v>
      </c>
      <c r="GP186">
        <v>0</v>
      </c>
      <c r="GQ186">
        <v>0</v>
      </c>
      <c r="GT186">
        <v>0</v>
      </c>
      <c r="GU186">
        <v>0</v>
      </c>
      <c r="GX186">
        <v>0</v>
      </c>
      <c r="GY186">
        <v>0</v>
      </c>
      <c r="HB186">
        <v>0</v>
      </c>
      <c r="HC186">
        <v>0</v>
      </c>
      <c r="HF186">
        <v>0</v>
      </c>
      <c r="HG186">
        <v>0</v>
      </c>
      <c r="HJ186">
        <v>0</v>
      </c>
      <c r="HK186">
        <v>0</v>
      </c>
      <c r="HN186">
        <v>0</v>
      </c>
      <c r="HO186">
        <v>0</v>
      </c>
      <c r="HR186">
        <v>0</v>
      </c>
      <c r="HS186">
        <v>0</v>
      </c>
      <c r="HV186">
        <v>0</v>
      </c>
      <c r="HW186">
        <v>0</v>
      </c>
      <c r="HZ186">
        <v>0</v>
      </c>
      <c r="IA186">
        <v>0</v>
      </c>
      <c r="ID186">
        <v>0</v>
      </c>
      <c r="IE186">
        <v>0</v>
      </c>
      <c r="IH186">
        <v>0</v>
      </c>
      <c r="II186">
        <v>0</v>
      </c>
      <c r="IL186">
        <v>0</v>
      </c>
      <c r="IM186">
        <v>0</v>
      </c>
      <c r="IP186">
        <v>0</v>
      </c>
      <c r="IQ186">
        <v>0</v>
      </c>
      <c r="IT186">
        <v>0</v>
      </c>
      <c r="IU186">
        <v>0</v>
      </c>
      <c r="IX186">
        <v>0</v>
      </c>
      <c r="IY186">
        <f t="shared" ca="1" si="16"/>
        <v>1</v>
      </c>
      <c r="IZ186">
        <f t="shared" ca="1" si="16"/>
        <v>0</v>
      </c>
      <c r="JA186">
        <f t="shared" ca="1" si="16"/>
        <v>0</v>
      </c>
      <c r="JB186">
        <f t="shared" ca="1" si="16"/>
        <v>1</v>
      </c>
    </row>
    <row r="187" spans="1:262" x14ac:dyDescent="0.25">
      <c r="A187" s="172">
        <v>184</v>
      </c>
      <c r="B187" s="172" t="s">
        <v>526</v>
      </c>
      <c r="C187">
        <v>0</v>
      </c>
      <c r="F187">
        <v>0</v>
      </c>
      <c r="G187">
        <v>0</v>
      </c>
      <c r="J187">
        <v>0</v>
      </c>
      <c r="K187">
        <v>1</v>
      </c>
      <c r="N187">
        <v>1</v>
      </c>
      <c r="O187">
        <v>0</v>
      </c>
      <c r="R187">
        <v>0</v>
      </c>
      <c r="S187">
        <v>0</v>
      </c>
      <c r="V187">
        <v>0</v>
      </c>
      <c r="W187">
        <v>0</v>
      </c>
      <c r="Z187">
        <v>0</v>
      </c>
      <c r="AA187">
        <v>0</v>
      </c>
      <c r="AD187">
        <v>0</v>
      </c>
      <c r="AE187">
        <v>0</v>
      </c>
      <c r="AH187">
        <v>0</v>
      </c>
      <c r="AI187">
        <v>0</v>
      </c>
      <c r="AL187">
        <v>0</v>
      </c>
      <c r="AM187">
        <v>0</v>
      </c>
      <c r="AP187">
        <v>0</v>
      </c>
      <c r="AQ187">
        <v>0</v>
      </c>
      <c r="AT187">
        <v>0</v>
      </c>
      <c r="AU187">
        <v>0</v>
      </c>
      <c r="AX187">
        <v>0</v>
      </c>
      <c r="AY187">
        <v>0</v>
      </c>
      <c r="BB187">
        <v>0</v>
      </c>
      <c r="BC187">
        <v>1</v>
      </c>
      <c r="BF187">
        <v>1</v>
      </c>
      <c r="BG187">
        <v>0</v>
      </c>
      <c r="BJ187">
        <v>0</v>
      </c>
      <c r="BK187">
        <v>0</v>
      </c>
      <c r="BN187">
        <v>0</v>
      </c>
      <c r="BO187">
        <v>0</v>
      </c>
      <c r="BR187">
        <v>0</v>
      </c>
      <c r="BS187">
        <v>0</v>
      </c>
      <c r="BV187">
        <v>0</v>
      </c>
      <c r="BW187">
        <v>0</v>
      </c>
      <c r="BZ187">
        <v>0</v>
      </c>
      <c r="CA187">
        <v>0</v>
      </c>
      <c r="CD187">
        <v>0</v>
      </c>
      <c r="CE187">
        <v>0</v>
      </c>
      <c r="CH187">
        <v>0</v>
      </c>
      <c r="CI187">
        <v>0</v>
      </c>
      <c r="CL187">
        <v>0</v>
      </c>
      <c r="CM187">
        <v>0</v>
      </c>
      <c r="CP187">
        <v>0</v>
      </c>
      <c r="CQ187">
        <v>0</v>
      </c>
      <c r="CT187">
        <v>0</v>
      </c>
      <c r="CU187">
        <v>0</v>
      </c>
      <c r="CX187">
        <v>0</v>
      </c>
      <c r="CY187">
        <v>0</v>
      </c>
      <c r="DB187">
        <v>0</v>
      </c>
      <c r="DC187">
        <v>0</v>
      </c>
      <c r="DF187">
        <v>0</v>
      </c>
      <c r="DG187">
        <v>0</v>
      </c>
      <c r="DJ187">
        <v>0</v>
      </c>
      <c r="DK187">
        <v>0</v>
      </c>
      <c r="DN187">
        <v>0</v>
      </c>
      <c r="DO187">
        <v>0</v>
      </c>
      <c r="DR187">
        <v>0</v>
      </c>
      <c r="DS187">
        <v>0</v>
      </c>
      <c r="DV187">
        <v>0</v>
      </c>
      <c r="DW187">
        <v>0</v>
      </c>
      <c r="DZ187">
        <v>0</v>
      </c>
      <c r="EA187">
        <v>0</v>
      </c>
      <c r="ED187">
        <v>0</v>
      </c>
      <c r="EE187">
        <v>0</v>
      </c>
      <c r="EH187">
        <v>0</v>
      </c>
      <c r="EI187">
        <v>0</v>
      </c>
      <c r="EL187">
        <v>0</v>
      </c>
      <c r="EM187">
        <v>0</v>
      </c>
      <c r="EP187">
        <v>0</v>
      </c>
      <c r="EQ187">
        <v>0</v>
      </c>
      <c r="ET187">
        <v>0</v>
      </c>
      <c r="EU187">
        <v>0</v>
      </c>
      <c r="EX187">
        <v>0</v>
      </c>
      <c r="EY187">
        <v>0</v>
      </c>
      <c r="FB187">
        <v>0</v>
      </c>
      <c r="FC187">
        <v>0</v>
      </c>
      <c r="FF187">
        <v>0</v>
      </c>
      <c r="FG187">
        <v>0</v>
      </c>
      <c r="FJ187">
        <v>0</v>
      </c>
      <c r="FK187">
        <v>0</v>
      </c>
      <c r="FN187">
        <v>0</v>
      </c>
      <c r="FO187">
        <v>0</v>
      </c>
      <c r="FR187">
        <v>0</v>
      </c>
      <c r="FS187">
        <v>0</v>
      </c>
      <c r="FV187">
        <v>0</v>
      </c>
      <c r="FW187">
        <v>0</v>
      </c>
      <c r="FZ187">
        <v>0</v>
      </c>
      <c r="GA187">
        <v>0</v>
      </c>
      <c r="GD187">
        <v>0</v>
      </c>
      <c r="GE187">
        <v>0</v>
      </c>
      <c r="GH187">
        <v>0</v>
      </c>
      <c r="GI187">
        <v>0</v>
      </c>
      <c r="GL187">
        <v>0</v>
      </c>
      <c r="GM187">
        <v>0</v>
      </c>
      <c r="GP187">
        <v>0</v>
      </c>
      <c r="GQ187">
        <v>1</v>
      </c>
      <c r="GT187">
        <v>1</v>
      </c>
      <c r="GU187">
        <v>0</v>
      </c>
      <c r="GX187">
        <v>0</v>
      </c>
      <c r="GY187">
        <v>0</v>
      </c>
      <c r="HB187">
        <v>0</v>
      </c>
      <c r="HC187">
        <v>0</v>
      </c>
      <c r="HF187">
        <v>0</v>
      </c>
      <c r="HG187">
        <v>0</v>
      </c>
      <c r="HJ187">
        <v>0</v>
      </c>
      <c r="HK187">
        <v>0</v>
      </c>
      <c r="HN187">
        <v>0</v>
      </c>
      <c r="HO187">
        <v>0</v>
      </c>
      <c r="HR187">
        <v>0</v>
      </c>
      <c r="HS187">
        <v>0</v>
      </c>
      <c r="HV187">
        <v>0</v>
      </c>
      <c r="HW187">
        <v>0</v>
      </c>
      <c r="HZ187">
        <v>0</v>
      </c>
      <c r="IA187">
        <v>0</v>
      </c>
      <c r="ID187">
        <v>0</v>
      </c>
      <c r="IE187">
        <v>0</v>
      </c>
      <c r="IH187">
        <v>0</v>
      </c>
      <c r="II187">
        <v>0</v>
      </c>
      <c r="IL187">
        <v>0</v>
      </c>
      <c r="IM187">
        <v>0</v>
      </c>
      <c r="IP187">
        <v>0</v>
      </c>
      <c r="IQ187">
        <v>0</v>
      </c>
      <c r="IT187">
        <v>0</v>
      </c>
      <c r="IU187">
        <v>0</v>
      </c>
      <c r="IX187">
        <v>0</v>
      </c>
      <c r="IY187">
        <f t="shared" ca="1" si="16"/>
        <v>1</v>
      </c>
      <c r="IZ187">
        <f t="shared" ca="1" si="16"/>
        <v>0</v>
      </c>
      <c r="JA187">
        <f t="shared" ca="1" si="16"/>
        <v>0</v>
      </c>
      <c r="JB187">
        <f t="shared" ca="1" si="16"/>
        <v>1</v>
      </c>
    </row>
    <row r="188" spans="1:262" ht="16.5" customHeight="1" x14ac:dyDescent="0.25">
      <c r="A188" s="172">
        <v>185</v>
      </c>
      <c r="B188" s="172" t="s">
        <v>534</v>
      </c>
      <c r="C188">
        <v>1</v>
      </c>
      <c r="F188">
        <v>1</v>
      </c>
      <c r="G188">
        <v>1</v>
      </c>
      <c r="J188">
        <v>1</v>
      </c>
      <c r="K188">
        <v>0</v>
      </c>
      <c r="N188">
        <v>0</v>
      </c>
      <c r="O188">
        <v>1</v>
      </c>
      <c r="R188">
        <v>1</v>
      </c>
      <c r="S188">
        <v>0</v>
      </c>
      <c r="V188">
        <v>0</v>
      </c>
      <c r="W188">
        <v>0</v>
      </c>
      <c r="Z188">
        <v>0</v>
      </c>
      <c r="AA188">
        <v>0</v>
      </c>
      <c r="AD188">
        <v>0</v>
      </c>
      <c r="AE188">
        <v>0</v>
      </c>
      <c r="AH188">
        <v>0</v>
      </c>
      <c r="AI188">
        <v>0</v>
      </c>
      <c r="AL188">
        <v>0</v>
      </c>
      <c r="AM188">
        <v>0</v>
      </c>
      <c r="AP188">
        <v>0</v>
      </c>
      <c r="AQ188">
        <v>0</v>
      </c>
      <c r="AT188">
        <v>0</v>
      </c>
      <c r="AU188">
        <v>0</v>
      </c>
      <c r="AX188">
        <v>0</v>
      </c>
      <c r="AY188">
        <v>1</v>
      </c>
      <c r="BB188">
        <v>1</v>
      </c>
      <c r="BC188">
        <v>0</v>
      </c>
      <c r="BF188">
        <v>0</v>
      </c>
      <c r="BG188">
        <v>2</v>
      </c>
      <c r="BJ188">
        <v>2</v>
      </c>
      <c r="BK188">
        <v>0</v>
      </c>
      <c r="BN188">
        <v>0</v>
      </c>
      <c r="BO188">
        <v>1</v>
      </c>
      <c r="BR188">
        <v>1</v>
      </c>
      <c r="BS188">
        <v>0</v>
      </c>
      <c r="BV188">
        <v>0</v>
      </c>
      <c r="BW188">
        <v>0</v>
      </c>
      <c r="BZ188">
        <v>0</v>
      </c>
      <c r="CA188">
        <v>0</v>
      </c>
      <c r="CD188">
        <v>0</v>
      </c>
      <c r="CE188">
        <v>0</v>
      </c>
      <c r="CH188">
        <v>0</v>
      </c>
      <c r="CI188">
        <v>0</v>
      </c>
      <c r="CL188">
        <v>0</v>
      </c>
      <c r="CM188">
        <v>0</v>
      </c>
      <c r="CP188">
        <v>0</v>
      </c>
      <c r="CQ188">
        <v>0</v>
      </c>
      <c r="CT188">
        <v>0</v>
      </c>
      <c r="CU188">
        <v>0</v>
      </c>
      <c r="CX188">
        <v>0</v>
      </c>
      <c r="CY188">
        <v>0</v>
      </c>
      <c r="DB188">
        <v>0</v>
      </c>
      <c r="DC188">
        <v>0</v>
      </c>
      <c r="DF188">
        <v>0</v>
      </c>
      <c r="DG188">
        <v>0</v>
      </c>
      <c r="DJ188">
        <v>0</v>
      </c>
      <c r="DK188">
        <v>0</v>
      </c>
      <c r="DN188">
        <v>0</v>
      </c>
      <c r="DO188">
        <v>0</v>
      </c>
      <c r="DR188">
        <v>0</v>
      </c>
      <c r="DS188">
        <v>0</v>
      </c>
      <c r="DV188">
        <v>0</v>
      </c>
      <c r="DW188">
        <v>0</v>
      </c>
      <c r="DZ188">
        <v>0</v>
      </c>
      <c r="EA188">
        <v>0</v>
      </c>
      <c r="ED188">
        <v>0</v>
      </c>
      <c r="EE188">
        <v>0</v>
      </c>
      <c r="EH188">
        <v>0</v>
      </c>
      <c r="EI188">
        <v>1</v>
      </c>
      <c r="EL188">
        <v>1</v>
      </c>
      <c r="EM188">
        <v>0</v>
      </c>
      <c r="EP188">
        <v>0</v>
      </c>
      <c r="EQ188">
        <v>0</v>
      </c>
      <c r="ET188">
        <v>0</v>
      </c>
      <c r="EU188">
        <v>0</v>
      </c>
      <c r="EX188">
        <v>0</v>
      </c>
      <c r="EY188">
        <v>0</v>
      </c>
      <c r="FB188">
        <v>0</v>
      </c>
      <c r="FC188">
        <v>0</v>
      </c>
      <c r="FF188">
        <v>0</v>
      </c>
      <c r="FG188">
        <v>0</v>
      </c>
      <c r="FJ188">
        <v>0</v>
      </c>
      <c r="FK188">
        <v>0</v>
      </c>
      <c r="FN188">
        <v>0</v>
      </c>
      <c r="FO188">
        <v>0</v>
      </c>
      <c r="FR188">
        <v>0</v>
      </c>
      <c r="FS188">
        <v>0</v>
      </c>
      <c r="FV188">
        <v>0</v>
      </c>
      <c r="FW188">
        <v>0</v>
      </c>
      <c r="FZ188">
        <v>0</v>
      </c>
      <c r="GA188">
        <v>0</v>
      </c>
      <c r="GD188">
        <v>0</v>
      </c>
      <c r="GE188">
        <v>0</v>
      </c>
      <c r="GH188">
        <v>0</v>
      </c>
      <c r="GI188">
        <v>0</v>
      </c>
      <c r="GL188">
        <v>0</v>
      </c>
      <c r="GM188">
        <v>0</v>
      </c>
      <c r="GP188">
        <v>0</v>
      </c>
      <c r="GQ188">
        <v>0</v>
      </c>
      <c r="GT188">
        <v>0</v>
      </c>
      <c r="GU188">
        <v>0</v>
      </c>
      <c r="GX188">
        <v>0</v>
      </c>
      <c r="GY188">
        <v>0</v>
      </c>
      <c r="HB188">
        <v>0</v>
      </c>
      <c r="HC188">
        <v>0</v>
      </c>
      <c r="HF188">
        <v>0</v>
      </c>
      <c r="HG188">
        <v>0</v>
      </c>
      <c r="HJ188">
        <v>0</v>
      </c>
      <c r="HK188">
        <v>0</v>
      </c>
      <c r="HN188">
        <v>0</v>
      </c>
      <c r="HO188">
        <v>0</v>
      </c>
      <c r="HR188">
        <v>0</v>
      </c>
      <c r="HS188">
        <v>0</v>
      </c>
      <c r="HV188">
        <v>0</v>
      </c>
      <c r="HW188">
        <v>0</v>
      </c>
      <c r="HZ188">
        <v>0</v>
      </c>
      <c r="IA188">
        <v>0</v>
      </c>
      <c r="ID188">
        <v>0</v>
      </c>
      <c r="IE188">
        <v>0</v>
      </c>
      <c r="IH188">
        <v>0</v>
      </c>
      <c r="II188">
        <v>0</v>
      </c>
      <c r="IL188">
        <v>0</v>
      </c>
      <c r="IM188">
        <v>0</v>
      </c>
      <c r="IP188">
        <v>0</v>
      </c>
      <c r="IQ188">
        <v>1</v>
      </c>
      <c r="IT188">
        <v>1</v>
      </c>
      <c r="IU188">
        <v>0</v>
      </c>
      <c r="IX188">
        <v>0</v>
      </c>
      <c r="IY188">
        <f t="shared" ca="1" si="16"/>
        <v>3</v>
      </c>
      <c r="IZ188">
        <f t="shared" ca="1" si="16"/>
        <v>0</v>
      </c>
      <c r="JA188">
        <f t="shared" ca="1" si="16"/>
        <v>0</v>
      </c>
      <c r="JB188">
        <f t="shared" ca="1" si="16"/>
        <v>3</v>
      </c>
    </row>
    <row r="189" spans="1:262" x14ac:dyDescent="0.25">
      <c r="A189" s="165">
        <v>186</v>
      </c>
      <c r="B189" s="165" t="s">
        <v>314</v>
      </c>
      <c r="C189">
        <v>0</v>
      </c>
      <c r="F189">
        <v>0</v>
      </c>
      <c r="G189">
        <v>3</v>
      </c>
      <c r="J189">
        <v>3</v>
      </c>
      <c r="K189">
        <v>0</v>
      </c>
      <c r="N189">
        <v>0</v>
      </c>
      <c r="O189">
        <v>0</v>
      </c>
      <c r="R189">
        <v>0</v>
      </c>
      <c r="S189">
        <v>0</v>
      </c>
      <c r="V189">
        <v>0</v>
      </c>
      <c r="W189">
        <v>0</v>
      </c>
      <c r="Z189">
        <v>0</v>
      </c>
      <c r="AA189">
        <v>1</v>
      </c>
      <c r="AD189">
        <v>1</v>
      </c>
      <c r="AE189">
        <v>0</v>
      </c>
      <c r="AH189">
        <v>0</v>
      </c>
      <c r="AI189">
        <v>0</v>
      </c>
      <c r="AL189">
        <v>0</v>
      </c>
      <c r="AM189">
        <v>1</v>
      </c>
      <c r="AP189">
        <v>1</v>
      </c>
      <c r="AQ189">
        <v>0</v>
      </c>
      <c r="AT189">
        <v>0</v>
      </c>
      <c r="AU189">
        <v>0</v>
      </c>
      <c r="AX189">
        <v>0</v>
      </c>
      <c r="AY189">
        <v>0</v>
      </c>
      <c r="BB189">
        <v>0</v>
      </c>
      <c r="BC189">
        <v>0</v>
      </c>
      <c r="BF189">
        <v>0</v>
      </c>
      <c r="BG189">
        <v>1</v>
      </c>
      <c r="BJ189">
        <v>1</v>
      </c>
      <c r="BK189">
        <v>0</v>
      </c>
      <c r="BN189">
        <v>0</v>
      </c>
      <c r="BO189">
        <v>0</v>
      </c>
      <c r="BR189">
        <v>0</v>
      </c>
      <c r="BS189">
        <v>0</v>
      </c>
      <c r="BV189">
        <v>0</v>
      </c>
      <c r="BW189">
        <v>0</v>
      </c>
      <c r="BZ189">
        <v>0</v>
      </c>
      <c r="CA189">
        <v>1</v>
      </c>
      <c r="CD189">
        <v>1</v>
      </c>
      <c r="CE189">
        <v>0</v>
      </c>
      <c r="CH189">
        <v>0</v>
      </c>
      <c r="CI189">
        <v>0</v>
      </c>
      <c r="CL189">
        <v>0</v>
      </c>
      <c r="CM189">
        <v>0</v>
      </c>
      <c r="CP189">
        <v>0</v>
      </c>
      <c r="CQ189">
        <v>0</v>
      </c>
      <c r="CT189">
        <v>0</v>
      </c>
      <c r="CU189">
        <v>0</v>
      </c>
      <c r="CX189">
        <v>0</v>
      </c>
      <c r="CY189">
        <v>0</v>
      </c>
      <c r="DB189">
        <v>0</v>
      </c>
      <c r="DC189">
        <v>0</v>
      </c>
      <c r="DF189">
        <v>0</v>
      </c>
      <c r="DG189">
        <v>0</v>
      </c>
      <c r="DJ189">
        <v>0</v>
      </c>
      <c r="DK189">
        <v>0</v>
      </c>
      <c r="DN189">
        <v>0</v>
      </c>
      <c r="DO189">
        <v>0</v>
      </c>
      <c r="DR189">
        <v>0</v>
      </c>
      <c r="DS189">
        <v>1</v>
      </c>
      <c r="DV189">
        <v>1</v>
      </c>
      <c r="DW189">
        <v>0</v>
      </c>
      <c r="DZ189">
        <v>0</v>
      </c>
      <c r="EA189">
        <v>0</v>
      </c>
      <c r="ED189">
        <v>0</v>
      </c>
      <c r="EE189">
        <v>0</v>
      </c>
      <c r="EH189">
        <v>0</v>
      </c>
      <c r="EI189">
        <v>0</v>
      </c>
      <c r="EL189">
        <v>0</v>
      </c>
      <c r="EM189">
        <v>0</v>
      </c>
      <c r="EP189">
        <v>0</v>
      </c>
      <c r="EQ189">
        <v>0</v>
      </c>
      <c r="ET189">
        <v>0</v>
      </c>
      <c r="EU189">
        <v>0</v>
      </c>
      <c r="EX189">
        <v>0</v>
      </c>
      <c r="EY189">
        <v>0</v>
      </c>
      <c r="FB189">
        <v>0</v>
      </c>
      <c r="FC189">
        <v>0</v>
      </c>
      <c r="FF189">
        <v>0</v>
      </c>
      <c r="FG189">
        <v>1</v>
      </c>
      <c r="FJ189">
        <v>1</v>
      </c>
      <c r="FK189">
        <v>0</v>
      </c>
      <c r="FN189">
        <v>0</v>
      </c>
      <c r="FO189">
        <v>0</v>
      </c>
      <c r="FR189">
        <v>0</v>
      </c>
      <c r="FS189">
        <v>0</v>
      </c>
      <c r="FV189">
        <v>0</v>
      </c>
      <c r="FW189">
        <v>0</v>
      </c>
      <c r="FZ189">
        <v>0</v>
      </c>
      <c r="GA189">
        <v>0</v>
      </c>
      <c r="GD189">
        <v>0</v>
      </c>
      <c r="GE189">
        <v>0</v>
      </c>
      <c r="GH189">
        <v>0</v>
      </c>
      <c r="GI189">
        <v>0</v>
      </c>
      <c r="GL189">
        <v>0</v>
      </c>
      <c r="GM189">
        <v>0</v>
      </c>
      <c r="GP189">
        <v>0</v>
      </c>
      <c r="GQ189">
        <v>0</v>
      </c>
      <c r="GT189">
        <v>0</v>
      </c>
      <c r="GU189">
        <v>0</v>
      </c>
      <c r="GX189">
        <v>0</v>
      </c>
      <c r="GY189">
        <v>0</v>
      </c>
      <c r="HB189">
        <v>0</v>
      </c>
      <c r="HC189">
        <v>0</v>
      </c>
      <c r="HF189">
        <v>0</v>
      </c>
      <c r="HG189">
        <v>0</v>
      </c>
      <c r="HJ189">
        <v>0</v>
      </c>
      <c r="HK189">
        <v>0</v>
      </c>
      <c r="HN189">
        <v>0</v>
      </c>
      <c r="HO189">
        <v>0</v>
      </c>
      <c r="HR189">
        <v>0</v>
      </c>
      <c r="HS189">
        <v>0</v>
      </c>
      <c r="HV189">
        <v>0</v>
      </c>
      <c r="HW189">
        <v>0</v>
      </c>
      <c r="HZ189">
        <v>0</v>
      </c>
      <c r="IA189">
        <v>0</v>
      </c>
      <c r="ID189">
        <v>0</v>
      </c>
      <c r="IE189">
        <v>0</v>
      </c>
      <c r="IH189">
        <v>0</v>
      </c>
      <c r="II189">
        <v>0</v>
      </c>
      <c r="IL189">
        <v>0</v>
      </c>
      <c r="IM189">
        <v>0</v>
      </c>
      <c r="IP189">
        <v>0</v>
      </c>
      <c r="IQ189">
        <v>0</v>
      </c>
      <c r="IT189">
        <v>0</v>
      </c>
      <c r="IU189">
        <v>0</v>
      </c>
      <c r="IX189">
        <v>0</v>
      </c>
      <c r="IY189">
        <f t="shared" ca="1" si="16"/>
        <v>3</v>
      </c>
      <c r="IZ189">
        <f t="shared" ca="1" si="16"/>
        <v>0</v>
      </c>
      <c r="JA189">
        <f t="shared" ca="1" si="16"/>
        <v>0</v>
      </c>
      <c r="JB189">
        <f t="shared" ca="1" si="16"/>
        <v>3</v>
      </c>
    </row>
    <row r="190" spans="1:262" x14ac:dyDescent="0.25">
      <c r="A190" s="165">
        <v>187</v>
      </c>
      <c r="B190" s="165" t="s">
        <v>301</v>
      </c>
      <c r="C190">
        <v>0</v>
      </c>
      <c r="F190">
        <v>0</v>
      </c>
      <c r="G190">
        <v>1</v>
      </c>
      <c r="J190">
        <v>1</v>
      </c>
      <c r="K190">
        <v>1</v>
      </c>
      <c r="N190">
        <v>1</v>
      </c>
      <c r="O190">
        <v>0</v>
      </c>
      <c r="R190">
        <v>0</v>
      </c>
      <c r="S190">
        <v>0</v>
      </c>
      <c r="V190">
        <v>0</v>
      </c>
      <c r="W190">
        <v>0</v>
      </c>
      <c r="Z190">
        <v>0</v>
      </c>
      <c r="AA190">
        <v>1</v>
      </c>
      <c r="AD190">
        <v>1</v>
      </c>
      <c r="AE190">
        <v>0</v>
      </c>
      <c r="AH190">
        <v>0</v>
      </c>
      <c r="AI190">
        <v>0</v>
      </c>
      <c r="AL190">
        <v>0</v>
      </c>
      <c r="AM190">
        <v>1</v>
      </c>
      <c r="AP190">
        <v>1</v>
      </c>
      <c r="AQ190">
        <v>0</v>
      </c>
      <c r="AT190">
        <v>0</v>
      </c>
      <c r="AU190">
        <v>0</v>
      </c>
      <c r="AX190">
        <v>0</v>
      </c>
      <c r="AY190">
        <v>0</v>
      </c>
      <c r="BB190">
        <v>0</v>
      </c>
      <c r="BC190">
        <v>0</v>
      </c>
      <c r="BF190">
        <v>0</v>
      </c>
      <c r="BG190">
        <v>0</v>
      </c>
      <c r="BJ190">
        <v>0</v>
      </c>
      <c r="BK190">
        <v>0</v>
      </c>
      <c r="BN190">
        <v>0</v>
      </c>
      <c r="BO190">
        <v>0</v>
      </c>
      <c r="BR190">
        <v>0</v>
      </c>
      <c r="BS190">
        <v>0</v>
      </c>
      <c r="BV190">
        <v>0</v>
      </c>
      <c r="BW190">
        <v>0</v>
      </c>
      <c r="BZ190">
        <v>0</v>
      </c>
      <c r="CA190">
        <v>1</v>
      </c>
      <c r="CD190">
        <v>1</v>
      </c>
      <c r="CE190">
        <v>0</v>
      </c>
      <c r="CH190">
        <v>0</v>
      </c>
      <c r="CI190">
        <v>0</v>
      </c>
      <c r="CL190">
        <v>0</v>
      </c>
      <c r="CM190">
        <v>0</v>
      </c>
      <c r="CP190">
        <v>0</v>
      </c>
      <c r="CQ190">
        <v>0</v>
      </c>
      <c r="CT190">
        <v>0</v>
      </c>
      <c r="CU190">
        <v>0</v>
      </c>
      <c r="CX190">
        <v>0</v>
      </c>
      <c r="CY190">
        <v>0</v>
      </c>
      <c r="DB190">
        <v>0</v>
      </c>
      <c r="DC190">
        <v>0</v>
      </c>
      <c r="DF190">
        <v>0</v>
      </c>
      <c r="DG190">
        <v>0</v>
      </c>
      <c r="DJ190">
        <v>0</v>
      </c>
      <c r="DK190">
        <v>0</v>
      </c>
      <c r="DN190">
        <v>0</v>
      </c>
      <c r="DO190">
        <v>0</v>
      </c>
      <c r="DR190">
        <v>0</v>
      </c>
      <c r="DS190">
        <v>0</v>
      </c>
      <c r="DV190">
        <v>0</v>
      </c>
      <c r="DW190">
        <v>0</v>
      </c>
      <c r="DZ190">
        <v>0</v>
      </c>
      <c r="EA190">
        <v>0</v>
      </c>
      <c r="ED190">
        <v>0</v>
      </c>
      <c r="EE190">
        <v>0</v>
      </c>
      <c r="EH190">
        <v>0</v>
      </c>
      <c r="EI190">
        <v>0</v>
      </c>
      <c r="EL190">
        <v>0</v>
      </c>
      <c r="EM190">
        <v>0</v>
      </c>
      <c r="EP190">
        <v>0</v>
      </c>
      <c r="EQ190">
        <v>0</v>
      </c>
      <c r="ET190">
        <v>0</v>
      </c>
      <c r="EU190">
        <v>0</v>
      </c>
      <c r="EX190">
        <v>0</v>
      </c>
      <c r="EY190">
        <v>0</v>
      </c>
      <c r="FB190">
        <v>0</v>
      </c>
      <c r="FC190">
        <v>0</v>
      </c>
      <c r="FF190">
        <v>0</v>
      </c>
      <c r="FG190">
        <v>0</v>
      </c>
      <c r="FJ190">
        <v>0</v>
      </c>
      <c r="FK190">
        <v>0</v>
      </c>
      <c r="FN190">
        <v>0</v>
      </c>
      <c r="FO190">
        <v>0</v>
      </c>
      <c r="FR190">
        <v>0</v>
      </c>
      <c r="FS190">
        <v>1</v>
      </c>
      <c r="FV190">
        <v>1</v>
      </c>
      <c r="FW190">
        <v>0</v>
      </c>
      <c r="FZ190">
        <v>0</v>
      </c>
      <c r="GA190">
        <v>0</v>
      </c>
      <c r="GD190">
        <v>0</v>
      </c>
      <c r="GE190">
        <v>0</v>
      </c>
      <c r="GH190">
        <v>0</v>
      </c>
      <c r="GI190">
        <v>0</v>
      </c>
      <c r="GL190">
        <v>0</v>
      </c>
      <c r="GM190">
        <v>0</v>
      </c>
      <c r="GP190">
        <v>0</v>
      </c>
      <c r="GQ190">
        <v>0</v>
      </c>
      <c r="GT190">
        <v>0</v>
      </c>
      <c r="GU190">
        <v>0</v>
      </c>
      <c r="GX190">
        <v>0</v>
      </c>
      <c r="GY190">
        <v>0</v>
      </c>
      <c r="HB190">
        <v>0</v>
      </c>
      <c r="HC190">
        <v>0</v>
      </c>
      <c r="HF190">
        <v>0</v>
      </c>
      <c r="HG190">
        <v>0</v>
      </c>
      <c r="HJ190">
        <v>0</v>
      </c>
      <c r="HK190">
        <v>0</v>
      </c>
      <c r="HN190">
        <v>0</v>
      </c>
      <c r="HO190">
        <v>0</v>
      </c>
      <c r="HR190">
        <v>0</v>
      </c>
      <c r="HS190">
        <v>0</v>
      </c>
      <c r="HV190">
        <v>0</v>
      </c>
      <c r="HW190">
        <v>0</v>
      </c>
      <c r="HZ190">
        <v>0</v>
      </c>
      <c r="IA190">
        <v>0</v>
      </c>
      <c r="ID190">
        <v>0</v>
      </c>
      <c r="IE190">
        <v>0</v>
      </c>
      <c r="IH190">
        <v>0</v>
      </c>
      <c r="II190">
        <v>0</v>
      </c>
      <c r="IL190">
        <v>0</v>
      </c>
      <c r="IM190">
        <v>0</v>
      </c>
      <c r="IP190">
        <v>0</v>
      </c>
      <c r="IQ190">
        <v>0</v>
      </c>
      <c r="IT190">
        <v>0</v>
      </c>
      <c r="IU190">
        <v>0</v>
      </c>
      <c r="IX190">
        <v>0</v>
      </c>
      <c r="IY190">
        <f t="shared" ca="1" si="16"/>
        <v>2</v>
      </c>
      <c r="IZ190">
        <f t="shared" ca="1" si="16"/>
        <v>0</v>
      </c>
      <c r="JA190">
        <f t="shared" ca="1" si="16"/>
        <v>0</v>
      </c>
      <c r="JB190">
        <f t="shared" ca="1" si="16"/>
        <v>2</v>
      </c>
    </row>
    <row r="191" spans="1:262" x14ac:dyDescent="0.25">
      <c r="A191" s="165">
        <v>188</v>
      </c>
      <c r="B191" s="165" t="s">
        <v>311</v>
      </c>
      <c r="C191">
        <v>0</v>
      </c>
      <c r="F191">
        <v>0</v>
      </c>
      <c r="G191">
        <v>1</v>
      </c>
      <c r="J191">
        <v>1</v>
      </c>
      <c r="K191">
        <v>0</v>
      </c>
      <c r="N191">
        <v>0</v>
      </c>
      <c r="O191">
        <v>0</v>
      </c>
      <c r="R191">
        <v>0</v>
      </c>
      <c r="S191">
        <v>0</v>
      </c>
      <c r="V191">
        <v>0</v>
      </c>
      <c r="W191">
        <v>0</v>
      </c>
      <c r="Z191">
        <v>0</v>
      </c>
      <c r="AA191">
        <v>0</v>
      </c>
      <c r="AD191">
        <v>0</v>
      </c>
      <c r="AE191">
        <v>0</v>
      </c>
      <c r="AH191">
        <v>0</v>
      </c>
      <c r="AI191">
        <v>0</v>
      </c>
      <c r="AL191">
        <v>0</v>
      </c>
      <c r="AM191">
        <v>1</v>
      </c>
      <c r="AP191">
        <v>1</v>
      </c>
      <c r="AQ191">
        <v>0</v>
      </c>
      <c r="AT191">
        <v>0</v>
      </c>
      <c r="AU191">
        <v>0</v>
      </c>
      <c r="AX191">
        <v>0</v>
      </c>
      <c r="AY191">
        <v>0</v>
      </c>
      <c r="BB191">
        <v>0</v>
      </c>
      <c r="BC191">
        <v>0</v>
      </c>
      <c r="BF191">
        <v>0</v>
      </c>
      <c r="BG191">
        <v>0</v>
      </c>
      <c r="BJ191">
        <v>0</v>
      </c>
      <c r="BK191">
        <v>0</v>
      </c>
      <c r="BN191">
        <v>0</v>
      </c>
      <c r="BO191">
        <v>0</v>
      </c>
      <c r="BR191">
        <v>0</v>
      </c>
      <c r="BS191">
        <v>0</v>
      </c>
      <c r="BV191">
        <v>0</v>
      </c>
      <c r="BW191">
        <v>0</v>
      </c>
      <c r="BZ191">
        <v>0</v>
      </c>
      <c r="CA191">
        <v>0</v>
      </c>
      <c r="CD191">
        <v>0</v>
      </c>
      <c r="CE191">
        <v>0</v>
      </c>
      <c r="CH191">
        <v>0</v>
      </c>
      <c r="CI191">
        <v>0</v>
      </c>
      <c r="CL191">
        <v>0</v>
      </c>
      <c r="CM191">
        <v>0</v>
      </c>
      <c r="CP191">
        <v>0</v>
      </c>
      <c r="CQ191">
        <v>0</v>
      </c>
      <c r="CT191">
        <v>0</v>
      </c>
      <c r="CU191">
        <v>0</v>
      </c>
      <c r="CX191">
        <v>0</v>
      </c>
      <c r="CY191">
        <v>0</v>
      </c>
      <c r="DB191">
        <v>0</v>
      </c>
      <c r="DC191">
        <v>0</v>
      </c>
      <c r="DF191">
        <v>0</v>
      </c>
      <c r="DG191">
        <v>0</v>
      </c>
      <c r="DJ191">
        <v>0</v>
      </c>
      <c r="DK191">
        <v>0</v>
      </c>
      <c r="DN191">
        <v>0</v>
      </c>
      <c r="DO191">
        <v>0</v>
      </c>
      <c r="DR191">
        <v>0</v>
      </c>
      <c r="DS191">
        <v>1</v>
      </c>
      <c r="DV191">
        <v>1</v>
      </c>
      <c r="DW191">
        <v>0</v>
      </c>
      <c r="DZ191">
        <v>0</v>
      </c>
      <c r="EA191">
        <v>0</v>
      </c>
      <c r="ED191">
        <v>0</v>
      </c>
      <c r="EE191">
        <v>0</v>
      </c>
      <c r="EH191">
        <v>0</v>
      </c>
      <c r="EI191">
        <v>0</v>
      </c>
      <c r="EL191">
        <v>0</v>
      </c>
      <c r="EM191">
        <v>0</v>
      </c>
      <c r="EP191">
        <v>0</v>
      </c>
      <c r="EQ191">
        <v>0</v>
      </c>
      <c r="ET191">
        <v>0</v>
      </c>
      <c r="EU191">
        <v>0</v>
      </c>
      <c r="EX191">
        <v>0</v>
      </c>
      <c r="EY191">
        <v>0</v>
      </c>
      <c r="FB191">
        <v>0</v>
      </c>
      <c r="FC191">
        <v>0</v>
      </c>
      <c r="FF191">
        <v>0</v>
      </c>
      <c r="FG191">
        <v>0</v>
      </c>
      <c r="FJ191">
        <v>0</v>
      </c>
      <c r="FK191">
        <v>0</v>
      </c>
      <c r="FN191">
        <v>0</v>
      </c>
      <c r="FO191">
        <v>0</v>
      </c>
      <c r="FR191">
        <v>0</v>
      </c>
      <c r="FS191">
        <v>0</v>
      </c>
      <c r="FV191">
        <v>0</v>
      </c>
      <c r="FW191">
        <v>0</v>
      </c>
      <c r="FZ191">
        <v>0</v>
      </c>
      <c r="GA191">
        <v>0</v>
      </c>
      <c r="GD191">
        <v>0</v>
      </c>
      <c r="GE191">
        <v>0</v>
      </c>
      <c r="GH191">
        <v>0</v>
      </c>
      <c r="GI191">
        <v>0</v>
      </c>
      <c r="GL191">
        <v>0</v>
      </c>
      <c r="GM191">
        <v>0</v>
      </c>
      <c r="GP191">
        <v>0</v>
      </c>
      <c r="GQ191">
        <v>0</v>
      </c>
      <c r="GT191">
        <v>0</v>
      </c>
      <c r="GU191">
        <v>0</v>
      </c>
      <c r="GX191">
        <v>0</v>
      </c>
      <c r="GY191">
        <v>0</v>
      </c>
      <c r="HB191">
        <v>0</v>
      </c>
      <c r="HC191">
        <v>0</v>
      </c>
      <c r="HF191">
        <v>0</v>
      </c>
      <c r="HG191">
        <v>0</v>
      </c>
      <c r="HJ191">
        <v>0</v>
      </c>
      <c r="HK191">
        <v>0</v>
      </c>
      <c r="HN191">
        <v>0</v>
      </c>
      <c r="HO191">
        <v>0</v>
      </c>
      <c r="HR191">
        <v>0</v>
      </c>
      <c r="HS191">
        <v>0</v>
      </c>
      <c r="HV191">
        <v>0</v>
      </c>
      <c r="HW191">
        <v>0</v>
      </c>
      <c r="HZ191">
        <v>0</v>
      </c>
      <c r="IA191">
        <v>0</v>
      </c>
      <c r="ID191">
        <v>0</v>
      </c>
      <c r="IE191">
        <v>0</v>
      </c>
      <c r="IH191">
        <v>0</v>
      </c>
      <c r="II191">
        <v>0</v>
      </c>
      <c r="IL191">
        <v>0</v>
      </c>
      <c r="IM191">
        <v>0</v>
      </c>
      <c r="IP191">
        <v>0</v>
      </c>
      <c r="IQ191">
        <v>0</v>
      </c>
      <c r="IT191">
        <v>0</v>
      </c>
      <c r="IU191">
        <v>0</v>
      </c>
      <c r="IX191">
        <v>0</v>
      </c>
      <c r="IY191">
        <f t="shared" ca="1" si="16"/>
        <v>1</v>
      </c>
      <c r="IZ191">
        <f t="shared" ca="1" si="16"/>
        <v>0</v>
      </c>
      <c r="JA191">
        <f t="shared" ca="1" si="16"/>
        <v>0</v>
      </c>
      <c r="JB191">
        <f t="shared" ca="1" si="16"/>
        <v>1</v>
      </c>
    </row>
    <row r="192" spans="1:262" x14ac:dyDescent="0.25">
      <c r="A192" s="165">
        <v>189</v>
      </c>
      <c r="B192" s="165" t="s">
        <v>312</v>
      </c>
      <c r="C192">
        <v>0</v>
      </c>
      <c r="F192">
        <v>0</v>
      </c>
      <c r="G192">
        <v>1</v>
      </c>
      <c r="J192">
        <v>1</v>
      </c>
      <c r="K192">
        <v>1</v>
      </c>
      <c r="N192">
        <v>1</v>
      </c>
      <c r="O192">
        <v>0</v>
      </c>
      <c r="R192">
        <v>0</v>
      </c>
      <c r="S192">
        <v>0</v>
      </c>
      <c r="V192">
        <v>0</v>
      </c>
      <c r="W192">
        <v>0</v>
      </c>
      <c r="Z192">
        <v>0</v>
      </c>
      <c r="AA192">
        <v>0</v>
      </c>
      <c r="AD192">
        <v>0</v>
      </c>
      <c r="AE192">
        <v>0</v>
      </c>
      <c r="AH192">
        <v>0</v>
      </c>
      <c r="AI192">
        <v>0</v>
      </c>
      <c r="AL192">
        <v>0</v>
      </c>
      <c r="AM192">
        <v>2</v>
      </c>
      <c r="AP192">
        <v>2</v>
      </c>
      <c r="AQ192">
        <v>0</v>
      </c>
      <c r="AT192">
        <v>0</v>
      </c>
      <c r="AU192">
        <v>0</v>
      </c>
      <c r="AX192">
        <v>0</v>
      </c>
      <c r="AY192">
        <v>0</v>
      </c>
      <c r="BB192">
        <v>0</v>
      </c>
      <c r="BC192">
        <v>0</v>
      </c>
      <c r="BF192">
        <v>0</v>
      </c>
      <c r="BG192">
        <v>0</v>
      </c>
      <c r="BJ192">
        <v>0</v>
      </c>
      <c r="BK192">
        <v>0</v>
      </c>
      <c r="BN192">
        <v>0</v>
      </c>
      <c r="BO192">
        <v>0</v>
      </c>
      <c r="BR192">
        <v>0</v>
      </c>
      <c r="BS192">
        <v>0</v>
      </c>
      <c r="BV192">
        <v>0</v>
      </c>
      <c r="BW192">
        <v>0</v>
      </c>
      <c r="BZ192">
        <v>0</v>
      </c>
      <c r="CA192">
        <v>0</v>
      </c>
      <c r="CD192">
        <v>0</v>
      </c>
      <c r="CE192">
        <v>0</v>
      </c>
      <c r="CH192">
        <v>0</v>
      </c>
      <c r="CI192">
        <v>0</v>
      </c>
      <c r="CL192">
        <v>0</v>
      </c>
      <c r="CM192">
        <v>0</v>
      </c>
      <c r="CP192">
        <v>0</v>
      </c>
      <c r="CQ192">
        <v>0</v>
      </c>
      <c r="CT192">
        <v>0</v>
      </c>
      <c r="CU192">
        <v>0</v>
      </c>
      <c r="CX192">
        <v>0</v>
      </c>
      <c r="CY192">
        <v>0</v>
      </c>
      <c r="DB192">
        <v>0</v>
      </c>
      <c r="DC192">
        <v>0</v>
      </c>
      <c r="DF192">
        <v>0</v>
      </c>
      <c r="DG192">
        <v>0</v>
      </c>
      <c r="DJ192">
        <v>0</v>
      </c>
      <c r="DK192">
        <v>0</v>
      </c>
      <c r="DN192">
        <v>0</v>
      </c>
      <c r="DO192">
        <v>0</v>
      </c>
      <c r="DR192">
        <v>0</v>
      </c>
      <c r="DS192">
        <v>1</v>
      </c>
      <c r="DV192">
        <v>1</v>
      </c>
      <c r="DW192">
        <v>0</v>
      </c>
      <c r="DZ192">
        <v>0</v>
      </c>
      <c r="EA192">
        <v>0</v>
      </c>
      <c r="ED192">
        <v>0</v>
      </c>
      <c r="EE192">
        <v>0</v>
      </c>
      <c r="EH192">
        <v>0</v>
      </c>
      <c r="EI192">
        <v>0</v>
      </c>
      <c r="EL192">
        <v>0</v>
      </c>
      <c r="EM192">
        <v>0</v>
      </c>
      <c r="EP192">
        <v>0</v>
      </c>
      <c r="EQ192">
        <v>0</v>
      </c>
      <c r="ET192">
        <v>0</v>
      </c>
      <c r="EU192">
        <v>0</v>
      </c>
      <c r="EX192">
        <v>0</v>
      </c>
      <c r="EY192">
        <v>0</v>
      </c>
      <c r="FB192">
        <v>0</v>
      </c>
      <c r="FC192">
        <v>0</v>
      </c>
      <c r="FF192">
        <v>0</v>
      </c>
      <c r="FG192">
        <v>0</v>
      </c>
      <c r="FJ192">
        <v>0</v>
      </c>
      <c r="FK192">
        <v>0</v>
      </c>
      <c r="FN192">
        <v>0</v>
      </c>
      <c r="FO192">
        <v>0</v>
      </c>
      <c r="FR192">
        <v>0</v>
      </c>
      <c r="FS192">
        <v>1</v>
      </c>
      <c r="FV192">
        <v>1</v>
      </c>
      <c r="FW192">
        <v>0</v>
      </c>
      <c r="FZ192">
        <v>0</v>
      </c>
      <c r="GA192">
        <v>0</v>
      </c>
      <c r="GD192">
        <v>0</v>
      </c>
      <c r="GE192">
        <v>0</v>
      </c>
      <c r="GH192">
        <v>0</v>
      </c>
      <c r="GI192">
        <v>0</v>
      </c>
      <c r="GL192">
        <v>0</v>
      </c>
      <c r="GM192">
        <v>0</v>
      </c>
      <c r="GP192">
        <v>0</v>
      </c>
      <c r="GQ192">
        <v>0</v>
      </c>
      <c r="GT192">
        <v>0</v>
      </c>
      <c r="GU192">
        <v>0</v>
      </c>
      <c r="GX192">
        <v>0</v>
      </c>
      <c r="GY192">
        <v>0</v>
      </c>
      <c r="HB192">
        <v>0</v>
      </c>
      <c r="HC192">
        <v>0</v>
      </c>
      <c r="HF192">
        <v>0</v>
      </c>
      <c r="HG192">
        <v>0</v>
      </c>
      <c r="HJ192">
        <v>0</v>
      </c>
      <c r="HK192">
        <v>0</v>
      </c>
      <c r="HN192">
        <v>0</v>
      </c>
      <c r="HO192">
        <v>0</v>
      </c>
      <c r="HR192">
        <v>0</v>
      </c>
      <c r="HS192">
        <v>0</v>
      </c>
      <c r="HV192">
        <v>0</v>
      </c>
      <c r="HW192">
        <v>0</v>
      </c>
      <c r="HZ192">
        <v>0</v>
      </c>
      <c r="IA192">
        <v>0</v>
      </c>
      <c r="ID192">
        <v>0</v>
      </c>
      <c r="IE192">
        <v>0</v>
      </c>
      <c r="IH192">
        <v>0</v>
      </c>
      <c r="II192">
        <v>0</v>
      </c>
      <c r="IL192">
        <v>0</v>
      </c>
      <c r="IM192">
        <v>0</v>
      </c>
      <c r="IP192">
        <v>0</v>
      </c>
      <c r="IQ192">
        <v>0</v>
      </c>
      <c r="IT192">
        <v>0</v>
      </c>
      <c r="IU192">
        <v>0</v>
      </c>
      <c r="IX192">
        <v>0</v>
      </c>
      <c r="IY192">
        <f t="shared" ca="1" si="16"/>
        <v>2</v>
      </c>
      <c r="IZ192">
        <f t="shared" ca="1" si="16"/>
        <v>0</v>
      </c>
      <c r="JA192">
        <f t="shared" ca="1" si="16"/>
        <v>0</v>
      </c>
      <c r="JB192">
        <f t="shared" ca="1" si="16"/>
        <v>2</v>
      </c>
    </row>
    <row r="193" spans="1:262" x14ac:dyDescent="0.25">
      <c r="A193" s="165">
        <v>190</v>
      </c>
      <c r="B193" s="165" t="s">
        <v>596</v>
      </c>
      <c r="C193">
        <v>0</v>
      </c>
      <c r="F193">
        <v>0</v>
      </c>
      <c r="G193">
        <v>1</v>
      </c>
      <c r="J193">
        <v>1</v>
      </c>
      <c r="K193">
        <v>1</v>
      </c>
      <c r="N193">
        <v>1</v>
      </c>
      <c r="O193">
        <v>0</v>
      </c>
      <c r="R193">
        <v>0</v>
      </c>
      <c r="S193">
        <v>0</v>
      </c>
      <c r="V193">
        <v>0</v>
      </c>
      <c r="W193">
        <v>0</v>
      </c>
      <c r="Z193">
        <v>0</v>
      </c>
      <c r="AA193">
        <v>0</v>
      </c>
      <c r="AD193">
        <v>0</v>
      </c>
      <c r="AE193">
        <v>0</v>
      </c>
      <c r="AH193">
        <v>0</v>
      </c>
      <c r="AI193">
        <v>0</v>
      </c>
      <c r="AL193">
        <v>0</v>
      </c>
      <c r="AM193">
        <v>2</v>
      </c>
      <c r="AP193">
        <v>2</v>
      </c>
      <c r="AQ193">
        <v>0</v>
      </c>
      <c r="AT193">
        <v>0</v>
      </c>
      <c r="AU193">
        <v>0</v>
      </c>
      <c r="AX193">
        <v>0</v>
      </c>
      <c r="AY193">
        <v>0</v>
      </c>
      <c r="BB193">
        <v>0</v>
      </c>
      <c r="BC193">
        <v>0</v>
      </c>
      <c r="BF193">
        <v>0</v>
      </c>
      <c r="BG193">
        <v>0</v>
      </c>
      <c r="BJ193">
        <v>0</v>
      </c>
      <c r="BK193">
        <v>0</v>
      </c>
      <c r="BN193">
        <v>0</v>
      </c>
      <c r="BO193">
        <v>0</v>
      </c>
      <c r="BR193">
        <v>0</v>
      </c>
      <c r="BS193">
        <v>0</v>
      </c>
      <c r="BV193">
        <v>0</v>
      </c>
      <c r="BW193">
        <v>0</v>
      </c>
      <c r="BZ193">
        <v>0</v>
      </c>
      <c r="CA193">
        <v>0</v>
      </c>
      <c r="CD193">
        <v>0</v>
      </c>
      <c r="CE193">
        <v>0</v>
      </c>
      <c r="CH193">
        <v>0</v>
      </c>
      <c r="CI193">
        <v>0</v>
      </c>
      <c r="CL193">
        <v>0</v>
      </c>
      <c r="CM193">
        <v>0</v>
      </c>
      <c r="CP193">
        <v>0</v>
      </c>
      <c r="CQ193">
        <v>0</v>
      </c>
      <c r="CT193">
        <v>0</v>
      </c>
      <c r="CU193">
        <v>0</v>
      </c>
      <c r="CX193">
        <v>0</v>
      </c>
      <c r="CY193">
        <v>0</v>
      </c>
      <c r="DB193">
        <v>0</v>
      </c>
      <c r="DC193">
        <v>0</v>
      </c>
      <c r="DF193">
        <v>0</v>
      </c>
      <c r="DG193">
        <v>0</v>
      </c>
      <c r="DJ193">
        <v>0</v>
      </c>
      <c r="DK193">
        <v>0</v>
      </c>
      <c r="DN193">
        <v>0</v>
      </c>
      <c r="DO193">
        <v>0</v>
      </c>
      <c r="DR193">
        <v>0</v>
      </c>
      <c r="DS193">
        <v>1</v>
      </c>
      <c r="DV193">
        <v>1</v>
      </c>
      <c r="DW193">
        <v>0</v>
      </c>
      <c r="DZ193">
        <v>0</v>
      </c>
      <c r="EA193">
        <v>0</v>
      </c>
      <c r="ED193">
        <v>0</v>
      </c>
      <c r="EE193">
        <v>0</v>
      </c>
      <c r="EH193">
        <v>0</v>
      </c>
      <c r="EI193">
        <v>0</v>
      </c>
      <c r="EL193">
        <v>0</v>
      </c>
      <c r="EM193">
        <v>0</v>
      </c>
      <c r="EP193">
        <v>0</v>
      </c>
      <c r="EQ193">
        <v>0</v>
      </c>
      <c r="ET193">
        <v>0</v>
      </c>
      <c r="EU193">
        <v>0</v>
      </c>
      <c r="EX193">
        <v>0</v>
      </c>
      <c r="EY193">
        <v>0</v>
      </c>
      <c r="FB193">
        <v>0</v>
      </c>
      <c r="FC193">
        <v>0</v>
      </c>
      <c r="FF193">
        <v>0</v>
      </c>
      <c r="FG193">
        <v>0</v>
      </c>
      <c r="FJ193">
        <v>0</v>
      </c>
      <c r="FK193">
        <v>0</v>
      </c>
      <c r="FN193">
        <v>0</v>
      </c>
      <c r="FO193">
        <v>0</v>
      </c>
      <c r="FR193">
        <v>0</v>
      </c>
      <c r="FS193">
        <v>1</v>
      </c>
      <c r="FV193">
        <v>1</v>
      </c>
      <c r="FW193">
        <v>0</v>
      </c>
      <c r="FZ193">
        <v>0</v>
      </c>
      <c r="GA193">
        <v>0</v>
      </c>
      <c r="GD193">
        <v>0</v>
      </c>
      <c r="GE193">
        <v>0</v>
      </c>
      <c r="GH193">
        <v>0</v>
      </c>
      <c r="GI193">
        <v>0</v>
      </c>
      <c r="GL193">
        <v>0</v>
      </c>
      <c r="GM193">
        <v>0</v>
      </c>
      <c r="GP193">
        <v>0</v>
      </c>
      <c r="GQ193">
        <v>0</v>
      </c>
      <c r="GT193">
        <v>0</v>
      </c>
      <c r="GU193">
        <v>0</v>
      </c>
      <c r="GX193">
        <v>0</v>
      </c>
      <c r="GY193">
        <v>0</v>
      </c>
      <c r="HB193">
        <v>0</v>
      </c>
      <c r="HC193">
        <v>0</v>
      </c>
      <c r="HF193">
        <v>0</v>
      </c>
      <c r="HG193">
        <v>0</v>
      </c>
      <c r="HJ193">
        <v>0</v>
      </c>
      <c r="HK193">
        <v>0</v>
      </c>
      <c r="HN193">
        <v>0</v>
      </c>
      <c r="HO193">
        <v>0</v>
      </c>
      <c r="HR193">
        <v>0</v>
      </c>
      <c r="HS193">
        <v>0</v>
      </c>
      <c r="HV193">
        <v>0</v>
      </c>
      <c r="HW193">
        <v>0</v>
      </c>
      <c r="HZ193">
        <v>0</v>
      </c>
      <c r="IA193">
        <v>0</v>
      </c>
      <c r="ID193">
        <v>0</v>
      </c>
      <c r="IE193">
        <v>0</v>
      </c>
      <c r="IH193">
        <v>0</v>
      </c>
      <c r="II193">
        <v>0</v>
      </c>
      <c r="IL193">
        <v>0</v>
      </c>
      <c r="IM193">
        <v>0</v>
      </c>
      <c r="IP193">
        <v>0</v>
      </c>
      <c r="IQ193">
        <v>0</v>
      </c>
      <c r="IT193">
        <v>0</v>
      </c>
      <c r="IU193">
        <v>0</v>
      </c>
      <c r="IX193">
        <v>0</v>
      </c>
      <c r="IY193">
        <f t="shared" ca="1" si="16"/>
        <v>2</v>
      </c>
      <c r="IZ193">
        <f t="shared" ca="1" si="16"/>
        <v>0</v>
      </c>
      <c r="JA193">
        <f t="shared" ca="1" si="16"/>
        <v>0</v>
      </c>
      <c r="JB193">
        <f t="shared" ca="1" si="16"/>
        <v>2</v>
      </c>
    </row>
    <row r="194" spans="1:262" x14ac:dyDescent="0.25">
      <c r="A194" s="165">
        <v>191</v>
      </c>
      <c r="B194" s="165" t="s">
        <v>303</v>
      </c>
      <c r="C194">
        <v>0</v>
      </c>
      <c r="F194">
        <v>0</v>
      </c>
      <c r="G194">
        <v>0</v>
      </c>
      <c r="J194">
        <v>0</v>
      </c>
      <c r="K194">
        <v>1</v>
      </c>
      <c r="N194">
        <v>1</v>
      </c>
      <c r="O194">
        <v>1</v>
      </c>
      <c r="R194">
        <v>1</v>
      </c>
      <c r="S194">
        <v>0</v>
      </c>
      <c r="V194">
        <v>0</v>
      </c>
      <c r="W194">
        <v>0</v>
      </c>
      <c r="Z194">
        <v>0</v>
      </c>
      <c r="AA194">
        <v>0</v>
      </c>
      <c r="AD194">
        <v>0</v>
      </c>
      <c r="AE194">
        <v>0</v>
      </c>
      <c r="AH194">
        <v>0</v>
      </c>
      <c r="AI194">
        <v>0</v>
      </c>
      <c r="AL194">
        <v>0</v>
      </c>
      <c r="AM194">
        <v>2</v>
      </c>
      <c r="AP194">
        <v>2</v>
      </c>
      <c r="AQ194">
        <v>0</v>
      </c>
      <c r="AT194">
        <v>0</v>
      </c>
      <c r="AU194">
        <v>0</v>
      </c>
      <c r="AX194">
        <v>0</v>
      </c>
      <c r="AY194">
        <v>0</v>
      </c>
      <c r="BB194">
        <v>0</v>
      </c>
      <c r="BC194">
        <v>0</v>
      </c>
      <c r="BF194">
        <v>0</v>
      </c>
      <c r="BG194">
        <v>0</v>
      </c>
      <c r="BJ194">
        <v>0</v>
      </c>
      <c r="BK194">
        <v>0</v>
      </c>
      <c r="BN194">
        <v>0</v>
      </c>
      <c r="BO194">
        <v>0</v>
      </c>
      <c r="BR194">
        <v>0</v>
      </c>
      <c r="BS194">
        <v>0</v>
      </c>
      <c r="BV194">
        <v>0</v>
      </c>
      <c r="BW194">
        <v>0</v>
      </c>
      <c r="BZ194">
        <v>0</v>
      </c>
      <c r="CA194">
        <v>0</v>
      </c>
      <c r="CD194">
        <v>0</v>
      </c>
      <c r="CE194">
        <v>0</v>
      </c>
      <c r="CH194">
        <v>0</v>
      </c>
      <c r="CI194">
        <v>0</v>
      </c>
      <c r="CL194">
        <v>0</v>
      </c>
      <c r="CM194">
        <v>0</v>
      </c>
      <c r="CP194">
        <v>0</v>
      </c>
      <c r="CQ194">
        <v>0</v>
      </c>
      <c r="CT194">
        <v>0</v>
      </c>
      <c r="CU194">
        <v>0</v>
      </c>
      <c r="CX194">
        <v>0</v>
      </c>
      <c r="CY194">
        <v>0</v>
      </c>
      <c r="DB194">
        <v>0</v>
      </c>
      <c r="DC194">
        <v>0</v>
      </c>
      <c r="DF194">
        <v>0</v>
      </c>
      <c r="DG194">
        <v>0</v>
      </c>
      <c r="DJ194">
        <v>0</v>
      </c>
      <c r="DK194">
        <v>0</v>
      </c>
      <c r="DN194">
        <v>0</v>
      </c>
      <c r="DO194">
        <v>0</v>
      </c>
      <c r="DR194">
        <v>0</v>
      </c>
      <c r="DS194">
        <v>0</v>
      </c>
      <c r="DV194">
        <v>0</v>
      </c>
      <c r="DW194">
        <v>0</v>
      </c>
      <c r="DZ194">
        <v>0</v>
      </c>
      <c r="EA194">
        <v>0</v>
      </c>
      <c r="ED194">
        <v>0</v>
      </c>
      <c r="EE194">
        <v>0</v>
      </c>
      <c r="EH194">
        <v>0</v>
      </c>
      <c r="EI194">
        <v>0</v>
      </c>
      <c r="EL194">
        <v>0</v>
      </c>
      <c r="EM194">
        <v>0</v>
      </c>
      <c r="EP194">
        <v>0</v>
      </c>
      <c r="EQ194">
        <v>0</v>
      </c>
      <c r="ET194">
        <v>0</v>
      </c>
      <c r="EU194">
        <v>0</v>
      </c>
      <c r="EX194">
        <v>0</v>
      </c>
      <c r="EY194">
        <v>0</v>
      </c>
      <c r="FB194">
        <v>0</v>
      </c>
      <c r="FC194">
        <v>0</v>
      </c>
      <c r="FF194">
        <v>0</v>
      </c>
      <c r="FG194">
        <v>0</v>
      </c>
      <c r="FJ194">
        <v>0</v>
      </c>
      <c r="FK194">
        <v>0</v>
      </c>
      <c r="FN194">
        <v>0</v>
      </c>
      <c r="FO194">
        <v>0</v>
      </c>
      <c r="FR194">
        <v>0</v>
      </c>
      <c r="FS194">
        <v>1</v>
      </c>
      <c r="FV194">
        <v>1</v>
      </c>
      <c r="FW194">
        <v>0</v>
      </c>
      <c r="FZ194">
        <v>0</v>
      </c>
      <c r="GA194">
        <v>0</v>
      </c>
      <c r="GD194">
        <v>0</v>
      </c>
      <c r="GE194">
        <v>0</v>
      </c>
      <c r="GH194">
        <v>0</v>
      </c>
      <c r="GI194">
        <v>0</v>
      </c>
      <c r="GL194">
        <v>0</v>
      </c>
      <c r="GM194">
        <v>0</v>
      </c>
      <c r="GP194">
        <v>0</v>
      </c>
      <c r="GQ194">
        <v>0</v>
      </c>
      <c r="GT194">
        <v>0</v>
      </c>
      <c r="GU194">
        <v>0</v>
      </c>
      <c r="GX194">
        <v>0</v>
      </c>
      <c r="GY194">
        <v>0</v>
      </c>
      <c r="HB194">
        <v>0</v>
      </c>
      <c r="HC194">
        <v>0</v>
      </c>
      <c r="HF194">
        <v>0</v>
      </c>
      <c r="HG194">
        <v>0</v>
      </c>
      <c r="HJ194">
        <v>0</v>
      </c>
      <c r="HK194">
        <v>0</v>
      </c>
      <c r="HN194">
        <v>0</v>
      </c>
      <c r="HO194">
        <v>0</v>
      </c>
      <c r="HR194">
        <v>0</v>
      </c>
      <c r="HS194">
        <v>0</v>
      </c>
      <c r="HV194">
        <v>0</v>
      </c>
      <c r="HW194">
        <v>1</v>
      </c>
      <c r="HZ194">
        <v>1</v>
      </c>
      <c r="IA194">
        <v>0</v>
      </c>
      <c r="ID194">
        <v>0</v>
      </c>
      <c r="IE194">
        <v>0</v>
      </c>
      <c r="IH194">
        <v>0</v>
      </c>
      <c r="II194">
        <v>0</v>
      </c>
      <c r="IL194">
        <v>0</v>
      </c>
      <c r="IM194">
        <v>0</v>
      </c>
      <c r="IP194">
        <v>0</v>
      </c>
      <c r="IQ194">
        <v>0</v>
      </c>
      <c r="IT194">
        <v>0</v>
      </c>
      <c r="IU194">
        <v>0</v>
      </c>
      <c r="IX194">
        <v>0</v>
      </c>
      <c r="IY194">
        <f t="shared" ca="1" si="16"/>
        <v>2</v>
      </c>
      <c r="IZ194">
        <f t="shared" ca="1" si="16"/>
        <v>0</v>
      </c>
      <c r="JA194">
        <f t="shared" ca="1" si="16"/>
        <v>0</v>
      </c>
      <c r="JB194">
        <f t="shared" ca="1" si="16"/>
        <v>2</v>
      </c>
    </row>
    <row r="195" spans="1:262" x14ac:dyDescent="0.25">
      <c r="A195" s="165">
        <v>192</v>
      </c>
      <c r="B195" s="165" t="s">
        <v>309</v>
      </c>
      <c r="C195">
        <v>0</v>
      </c>
      <c r="F195">
        <v>0</v>
      </c>
      <c r="G195">
        <v>0</v>
      </c>
      <c r="J195">
        <v>0</v>
      </c>
      <c r="K195">
        <v>1</v>
      </c>
      <c r="N195">
        <v>1</v>
      </c>
      <c r="O195">
        <v>1</v>
      </c>
      <c r="R195">
        <v>1</v>
      </c>
      <c r="S195">
        <v>0</v>
      </c>
      <c r="V195">
        <v>0</v>
      </c>
      <c r="W195">
        <v>0</v>
      </c>
      <c r="Z195">
        <v>0</v>
      </c>
      <c r="AA195">
        <v>0</v>
      </c>
      <c r="AD195">
        <v>0</v>
      </c>
      <c r="AE195">
        <v>0</v>
      </c>
      <c r="AH195">
        <v>0</v>
      </c>
      <c r="AI195">
        <v>0</v>
      </c>
      <c r="AL195">
        <v>0</v>
      </c>
      <c r="AM195">
        <v>2</v>
      </c>
      <c r="AP195">
        <v>2</v>
      </c>
      <c r="AQ195">
        <v>0</v>
      </c>
      <c r="AT195">
        <v>0</v>
      </c>
      <c r="AU195">
        <v>0</v>
      </c>
      <c r="AX195">
        <v>0</v>
      </c>
      <c r="AY195">
        <v>0</v>
      </c>
      <c r="BB195">
        <v>0</v>
      </c>
      <c r="BC195">
        <v>0</v>
      </c>
      <c r="BF195">
        <v>0</v>
      </c>
      <c r="BG195">
        <v>0</v>
      </c>
      <c r="BJ195">
        <v>0</v>
      </c>
      <c r="BK195">
        <v>0</v>
      </c>
      <c r="BN195">
        <v>0</v>
      </c>
      <c r="BO195">
        <v>0</v>
      </c>
      <c r="BR195">
        <v>0</v>
      </c>
      <c r="BS195">
        <v>0</v>
      </c>
      <c r="BV195">
        <v>0</v>
      </c>
      <c r="BW195">
        <v>0</v>
      </c>
      <c r="BZ195">
        <v>0</v>
      </c>
      <c r="CA195">
        <v>0</v>
      </c>
      <c r="CD195">
        <v>0</v>
      </c>
      <c r="CE195">
        <v>0</v>
      </c>
      <c r="CH195">
        <v>0</v>
      </c>
      <c r="CI195">
        <v>0</v>
      </c>
      <c r="CL195">
        <v>0</v>
      </c>
      <c r="CM195">
        <v>0</v>
      </c>
      <c r="CP195">
        <v>0</v>
      </c>
      <c r="CQ195">
        <v>0</v>
      </c>
      <c r="CT195">
        <v>0</v>
      </c>
      <c r="CU195">
        <v>0</v>
      </c>
      <c r="CX195">
        <v>0</v>
      </c>
      <c r="CY195">
        <v>0</v>
      </c>
      <c r="DB195">
        <v>0</v>
      </c>
      <c r="DC195">
        <v>0</v>
      </c>
      <c r="DF195">
        <v>0</v>
      </c>
      <c r="DG195">
        <v>0</v>
      </c>
      <c r="DJ195">
        <v>0</v>
      </c>
      <c r="DK195">
        <v>0</v>
      </c>
      <c r="DN195">
        <v>0</v>
      </c>
      <c r="DO195">
        <v>0</v>
      </c>
      <c r="DR195">
        <v>0</v>
      </c>
      <c r="DS195">
        <v>0</v>
      </c>
      <c r="DV195">
        <v>0</v>
      </c>
      <c r="DW195">
        <v>0</v>
      </c>
      <c r="DZ195">
        <v>0</v>
      </c>
      <c r="EA195">
        <v>0</v>
      </c>
      <c r="ED195">
        <v>0</v>
      </c>
      <c r="EE195">
        <v>0</v>
      </c>
      <c r="EH195">
        <v>0</v>
      </c>
      <c r="EI195">
        <v>0</v>
      </c>
      <c r="EL195">
        <v>0</v>
      </c>
      <c r="EM195">
        <v>0</v>
      </c>
      <c r="EP195">
        <v>0</v>
      </c>
      <c r="EQ195">
        <v>0</v>
      </c>
      <c r="ET195">
        <v>0</v>
      </c>
      <c r="EU195">
        <v>0</v>
      </c>
      <c r="EX195">
        <v>0</v>
      </c>
      <c r="EY195">
        <v>0</v>
      </c>
      <c r="FB195">
        <v>0</v>
      </c>
      <c r="FC195">
        <v>0</v>
      </c>
      <c r="FF195">
        <v>0</v>
      </c>
      <c r="FG195">
        <v>0</v>
      </c>
      <c r="FJ195">
        <v>0</v>
      </c>
      <c r="FK195">
        <v>0</v>
      </c>
      <c r="FN195">
        <v>0</v>
      </c>
      <c r="FO195">
        <v>0</v>
      </c>
      <c r="FR195">
        <v>0</v>
      </c>
      <c r="FS195">
        <v>1</v>
      </c>
      <c r="FV195">
        <v>1</v>
      </c>
      <c r="FW195">
        <v>0</v>
      </c>
      <c r="FZ195">
        <v>0</v>
      </c>
      <c r="GA195">
        <v>0</v>
      </c>
      <c r="GD195">
        <v>0</v>
      </c>
      <c r="GE195">
        <v>0</v>
      </c>
      <c r="GH195">
        <v>0</v>
      </c>
      <c r="GI195">
        <v>0</v>
      </c>
      <c r="GL195">
        <v>0</v>
      </c>
      <c r="GM195">
        <v>0</v>
      </c>
      <c r="GP195">
        <v>0</v>
      </c>
      <c r="GQ195">
        <v>0</v>
      </c>
      <c r="GT195">
        <v>0</v>
      </c>
      <c r="GU195">
        <v>0</v>
      </c>
      <c r="GX195">
        <v>0</v>
      </c>
      <c r="GY195">
        <v>0</v>
      </c>
      <c r="HB195">
        <v>0</v>
      </c>
      <c r="HC195">
        <v>0</v>
      </c>
      <c r="HF195">
        <v>0</v>
      </c>
      <c r="HG195">
        <v>0</v>
      </c>
      <c r="HJ195">
        <v>0</v>
      </c>
      <c r="HK195">
        <v>0</v>
      </c>
      <c r="HN195">
        <v>0</v>
      </c>
      <c r="HO195">
        <v>0</v>
      </c>
      <c r="HR195">
        <v>0</v>
      </c>
      <c r="HS195">
        <v>0</v>
      </c>
      <c r="HV195">
        <v>0</v>
      </c>
      <c r="HW195">
        <v>1</v>
      </c>
      <c r="HZ195">
        <v>1</v>
      </c>
      <c r="IA195">
        <v>0</v>
      </c>
      <c r="ID195">
        <v>0</v>
      </c>
      <c r="IE195">
        <v>0</v>
      </c>
      <c r="IH195">
        <v>0</v>
      </c>
      <c r="II195">
        <v>0</v>
      </c>
      <c r="IL195">
        <v>0</v>
      </c>
      <c r="IM195">
        <v>0</v>
      </c>
      <c r="IP195">
        <v>0</v>
      </c>
      <c r="IQ195">
        <v>0</v>
      </c>
      <c r="IT195">
        <v>0</v>
      </c>
      <c r="IU195">
        <v>0</v>
      </c>
      <c r="IX195">
        <v>0</v>
      </c>
      <c r="IY195">
        <f t="shared" ca="1" si="16"/>
        <v>2</v>
      </c>
      <c r="IZ195">
        <f t="shared" ca="1" si="16"/>
        <v>0</v>
      </c>
      <c r="JA195">
        <f t="shared" ca="1" si="16"/>
        <v>0</v>
      </c>
      <c r="JB195">
        <f t="shared" ca="1" si="16"/>
        <v>2</v>
      </c>
    </row>
    <row r="196" spans="1:262" x14ac:dyDescent="0.25">
      <c r="A196" s="165">
        <v>193</v>
      </c>
      <c r="B196" s="165" t="s">
        <v>317</v>
      </c>
      <c r="C196">
        <v>0</v>
      </c>
      <c r="F196">
        <v>0</v>
      </c>
      <c r="G196">
        <v>0</v>
      </c>
      <c r="J196">
        <v>0</v>
      </c>
      <c r="K196">
        <v>1</v>
      </c>
      <c r="N196">
        <v>1</v>
      </c>
      <c r="O196">
        <v>1</v>
      </c>
      <c r="R196">
        <v>1</v>
      </c>
      <c r="S196">
        <v>0</v>
      </c>
      <c r="V196">
        <v>0</v>
      </c>
      <c r="W196">
        <v>0</v>
      </c>
      <c r="Z196">
        <v>0</v>
      </c>
      <c r="AA196">
        <v>0</v>
      </c>
      <c r="AD196">
        <v>0</v>
      </c>
      <c r="AE196">
        <v>0</v>
      </c>
      <c r="AH196">
        <v>0</v>
      </c>
      <c r="AI196">
        <v>0</v>
      </c>
      <c r="AL196">
        <v>0</v>
      </c>
      <c r="AM196">
        <v>2</v>
      </c>
      <c r="AP196">
        <v>2</v>
      </c>
      <c r="AQ196">
        <v>0</v>
      </c>
      <c r="AT196">
        <v>0</v>
      </c>
      <c r="AU196">
        <v>0</v>
      </c>
      <c r="AX196">
        <v>0</v>
      </c>
      <c r="AY196">
        <v>0</v>
      </c>
      <c r="BB196">
        <v>0</v>
      </c>
      <c r="BC196">
        <v>0</v>
      </c>
      <c r="BF196">
        <v>0</v>
      </c>
      <c r="BG196">
        <v>0</v>
      </c>
      <c r="BJ196">
        <v>0</v>
      </c>
      <c r="BK196">
        <v>0</v>
      </c>
      <c r="BN196">
        <v>0</v>
      </c>
      <c r="BO196">
        <v>0</v>
      </c>
      <c r="BR196">
        <v>0</v>
      </c>
      <c r="BS196">
        <v>0</v>
      </c>
      <c r="BV196">
        <v>0</v>
      </c>
      <c r="BW196">
        <v>0</v>
      </c>
      <c r="BZ196">
        <v>0</v>
      </c>
      <c r="CA196">
        <v>0</v>
      </c>
      <c r="CD196">
        <v>0</v>
      </c>
      <c r="CE196">
        <v>0</v>
      </c>
      <c r="CH196">
        <v>0</v>
      </c>
      <c r="CI196">
        <v>0</v>
      </c>
      <c r="CL196">
        <v>0</v>
      </c>
      <c r="CM196">
        <v>0</v>
      </c>
      <c r="CP196">
        <v>0</v>
      </c>
      <c r="CQ196">
        <v>0</v>
      </c>
      <c r="CT196">
        <v>0</v>
      </c>
      <c r="CU196">
        <v>0</v>
      </c>
      <c r="CX196">
        <v>0</v>
      </c>
      <c r="CY196">
        <v>0</v>
      </c>
      <c r="DB196">
        <v>0</v>
      </c>
      <c r="DC196">
        <v>0</v>
      </c>
      <c r="DF196">
        <v>0</v>
      </c>
      <c r="DG196">
        <v>0</v>
      </c>
      <c r="DJ196">
        <v>0</v>
      </c>
      <c r="DK196">
        <v>0</v>
      </c>
      <c r="DN196">
        <v>0</v>
      </c>
      <c r="DO196">
        <v>0</v>
      </c>
      <c r="DR196">
        <v>0</v>
      </c>
      <c r="DS196">
        <v>0</v>
      </c>
      <c r="DV196">
        <v>0</v>
      </c>
      <c r="DW196">
        <v>0</v>
      </c>
      <c r="DZ196">
        <v>0</v>
      </c>
      <c r="EA196">
        <v>0</v>
      </c>
      <c r="ED196">
        <v>0</v>
      </c>
      <c r="EE196">
        <v>0</v>
      </c>
      <c r="EH196">
        <v>0</v>
      </c>
      <c r="EI196">
        <v>0</v>
      </c>
      <c r="EL196">
        <v>0</v>
      </c>
      <c r="EM196">
        <v>0</v>
      </c>
      <c r="EP196">
        <v>0</v>
      </c>
      <c r="EQ196">
        <v>0</v>
      </c>
      <c r="ET196">
        <v>0</v>
      </c>
      <c r="EU196">
        <v>0</v>
      </c>
      <c r="EX196">
        <v>0</v>
      </c>
      <c r="EY196">
        <v>0</v>
      </c>
      <c r="FB196">
        <v>0</v>
      </c>
      <c r="FC196">
        <v>0</v>
      </c>
      <c r="FF196">
        <v>0</v>
      </c>
      <c r="FG196">
        <v>0</v>
      </c>
      <c r="FJ196">
        <v>0</v>
      </c>
      <c r="FK196">
        <v>0</v>
      </c>
      <c r="FN196">
        <v>0</v>
      </c>
      <c r="FO196">
        <v>0</v>
      </c>
      <c r="FR196">
        <v>0</v>
      </c>
      <c r="FS196">
        <v>1</v>
      </c>
      <c r="FV196">
        <v>1</v>
      </c>
      <c r="FW196">
        <v>0</v>
      </c>
      <c r="FZ196">
        <v>0</v>
      </c>
      <c r="GA196">
        <v>0</v>
      </c>
      <c r="GD196">
        <v>0</v>
      </c>
      <c r="GE196">
        <v>0</v>
      </c>
      <c r="GH196">
        <v>0</v>
      </c>
      <c r="GI196">
        <v>0</v>
      </c>
      <c r="GL196">
        <v>0</v>
      </c>
      <c r="GM196">
        <v>0</v>
      </c>
      <c r="GP196">
        <v>0</v>
      </c>
      <c r="GQ196">
        <v>0</v>
      </c>
      <c r="GT196">
        <v>0</v>
      </c>
      <c r="GU196">
        <v>0</v>
      </c>
      <c r="GX196">
        <v>0</v>
      </c>
      <c r="GY196">
        <v>0</v>
      </c>
      <c r="HB196">
        <v>0</v>
      </c>
      <c r="HC196">
        <v>0</v>
      </c>
      <c r="HF196">
        <v>0</v>
      </c>
      <c r="HG196">
        <v>0</v>
      </c>
      <c r="HJ196">
        <v>0</v>
      </c>
      <c r="HK196">
        <v>0</v>
      </c>
      <c r="HN196">
        <v>0</v>
      </c>
      <c r="HO196">
        <v>0</v>
      </c>
      <c r="HR196">
        <v>0</v>
      </c>
      <c r="HS196">
        <v>0</v>
      </c>
      <c r="HV196">
        <v>0</v>
      </c>
      <c r="HW196">
        <v>1</v>
      </c>
      <c r="HZ196">
        <v>1</v>
      </c>
      <c r="IA196">
        <v>0</v>
      </c>
      <c r="ID196">
        <v>0</v>
      </c>
      <c r="IE196">
        <v>0</v>
      </c>
      <c r="IH196">
        <v>0</v>
      </c>
      <c r="II196">
        <v>0</v>
      </c>
      <c r="IL196">
        <v>0</v>
      </c>
      <c r="IM196">
        <v>0</v>
      </c>
      <c r="IP196">
        <v>0</v>
      </c>
      <c r="IQ196">
        <v>0</v>
      </c>
      <c r="IT196">
        <v>0</v>
      </c>
      <c r="IU196">
        <v>0</v>
      </c>
      <c r="IX196">
        <v>0</v>
      </c>
      <c r="IY196">
        <f t="shared" ca="1" si="16"/>
        <v>2</v>
      </c>
      <c r="IZ196">
        <f t="shared" ca="1" si="16"/>
        <v>0</v>
      </c>
      <c r="JA196">
        <f t="shared" ca="1" si="16"/>
        <v>0</v>
      </c>
      <c r="JB196">
        <f t="shared" ca="1" si="16"/>
        <v>2</v>
      </c>
    </row>
    <row r="197" spans="1:262" x14ac:dyDescent="0.25">
      <c r="A197" s="165">
        <v>194</v>
      </c>
      <c r="B197" s="165" t="s">
        <v>305</v>
      </c>
      <c r="C197">
        <v>0</v>
      </c>
      <c r="F197">
        <v>0</v>
      </c>
      <c r="G197">
        <v>0</v>
      </c>
      <c r="J197">
        <v>0</v>
      </c>
      <c r="K197">
        <v>0</v>
      </c>
      <c r="N197">
        <v>0</v>
      </c>
      <c r="O197">
        <v>1</v>
      </c>
      <c r="R197">
        <v>1</v>
      </c>
      <c r="S197">
        <v>0</v>
      </c>
      <c r="V197">
        <v>0</v>
      </c>
      <c r="W197">
        <v>0</v>
      </c>
      <c r="Z197">
        <v>0</v>
      </c>
      <c r="AA197">
        <v>0</v>
      </c>
      <c r="AD197">
        <v>0</v>
      </c>
      <c r="AE197">
        <v>0</v>
      </c>
      <c r="AH197">
        <v>0</v>
      </c>
      <c r="AI197">
        <v>0</v>
      </c>
      <c r="AL197">
        <v>0</v>
      </c>
      <c r="AM197">
        <v>1</v>
      </c>
      <c r="AP197">
        <v>1</v>
      </c>
      <c r="AQ197">
        <v>0</v>
      </c>
      <c r="AT197">
        <v>0</v>
      </c>
      <c r="AU197">
        <v>0</v>
      </c>
      <c r="AX197">
        <v>0</v>
      </c>
      <c r="AY197">
        <v>0</v>
      </c>
      <c r="BB197">
        <v>0</v>
      </c>
      <c r="BC197">
        <v>0</v>
      </c>
      <c r="BF197">
        <v>0</v>
      </c>
      <c r="BG197">
        <v>0</v>
      </c>
      <c r="BJ197">
        <v>0</v>
      </c>
      <c r="BK197">
        <v>0</v>
      </c>
      <c r="BN197">
        <v>0</v>
      </c>
      <c r="BO197">
        <v>0</v>
      </c>
      <c r="BR197">
        <v>0</v>
      </c>
      <c r="BS197">
        <v>0</v>
      </c>
      <c r="BV197">
        <v>0</v>
      </c>
      <c r="BW197">
        <v>0</v>
      </c>
      <c r="BZ197">
        <v>0</v>
      </c>
      <c r="CA197">
        <v>0</v>
      </c>
      <c r="CD197">
        <v>0</v>
      </c>
      <c r="CE197">
        <v>0</v>
      </c>
      <c r="CH197">
        <v>0</v>
      </c>
      <c r="CI197">
        <v>0</v>
      </c>
      <c r="CL197">
        <v>0</v>
      </c>
      <c r="CM197">
        <v>0</v>
      </c>
      <c r="CP197">
        <v>0</v>
      </c>
      <c r="CQ197">
        <v>0</v>
      </c>
      <c r="CT197">
        <v>0</v>
      </c>
      <c r="CU197">
        <v>0</v>
      </c>
      <c r="CX197">
        <v>0</v>
      </c>
      <c r="CY197">
        <v>0</v>
      </c>
      <c r="DB197">
        <v>0</v>
      </c>
      <c r="DC197">
        <v>0</v>
      </c>
      <c r="DF197">
        <v>0</v>
      </c>
      <c r="DG197">
        <v>0</v>
      </c>
      <c r="DJ197">
        <v>0</v>
      </c>
      <c r="DK197">
        <v>0</v>
      </c>
      <c r="DN197">
        <v>0</v>
      </c>
      <c r="DO197">
        <v>0</v>
      </c>
      <c r="DR197">
        <v>0</v>
      </c>
      <c r="DS197">
        <v>0</v>
      </c>
      <c r="DV197">
        <v>0</v>
      </c>
      <c r="DW197">
        <v>0</v>
      </c>
      <c r="DZ197">
        <v>0</v>
      </c>
      <c r="EA197">
        <v>0</v>
      </c>
      <c r="ED197">
        <v>0</v>
      </c>
      <c r="EE197">
        <v>0</v>
      </c>
      <c r="EH197">
        <v>0</v>
      </c>
      <c r="EI197">
        <v>0</v>
      </c>
      <c r="EL197">
        <v>0</v>
      </c>
      <c r="EM197">
        <v>0</v>
      </c>
      <c r="EP197">
        <v>0</v>
      </c>
      <c r="EQ197">
        <v>0</v>
      </c>
      <c r="ET197">
        <v>0</v>
      </c>
      <c r="EU197">
        <v>0</v>
      </c>
      <c r="EX197">
        <v>0</v>
      </c>
      <c r="EY197">
        <v>0</v>
      </c>
      <c r="FB197">
        <v>0</v>
      </c>
      <c r="FC197">
        <v>0</v>
      </c>
      <c r="FF197">
        <v>0</v>
      </c>
      <c r="FG197">
        <v>0</v>
      </c>
      <c r="FJ197">
        <v>0</v>
      </c>
      <c r="FK197">
        <v>0</v>
      </c>
      <c r="FN197">
        <v>0</v>
      </c>
      <c r="FO197">
        <v>0</v>
      </c>
      <c r="FR197">
        <v>0</v>
      </c>
      <c r="FS197">
        <v>0</v>
      </c>
      <c r="FV197">
        <v>0</v>
      </c>
      <c r="FW197">
        <v>0</v>
      </c>
      <c r="FZ197">
        <v>0</v>
      </c>
      <c r="GA197">
        <v>0</v>
      </c>
      <c r="GD197">
        <v>0</v>
      </c>
      <c r="GE197">
        <v>0</v>
      </c>
      <c r="GH197">
        <v>0</v>
      </c>
      <c r="GI197">
        <v>0</v>
      </c>
      <c r="GL197">
        <v>0</v>
      </c>
      <c r="GM197">
        <v>0</v>
      </c>
      <c r="GP197">
        <v>0</v>
      </c>
      <c r="GQ197">
        <v>0</v>
      </c>
      <c r="GT197">
        <v>0</v>
      </c>
      <c r="GU197">
        <v>0</v>
      </c>
      <c r="GX197">
        <v>0</v>
      </c>
      <c r="GY197">
        <v>0</v>
      </c>
      <c r="HB197">
        <v>0</v>
      </c>
      <c r="HC197">
        <v>0</v>
      </c>
      <c r="HF197">
        <v>0</v>
      </c>
      <c r="HG197">
        <v>0</v>
      </c>
      <c r="HJ197">
        <v>0</v>
      </c>
      <c r="HK197">
        <v>0</v>
      </c>
      <c r="HN197">
        <v>0</v>
      </c>
      <c r="HO197">
        <v>0</v>
      </c>
      <c r="HR197">
        <v>0</v>
      </c>
      <c r="HS197">
        <v>0</v>
      </c>
      <c r="HV197">
        <v>0</v>
      </c>
      <c r="HW197">
        <v>1</v>
      </c>
      <c r="HZ197">
        <v>1</v>
      </c>
      <c r="IA197">
        <v>0</v>
      </c>
      <c r="ID197">
        <v>0</v>
      </c>
      <c r="IE197">
        <v>0</v>
      </c>
      <c r="IH197">
        <v>0</v>
      </c>
      <c r="II197">
        <v>0</v>
      </c>
      <c r="IL197">
        <v>0</v>
      </c>
      <c r="IM197">
        <v>0</v>
      </c>
      <c r="IP197">
        <v>0</v>
      </c>
      <c r="IQ197">
        <v>0</v>
      </c>
      <c r="IT197">
        <v>0</v>
      </c>
      <c r="IU197">
        <v>0</v>
      </c>
      <c r="IX197">
        <v>0</v>
      </c>
      <c r="IY197">
        <f t="shared" ca="1" si="16"/>
        <v>1</v>
      </c>
      <c r="IZ197">
        <f t="shared" ca="1" si="16"/>
        <v>0</v>
      </c>
      <c r="JA197">
        <f t="shared" ca="1" si="16"/>
        <v>0</v>
      </c>
      <c r="JB197">
        <f t="shared" ca="1" si="16"/>
        <v>1</v>
      </c>
    </row>
    <row r="198" spans="1:262" x14ac:dyDescent="0.25">
      <c r="A198" s="165">
        <v>195</v>
      </c>
      <c r="B198" s="165" t="s">
        <v>307</v>
      </c>
      <c r="C198">
        <v>0</v>
      </c>
      <c r="F198">
        <v>0</v>
      </c>
      <c r="G198">
        <v>2</v>
      </c>
      <c r="J198">
        <v>2</v>
      </c>
      <c r="K198">
        <v>0</v>
      </c>
      <c r="N198">
        <v>0</v>
      </c>
      <c r="O198">
        <v>0</v>
      </c>
      <c r="R198">
        <v>0</v>
      </c>
      <c r="S198">
        <v>0</v>
      </c>
      <c r="V198">
        <v>0</v>
      </c>
      <c r="W198">
        <v>0</v>
      </c>
      <c r="Z198">
        <v>0</v>
      </c>
      <c r="AA198">
        <v>0</v>
      </c>
      <c r="AD198">
        <v>0</v>
      </c>
      <c r="AE198">
        <v>0</v>
      </c>
      <c r="AH198">
        <v>0</v>
      </c>
      <c r="AI198">
        <v>0</v>
      </c>
      <c r="AL198">
        <v>0</v>
      </c>
      <c r="AM198">
        <v>0</v>
      </c>
      <c r="AP198">
        <v>0</v>
      </c>
      <c r="AQ198">
        <v>1</v>
      </c>
      <c r="AT198">
        <v>1</v>
      </c>
      <c r="AU198">
        <v>0</v>
      </c>
      <c r="AX198">
        <v>0</v>
      </c>
      <c r="AY198">
        <v>1</v>
      </c>
      <c r="BB198">
        <v>1</v>
      </c>
      <c r="BC198">
        <v>0</v>
      </c>
      <c r="BF198">
        <v>0</v>
      </c>
      <c r="BG198">
        <v>0</v>
      </c>
      <c r="BJ198">
        <v>0</v>
      </c>
      <c r="BK198">
        <v>0</v>
      </c>
      <c r="BN198">
        <v>0</v>
      </c>
      <c r="BO198">
        <v>0</v>
      </c>
      <c r="BR198">
        <v>0</v>
      </c>
      <c r="BS198">
        <v>0</v>
      </c>
      <c r="BV198">
        <v>0</v>
      </c>
      <c r="BW198">
        <v>0</v>
      </c>
      <c r="BZ198">
        <v>0</v>
      </c>
      <c r="CA198">
        <v>0</v>
      </c>
      <c r="CD198">
        <v>0</v>
      </c>
      <c r="CE198">
        <v>0</v>
      </c>
      <c r="CH198">
        <v>0</v>
      </c>
      <c r="CI198">
        <v>0</v>
      </c>
      <c r="CL198">
        <v>0</v>
      </c>
      <c r="CM198">
        <v>0</v>
      </c>
      <c r="CP198">
        <v>0</v>
      </c>
      <c r="CQ198">
        <v>0</v>
      </c>
      <c r="CT198">
        <v>0</v>
      </c>
      <c r="CU198">
        <v>0</v>
      </c>
      <c r="CX198">
        <v>0</v>
      </c>
      <c r="CY198">
        <v>0</v>
      </c>
      <c r="DB198">
        <v>0</v>
      </c>
      <c r="DC198">
        <v>0</v>
      </c>
      <c r="DF198">
        <v>0</v>
      </c>
      <c r="DG198">
        <v>0</v>
      </c>
      <c r="DJ198">
        <v>0</v>
      </c>
      <c r="DK198">
        <v>0</v>
      </c>
      <c r="DN198">
        <v>0</v>
      </c>
      <c r="DO198">
        <v>0</v>
      </c>
      <c r="DR198">
        <v>0</v>
      </c>
      <c r="DS198">
        <v>0</v>
      </c>
      <c r="DV198">
        <v>0</v>
      </c>
      <c r="DW198">
        <v>1</v>
      </c>
      <c r="DZ198">
        <v>1</v>
      </c>
      <c r="EA198">
        <v>0</v>
      </c>
      <c r="ED198">
        <v>0</v>
      </c>
      <c r="EE198">
        <v>0</v>
      </c>
      <c r="EH198">
        <v>0</v>
      </c>
      <c r="EI198">
        <v>0</v>
      </c>
      <c r="EL198">
        <v>0</v>
      </c>
      <c r="EM198">
        <v>0</v>
      </c>
      <c r="EP198">
        <v>0</v>
      </c>
      <c r="EQ198">
        <v>1</v>
      </c>
      <c r="ET198">
        <v>1</v>
      </c>
      <c r="EU198">
        <v>0</v>
      </c>
      <c r="EX198">
        <v>0</v>
      </c>
      <c r="EY198">
        <v>0</v>
      </c>
      <c r="FB198">
        <v>0</v>
      </c>
      <c r="FC198">
        <v>0</v>
      </c>
      <c r="FF198">
        <v>0</v>
      </c>
      <c r="FG198">
        <v>0</v>
      </c>
      <c r="FJ198">
        <v>0</v>
      </c>
      <c r="FK198">
        <v>0</v>
      </c>
      <c r="FN198">
        <v>0</v>
      </c>
      <c r="FO198">
        <v>0</v>
      </c>
      <c r="FR198">
        <v>0</v>
      </c>
      <c r="FS198">
        <v>0</v>
      </c>
      <c r="FV198">
        <v>0</v>
      </c>
      <c r="FW198">
        <v>0</v>
      </c>
      <c r="FZ198">
        <v>0</v>
      </c>
      <c r="GA198">
        <v>0</v>
      </c>
      <c r="GD198">
        <v>0</v>
      </c>
      <c r="GE198">
        <v>0</v>
      </c>
      <c r="GH198">
        <v>0</v>
      </c>
      <c r="GI198">
        <v>0</v>
      </c>
      <c r="GL198">
        <v>0</v>
      </c>
      <c r="GM198">
        <v>0</v>
      </c>
      <c r="GP198">
        <v>0</v>
      </c>
      <c r="GQ198">
        <v>0</v>
      </c>
      <c r="GT198">
        <v>0</v>
      </c>
      <c r="GU198">
        <v>0</v>
      </c>
      <c r="GX198">
        <v>0</v>
      </c>
      <c r="GY198">
        <v>0</v>
      </c>
      <c r="HB198">
        <v>0</v>
      </c>
      <c r="HC198">
        <v>0</v>
      </c>
      <c r="HF198">
        <v>0</v>
      </c>
      <c r="HG198">
        <v>0</v>
      </c>
      <c r="HJ198">
        <v>0</v>
      </c>
      <c r="HK198">
        <v>0</v>
      </c>
      <c r="HN198">
        <v>0</v>
      </c>
      <c r="HO198">
        <v>0</v>
      </c>
      <c r="HR198">
        <v>0</v>
      </c>
      <c r="HS198">
        <v>0</v>
      </c>
      <c r="HV198">
        <v>0</v>
      </c>
      <c r="HW198">
        <v>0</v>
      </c>
      <c r="HZ198">
        <v>0</v>
      </c>
      <c r="IA198">
        <v>0</v>
      </c>
      <c r="ID198">
        <v>0</v>
      </c>
      <c r="IE198">
        <v>0</v>
      </c>
      <c r="IH198">
        <v>0</v>
      </c>
      <c r="II198">
        <v>0</v>
      </c>
      <c r="IL198">
        <v>0</v>
      </c>
      <c r="IM198">
        <v>0</v>
      </c>
      <c r="IP198">
        <v>0</v>
      </c>
      <c r="IQ198">
        <v>0</v>
      </c>
      <c r="IT198">
        <v>0</v>
      </c>
      <c r="IU198">
        <v>0</v>
      </c>
      <c r="IX198">
        <v>0</v>
      </c>
      <c r="IY198">
        <f t="shared" ca="1" si="16"/>
        <v>2</v>
      </c>
      <c r="IZ198">
        <f t="shared" ca="1" si="16"/>
        <v>0</v>
      </c>
      <c r="JA198">
        <f t="shared" ca="1" si="16"/>
        <v>0</v>
      </c>
      <c r="JB198">
        <f t="shared" ca="1" si="16"/>
        <v>2</v>
      </c>
    </row>
    <row r="199" spans="1:262" x14ac:dyDescent="0.25">
      <c r="A199" s="165">
        <v>196</v>
      </c>
      <c r="B199" s="165" t="s">
        <v>597</v>
      </c>
      <c r="C199">
        <v>0</v>
      </c>
      <c r="F199">
        <v>0</v>
      </c>
      <c r="G199">
        <v>1</v>
      </c>
      <c r="J199">
        <v>1</v>
      </c>
      <c r="K199">
        <v>0</v>
      </c>
      <c r="N199">
        <v>0</v>
      </c>
      <c r="O199">
        <v>0</v>
      </c>
      <c r="R199">
        <v>0</v>
      </c>
      <c r="S199">
        <v>0</v>
      </c>
      <c r="V199">
        <v>0</v>
      </c>
      <c r="W199">
        <v>0</v>
      </c>
      <c r="Z199">
        <v>0</v>
      </c>
      <c r="AA199">
        <v>0</v>
      </c>
      <c r="AD199">
        <v>0</v>
      </c>
      <c r="AE199">
        <v>0</v>
      </c>
      <c r="AH199">
        <v>0</v>
      </c>
      <c r="AI199">
        <v>0</v>
      </c>
      <c r="AL199">
        <v>0</v>
      </c>
      <c r="AM199">
        <v>0</v>
      </c>
      <c r="AP199">
        <v>0</v>
      </c>
      <c r="AQ199">
        <v>1</v>
      </c>
      <c r="AT199">
        <v>1</v>
      </c>
      <c r="AU199">
        <v>0</v>
      </c>
      <c r="AX199">
        <v>0</v>
      </c>
      <c r="AY199">
        <v>0</v>
      </c>
      <c r="BB199">
        <v>0</v>
      </c>
      <c r="BC199">
        <v>0</v>
      </c>
      <c r="BF199">
        <v>0</v>
      </c>
      <c r="BG199">
        <v>0</v>
      </c>
      <c r="BJ199">
        <v>0</v>
      </c>
      <c r="BK199">
        <v>0</v>
      </c>
      <c r="BN199">
        <v>0</v>
      </c>
      <c r="BO199">
        <v>0</v>
      </c>
      <c r="BR199">
        <v>0</v>
      </c>
      <c r="BS199">
        <v>0</v>
      </c>
      <c r="BV199">
        <v>0</v>
      </c>
      <c r="BW199">
        <v>0</v>
      </c>
      <c r="BZ199">
        <v>0</v>
      </c>
      <c r="CA199">
        <v>0</v>
      </c>
      <c r="CD199">
        <v>0</v>
      </c>
      <c r="CE199">
        <v>0</v>
      </c>
      <c r="CH199">
        <v>0</v>
      </c>
      <c r="CI199">
        <v>0</v>
      </c>
      <c r="CL199">
        <v>0</v>
      </c>
      <c r="CM199">
        <v>0</v>
      </c>
      <c r="CP199">
        <v>0</v>
      </c>
      <c r="CQ199">
        <v>0</v>
      </c>
      <c r="CT199">
        <v>0</v>
      </c>
      <c r="CU199">
        <v>0</v>
      </c>
      <c r="CX199">
        <v>0</v>
      </c>
      <c r="CY199">
        <v>0</v>
      </c>
      <c r="DB199">
        <v>0</v>
      </c>
      <c r="DC199">
        <v>0</v>
      </c>
      <c r="DF199">
        <v>0</v>
      </c>
      <c r="DG199">
        <v>0</v>
      </c>
      <c r="DJ199">
        <v>0</v>
      </c>
      <c r="DK199">
        <v>0</v>
      </c>
      <c r="DN199">
        <v>0</v>
      </c>
      <c r="DO199">
        <v>0</v>
      </c>
      <c r="DR199">
        <v>0</v>
      </c>
      <c r="DS199">
        <v>0</v>
      </c>
      <c r="DV199">
        <v>0</v>
      </c>
      <c r="DW199">
        <v>1</v>
      </c>
      <c r="DZ199">
        <v>1</v>
      </c>
      <c r="EA199">
        <v>0</v>
      </c>
      <c r="ED199">
        <v>0</v>
      </c>
      <c r="EE199">
        <v>0</v>
      </c>
      <c r="EH199">
        <v>0</v>
      </c>
      <c r="EI199">
        <v>0</v>
      </c>
      <c r="EL199">
        <v>0</v>
      </c>
      <c r="EM199">
        <v>0</v>
      </c>
      <c r="EP199">
        <v>0</v>
      </c>
      <c r="EQ199">
        <v>0</v>
      </c>
      <c r="ET199">
        <v>0</v>
      </c>
      <c r="EU199">
        <v>0</v>
      </c>
      <c r="EX199">
        <v>0</v>
      </c>
      <c r="EY199">
        <v>0</v>
      </c>
      <c r="FB199">
        <v>0</v>
      </c>
      <c r="FC199">
        <v>0</v>
      </c>
      <c r="FF199">
        <v>0</v>
      </c>
      <c r="FG199">
        <v>0</v>
      </c>
      <c r="FJ199">
        <v>0</v>
      </c>
      <c r="FK199">
        <v>0</v>
      </c>
      <c r="FN199">
        <v>0</v>
      </c>
      <c r="FO199">
        <v>0</v>
      </c>
      <c r="FR199">
        <v>0</v>
      </c>
      <c r="FS199">
        <v>0</v>
      </c>
      <c r="FV199">
        <v>0</v>
      </c>
      <c r="FW199">
        <v>0</v>
      </c>
      <c r="FZ199">
        <v>0</v>
      </c>
      <c r="GA199">
        <v>0</v>
      </c>
      <c r="GD199">
        <v>0</v>
      </c>
      <c r="GE199">
        <v>0</v>
      </c>
      <c r="GH199">
        <v>0</v>
      </c>
      <c r="GI199">
        <v>0</v>
      </c>
      <c r="GL199">
        <v>0</v>
      </c>
      <c r="GM199">
        <v>0</v>
      </c>
      <c r="GP199">
        <v>0</v>
      </c>
      <c r="GQ199">
        <v>0</v>
      </c>
      <c r="GT199">
        <v>0</v>
      </c>
      <c r="GU199">
        <v>0</v>
      </c>
      <c r="GX199">
        <v>0</v>
      </c>
      <c r="GY199">
        <v>0</v>
      </c>
      <c r="HB199">
        <v>0</v>
      </c>
      <c r="HC199">
        <v>0</v>
      </c>
      <c r="HF199">
        <v>0</v>
      </c>
      <c r="HG199">
        <v>0</v>
      </c>
      <c r="HJ199">
        <v>0</v>
      </c>
      <c r="HK199">
        <v>0</v>
      </c>
      <c r="HN199">
        <v>0</v>
      </c>
      <c r="HO199">
        <v>0</v>
      </c>
      <c r="HR199">
        <v>0</v>
      </c>
      <c r="HS199">
        <v>0</v>
      </c>
      <c r="HV199">
        <v>0</v>
      </c>
      <c r="HW199">
        <v>0</v>
      </c>
      <c r="HZ199">
        <v>0</v>
      </c>
      <c r="IA199">
        <v>0</v>
      </c>
      <c r="ID199">
        <v>0</v>
      </c>
      <c r="IE199">
        <v>0</v>
      </c>
      <c r="IH199">
        <v>0</v>
      </c>
      <c r="II199">
        <v>0</v>
      </c>
      <c r="IL199">
        <v>0</v>
      </c>
      <c r="IM199">
        <v>0</v>
      </c>
      <c r="IP199">
        <v>0</v>
      </c>
      <c r="IQ199">
        <v>0</v>
      </c>
      <c r="IT199">
        <v>0</v>
      </c>
      <c r="IU199">
        <v>0</v>
      </c>
      <c r="IX199">
        <v>0</v>
      </c>
      <c r="IY199">
        <f t="shared" ca="1" si="16"/>
        <v>1</v>
      </c>
      <c r="IZ199">
        <f t="shared" ca="1" si="16"/>
        <v>0</v>
      </c>
      <c r="JA199">
        <f t="shared" ca="1" si="16"/>
        <v>0</v>
      </c>
      <c r="JB199">
        <f t="shared" ca="1" si="16"/>
        <v>1</v>
      </c>
    </row>
    <row r="200" spans="1:262" x14ac:dyDescent="0.25">
      <c r="A200" s="165">
        <v>197</v>
      </c>
      <c r="B200" s="165" t="s">
        <v>323</v>
      </c>
      <c r="C200">
        <v>0</v>
      </c>
      <c r="F200">
        <v>0</v>
      </c>
      <c r="G200">
        <v>1</v>
      </c>
      <c r="J200">
        <v>1</v>
      </c>
      <c r="K200">
        <v>0</v>
      </c>
      <c r="N200">
        <v>0</v>
      </c>
      <c r="O200">
        <v>0</v>
      </c>
      <c r="R200">
        <v>0</v>
      </c>
      <c r="S200">
        <v>0</v>
      </c>
      <c r="V200">
        <v>0</v>
      </c>
      <c r="W200">
        <v>0</v>
      </c>
      <c r="Z200">
        <v>0</v>
      </c>
      <c r="AA200">
        <v>0</v>
      </c>
      <c r="AD200">
        <v>0</v>
      </c>
      <c r="AE200">
        <v>0</v>
      </c>
      <c r="AH200">
        <v>0</v>
      </c>
      <c r="AI200">
        <v>0</v>
      </c>
      <c r="AL200">
        <v>0</v>
      </c>
      <c r="AM200">
        <v>0</v>
      </c>
      <c r="AP200">
        <v>0</v>
      </c>
      <c r="AQ200">
        <v>1</v>
      </c>
      <c r="AT200">
        <v>1</v>
      </c>
      <c r="AU200">
        <v>0</v>
      </c>
      <c r="AX200">
        <v>0</v>
      </c>
      <c r="AY200">
        <v>0</v>
      </c>
      <c r="BB200">
        <v>0</v>
      </c>
      <c r="BC200">
        <v>0</v>
      </c>
      <c r="BF200">
        <v>0</v>
      </c>
      <c r="BG200">
        <v>0</v>
      </c>
      <c r="BJ200">
        <v>0</v>
      </c>
      <c r="BK200">
        <v>0</v>
      </c>
      <c r="BN200">
        <v>0</v>
      </c>
      <c r="BO200">
        <v>0</v>
      </c>
      <c r="BR200">
        <v>0</v>
      </c>
      <c r="BS200">
        <v>0</v>
      </c>
      <c r="BV200">
        <v>0</v>
      </c>
      <c r="BW200">
        <v>0</v>
      </c>
      <c r="BZ200">
        <v>0</v>
      </c>
      <c r="CA200">
        <v>0</v>
      </c>
      <c r="CD200">
        <v>0</v>
      </c>
      <c r="CE200">
        <v>0</v>
      </c>
      <c r="CH200">
        <v>0</v>
      </c>
      <c r="CI200">
        <v>0</v>
      </c>
      <c r="CL200">
        <v>0</v>
      </c>
      <c r="CM200">
        <v>0</v>
      </c>
      <c r="CP200">
        <v>0</v>
      </c>
      <c r="CQ200">
        <v>0</v>
      </c>
      <c r="CT200">
        <v>0</v>
      </c>
      <c r="CU200">
        <v>0</v>
      </c>
      <c r="CX200">
        <v>0</v>
      </c>
      <c r="CY200">
        <v>0</v>
      </c>
      <c r="DB200">
        <v>0</v>
      </c>
      <c r="DC200">
        <v>0</v>
      </c>
      <c r="DF200">
        <v>0</v>
      </c>
      <c r="DG200">
        <v>0</v>
      </c>
      <c r="DJ200">
        <v>0</v>
      </c>
      <c r="DK200">
        <v>0</v>
      </c>
      <c r="DN200">
        <v>0</v>
      </c>
      <c r="DO200">
        <v>0</v>
      </c>
      <c r="DR200">
        <v>0</v>
      </c>
      <c r="DS200">
        <v>0</v>
      </c>
      <c r="DV200">
        <v>0</v>
      </c>
      <c r="DW200">
        <v>1</v>
      </c>
      <c r="DZ200">
        <v>1</v>
      </c>
      <c r="EA200">
        <v>0</v>
      </c>
      <c r="ED200">
        <v>0</v>
      </c>
      <c r="EE200">
        <v>0</v>
      </c>
      <c r="EH200">
        <v>0</v>
      </c>
      <c r="EI200">
        <v>0</v>
      </c>
      <c r="EL200">
        <v>0</v>
      </c>
      <c r="EM200">
        <v>0</v>
      </c>
      <c r="EP200">
        <v>0</v>
      </c>
      <c r="EQ200">
        <v>0</v>
      </c>
      <c r="ET200">
        <v>0</v>
      </c>
      <c r="EU200">
        <v>0</v>
      </c>
      <c r="EX200">
        <v>0</v>
      </c>
      <c r="EY200">
        <v>0</v>
      </c>
      <c r="FB200">
        <v>0</v>
      </c>
      <c r="FC200">
        <v>0</v>
      </c>
      <c r="FF200">
        <v>0</v>
      </c>
      <c r="FG200">
        <v>0</v>
      </c>
      <c r="FJ200">
        <v>0</v>
      </c>
      <c r="FK200">
        <v>0</v>
      </c>
      <c r="FN200">
        <v>0</v>
      </c>
      <c r="FO200">
        <v>0</v>
      </c>
      <c r="FR200">
        <v>0</v>
      </c>
      <c r="FS200">
        <v>0</v>
      </c>
      <c r="FV200">
        <v>0</v>
      </c>
      <c r="FW200">
        <v>0</v>
      </c>
      <c r="FZ200">
        <v>0</v>
      </c>
      <c r="GA200">
        <v>0</v>
      </c>
      <c r="GD200">
        <v>0</v>
      </c>
      <c r="GE200">
        <v>0</v>
      </c>
      <c r="GH200">
        <v>0</v>
      </c>
      <c r="GI200">
        <v>0</v>
      </c>
      <c r="GL200">
        <v>0</v>
      </c>
      <c r="GM200">
        <v>0</v>
      </c>
      <c r="GP200">
        <v>0</v>
      </c>
      <c r="GQ200">
        <v>0</v>
      </c>
      <c r="GT200">
        <v>0</v>
      </c>
      <c r="GU200">
        <v>0</v>
      </c>
      <c r="GX200">
        <v>0</v>
      </c>
      <c r="GY200">
        <v>0</v>
      </c>
      <c r="HB200">
        <v>0</v>
      </c>
      <c r="HC200">
        <v>0</v>
      </c>
      <c r="HF200">
        <v>0</v>
      </c>
      <c r="HG200">
        <v>0</v>
      </c>
      <c r="HJ200">
        <v>0</v>
      </c>
      <c r="HK200">
        <v>0</v>
      </c>
      <c r="HN200">
        <v>0</v>
      </c>
      <c r="HO200">
        <v>0</v>
      </c>
      <c r="HR200">
        <v>0</v>
      </c>
      <c r="HS200">
        <v>0</v>
      </c>
      <c r="HV200">
        <v>0</v>
      </c>
      <c r="HW200">
        <v>0</v>
      </c>
      <c r="HZ200">
        <v>0</v>
      </c>
      <c r="IA200">
        <v>0</v>
      </c>
      <c r="ID200">
        <v>0</v>
      </c>
      <c r="IE200">
        <v>0</v>
      </c>
      <c r="IH200">
        <v>0</v>
      </c>
      <c r="II200">
        <v>0</v>
      </c>
      <c r="IL200">
        <v>0</v>
      </c>
      <c r="IM200">
        <v>0</v>
      </c>
      <c r="IP200">
        <v>0</v>
      </c>
      <c r="IQ200">
        <v>0</v>
      </c>
      <c r="IT200">
        <v>0</v>
      </c>
      <c r="IU200">
        <v>0</v>
      </c>
      <c r="IX200">
        <v>0</v>
      </c>
      <c r="IY200">
        <f t="shared" ca="1" si="16"/>
        <v>1</v>
      </c>
      <c r="IZ200">
        <f t="shared" ca="1" si="16"/>
        <v>0</v>
      </c>
      <c r="JA200">
        <f t="shared" ca="1" si="16"/>
        <v>0</v>
      </c>
      <c r="JB200">
        <f t="shared" ca="1" si="16"/>
        <v>1</v>
      </c>
    </row>
    <row r="201" spans="1:262" x14ac:dyDescent="0.25">
      <c r="A201" s="165">
        <v>198</v>
      </c>
      <c r="B201" s="165" t="s">
        <v>315</v>
      </c>
      <c r="C201">
        <v>0</v>
      </c>
      <c r="F201">
        <v>0</v>
      </c>
      <c r="G201">
        <v>1</v>
      </c>
      <c r="J201">
        <v>1</v>
      </c>
      <c r="K201">
        <v>0</v>
      </c>
      <c r="N201">
        <v>0</v>
      </c>
      <c r="O201">
        <v>0</v>
      </c>
      <c r="R201">
        <v>0</v>
      </c>
      <c r="S201">
        <v>0</v>
      </c>
      <c r="V201">
        <v>0</v>
      </c>
      <c r="W201">
        <v>0</v>
      </c>
      <c r="Z201">
        <v>0</v>
      </c>
      <c r="AA201">
        <v>0</v>
      </c>
      <c r="AD201">
        <v>0</v>
      </c>
      <c r="AE201">
        <v>0</v>
      </c>
      <c r="AH201">
        <v>0</v>
      </c>
      <c r="AI201">
        <v>0</v>
      </c>
      <c r="AL201">
        <v>0</v>
      </c>
      <c r="AM201">
        <v>0</v>
      </c>
      <c r="AP201">
        <v>0</v>
      </c>
      <c r="AQ201">
        <v>0</v>
      </c>
      <c r="AT201">
        <v>0</v>
      </c>
      <c r="AU201">
        <v>0</v>
      </c>
      <c r="AX201">
        <v>0</v>
      </c>
      <c r="AY201">
        <v>1</v>
      </c>
      <c r="BB201">
        <v>1</v>
      </c>
      <c r="BC201">
        <v>0</v>
      </c>
      <c r="BF201">
        <v>0</v>
      </c>
      <c r="BG201">
        <v>0</v>
      </c>
      <c r="BJ201">
        <v>0</v>
      </c>
      <c r="BK201">
        <v>0</v>
      </c>
      <c r="BN201">
        <v>0</v>
      </c>
      <c r="BO201">
        <v>0</v>
      </c>
      <c r="BR201">
        <v>0</v>
      </c>
      <c r="BS201">
        <v>0</v>
      </c>
      <c r="BV201">
        <v>0</v>
      </c>
      <c r="BW201">
        <v>0</v>
      </c>
      <c r="BZ201">
        <v>0</v>
      </c>
      <c r="CA201">
        <v>0</v>
      </c>
      <c r="CD201">
        <v>0</v>
      </c>
      <c r="CE201">
        <v>0</v>
      </c>
      <c r="CH201">
        <v>0</v>
      </c>
      <c r="CI201">
        <v>0</v>
      </c>
      <c r="CL201">
        <v>0</v>
      </c>
      <c r="CM201">
        <v>0</v>
      </c>
      <c r="CP201">
        <v>0</v>
      </c>
      <c r="CQ201">
        <v>0</v>
      </c>
      <c r="CT201">
        <v>0</v>
      </c>
      <c r="CU201">
        <v>0</v>
      </c>
      <c r="CX201">
        <v>0</v>
      </c>
      <c r="CY201">
        <v>0</v>
      </c>
      <c r="DB201">
        <v>0</v>
      </c>
      <c r="DC201">
        <v>0</v>
      </c>
      <c r="DF201">
        <v>0</v>
      </c>
      <c r="DG201">
        <v>0</v>
      </c>
      <c r="DJ201">
        <v>0</v>
      </c>
      <c r="DK201">
        <v>0</v>
      </c>
      <c r="DN201">
        <v>0</v>
      </c>
      <c r="DO201">
        <v>0</v>
      </c>
      <c r="DR201">
        <v>0</v>
      </c>
      <c r="DS201">
        <v>0</v>
      </c>
      <c r="DV201">
        <v>0</v>
      </c>
      <c r="DW201">
        <v>0</v>
      </c>
      <c r="DZ201">
        <v>0</v>
      </c>
      <c r="EA201">
        <v>0</v>
      </c>
      <c r="ED201">
        <v>0</v>
      </c>
      <c r="EE201">
        <v>0</v>
      </c>
      <c r="EH201">
        <v>0</v>
      </c>
      <c r="EI201">
        <v>0</v>
      </c>
      <c r="EL201">
        <v>0</v>
      </c>
      <c r="EM201">
        <v>0</v>
      </c>
      <c r="EP201">
        <v>0</v>
      </c>
      <c r="EQ201">
        <v>1</v>
      </c>
      <c r="ET201">
        <v>1</v>
      </c>
      <c r="EU201">
        <v>0</v>
      </c>
      <c r="EX201">
        <v>0</v>
      </c>
      <c r="EY201">
        <v>0</v>
      </c>
      <c r="FB201">
        <v>0</v>
      </c>
      <c r="FC201">
        <v>0</v>
      </c>
      <c r="FF201">
        <v>0</v>
      </c>
      <c r="FG201">
        <v>0</v>
      </c>
      <c r="FJ201">
        <v>0</v>
      </c>
      <c r="FK201">
        <v>0</v>
      </c>
      <c r="FN201">
        <v>0</v>
      </c>
      <c r="FO201">
        <v>0</v>
      </c>
      <c r="FR201">
        <v>0</v>
      </c>
      <c r="FS201">
        <v>0</v>
      </c>
      <c r="FV201">
        <v>0</v>
      </c>
      <c r="FW201">
        <v>0</v>
      </c>
      <c r="FZ201">
        <v>0</v>
      </c>
      <c r="GA201">
        <v>0</v>
      </c>
      <c r="GD201">
        <v>0</v>
      </c>
      <c r="GE201">
        <v>0</v>
      </c>
      <c r="GH201">
        <v>0</v>
      </c>
      <c r="GI201">
        <v>0</v>
      </c>
      <c r="GL201">
        <v>0</v>
      </c>
      <c r="GM201">
        <v>0</v>
      </c>
      <c r="GP201">
        <v>0</v>
      </c>
      <c r="GQ201">
        <v>0</v>
      </c>
      <c r="GT201">
        <v>0</v>
      </c>
      <c r="GU201">
        <v>0</v>
      </c>
      <c r="GX201">
        <v>0</v>
      </c>
      <c r="GY201">
        <v>0</v>
      </c>
      <c r="HB201">
        <v>0</v>
      </c>
      <c r="HC201">
        <v>0</v>
      </c>
      <c r="HF201">
        <v>0</v>
      </c>
      <c r="HG201">
        <v>0</v>
      </c>
      <c r="HJ201">
        <v>0</v>
      </c>
      <c r="HK201">
        <v>0</v>
      </c>
      <c r="HN201">
        <v>0</v>
      </c>
      <c r="HO201">
        <v>0</v>
      </c>
      <c r="HR201">
        <v>0</v>
      </c>
      <c r="HS201">
        <v>0</v>
      </c>
      <c r="HV201">
        <v>0</v>
      </c>
      <c r="HW201">
        <v>0</v>
      </c>
      <c r="HZ201">
        <v>0</v>
      </c>
      <c r="IA201">
        <v>0</v>
      </c>
      <c r="ID201">
        <v>0</v>
      </c>
      <c r="IE201">
        <v>0</v>
      </c>
      <c r="IH201">
        <v>0</v>
      </c>
      <c r="II201">
        <v>0</v>
      </c>
      <c r="IL201">
        <v>0</v>
      </c>
      <c r="IM201">
        <v>0</v>
      </c>
      <c r="IP201">
        <v>0</v>
      </c>
      <c r="IQ201">
        <v>0</v>
      </c>
      <c r="IT201">
        <v>0</v>
      </c>
      <c r="IU201">
        <v>0</v>
      </c>
      <c r="IX201">
        <v>0</v>
      </c>
      <c r="IY201">
        <f t="shared" ca="1" si="16"/>
        <v>1</v>
      </c>
      <c r="IZ201">
        <f t="shared" ca="1" si="16"/>
        <v>0</v>
      </c>
      <c r="JA201">
        <f t="shared" ca="1" si="16"/>
        <v>0</v>
      </c>
      <c r="JB201">
        <f t="shared" ca="1" si="16"/>
        <v>1</v>
      </c>
    </row>
    <row r="202" spans="1:262" x14ac:dyDescent="0.25">
      <c r="A202" s="165">
        <v>199</v>
      </c>
      <c r="B202" s="165" t="s">
        <v>321</v>
      </c>
      <c r="C202">
        <v>1</v>
      </c>
      <c r="F202">
        <v>1</v>
      </c>
      <c r="G202">
        <v>0</v>
      </c>
      <c r="J202">
        <v>0</v>
      </c>
      <c r="K202">
        <v>0</v>
      </c>
      <c r="N202">
        <v>0</v>
      </c>
      <c r="O202">
        <v>0</v>
      </c>
      <c r="R202">
        <v>0</v>
      </c>
      <c r="S202">
        <v>0</v>
      </c>
      <c r="V202">
        <v>0</v>
      </c>
      <c r="W202">
        <v>0</v>
      </c>
      <c r="Z202">
        <v>0</v>
      </c>
      <c r="AA202">
        <v>0</v>
      </c>
      <c r="AD202">
        <v>0</v>
      </c>
      <c r="AE202">
        <v>0</v>
      </c>
      <c r="AH202">
        <v>0</v>
      </c>
      <c r="AI202">
        <v>0</v>
      </c>
      <c r="AL202">
        <v>0</v>
      </c>
      <c r="AM202">
        <v>0</v>
      </c>
      <c r="AP202">
        <v>0</v>
      </c>
      <c r="AQ202">
        <v>0</v>
      </c>
      <c r="AT202">
        <v>0</v>
      </c>
      <c r="AU202">
        <v>0</v>
      </c>
      <c r="AX202">
        <v>0</v>
      </c>
      <c r="AY202">
        <v>0</v>
      </c>
      <c r="BB202">
        <v>0</v>
      </c>
      <c r="BC202">
        <v>0</v>
      </c>
      <c r="BF202">
        <v>0</v>
      </c>
      <c r="BG202">
        <v>1</v>
      </c>
      <c r="BJ202">
        <v>1</v>
      </c>
      <c r="BK202">
        <v>0</v>
      </c>
      <c r="BN202">
        <v>0</v>
      </c>
      <c r="BO202">
        <v>1</v>
      </c>
      <c r="BR202">
        <v>1</v>
      </c>
      <c r="BS202">
        <v>0</v>
      </c>
      <c r="BV202">
        <v>0</v>
      </c>
      <c r="BW202">
        <v>0</v>
      </c>
      <c r="BZ202">
        <v>0</v>
      </c>
      <c r="CA202">
        <v>0</v>
      </c>
      <c r="CD202">
        <v>0</v>
      </c>
      <c r="CE202">
        <v>0</v>
      </c>
      <c r="CH202">
        <v>0</v>
      </c>
      <c r="CI202">
        <v>0</v>
      </c>
      <c r="CL202">
        <v>0</v>
      </c>
      <c r="CM202">
        <v>0</v>
      </c>
      <c r="CP202">
        <v>0</v>
      </c>
      <c r="CQ202">
        <v>0</v>
      </c>
      <c r="CT202">
        <v>0</v>
      </c>
      <c r="CU202">
        <v>0</v>
      </c>
      <c r="CX202">
        <v>0</v>
      </c>
      <c r="CY202">
        <v>0</v>
      </c>
      <c r="DB202">
        <v>0</v>
      </c>
      <c r="DC202">
        <v>0</v>
      </c>
      <c r="DF202">
        <v>0</v>
      </c>
      <c r="DG202">
        <v>0</v>
      </c>
      <c r="DJ202">
        <v>0</v>
      </c>
      <c r="DK202">
        <v>0</v>
      </c>
      <c r="DN202">
        <v>0</v>
      </c>
      <c r="DO202">
        <v>0</v>
      </c>
      <c r="DR202">
        <v>0</v>
      </c>
      <c r="DS202">
        <v>0</v>
      </c>
      <c r="DV202">
        <v>0</v>
      </c>
      <c r="DW202">
        <v>0</v>
      </c>
      <c r="DZ202">
        <v>0</v>
      </c>
      <c r="EA202">
        <v>0</v>
      </c>
      <c r="ED202">
        <v>0</v>
      </c>
      <c r="EE202">
        <v>0</v>
      </c>
      <c r="EH202">
        <v>0</v>
      </c>
      <c r="EI202">
        <v>0</v>
      </c>
      <c r="EL202">
        <v>0</v>
      </c>
      <c r="EM202">
        <v>0</v>
      </c>
      <c r="EP202">
        <v>0</v>
      </c>
      <c r="EQ202">
        <v>0</v>
      </c>
      <c r="ET202">
        <v>0</v>
      </c>
      <c r="EU202">
        <v>0</v>
      </c>
      <c r="EX202">
        <v>0</v>
      </c>
      <c r="EY202">
        <v>0</v>
      </c>
      <c r="FB202">
        <v>0</v>
      </c>
      <c r="FC202">
        <v>0</v>
      </c>
      <c r="FF202">
        <v>0</v>
      </c>
      <c r="FG202">
        <v>0</v>
      </c>
      <c r="FJ202">
        <v>0</v>
      </c>
      <c r="FK202">
        <v>0</v>
      </c>
      <c r="FN202">
        <v>0</v>
      </c>
      <c r="FO202">
        <v>0</v>
      </c>
      <c r="FR202">
        <v>0</v>
      </c>
      <c r="FS202">
        <v>0</v>
      </c>
      <c r="FV202">
        <v>0</v>
      </c>
      <c r="FW202">
        <v>0</v>
      </c>
      <c r="FZ202">
        <v>0</v>
      </c>
      <c r="GA202">
        <v>0</v>
      </c>
      <c r="GD202">
        <v>0</v>
      </c>
      <c r="GE202">
        <v>0</v>
      </c>
      <c r="GH202">
        <v>0</v>
      </c>
      <c r="GI202">
        <v>0</v>
      </c>
      <c r="GL202">
        <v>0</v>
      </c>
      <c r="GM202">
        <v>0</v>
      </c>
      <c r="GP202">
        <v>0</v>
      </c>
      <c r="GQ202">
        <v>0</v>
      </c>
      <c r="GT202">
        <v>0</v>
      </c>
      <c r="GU202">
        <v>0</v>
      </c>
      <c r="GX202">
        <v>0</v>
      </c>
      <c r="GY202">
        <v>0</v>
      </c>
      <c r="HB202">
        <v>0</v>
      </c>
      <c r="HC202">
        <v>0</v>
      </c>
      <c r="HF202">
        <v>0</v>
      </c>
      <c r="HG202">
        <v>0</v>
      </c>
      <c r="HJ202">
        <v>0</v>
      </c>
      <c r="HK202">
        <v>0</v>
      </c>
      <c r="HN202">
        <v>0</v>
      </c>
      <c r="HO202">
        <v>0</v>
      </c>
      <c r="HR202">
        <v>0</v>
      </c>
      <c r="HS202">
        <v>0</v>
      </c>
      <c r="HV202">
        <v>0</v>
      </c>
      <c r="HW202">
        <v>0</v>
      </c>
      <c r="HZ202">
        <v>0</v>
      </c>
      <c r="IA202">
        <v>0</v>
      </c>
      <c r="ID202">
        <v>0</v>
      </c>
      <c r="IE202">
        <v>0</v>
      </c>
      <c r="IH202">
        <v>0</v>
      </c>
      <c r="II202">
        <v>0</v>
      </c>
      <c r="IL202">
        <v>0</v>
      </c>
      <c r="IM202">
        <v>0</v>
      </c>
      <c r="IP202">
        <v>0</v>
      </c>
      <c r="IQ202">
        <v>0</v>
      </c>
      <c r="IT202">
        <v>0</v>
      </c>
      <c r="IU202">
        <v>0</v>
      </c>
      <c r="IX202">
        <v>0</v>
      </c>
      <c r="IY202">
        <f t="shared" ca="1" si="16"/>
        <v>1</v>
      </c>
      <c r="IZ202">
        <f t="shared" ca="1" si="16"/>
        <v>0</v>
      </c>
      <c r="JA202">
        <f t="shared" ca="1" si="16"/>
        <v>0</v>
      </c>
      <c r="JB202">
        <f t="shared" ca="1" si="16"/>
        <v>1</v>
      </c>
    </row>
    <row r="203" spans="1:262" ht="16.5" customHeight="1" x14ac:dyDescent="0.25">
      <c r="A203" s="165">
        <v>200</v>
      </c>
      <c r="B203" s="165" t="s">
        <v>319</v>
      </c>
      <c r="C203">
        <v>0</v>
      </c>
      <c r="F203">
        <v>0</v>
      </c>
      <c r="G203">
        <v>2</v>
      </c>
      <c r="J203">
        <v>2</v>
      </c>
      <c r="K203">
        <v>0</v>
      </c>
      <c r="N203">
        <v>0</v>
      </c>
      <c r="O203">
        <v>2</v>
      </c>
      <c r="R203">
        <v>2</v>
      </c>
      <c r="S203">
        <v>0</v>
      </c>
      <c r="V203">
        <v>0</v>
      </c>
      <c r="W203">
        <v>0</v>
      </c>
      <c r="Z203">
        <v>0</v>
      </c>
      <c r="AA203">
        <v>0</v>
      </c>
      <c r="AD203">
        <v>0</v>
      </c>
      <c r="AE203">
        <v>0</v>
      </c>
      <c r="AH203">
        <v>0</v>
      </c>
      <c r="AI203">
        <v>0</v>
      </c>
      <c r="AL203">
        <v>0</v>
      </c>
      <c r="AM203">
        <v>0</v>
      </c>
      <c r="AP203">
        <v>0</v>
      </c>
      <c r="AQ203">
        <v>0</v>
      </c>
      <c r="AT203">
        <v>0</v>
      </c>
      <c r="AU203">
        <v>2</v>
      </c>
      <c r="AX203">
        <v>2</v>
      </c>
      <c r="AY203">
        <v>0</v>
      </c>
      <c r="BB203">
        <v>0</v>
      </c>
      <c r="BC203">
        <v>0</v>
      </c>
      <c r="BF203">
        <v>0</v>
      </c>
      <c r="BG203">
        <v>2</v>
      </c>
      <c r="BJ203">
        <v>2</v>
      </c>
      <c r="BK203">
        <v>0</v>
      </c>
      <c r="BN203">
        <v>0</v>
      </c>
      <c r="BO203">
        <v>0</v>
      </c>
      <c r="BR203">
        <v>0</v>
      </c>
      <c r="BS203">
        <v>0</v>
      </c>
      <c r="BV203">
        <v>0</v>
      </c>
      <c r="BW203">
        <v>0</v>
      </c>
      <c r="BZ203">
        <v>0</v>
      </c>
      <c r="CA203">
        <v>0</v>
      </c>
      <c r="CD203">
        <v>0</v>
      </c>
      <c r="CE203">
        <v>0</v>
      </c>
      <c r="CH203">
        <v>0</v>
      </c>
      <c r="CI203">
        <v>0</v>
      </c>
      <c r="CL203">
        <v>0</v>
      </c>
      <c r="CM203">
        <v>0</v>
      </c>
      <c r="CP203">
        <v>0</v>
      </c>
      <c r="CQ203">
        <v>0</v>
      </c>
      <c r="CT203">
        <v>0</v>
      </c>
      <c r="CU203">
        <v>0</v>
      </c>
      <c r="CX203">
        <v>0</v>
      </c>
      <c r="CY203">
        <v>0</v>
      </c>
      <c r="DB203">
        <v>0</v>
      </c>
      <c r="DC203">
        <v>0</v>
      </c>
      <c r="DF203">
        <v>0</v>
      </c>
      <c r="DG203">
        <v>0</v>
      </c>
      <c r="DJ203">
        <v>0</v>
      </c>
      <c r="DK203">
        <v>0</v>
      </c>
      <c r="DN203">
        <v>0</v>
      </c>
      <c r="DO203">
        <v>0</v>
      </c>
      <c r="DR203">
        <v>0</v>
      </c>
      <c r="DS203">
        <v>0</v>
      </c>
      <c r="DV203">
        <v>0</v>
      </c>
      <c r="DW203">
        <v>0</v>
      </c>
      <c r="DZ203">
        <v>0</v>
      </c>
      <c r="EA203">
        <v>0</v>
      </c>
      <c r="ED203">
        <v>0</v>
      </c>
      <c r="EE203">
        <v>1</v>
      </c>
      <c r="EH203">
        <v>1</v>
      </c>
      <c r="EI203">
        <v>0</v>
      </c>
      <c r="EL203">
        <v>0</v>
      </c>
      <c r="EM203">
        <v>0</v>
      </c>
      <c r="EP203">
        <v>0</v>
      </c>
      <c r="EQ203">
        <v>0</v>
      </c>
      <c r="ET203">
        <v>0</v>
      </c>
      <c r="EU203">
        <v>0</v>
      </c>
      <c r="EX203">
        <v>0</v>
      </c>
      <c r="EY203">
        <v>0</v>
      </c>
      <c r="FB203">
        <v>0</v>
      </c>
      <c r="FC203">
        <v>0</v>
      </c>
      <c r="FF203">
        <v>0</v>
      </c>
      <c r="FG203">
        <v>1</v>
      </c>
      <c r="FJ203">
        <v>1</v>
      </c>
      <c r="FK203">
        <v>0</v>
      </c>
      <c r="FN203">
        <v>0</v>
      </c>
      <c r="FO203">
        <v>0</v>
      </c>
      <c r="FR203">
        <v>0</v>
      </c>
      <c r="FS203">
        <v>0</v>
      </c>
      <c r="FV203">
        <v>0</v>
      </c>
      <c r="FW203">
        <v>0</v>
      </c>
      <c r="FZ203">
        <v>0</v>
      </c>
      <c r="GA203">
        <v>0</v>
      </c>
      <c r="GD203">
        <v>0</v>
      </c>
      <c r="GE203">
        <v>0</v>
      </c>
      <c r="GH203">
        <v>0</v>
      </c>
      <c r="GI203">
        <v>0</v>
      </c>
      <c r="GL203">
        <v>0</v>
      </c>
      <c r="GM203">
        <v>0</v>
      </c>
      <c r="GP203">
        <v>0</v>
      </c>
      <c r="GQ203">
        <v>0</v>
      </c>
      <c r="GT203">
        <v>0</v>
      </c>
      <c r="GU203">
        <v>0</v>
      </c>
      <c r="GX203">
        <v>0</v>
      </c>
      <c r="GY203">
        <v>0</v>
      </c>
      <c r="HB203">
        <v>0</v>
      </c>
      <c r="HC203">
        <v>0</v>
      </c>
      <c r="HF203">
        <v>0</v>
      </c>
      <c r="HG203">
        <v>0</v>
      </c>
      <c r="HJ203">
        <v>0</v>
      </c>
      <c r="HK203">
        <v>0</v>
      </c>
      <c r="HN203">
        <v>0</v>
      </c>
      <c r="HO203">
        <v>0</v>
      </c>
      <c r="HR203">
        <v>0</v>
      </c>
      <c r="HS203">
        <v>0</v>
      </c>
      <c r="HV203">
        <v>0</v>
      </c>
      <c r="HW203">
        <v>0</v>
      </c>
      <c r="HZ203">
        <v>0</v>
      </c>
      <c r="IA203">
        <v>0</v>
      </c>
      <c r="ID203">
        <v>0</v>
      </c>
      <c r="IE203">
        <v>1</v>
      </c>
      <c r="IH203">
        <v>1</v>
      </c>
      <c r="II203">
        <v>0</v>
      </c>
      <c r="IL203">
        <v>0</v>
      </c>
      <c r="IM203">
        <v>0</v>
      </c>
      <c r="IP203">
        <v>0</v>
      </c>
      <c r="IQ203">
        <v>1</v>
      </c>
      <c r="IT203">
        <v>1</v>
      </c>
      <c r="IU203">
        <v>0</v>
      </c>
      <c r="IX203">
        <v>0</v>
      </c>
      <c r="IY203">
        <f t="shared" ca="1" si="16"/>
        <v>4</v>
      </c>
      <c r="IZ203">
        <f t="shared" ca="1" si="16"/>
        <v>0</v>
      </c>
      <c r="JA203">
        <f t="shared" ca="1" si="16"/>
        <v>0</v>
      </c>
      <c r="JB203">
        <f t="shared" ca="1" si="16"/>
        <v>4</v>
      </c>
    </row>
    <row r="204" spans="1:262" x14ac:dyDescent="0.25">
      <c r="A204" s="175">
        <v>201</v>
      </c>
      <c r="B204" s="175" t="s">
        <v>326</v>
      </c>
      <c r="C204">
        <v>0</v>
      </c>
      <c r="F204">
        <v>0</v>
      </c>
      <c r="G204">
        <v>4</v>
      </c>
      <c r="J204">
        <v>4</v>
      </c>
      <c r="K204">
        <v>2</v>
      </c>
      <c r="N204">
        <v>2</v>
      </c>
      <c r="O204">
        <v>2</v>
      </c>
      <c r="R204">
        <v>2</v>
      </c>
      <c r="S204">
        <v>0</v>
      </c>
      <c r="V204">
        <v>0</v>
      </c>
      <c r="W204">
        <v>1</v>
      </c>
      <c r="Z204">
        <v>1</v>
      </c>
      <c r="AA204">
        <v>2</v>
      </c>
      <c r="AD204">
        <v>2</v>
      </c>
      <c r="AE204">
        <v>0</v>
      </c>
      <c r="AH204">
        <v>0</v>
      </c>
      <c r="AI204">
        <v>0</v>
      </c>
      <c r="AL204">
        <v>0</v>
      </c>
      <c r="AM204">
        <v>2</v>
      </c>
      <c r="AP204">
        <v>2</v>
      </c>
      <c r="AQ204">
        <v>1</v>
      </c>
      <c r="AT204">
        <v>1</v>
      </c>
      <c r="AU204">
        <v>0</v>
      </c>
      <c r="AX204">
        <v>0</v>
      </c>
      <c r="AY204">
        <v>1</v>
      </c>
      <c r="BB204">
        <v>1</v>
      </c>
      <c r="BC204">
        <v>0</v>
      </c>
      <c r="BF204">
        <v>0</v>
      </c>
      <c r="BG204">
        <v>1</v>
      </c>
      <c r="BJ204">
        <v>1</v>
      </c>
      <c r="BK204">
        <v>0</v>
      </c>
      <c r="BN204">
        <v>0</v>
      </c>
      <c r="BO204">
        <v>0</v>
      </c>
      <c r="BR204">
        <v>0</v>
      </c>
      <c r="BS204">
        <v>0</v>
      </c>
      <c r="BV204">
        <v>0</v>
      </c>
      <c r="BW204">
        <v>0</v>
      </c>
      <c r="BZ204">
        <v>0</v>
      </c>
      <c r="CA204">
        <v>1</v>
      </c>
      <c r="CD204">
        <v>1</v>
      </c>
      <c r="CE204">
        <v>1</v>
      </c>
      <c r="CH204">
        <v>1</v>
      </c>
      <c r="CI204">
        <v>0</v>
      </c>
      <c r="CL204">
        <v>0</v>
      </c>
      <c r="CM204">
        <v>0</v>
      </c>
      <c r="CP204">
        <v>0</v>
      </c>
      <c r="CQ204">
        <v>0</v>
      </c>
      <c r="CT204">
        <v>0</v>
      </c>
      <c r="CU204">
        <v>0</v>
      </c>
      <c r="CX204">
        <v>0</v>
      </c>
      <c r="CY204">
        <v>0</v>
      </c>
      <c r="DB204">
        <v>0</v>
      </c>
      <c r="DC204">
        <v>0</v>
      </c>
      <c r="DF204">
        <v>0</v>
      </c>
      <c r="DG204">
        <v>0</v>
      </c>
      <c r="DJ204">
        <v>0</v>
      </c>
      <c r="DK204">
        <v>0</v>
      </c>
      <c r="DN204">
        <v>0</v>
      </c>
      <c r="DO204">
        <v>0</v>
      </c>
      <c r="DR204">
        <v>0</v>
      </c>
      <c r="DS204">
        <v>1</v>
      </c>
      <c r="DV204">
        <v>1</v>
      </c>
      <c r="DW204">
        <v>0</v>
      </c>
      <c r="DZ204">
        <v>0</v>
      </c>
      <c r="EA204">
        <v>0</v>
      </c>
      <c r="ED204">
        <v>0</v>
      </c>
      <c r="EE204">
        <v>0</v>
      </c>
      <c r="EH204">
        <v>0</v>
      </c>
      <c r="EI204">
        <v>0</v>
      </c>
      <c r="EL204">
        <v>0</v>
      </c>
      <c r="EM204">
        <v>0</v>
      </c>
      <c r="EP204">
        <v>0</v>
      </c>
      <c r="EQ204">
        <v>0</v>
      </c>
      <c r="ET204">
        <v>0</v>
      </c>
      <c r="EU204">
        <v>0</v>
      </c>
      <c r="EX204">
        <v>0</v>
      </c>
      <c r="EY204">
        <v>1</v>
      </c>
      <c r="FB204">
        <v>1</v>
      </c>
      <c r="FC204">
        <v>0</v>
      </c>
      <c r="FF204">
        <v>0</v>
      </c>
      <c r="FG204">
        <v>0</v>
      </c>
      <c r="FJ204">
        <v>0</v>
      </c>
      <c r="FK204">
        <v>0</v>
      </c>
      <c r="FN204">
        <v>0</v>
      </c>
      <c r="FO204">
        <v>0</v>
      </c>
      <c r="FR204">
        <v>0</v>
      </c>
      <c r="FS204">
        <v>1</v>
      </c>
      <c r="FV204">
        <v>1</v>
      </c>
      <c r="FW204">
        <v>1</v>
      </c>
      <c r="FZ204">
        <v>1</v>
      </c>
      <c r="GA204">
        <v>0</v>
      </c>
      <c r="GD204">
        <v>0</v>
      </c>
      <c r="GE204">
        <v>0</v>
      </c>
      <c r="GH204">
        <v>0</v>
      </c>
      <c r="GI204">
        <v>0</v>
      </c>
      <c r="GL204">
        <v>0</v>
      </c>
      <c r="GM204">
        <v>0</v>
      </c>
      <c r="GP204">
        <v>0</v>
      </c>
      <c r="GQ204">
        <v>0</v>
      </c>
      <c r="GT204">
        <v>0</v>
      </c>
      <c r="GU204">
        <v>0</v>
      </c>
      <c r="GX204">
        <v>0</v>
      </c>
      <c r="GY204">
        <v>0</v>
      </c>
      <c r="HB204">
        <v>0</v>
      </c>
      <c r="HC204">
        <v>1</v>
      </c>
      <c r="HF204">
        <v>1</v>
      </c>
      <c r="HG204">
        <v>0</v>
      </c>
      <c r="HJ204">
        <v>0</v>
      </c>
      <c r="HK204">
        <v>0</v>
      </c>
      <c r="HN204">
        <v>0</v>
      </c>
      <c r="HO204">
        <v>0</v>
      </c>
      <c r="HR204">
        <v>0</v>
      </c>
      <c r="HS204">
        <v>0</v>
      </c>
      <c r="HV204">
        <v>0</v>
      </c>
      <c r="HW204">
        <v>0</v>
      </c>
      <c r="HZ204">
        <v>0</v>
      </c>
      <c r="IA204">
        <v>0</v>
      </c>
      <c r="ID204">
        <v>0</v>
      </c>
      <c r="IE204">
        <v>0</v>
      </c>
      <c r="IH204">
        <v>0</v>
      </c>
      <c r="II204">
        <v>0</v>
      </c>
      <c r="IL204">
        <v>0</v>
      </c>
      <c r="IM204">
        <v>0</v>
      </c>
      <c r="IP204">
        <v>0</v>
      </c>
      <c r="IQ204">
        <v>1</v>
      </c>
      <c r="IT204">
        <v>1</v>
      </c>
      <c r="IU204">
        <v>0</v>
      </c>
      <c r="IX204">
        <v>0</v>
      </c>
      <c r="IY204">
        <f t="shared" ref="IY204:JB228" ca="1" si="17">SUMIFS($BK204:$IX204,$BK$3:$IX$3,IY$3,$BK$1:$IX$1,"&gt;0")</f>
        <v>8</v>
      </c>
      <c r="IZ204">
        <f t="shared" ca="1" si="17"/>
        <v>0</v>
      </c>
      <c r="JA204">
        <f t="shared" ca="1" si="17"/>
        <v>0</v>
      </c>
      <c r="JB204">
        <f t="shared" ca="1" si="17"/>
        <v>8</v>
      </c>
    </row>
    <row r="205" spans="1:262" x14ac:dyDescent="0.25">
      <c r="A205" s="173">
        <v>202</v>
      </c>
      <c r="B205" s="173" t="s">
        <v>598</v>
      </c>
      <c r="C205">
        <v>0</v>
      </c>
      <c r="F205">
        <v>0</v>
      </c>
      <c r="G205">
        <v>0</v>
      </c>
      <c r="J205">
        <v>0</v>
      </c>
      <c r="K205">
        <v>0</v>
      </c>
      <c r="N205">
        <v>0</v>
      </c>
      <c r="O205">
        <v>1</v>
      </c>
      <c r="R205">
        <v>1</v>
      </c>
      <c r="S205">
        <v>0</v>
      </c>
      <c r="V205">
        <v>0</v>
      </c>
      <c r="W205">
        <v>1</v>
      </c>
      <c r="Z205">
        <v>1</v>
      </c>
      <c r="AA205">
        <v>0</v>
      </c>
      <c r="AD205">
        <v>0</v>
      </c>
      <c r="AE205">
        <v>0</v>
      </c>
      <c r="AH205">
        <v>0</v>
      </c>
      <c r="AI205">
        <v>0</v>
      </c>
      <c r="AL205">
        <v>0</v>
      </c>
      <c r="AM205">
        <v>0</v>
      </c>
      <c r="AP205">
        <v>0</v>
      </c>
      <c r="AQ205">
        <v>0</v>
      </c>
      <c r="AT205">
        <v>0</v>
      </c>
      <c r="AU205">
        <v>0</v>
      </c>
      <c r="AX205">
        <v>0</v>
      </c>
      <c r="AY205">
        <v>0</v>
      </c>
      <c r="BB205">
        <v>0</v>
      </c>
      <c r="BC205">
        <v>0</v>
      </c>
      <c r="BF205">
        <v>0</v>
      </c>
      <c r="BG205">
        <v>0</v>
      </c>
      <c r="BJ205">
        <v>0</v>
      </c>
      <c r="BK205">
        <v>0</v>
      </c>
      <c r="BN205">
        <v>0</v>
      </c>
      <c r="BO205">
        <v>0</v>
      </c>
      <c r="BR205">
        <v>0</v>
      </c>
      <c r="BS205">
        <v>0</v>
      </c>
      <c r="BV205">
        <v>0</v>
      </c>
      <c r="BW205">
        <v>0</v>
      </c>
      <c r="BZ205">
        <v>0</v>
      </c>
      <c r="CA205">
        <v>0</v>
      </c>
      <c r="CD205">
        <v>0</v>
      </c>
      <c r="CE205">
        <v>0</v>
      </c>
      <c r="CH205">
        <v>0</v>
      </c>
      <c r="CI205">
        <v>0</v>
      </c>
      <c r="CL205">
        <v>0</v>
      </c>
      <c r="CM205">
        <v>0</v>
      </c>
      <c r="CP205">
        <v>0</v>
      </c>
      <c r="CQ205">
        <v>0</v>
      </c>
      <c r="CT205">
        <v>0</v>
      </c>
      <c r="CU205">
        <v>0</v>
      </c>
      <c r="CX205">
        <v>0</v>
      </c>
      <c r="CY205">
        <v>0</v>
      </c>
      <c r="DB205">
        <v>0</v>
      </c>
      <c r="DC205">
        <v>0</v>
      </c>
      <c r="DF205">
        <v>0</v>
      </c>
      <c r="DG205">
        <v>0</v>
      </c>
      <c r="DJ205">
        <v>0</v>
      </c>
      <c r="DK205">
        <v>0</v>
      </c>
      <c r="DN205">
        <v>0</v>
      </c>
      <c r="DO205">
        <v>0</v>
      </c>
      <c r="DR205">
        <v>0</v>
      </c>
      <c r="DS205">
        <v>0</v>
      </c>
      <c r="DV205">
        <v>0</v>
      </c>
      <c r="DW205">
        <v>0</v>
      </c>
      <c r="DZ205">
        <v>0</v>
      </c>
      <c r="EA205">
        <v>0</v>
      </c>
      <c r="ED205">
        <v>0</v>
      </c>
      <c r="EE205">
        <v>0</v>
      </c>
      <c r="EH205">
        <v>0</v>
      </c>
      <c r="EI205">
        <v>0</v>
      </c>
      <c r="EL205">
        <v>0</v>
      </c>
      <c r="EM205">
        <v>0</v>
      </c>
      <c r="EP205">
        <v>0</v>
      </c>
      <c r="EQ205">
        <v>0</v>
      </c>
      <c r="ET205">
        <v>0</v>
      </c>
      <c r="EU205">
        <v>0</v>
      </c>
      <c r="EX205">
        <v>0</v>
      </c>
      <c r="EY205">
        <v>0</v>
      </c>
      <c r="FB205">
        <v>0</v>
      </c>
      <c r="FC205">
        <v>0</v>
      </c>
      <c r="FF205">
        <v>0</v>
      </c>
      <c r="FG205">
        <v>0</v>
      </c>
      <c r="FJ205">
        <v>0</v>
      </c>
      <c r="FK205">
        <v>0</v>
      </c>
      <c r="FN205">
        <v>0</v>
      </c>
      <c r="FO205">
        <v>0</v>
      </c>
      <c r="FR205">
        <v>0</v>
      </c>
      <c r="FS205">
        <v>0</v>
      </c>
      <c r="FV205">
        <v>0</v>
      </c>
      <c r="FW205">
        <v>0</v>
      </c>
      <c r="FZ205">
        <v>0</v>
      </c>
      <c r="GA205">
        <v>0</v>
      </c>
      <c r="GD205">
        <v>0</v>
      </c>
      <c r="GE205">
        <v>0</v>
      </c>
      <c r="GH205">
        <v>0</v>
      </c>
      <c r="GI205">
        <v>0</v>
      </c>
      <c r="GL205">
        <v>0</v>
      </c>
      <c r="GM205">
        <v>0</v>
      </c>
      <c r="GP205">
        <v>0</v>
      </c>
      <c r="GQ205">
        <v>0</v>
      </c>
      <c r="GT205">
        <v>0</v>
      </c>
      <c r="GU205">
        <v>0</v>
      </c>
      <c r="GX205">
        <v>0</v>
      </c>
      <c r="GY205">
        <v>0</v>
      </c>
      <c r="HB205">
        <v>0</v>
      </c>
      <c r="HC205">
        <v>1</v>
      </c>
      <c r="HF205">
        <v>1</v>
      </c>
      <c r="HG205">
        <v>0</v>
      </c>
      <c r="HJ205">
        <v>0</v>
      </c>
      <c r="HK205">
        <v>0</v>
      </c>
      <c r="HN205">
        <v>0</v>
      </c>
      <c r="HO205">
        <v>0</v>
      </c>
      <c r="HR205">
        <v>0</v>
      </c>
      <c r="HS205">
        <v>0</v>
      </c>
      <c r="HV205">
        <v>0</v>
      </c>
      <c r="HW205">
        <v>0</v>
      </c>
      <c r="HZ205">
        <v>0</v>
      </c>
      <c r="IA205">
        <v>0</v>
      </c>
      <c r="ID205">
        <v>0</v>
      </c>
      <c r="IE205">
        <v>0</v>
      </c>
      <c r="IH205">
        <v>0</v>
      </c>
      <c r="II205">
        <v>0</v>
      </c>
      <c r="IL205">
        <v>0</v>
      </c>
      <c r="IM205">
        <v>0</v>
      </c>
      <c r="IP205">
        <v>0</v>
      </c>
      <c r="IQ205">
        <v>0</v>
      </c>
      <c r="IT205">
        <v>0</v>
      </c>
      <c r="IU205">
        <v>0</v>
      </c>
      <c r="IX205">
        <v>0</v>
      </c>
      <c r="IY205">
        <f t="shared" ca="1" si="17"/>
        <v>1</v>
      </c>
      <c r="IZ205">
        <f t="shared" ca="1" si="17"/>
        <v>0</v>
      </c>
      <c r="JA205">
        <f t="shared" ca="1" si="17"/>
        <v>0</v>
      </c>
      <c r="JB205">
        <f t="shared" ca="1" si="17"/>
        <v>1</v>
      </c>
    </row>
    <row r="206" spans="1:262" ht="16.5" customHeight="1" x14ac:dyDescent="0.25">
      <c r="A206" s="175">
        <v>203</v>
      </c>
      <c r="B206" s="175" t="s">
        <v>327</v>
      </c>
      <c r="C206">
        <v>0</v>
      </c>
      <c r="F206">
        <v>0</v>
      </c>
      <c r="G206">
        <v>2</v>
      </c>
      <c r="J206">
        <v>2</v>
      </c>
      <c r="K206">
        <v>0</v>
      </c>
      <c r="N206">
        <v>0</v>
      </c>
      <c r="O206">
        <v>3</v>
      </c>
      <c r="R206">
        <v>3</v>
      </c>
      <c r="S206">
        <v>0</v>
      </c>
      <c r="V206">
        <v>0</v>
      </c>
      <c r="W206">
        <v>1</v>
      </c>
      <c r="Z206">
        <v>1</v>
      </c>
      <c r="AA206">
        <v>2</v>
      </c>
      <c r="AD206">
        <v>2</v>
      </c>
      <c r="AE206">
        <v>0</v>
      </c>
      <c r="AH206">
        <v>0</v>
      </c>
      <c r="AI206">
        <v>1</v>
      </c>
      <c r="AL206">
        <v>1</v>
      </c>
      <c r="AM206">
        <v>0</v>
      </c>
      <c r="AP206">
        <v>0</v>
      </c>
      <c r="AQ206">
        <v>0</v>
      </c>
      <c r="AT206">
        <v>0</v>
      </c>
      <c r="AU206">
        <v>0</v>
      </c>
      <c r="AX206">
        <v>0</v>
      </c>
      <c r="AY206">
        <v>0</v>
      </c>
      <c r="BB206">
        <v>0</v>
      </c>
      <c r="BC206">
        <v>0</v>
      </c>
      <c r="BF206">
        <v>0</v>
      </c>
      <c r="BG206">
        <v>1</v>
      </c>
      <c r="BJ206">
        <v>1</v>
      </c>
      <c r="BK206">
        <v>0</v>
      </c>
      <c r="BN206">
        <v>0</v>
      </c>
      <c r="BO206">
        <v>0</v>
      </c>
      <c r="BR206">
        <v>0</v>
      </c>
      <c r="BS206">
        <v>0</v>
      </c>
      <c r="BV206">
        <v>0</v>
      </c>
      <c r="BW206">
        <v>0</v>
      </c>
      <c r="BZ206">
        <v>0</v>
      </c>
      <c r="CA206">
        <v>1</v>
      </c>
      <c r="CD206">
        <v>1</v>
      </c>
      <c r="CE206">
        <v>0</v>
      </c>
      <c r="CH206">
        <v>0</v>
      </c>
      <c r="CI206">
        <v>0</v>
      </c>
      <c r="CL206">
        <v>0</v>
      </c>
      <c r="CM206">
        <v>0</v>
      </c>
      <c r="CP206">
        <v>0</v>
      </c>
      <c r="CQ206">
        <v>0</v>
      </c>
      <c r="CT206">
        <v>0</v>
      </c>
      <c r="CU206">
        <v>0</v>
      </c>
      <c r="CX206">
        <v>0</v>
      </c>
      <c r="CY206">
        <v>0</v>
      </c>
      <c r="DB206">
        <v>0</v>
      </c>
      <c r="DC206">
        <v>0</v>
      </c>
      <c r="DF206">
        <v>0</v>
      </c>
      <c r="DG206">
        <v>0</v>
      </c>
      <c r="DJ206">
        <v>0</v>
      </c>
      <c r="DK206">
        <v>1</v>
      </c>
      <c r="DN206">
        <v>1</v>
      </c>
      <c r="DO206">
        <v>0</v>
      </c>
      <c r="DR206">
        <v>0</v>
      </c>
      <c r="DS206">
        <v>0</v>
      </c>
      <c r="DV206">
        <v>0</v>
      </c>
      <c r="DW206">
        <v>0</v>
      </c>
      <c r="DZ206">
        <v>0</v>
      </c>
      <c r="EA206">
        <v>0</v>
      </c>
      <c r="ED206">
        <v>0</v>
      </c>
      <c r="EE206">
        <v>0</v>
      </c>
      <c r="EH206">
        <v>0</v>
      </c>
      <c r="EI206">
        <v>0</v>
      </c>
      <c r="EL206">
        <v>0</v>
      </c>
      <c r="EM206">
        <v>0</v>
      </c>
      <c r="EP206">
        <v>0</v>
      </c>
      <c r="EQ206">
        <v>0</v>
      </c>
      <c r="ET206">
        <v>0</v>
      </c>
      <c r="EU206">
        <v>0</v>
      </c>
      <c r="EX206">
        <v>0</v>
      </c>
      <c r="EY206">
        <v>0</v>
      </c>
      <c r="FB206">
        <v>0</v>
      </c>
      <c r="FC206">
        <v>0</v>
      </c>
      <c r="FF206">
        <v>0</v>
      </c>
      <c r="FG206">
        <v>0</v>
      </c>
      <c r="FJ206">
        <v>0</v>
      </c>
      <c r="FK206">
        <v>0</v>
      </c>
      <c r="FN206">
        <v>0</v>
      </c>
      <c r="FO206">
        <v>0</v>
      </c>
      <c r="FR206">
        <v>0</v>
      </c>
      <c r="FS206">
        <v>0</v>
      </c>
      <c r="FV206">
        <v>0</v>
      </c>
      <c r="FW206">
        <v>0</v>
      </c>
      <c r="FZ206">
        <v>0</v>
      </c>
      <c r="GA206">
        <v>0</v>
      </c>
      <c r="GD206">
        <v>0</v>
      </c>
      <c r="GE206">
        <v>0</v>
      </c>
      <c r="GH206">
        <v>0</v>
      </c>
      <c r="GI206">
        <v>0</v>
      </c>
      <c r="GL206">
        <v>0</v>
      </c>
      <c r="GM206">
        <v>0</v>
      </c>
      <c r="GP206">
        <v>0</v>
      </c>
      <c r="GQ206">
        <v>0</v>
      </c>
      <c r="GT206">
        <v>0</v>
      </c>
      <c r="GU206">
        <v>0</v>
      </c>
      <c r="GX206">
        <v>0</v>
      </c>
      <c r="GY206">
        <v>0</v>
      </c>
      <c r="HB206">
        <v>0</v>
      </c>
      <c r="HC206">
        <v>1</v>
      </c>
      <c r="HF206">
        <v>1</v>
      </c>
      <c r="HG206">
        <v>1</v>
      </c>
      <c r="HJ206">
        <v>1</v>
      </c>
      <c r="HK206">
        <v>0</v>
      </c>
      <c r="HN206">
        <v>0</v>
      </c>
      <c r="HO206">
        <v>0</v>
      </c>
      <c r="HR206">
        <v>0</v>
      </c>
      <c r="HS206">
        <v>0</v>
      </c>
      <c r="HV206">
        <v>0</v>
      </c>
      <c r="HW206">
        <v>0</v>
      </c>
      <c r="HZ206">
        <v>0</v>
      </c>
      <c r="IA206">
        <v>0</v>
      </c>
      <c r="ID206">
        <v>0</v>
      </c>
      <c r="IE206">
        <v>0</v>
      </c>
      <c r="IH206">
        <v>0</v>
      </c>
      <c r="II206">
        <v>0</v>
      </c>
      <c r="IL206">
        <v>0</v>
      </c>
      <c r="IM206">
        <v>0</v>
      </c>
      <c r="IP206">
        <v>0</v>
      </c>
      <c r="IQ206">
        <v>1</v>
      </c>
      <c r="IT206">
        <v>1</v>
      </c>
      <c r="IU206">
        <v>0</v>
      </c>
      <c r="IX206">
        <v>0</v>
      </c>
      <c r="IY206">
        <f t="shared" ca="1" si="17"/>
        <v>5</v>
      </c>
      <c r="IZ206">
        <f t="shared" ca="1" si="17"/>
        <v>0</v>
      </c>
      <c r="JA206">
        <f t="shared" ca="1" si="17"/>
        <v>0</v>
      </c>
      <c r="JB206">
        <f t="shared" ca="1" si="17"/>
        <v>5</v>
      </c>
    </row>
    <row r="207" spans="1:262" x14ac:dyDescent="0.25">
      <c r="A207" s="173">
        <v>204</v>
      </c>
      <c r="B207" s="173" t="s">
        <v>583</v>
      </c>
      <c r="C207">
        <v>0</v>
      </c>
      <c r="F207">
        <v>0</v>
      </c>
      <c r="G207">
        <v>1</v>
      </c>
      <c r="J207">
        <v>1</v>
      </c>
      <c r="K207">
        <v>0</v>
      </c>
      <c r="N207">
        <v>0</v>
      </c>
      <c r="O207">
        <v>0</v>
      </c>
      <c r="R207">
        <v>0</v>
      </c>
      <c r="S207">
        <v>0</v>
      </c>
      <c r="V207">
        <v>0</v>
      </c>
      <c r="W207">
        <v>0</v>
      </c>
      <c r="Z207">
        <v>0</v>
      </c>
      <c r="AA207">
        <v>0</v>
      </c>
      <c r="AD207">
        <v>0</v>
      </c>
      <c r="AE207">
        <v>0</v>
      </c>
      <c r="AH207">
        <v>0</v>
      </c>
      <c r="AI207">
        <v>0</v>
      </c>
      <c r="AL207">
        <v>0</v>
      </c>
      <c r="AM207">
        <v>0</v>
      </c>
      <c r="AP207">
        <v>0</v>
      </c>
      <c r="AQ207">
        <v>0</v>
      </c>
      <c r="AT207">
        <v>0</v>
      </c>
      <c r="AU207">
        <v>0</v>
      </c>
      <c r="AX207">
        <v>0</v>
      </c>
      <c r="AY207">
        <v>0</v>
      </c>
      <c r="BB207">
        <v>0</v>
      </c>
      <c r="BC207">
        <v>0</v>
      </c>
      <c r="BF207">
        <v>0</v>
      </c>
      <c r="BG207">
        <v>1</v>
      </c>
      <c r="BJ207">
        <v>1</v>
      </c>
      <c r="BK207">
        <v>0</v>
      </c>
      <c r="BN207">
        <v>0</v>
      </c>
      <c r="BO207">
        <v>0</v>
      </c>
      <c r="BR207">
        <v>0</v>
      </c>
      <c r="BS207">
        <v>0</v>
      </c>
      <c r="BV207">
        <v>0</v>
      </c>
      <c r="BW207">
        <v>0</v>
      </c>
      <c r="BZ207">
        <v>0</v>
      </c>
      <c r="CA207">
        <v>0</v>
      </c>
      <c r="CD207">
        <v>0</v>
      </c>
      <c r="CE207">
        <v>0</v>
      </c>
      <c r="CH207">
        <v>0</v>
      </c>
      <c r="CI207">
        <v>0</v>
      </c>
      <c r="CL207">
        <v>0</v>
      </c>
      <c r="CM207">
        <v>0</v>
      </c>
      <c r="CP207">
        <v>0</v>
      </c>
      <c r="CQ207">
        <v>0</v>
      </c>
      <c r="CT207">
        <v>0</v>
      </c>
      <c r="CU207">
        <v>0</v>
      </c>
      <c r="CX207">
        <v>0</v>
      </c>
      <c r="CY207">
        <v>0</v>
      </c>
      <c r="DB207">
        <v>0</v>
      </c>
      <c r="DC207">
        <v>0</v>
      </c>
      <c r="DF207">
        <v>0</v>
      </c>
      <c r="DG207">
        <v>0</v>
      </c>
      <c r="DJ207">
        <v>0</v>
      </c>
      <c r="DK207">
        <v>0</v>
      </c>
      <c r="DN207">
        <v>0</v>
      </c>
      <c r="DO207">
        <v>0</v>
      </c>
      <c r="DR207">
        <v>0</v>
      </c>
      <c r="DS207">
        <v>0</v>
      </c>
      <c r="DV207">
        <v>0</v>
      </c>
      <c r="DW207">
        <v>0</v>
      </c>
      <c r="DZ207">
        <v>0</v>
      </c>
      <c r="EA207">
        <v>0</v>
      </c>
      <c r="ED207">
        <v>0</v>
      </c>
      <c r="EE207">
        <v>0</v>
      </c>
      <c r="EH207">
        <v>0</v>
      </c>
      <c r="EI207">
        <v>0</v>
      </c>
      <c r="EL207">
        <v>0</v>
      </c>
      <c r="EM207">
        <v>0</v>
      </c>
      <c r="EP207">
        <v>0</v>
      </c>
      <c r="EQ207">
        <v>0</v>
      </c>
      <c r="ET207">
        <v>0</v>
      </c>
      <c r="EU207">
        <v>0</v>
      </c>
      <c r="EX207">
        <v>0</v>
      </c>
      <c r="EY207">
        <v>0</v>
      </c>
      <c r="FB207">
        <v>0</v>
      </c>
      <c r="FC207">
        <v>0</v>
      </c>
      <c r="FF207">
        <v>0</v>
      </c>
      <c r="FG207">
        <v>1</v>
      </c>
      <c r="FJ207">
        <v>1</v>
      </c>
      <c r="FK207">
        <v>0</v>
      </c>
      <c r="FN207">
        <v>0</v>
      </c>
      <c r="FO207">
        <v>0</v>
      </c>
      <c r="FR207">
        <v>0</v>
      </c>
      <c r="FS207">
        <v>0</v>
      </c>
      <c r="FV207">
        <v>0</v>
      </c>
      <c r="FW207">
        <v>0</v>
      </c>
      <c r="FZ207">
        <v>0</v>
      </c>
      <c r="GA207">
        <v>0</v>
      </c>
      <c r="GD207">
        <v>0</v>
      </c>
      <c r="GE207">
        <v>0</v>
      </c>
      <c r="GH207">
        <v>0</v>
      </c>
      <c r="GI207">
        <v>0</v>
      </c>
      <c r="GL207">
        <v>0</v>
      </c>
      <c r="GM207">
        <v>0</v>
      </c>
      <c r="GP207">
        <v>0</v>
      </c>
      <c r="GQ207">
        <v>0</v>
      </c>
      <c r="GT207">
        <v>0</v>
      </c>
      <c r="GU207">
        <v>0</v>
      </c>
      <c r="GX207">
        <v>0</v>
      </c>
      <c r="GY207">
        <v>0</v>
      </c>
      <c r="HB207">
        <v>0</v>
      </c>
      <c r="HC207">
        <v>0</v>
      </c>
      <c r="HF207">
        <v>0</v>
      </c>
      <c r="HG207">
        <v>0</v>
      </c>
      <c r="HJ207">
        <v>0</v>
      </c>
      <c r="HK207">
        <v>0</v>
      </c>
      <c r="HN207">
        <v>0</v>
      </c>
      <c r="HO207">
        <v>0</v>
      </c>
      <c r="HR207">
        <v>0</v>
      </c>
      <c r="HS207">
        <v>0</v>
      </c>
      <c r="HV207">
        <v>0</v>
      </c>
      <c r="HW207">
        <v>0</v>
      </c>
      <c r="HZ207">
        <v>0</v>
      </c>
      <c r="IA207">
        <v>0</v>
      </c>
      <c r="ID207">
        <v>0</v>
      </c>
      <c r="IE207">
        <v>0</v>
      </c>
      <c r="IH207">
        <v>0</v>
      </c>
      <c r="II207">
        <v>0</v>
      </c>
      <c r="IL207">
        <v>0</v>
      </c>
      <c r="IM207">
        <v>0</v>
      </c>
      <c r="IP207">
        <v>0</v>
      </c>
      <c r="IQ207">
        <v>0</v>
      </c>
      <c r="IT207">
        <v>0</v>
      </c>
      <c r="IU207">
        <v>0</v>
      </c>
      <c r="IX207">
        <v>0</v>
      </c>
      <c r="IY207">
        <f t="shared" ca="1" si="17"/>
        <v>1</v>
      </c>
      <c r="IZ207">
        <f t="shared" ca="1" si="17"/>
        <v>0</v>
      </c>
      <c r="JA207">
        <f t="shared" ca="1" si="17"/>
        <v>0</v>
      </c>
      <c r="JB207">
        <f t="shared" ca="1" si="17"/>
        <v>1</v>
      </c>
    </row>
    <row r="208" spans="1:262" x14ac:dyDescent="0.25">
      <c r="A208" s="183">
        <v>205</v>
      </c>
      <c r="B208" s="183" t="s">
        <v>599</v>
      </c>
      <c r="C208">
        <v>0</v>
      </c>
      <c r="F208">
        <v>0</v>
      </c>
      <c r="G208">
        <v>0</v>
      </c>
      <c r="J208">
        <v>0</v>
      </c>
      <c r="K208">
        <v>1</v>
      </c>
      <c r="N208">
        <v>1</v>
      </c>
      <c r="O208">
        <v>0</v>
      </c>
      <c r="R208">
        <v>0</v>
      </c>
      <c r="S208">
        <v>0</v>
      </c>
      <c r="V208">
        <v>0</v>
      </c>
      <c r="W208">
        <v>0</v>
      </c>
      <c r="Z208">
        <v>0</v>
      </c>
      <c r="AA208">
        <v>0</v>
      </c>
      <c r="AD208">
        <v>0</v>
      </c>
      <c r="AE208">
        <v>0</v>
      </c>
      <c r="AH208">
        <v>0</v>
      </c>
      <c r="AI208">
        <v>0</v>
      </c>
      <c r="AL208">
        <v>0</v>
      </c>
      <c r="AM208">
        <v>0</v>
      </c>
      <c r="AP208">
        <v>0</v>
      </c>
      <c r="AQ208">
        <v>0</v>
      </c>
      <c r="AT208">
        <v>0</v>
      </c>
      <c r="AU208">
        <v>1</v>
      </c>
      <c r="AX208">
        <v>1</v>
      </c>
      <c r="AY208">
        <v>0</v>
      </c>
      <c r="BB208">
        <v>0</v>
      </c>
      <c r="BC208">
        <v>0</v>
      </c>
      <c r="BF208">
        <v>0</v>
      </c>
      <c r="BG208">
        <v>0</v>
      </c>
      <c r="BJ208">
        <v>0</v>
      </c>
      <c r="BK208">
        <v>0</v>
      </c>
      <c r="BN208">
        <v>0</v>
      </c>
      <c r="BO208">
        <v>0</v>
      </c>
      <c r="BR208">
        <v>0</v>
      </c>
      <c r="BS208">
        <v>0</v>
      </c>
      <c r="BV208">
        <v>0</v>
      </c>
      <c r="BW208">
        <v>0</v>
      </c>
      <c r="BZ208">
        <v>0</v>
      </c>
      <c r="CA208">
        <v>0</v>
      </c>
      <c r="CD208">
        <v>0</v>
      </c>
      <c r="CE208">
        <v>0</v>
      </c>
      <c r="CH208">
        <v>0</v>
      </c>
      <c r="CI208">
        <v>0</v>
      </c>
      <c r="CL208">
        <v>0</v>
      </c>
      <c r="CM208">
        <v>0</v>
      </c>
      <c r="CP208">
        <v>0</v>
      </c>
      <c r="CQ208">
        <v>0</v>
      </c>
      <c r="CT208">
        <v>0</v>
      </c>
      <c r="CU208">
        <v>0</v>
      </c>
      <c r="CX208">
        <v>0</v>
      </c>
      <c r="CY208">
        <v>0</v>
      </c>
      <c r="DB208">
        <v>0</v>
      </c>
      <c r="DC208">
        <v>0</v>
      </c>
      <c r="DF208">
        <v>0</v>
      </c>
      <c r="DG208">
        <v>0</v>
      </c>
      <c r="DJ208">
        <v>0</v>
      </c>
      <c r="DK208">
        <v>0</v>
      </c>
      <c r="DN208">
        <v>0</v>
      </c>
      <c r="DO208">
        <v>0</v>
      </c>
      <c r="DR208">
        <v>0</v>
      </c>
      <c r="DS208">
        <v>0</v>
      </c>
      <c r="DV208">
        <v>0</v>
      </c>
      <c r="DW208">
        <v>0</v>
      </c>
      <c r="DZ208">
        <v>0</v>
      </c>
      <c r="EA208">
        <v>0</v>
      </c>
      <c r="ED208">
        <v>0</v>
      </c>
      <c r="EE208">
        <v>0</v>
      </c>
      <c r="EH208">
        <v>0</v>
      </c>
      <c r="EI208">
        <v>0</v>
      </c>
      <c r="EL208">
        <v>0</v>
      </c>
      <c r="EM208">
        <v>0</v>
      </c>
      <c r="EP208">
        <v>0</v>
      </c>
      <c r="EQ208">
        <v>0</v>
      </c>
      <c r="ET208">
        <v>0</v>
      </c>
      <c r="EU208">
        <v>0</v>
      </c>
      <c r="EX208">
        <v>0</v>
      </c>
      <c r="EY208">
        <v>0</v>
      </c>
      <c r="FB208">
        <v>0</v>
      </c>
      <c r="FC208">
        <v>0</v>
      </c>
      <c r="FF208">
        <v>0</v>
      </c>
      <c r="FG208">
        <v>0</v>
      </c>
      <c r="FJ208">
        <v>0</v>
      </c>
      <c r="FK208">
        <v>0</v>
      </c>
      <c r="FN208">
        <v>0</v>
      </c>
      <c r="FO208">
        <v>0</v>
      </c>
      <c r="FR208">
        <v>0</v>
      </c>
      <c r="FS208">
        <v>0</v>
      </c>
      <c r="FV208">
        <v>0</v>
      </c>
      <c r="FW208">
        <v>0</v>
      </c>
      <c r="FZ208">
        <v>0</v>
      </c>
      <c r="GA208">
        <v>0</v>
      </c>
      <c r="GD208">
        <v>0</v>
      </c>
      <c r="GE208">
        <v>0</v>
      </c>
      <c r="GH208">
        <v>0</v>
      </c>
      <c r="GI208">
        <v>1</v>
      </c>
      <c r="GL208">
        <v>1</v>
      </c>
      <c r="GM208">
        <v>0</v>
      </c>
      <c r="GP208">
        <v>0</v>
      </c>
      <c r="GQ208">
        <v>0</v>
      </c>
      <c r="GT208">
        <v>0</v>
      </c>
      <c r="GU208">
        <v>0</v>
      </c>
      <c r="GX208">
        <v>0</v>
      </c>
      <c r="GY208">
        <v>0</v>
      </c>
      <c r="HB208">
        <v>0</v>
      </c>
      <c r="HC208">
        <v>0</v>
      </c>
      <c r="HF208">
        <v>0</v>
      </c>
      <c r="HG208">
        <v>0</v>
      </c>
      <c r="HJ208">
        <v>0</v>
      </c>
      <c r="HK208">
        <v>0</v>
      </c>
      <c r="HN208">
        <v>0</v>
      </c>
      <c r="HO208">
        <v>0</v>
      </c>
      <c r="HR208">
        <v>0</v>
      </c>
      <c r="HS208">
        <v>0</v>
      </c>
      <c r="HV208">
        <v>0</v>
      </c>
      <c r="HW208">
        <v>0</v>
      </c>
      <c r="HZ208">
        <v>0</v>
      </c>
      <c r="IA208">
        <v>0</v>
      </c>
      <c r="ID208">
        <v>0</v>
      </c>
      <c r="IE208">
        <v>0</v>
      </c>
      <c r="IH208">
        <v>0</v>
      </c>
      <c r="II208">
        <v>0</v>
      </c>
      <c r="IL208">
        <v>0</v>
      </c>
      <c r="IM208">
        <v>0</v>
      </c>
      <c r="IP208">
        <v>0</v>
      </c>
      <c r="IQ208">
        <v>0</v>
      </c>
      <c r="IT208">
        <v>0</v>
      </c>
      <c r="IU208">
        <v>0</v>
      </c>
      <c r="IX208">
        <v>0</v>
      </c>
      <c r="IY208">
        <f t="shared" ca="1" si="17"/>
        <v>1</v>
      </c>
      <c r="IZ208">
        <f t="shared" ca="1" si="17"/>
        <v>0</v>
      </c>
      <c r="JA208">
        <f t="shared" ca="1" si="17"/>
        <v>0</v>
      </c>
      <c r="JB208">
        <f t="shared" ca="1" si="17"/>
        <v>1</v>
      </c>
    </row>
    <row r="209" spans="1:262" x14ac:dyDescent="0.25">
      <c r="A209" s="183">
        <v>206</v>
      </c>
      <c r="B209" s="183" t="s">
        <v>328</v>
      </c>
      <c r="C209">
        <v>0</v>
      </c>
      <c r="F209">
        <v>0</v>
      </c>
      <c r="G209">
        <v>0</v>
      </c>
      <c r="J209">
        <v>0</v>
      </c>
      <c r="K209">
        <v>2</v>
      </c>
      <c r="N209">
        <v>2</v>
      </c>
      <c r="O209">
        <v>1</v>
      </c>
      <c r="R209">
        <v>1</v>
      </c>
      <c r="S209">
        <v>0</v>
      </c>
      <c r="V209">
        <v>0</v>
      </c>
      <c r="W209">
        <v>0</v>
      </c>
      <c r="Z209">
        <v>0</v>
      </c>
      <c r="AA209">
        <v>0</v>
      </c>
      <c r="AD209">
        <v>0</v>
      </c>
      <c r="AE209">
        <v>0</v>
      </c>
      <c r="AH209">
        <v>0</v>
      </c>
      <c r="AI209">
        <v>0</v>
      </c>
      <c r="AL209">
        <v>0</v>
      </c>
      <c r="AM209">
        <v>0</v>
      </c>
      <c r="AP209">
        <v>0</v>
      </c>
      <c r="AQ209">
        <v>0</v>
      </c>
      <c r="AT209">
        <v>0</v>
      </c>
      <c r="AU209">
        <v>1</v>
      </c>
      <c r="AX209">
        <v>1</v>
      </c>
      <c r="AY209">
        <v>0</v>
      </c>
      <c r="BB209">
        <v>0</v>
      </c>
      <c r="BC209">
        <v>0</v>
      </c>
      <c r="BF209">
        <v>0</v>
      </c>
      <c r="BG209">
        <v>2</v>
      </c>
      <c r="BJ209">
        <v>2</v>
      </c>
      <c r="BK209">
        <v>0</v>
      </c>
      <c r="BN209">
        <v>0</v>
      </c>
      <c r="BO209">
        <v>0</v>
      </c>
      <c r="BR209">
        <v>0</v>
      </c>
      <c r="BS209">
        <v>0</v>
      </c>
      <c r="BV209">
        <v>0</v>
      </c>
      <c r="BW209">
        <v>0</v>
      </c>
      <c r="BZ209">
        <v>0</v>
      </c>
      <c r="CA209">
        <v>0</v>
      </c>
      <c r="CD209">
        <v>0</v>
      </c>
      <c r="CE209">
        <v>0</v>
      </c>
      <c r="CH209">
        <v>0</v>
      </c>
      <c r="CI209">
        <v>0</v>
      </c>
      <c r="CL209">
        <v>0</v>
      </c>
      <c r="CM209">
        <v>0</v>
      </c>
      <c r="CP209">
        <v>0</v>
      </c>
      <c r="CQ209">
        <v>0</v>
      </c>
      <c r="CT209">
        <v>0</v>
      </c>
      <c r="CU209">
        <v>0</v>
      </c>
      <c r="CX209">
        <v>0</v>
      </c>
      <c r="CY209">
        <v>0</v>
      </c>
      <c r="DB209">
        <v>0</v>
      </c>
      <c r="DC209">
        <v>0</v>
      </c>
      <c r="DF209">
        <v>0</v>
      </c>
      <c r="DG209">
        <v>0</v>
      </c>
      <c r="DJ209">
        <v>0</v>
      </c>
      <c r="DK209">
        <v>0</v>
      </c>
      <c r="DN209">
        <v>0</v>
      </c>
      <c r="DO209">
        <v>0</v>
      </c>
      <c r="DR209">
        <v>0</v>
      </c>
      <c r="DS209">
        <v>0</v>
      </c>
      <c r="DV209">
        <v>0</v>
      </c>
      <c r="DW209">
        <v>0</v>
      </c>
      <c r="DZ209">
        <v>0</v>
      </c>
      <c r="EA209">
        <v>0</v>
      </c>
      <c r="ED209">
        <v>0</v>
      </c>
      <c r="EE209">
        <v>0</v>
      </c>
      <c r="EH209">
        <v>0</v>
      </c>
      <c r="EI209">
        <v>0</v>
      </c>
      <c r="EL209">
        <v>0</v>
      </c>
      <c r="EM209">
        <v>0</v>
      </c>
      <c r="EP209">
        <v>0</v>
      </c>
      <c r="EQ209">
        <v>0</v>
      </c>
      <c r="ET209">
        <v>0</v>
      </c>
      <c r="EU209">
        <v>0</v>
      </c>
      <c r="EX209">
        <v>0</v>
      </c>
      <c r="EY209">
        <v>0</v>
      </c>
      <c r="FB209">
        <v>0</v>
      </c>
      <c r="FC209">
        <v>0</v>
      </c>
      <c r="FF209">
        <v>0</v>
      </c>
      <c r="FG209">
        <v>0</v>
      </c>
      <c r="FJ209">
        <v>0</v>
      </c>
      <c r="FK209">
        <v>0</v>
      </c>
      <c r="FN209">
        <v>0</v>
      </c>
      <c r="FO209">
        <v>0</v>
      </c>
      <c r="FR209">
        <v>0</v>
      </c>
      <c r="FS209">
        <v>0</v>
      </c>
      <c r="FV209">
        <v>0</v>
      </c>
      <c r="FW209">
        <v>0</v>
      </c>
      <c r="FZ209">
        <v>0</v>
      </c>
      <c r="GA209">
        <v>0</v>
      </c>
      <c r="GD209">
        <v>0</v>
      </c>
      <c r="GE209">
        <v>0</v>
      </c>
      <c r="GH209">
        <v>0</v>
      </c>
      <c r="GI209">
        <v>1</v>
      </c>
      <c r="GL209">
        <v>1</v>
      </c>
      <c r="GM209">
        <v>0</v>
      </c>
      <c r="GP209">
        <v>0</v>
      </c>
      <c r="GQ209">
        <v>0</v>
      </c>
      <c r="GT209">
        <v>0</v>
      </c>
      <c r="GU209">
        <v>1</v>
      </c>
      <c r="GX209">
        <v>1</v>
      </c>
      <c r="GY209">
        <v>0</v>
      </c>
      <c r="HB209">
        <v>0</v>
      </c>
      <c r="HC209">
        <v>0</v>
      </c>
      <c r="HF209">
        <v>0</v>
      </c>
      <c r="HG209">
        <v>0</v>
      </c>
      <c r="HJ209">
        <v>0</v>
      </c>
      <c r="HK209">
        <v>0</v>
      </c>
      <c r="HN209">
        <v>0</v>
      </c>
      <c r="HO209">
        <v>0</v>
      </c>
      <c r="HR209">
        <v>0</v>
      </c>
      <c r="HS209">
        <v>0</v>
      </c>
      <c r="HV209">
        <v>0</v>
      </c>
      <c r="HW209">
        <v>0</v>
      </c>
      <c r="HZ209">
        <v>0</v>
      </c>
      <c r="IA209">
        <v>0</v>
      </c>
      <c r="ID209">
        <v>0</v>
      </c>
      <c r="IE209">
        <v>0</v>
      </c>
      <c r="IH209">
        <v>0</v>
      </c>
      <c r="II209">
        <v>0</v>
      </c>
      <c r="IL209">
        <v>0</v>
      </c>
      <c r="IM209">
        <v>0</v>
      </c>
      <c r="IP209">
        <v>0</v>
      </c>
      <c r="IQ209">
        <v>1</v>
      </c>
      <c r="IT209">
        <v>1</v>
      </c>
      <c r="IU209">
        <v>0</v>
      </c>
      <c r="IX209">
        <v>0</v>
      </c>
      <c r="IY209">
        <f t="shared" ca="1" si="17"/>
        <v>3</v>
      </c>
      <c r="IZ209">
        <f t="shared" ca="1" si="17"/>
        <v>0</v>
      </c>
      <c r="JA209">
        <f t="shared" ca="1" si="17"/>
        <v>0</v>
      </c>
      <c r="JB209">
        <f t="shared" ca="1" si="17"/>
        <v>3</v>
      </c>
    </row>
    <row r="210" spans="1:262" x14ac:dyDescent="0.25">
      <c r="A210" s="183">
        <v>207</v>
      </c>
      <c r="B210" s="183" t="s">
        <v>600</v>
      </c>
      <c r="C210">
        <v>0</v>
      </c>
      <c r="F210">
        <v>0</v>
      </c>
      <c r="G210">
        <v>0</v>
      </c>
      <c r="J210">
        <v>0</v>
      </c>
      <c r="K210">
        <v>1</v>
      </c>
      <c r="N210">
        <v>1</v>
      </c>
      <c r="O210">
        <v>0</v>
      </c>
      <c r="R210">
        <v>0</v>
      </c>
      <c r="S210">
        <v>0</v>
      </c>
      <c r="V210">
        <v>0</v>
      </c>
      <c r="W210">
        <v>0</v>
      </c>
      <c r="Z210">
        <v>0</v>
      </c>
      <c r="AA210">
        <v>0</v>
      </c>
      <c r="AD210">
        <v>0</v>
      </c>
      <c r="AE210">
        <v>0</v>
      </c>
      <c r="AH210">
        <v>0</v>
      </c>
      <c r="AI210">
        <v>0</v>
      </c>
      <c r="AL210">
        <v>0</v>
      </c>
      <c r="AM210">
        <v>0</v>
      </c>
      <c r="AP210">
        <v>0</v>
      </c>
      <c r="AQ210">
        <v>0</v>
      </c>
      <c r="AT210">
        <v>0</v>
      </c>
      <c r="AU210">
        <v>1</v>
      </c>
      <c r="AX210">
        <v>1</v>
      </c>
      <c r="AY210">
        <v>0</v>
      </c>
      <c r="BB210">
        <v>0</v>
      </c>
      <c r="BC210">
        <v>0</v>
      </c>
      <c r="BF210">
        <v>0</v>
      </c>
      <c r="BG210">
        <v>0</v>
      </c>
      <c r="BJ210">
        <v>0</v>
      </c>
      <c r="BK210">
        <v>0</v>
      </c>
      <c r="BN210">
        <v>0</v>
      </c>
      <c r="BO210">
        <v>0</v>
      </c>
      <c r="BR210">
        <v>0</v>
      </c>
      <c r="BS210">
        <v>0</v>
      </c>
      <c r="BV210">
        <v>0</v>
      </c>
      <c r="BW210">
        <v>0</v>
      </c>
      <c r="BZ210">
        <v>0</v>
      </c>
      <c r="CA210">
        <v>0</v>
      </c>
      <c r="CD210">
        <v>0</v>
      </c>
      <c r="CE210">
        <v>0</v>
      </c>
      <c r="CH210">
        <v>0</v>
      </c>
      <c r="CI210">
        <v>0</v>
      </c>
      <c r="CL210">
        <v>0</v>
      </c>
      <c r="CM210">
        <v>0</v>
      </c>
      <c r="CP210">
        <v>0</v>
      </c>
      <c r="CQ210">
        <v>0</v>
      </c>
      <c r="CT210">
        <v>0</v>
      </c>
      <c r="CU210">
        <v>0</v>
      </c>
      <c r="CX210">
        <v>0</v>
      </c>
      <c r="CY210">
        <v>0</v>
      </c>
      <c r="DB210">
        <v>0</v>
      </c>
      <c r="DC210">
        <v>0</v>
      </c>
      <c r="DF210">
        <v>0</v>
      </c>
      <c r="DG210">
        <v>0</v>
      </c>
      <c r="DJ210">
        <v>0</v>
      </c>
      <c r="DK210">
        <v>0</v>
      </c>
      <c r="DN210">
        <v>0</v>
      </c>
      <c r="DO210">
        <v>0</v>
      </c>
      <c r="DR210">
        <v>0</v>
      </c>
      <c r="DS210">
        <v>0</v>
      </c>
      <c r="DV210">
        <v>0</v>
      </c>
      <c r="DW210">
        <v>0</v>
      </c>
      <c r="DZ210">
        <v>0</v>
      </c>
      <c r="EA210">
        <v>0</v>
      </c>
      <c r="ED210">
        <v>0</v>
      </c>
      <c r="EE210">
        <v>0</v>
      </c>
      <c r="EH210">
        <v>0</v>
      </c>
      <c r="EI210">
        <v>0</v>
      </c>
      <c r="EL210">
        <v>0</v>
      </c>
      <c r="EM210">
        <v>0</v>
      </c>
      <c r="EP210">
        <v>0</v>
      </c>
      <c r="EQ210">
        <v>0</v>
      </c>
      <c r="ET210">
        <v>0</v>
      </c>
      <c r="EU210">
        <v>0</v>
      </c>
      <c r="EX210">
        <v>0</v>
      </c>
      <c r="EY210">
        <v>0</v>
      </c>
      <c r="FB210">
        <v>0</v>
      </c>
      <c r="FC210">
        <v>0</v>
      </c>
      <c r="FF210">
        <v>0</v>
      </c>
      <c r="FG210">
        <v>0</v>
      </c>
      <c r="FJ210">
        <v>0</v>
      </c>
      <c r="FK210">
        <v>0</v>
      </c>
      <c r="FN210">
        <v>0</v>
      </c>
      <c r="FO210">
        <v>0</v>
      </c>
      <c r="FR210">
        <v>0</v>
      </c>
      <c r="FS210">
        <v>0</v>
      </c>
      <c r="FV210">
        <v>0</v>
      </c>
      <c r="FW210">
        <v>0</v>
      </c>
      <c r="FZ210">
        <v>0</v>
      </c>
      <c r="GA210">
        <v>0</v>
      </c>
      <c r="GD210">
        <v>0</v>
      </c>
      <c r="GE210">
        <v>0</v>
      </c>
      <c r="GH210">
        <v>0</v>
      </c>
      <c r="GI210">
        <v>1</v>
      </c>
      <c r="GL210">
        <v>1</v>
      </c>
      <c r="GM210">
        <v>0</v>
      </c>
      <c r="GP210">
        <v>0</v>
      </c>
      <c r="GQ210">
        <v>0</v>
      </c>
      <c r="GT210">
        <v>0</v>
      </c>
      <c r="GU210">
        <v>0</v>
      </c>
      <c r="GX210">
        <v>0</v>
      </c>
      <c r="GY210">
        <v>0</v>
      </c>
      <c r="HB210">
        <v>0</v>
      </c>
      <c r="HC210">
        <v>0</v>
      </c>
      <c r="HF210">
        <v>0</v>
      </c>
      <c r="HG210">
        <v>0</v>
      </c>
      <c r="HJ210">
        <v>0</v>
      </c>
      <c r="HK210">
        <v>0</v>
      </c>
      <c r="HN210">
        <v>0</v>
      </c>
      <c r="HO210">
        <v>0</v>
      </c>
      <c r="HR210">
        <v>0</v>
      </c>
      <c r="HS210">
        <v>0</v>
      </c>
      <c r="HV210">
        <v>0</v>
      </c>
      <c r="HW210">
        <v>0</v>
      </c>
      <c r="HZ210">
        <v>0</v>
      </c>
      <c r="IA210">
        <v>0</v>
      </c>
      <c r="ID210">
        <v>0</v>
      </c>
      <c r="IE210">
        <v>0</v>
      </c>
      <c r="IH210">
        <v>0</v>
      </c>
      <c r="II210">
        <v>0</v>
      </c>
      <c r="IL210">
        <v>0</v>
      </c>
      <c r="IM210">
        <v>0</v>
      </c>
      <c r="IP210">
        <v>0</v>
      </c>
      <c r="IQ210">
        <v>0</v>
      </c>
      <c r="IT210">
        <v>0</v>
      </c>
      <c r="IU210">
        <v>0</v>
      </c>
      <c r="IX210">
        <v>0</v>
      </c>
      <c r="IY210">
        <f t="shared" ca="1" si="17"/>
        <v>1</v>
      </c>
      <c r="IZ210">
        <f t="shared" ca="1" si="17"/>
        <v>0</v>
      </c>
      <c r="JA210">
        <f t="shared" ca="1" si="17"/>
        <v>0</v>
      </c>
      <c r="JB210">
        <f t="shared" ca="1" si="17"/>
        <v>1</v>
      </c>
    </row>
    <row r="211" spans="1:262" ht="16.5" customHeight="1" x14ac:dyDescent="0.25">
      <c r="A211" s="166">
        <v>208</v>
      </c>
      <c r="B211" s="183" t="s">
        <v>330</v>
      </c>
      <c r="C211">
        <v>0</v>
      </c>
      <c r="F211">
        <v>0</v>
      </c>
      <c r="G211">
        <v>0</v>
      </c>
      <c r="J211">
        <v>0</v>
      </c>
      <c r="K211">
        <v>1</v>
      </c>
      <c r="N211">
        <v>1</v>
      </c>
      <c r="O211">
        <v>1</v>
      </c>
      <c r="R211">
        <v>1</v>
      </c>
      <c r="S211">
        <v>0</v>
      </c>
      <c r="V211">
        <v>0</v>
      </c>
      <c r="W211">
        <v>0</v>
      </c>
      <c r="Z211">
        <v>0</v>
      </c>
      <c r="AA211">
        <v>0</v>
      </c>
      <c r="AD211">
        <v>0</v>
      </c>
      <c r="AE211">
        <v>0</v>
      </c>
      <c r="AH211">
        <v>0</v>
      </c>
      <c r="AI211">
        <v>0</v>
      </c>
      <c r="AL211">
        <v>0</v>
      </c>
      <c r="AM211">
        <v>0</v>
      </c>
      <c r="AP211">
        <v>0</v>
      </c>
      <c r="AQ211">
        <v>0</v>
      </c>
      <c r="AT211">
        <v>0</v>
      </c>
      <c r="AU211">
        <v>1</v>
      </c>
      <c r="AX211">
        <v>1</v>
      </c>
      <c r="AY211">
        <v>0</v>
      </c>
      <c r="BB211">
        <v>0</v>
      </c>
      <c r="BC211">
        <v>0</v>
      </c>
      <c r="BF211">
        <v>0</v>
      </c>
      <c r="BG211">
        <v>1</v>
      </c>
      <c r="BJ211">
        <v>1</v>
      </c>
      <c r="BK211">
        <v>0</v>
      </c>
      <c r="BN211">
        <v>0</v>
      </c>
      <c r="BO211">
        <v>0</v>
      </c>
      <c r="BR211">
        <v>0</v>
      </c>
      <c r="BS211">
        <v>0</v>
      </c>
      <c r="BV211">
        <v>0</v>
      </c>
      <c r="BW211">
        <v>0</v>
      </c>
      <c r="BZ211">
        <v>0</v>
      </c>
      <c r="CA211">
        <v>0</v>
      </c>
      <c r="CD211">
        <v>0</v>
      </c>
      <c r="CE211">
        <v>0</v>
      </c>
      <c r="CH211">
        <v>0</v>
      </c>
      <c r="CI211">
        <v>0</v>
      </c>
      <c r="CL211">
        <v>0</v>
      </c>
      <c r="CM211">
        <v>0</v>
      </c>
      <c r="CP211">
        <v>0</v>
      </c>
      <c r="CQ211">
        <v>0</v>
      </c>
      <c r="CT211">
        <v>0</v>
      </c>
      <c r="CU211">
        <v>0</v>
      </c>
      <c r="CX211">
        <v>0</v>
      </c>
      <c r="CY211">
        <v>0</v>
      </c>
      <c r="DB211">
        <v>0</v>
      </c>
      <c r="DC211">
        <v>0</v>
      </c>
      <c r="DF211">
        <v>0</v>
      </c>
      <c r="DG211">
        <v>0</v>
      </c>
      <c r="DJ211">
        <v>0</v>
      </c>
      <c r="DK211">
        <v>0</v>
      </c>
      <c r="DN211">
        <v>0</v>
      </c>
      <c r="DO211">
        <v>0</v>
      </c>
      <c r="DR211">
        <v>0</v>
      </c>
      <c r="DS211">
        <v>0</v>
      </c>
      <c r="DV211">
        <v>0</v>
      </c>
      <c r="DW211">
        <v>0</v>
      </c>
      <c r="DZ211">
        <v>0</v>
      </c>
      <c r="EA211">
        <v>0</v>
      </c>
      <c r="ED211">
        <v>0</v>
      </c>
      <c r="EE211">
        <v>0</v>
      </c>
      <c r="EH211">
        <v>0</v>
      </c>
      <c r="EI211">
        <v>0</v>
      </c>
      <c r="EL211">
        <v>0</v>
      </c>
      <c r="EM211">
        <v>0</v>
      </c>
      <c r="EP211">
        <v>0</v>
      </c>
      <c r="EQ211">
        <v>0</v>
      </c>
      <c r="ET211">
        <v>0</v>
      </c>
      <c r="EU211">
        <v>0</v>
      </c>
      <c r="EX211">
        <v>0</v>
      </c>
      <c r="EY211">
        <v>0</v>
      </c>
      <c r="FB211">
        <v>0</v>
      </c>
      <c r="FC211">
        <v>0</v>
      </c>
      <c r="FF211">
        <v>0</v>
      </c>
      <c r="FG211">
        <v>0</v>
      </c>
      <c r="FJ211">
        <v>0</v>
      </c>
      <c r="FK211">
        <v>0</v>
      </c>
      <c r="FN211">
        <v>0</v>
      </c>
      <c r="FO211">
        <v>0</v>
      </c>
      <c r="FR211">
        <v>0</v>
      </c>
      <c r="FS211">
        <v>0</v>
      </c>
      <c r="FV211">
        <v>0</v>
      </c>
      <c r="FW211">
        <v>0</v>
      </c>
      <c r="FZ211">
        <v>0</v>
      </c>
      <c r="GA211">
        <v>0</v>
      </c>
      <c r="GD211">
        <v>0</v>
      </c>
      <c r="GE211">
        <v>0</v>
      </c>
      <c r="GH211">
        <v>0</v>
      </c>
      <c r="GI211">
        <v>1</v>
      </c>
      <c r="GL211">
        <v>1</v>
      </c>
      <c r="GM211">
        <v>0</v>
      </c>
      <c r="GP211">
        <v>0</v>
      </c>
      <c r="GQ211">
        <v>0</v>
      </c>
      <c r="GT211">
        <v>0</v>
      </c>
      <c r="GU211">
        <v>0</v>
      </c>
      <c r="GX211">
        <v>0</v>
      </c>
      <c r="GY211">
        <v>0</v>
      </c>
      <c r="HB211">
        <v>0</v>
      </c>
      <c r="HC211">
        <v>0</v>
      </c>
      <c r="HF211">
        <v>0</v>
      </c>
      <c r="HG211">
        <v>0</v>
      </c>
      <c r="HJ211">
        <v>0</v>
      </c>
      <c r="HK211">
        <v>0</v>
      </c>
      <c r="HN211">
        <v>0</v>
      </c>
      <c r="HO211">
        <v>0</v>
      </c>
      <c r="HR211">
        <v>0</v>
      </c>
      <c r="HS211">
        <v>0</v>
      </c>
      <c r="HV211">
        <v>0</v>
      </c>
      <c r="HW211">
        <v>0</v>
      </c>
      <c r="HZ211">
        <v>0</v>
      </c>
      <c r="IA211">
        <v>0</v>
      </c>
      <c r="ID211">
        <v>0</v>
      </c>
      <c r="IE211">
        <v>0</v>
      </c>
      <c r="IH211">
        <v>0</v>
      </c>
      <c r="II211">
        <v>0</v>
      </c>
      <c r="IL211">
        <v>0</v>
      </c>
      <c r="IM211">
        <v>0</v>
      </c>
      <c r="IP211">
        <v>0</v>
      </c>
      <c r="IQ211">
        <v>1</v>
      </c>
      <c r="IT211">
        <v>1</v>
      </c>
      <c r="IU211">
        <v>0</v>
      </c>
      <c r="IX211">
        <v>0</v>
      </c>
      <c r="IY211">
        <f t="shared" ca="1" si="17"/>
        <v>2</v>
      </c>
      <c r="IZ211">
        <f t="shared" ca="1" si="17"/>
        <v>0</v>
      </c>
      <c r="JA211">
        <f t="shared" ca="1" si="17"/>
        <v>0</v>
      </c>
      <c r="JB211">
        <f t="shared" ca="1" si="17"/>
        <v>2</v>
      </c>
    </row>
    <row r="212" spans="1:262" ht="16.5" customHeight="1" x14ac:dyDescent="0.25">
      <c r="A212" s="167">
        <v>209</v>
      </c>
      <c r="B212" s="167" t="s">
        <v>340</v>
      </c>
      <c r="C212">
        <v>1</v>
      </c>
      <c r="F212">
        <v>1</v>
      </c>
      <c r="G212">
        <v>7</v>
      </c>
      <c r="J212">
        <v>7</v>
      </c>
      <c r="K212">
        <v>1</v>
      </c>
      <c r="N212">
        <v>1</v>
      </c>
      <c r="O212">
        <v>0</v>
      </c>
      <c r="R212">
        <v>0</v>
      </c>
      <c r="S212">
        <v>0</v>
      </c>
      <c r="V212">
        <v>0</v>
      </c>
      <c r="W212">
        <v>3</v>
      </c>
      <c r="Z212">
        <v>3</v>
      </c>
      <c r="AA212">
        <v>2</v>
      </c>
      <c r="AD212">
        <v>2</v>
      </c>
      <c r="AE212">
        <v>0</v>
      </c>
      <c r="AH212">
        <v>0</v>
      </c>
      <c r="AI212">
        <v>0</v>
      </c>
      <c r="AL212">
        <v>0</v>
      </c>
      <c r="AM212">
        <v>0</v>
      </c>
      <c r="AP212">
        <v>0</v>
      </c>
      <c r="AQ212">
        <v>0</v>
      </c>
      <c r="AT212">
        <v>0</v>
      </c>
      <c r="AU212">
        <v>0</v>
      </c>
      <c r="AX212">
        <v>0</v>
      </c>
      <c r="AY212">
        <v>4</v>
      </c>
      <c r="BB212">
        <v>4</v>
      </c>
      <c r="BC212">
        <v>0</v>
      </c>
      <c r="BF212">
        <v>0</v>
      </c>
      <c r="BG212">
        <v>0</v>
      </c>
      <c r="BJ212">
        <v>0</v>
      </c>
      <c r="BK212">
        <v>1</v>
      </c>
      <c r="BN212">
        <v>1</v>
      </c>
      <c r="BO212">
        <v>0</v>
      </c>
      <c r="BR212">
        <v>0</v>
      </c>
      <c r="BS212">
        <v>1</v>
      </c>
      <c r="BV212">
        <v>1</v>
      </c>
      <c r="BW212">
        <v>0</v>
      </c>
      <c r="BZ212">
        <v>0</v>
      </c>
      <c r="CA212">
        <v>1</v>
      </c>
      <c r="CD212">
        <v>1</v>
      </c>
      <c r="CE212">
        <v>1</v>
      </c>
      <c r="CH212">
        <v>1</v>
      </c>
      <c r="CI212">
        <v>0</v>
      </c>
      <c r="CL212">
        <v>0</v>
      </c>
      <c r="CM212">
        <v>0</v>
      </c>
      <c r="CP212">
        <v>0</v>
      </c>
      <c r="CQ212">
        <v>0</v>
      </c>
      <c r="CT212">
        <v>0</v>
      </c>
      <c r="CU212">
        <v>0</v>
      </c>
      <c r="CX212">
        <v>0</v>
      </c>
      <c r="CY212">
        <v>0</v>
      </c>
      <c r="DB212">
        <v>0</v>
      </c>
      <c r="DC212">
        <v>0</v>
      </c>
      <c r="DF212">
        <v>0</v>
      </c>
      <c r="DG212">
        <v>0</v>
      </c>
      <c r="DJ212">
        <v>0</v>
      </c>
      <c r="DK212">
        <v>0</v>
      </c>
      <c r="DN212">
        <v>0</v>
      </c>
      <c r="DO212">
        <v>0</v>
      </c>
      <c r="DR212">
        <v>0</v>
      </c>
      <c r="DS212">
        <v>0</v>
      </c>
      <c r="DV212">
        <v>0</v>
      </c>
      <c r="DW212">
        <v>0</v>
      </c>
      <c r="DZ212">
        <v>0</v>
      </c>
      <c r="EA212">
        <v>0</v>
      </c>
      <c r="ED212">
        <v>0</v>
      </c>
      <c r="EE212">
        <v>0</v>
      </c>
      <c r="EH212">
        <v>0</v>
      </c>
      <c r="EI212">
        <v>0</v>
      </c>
      <c r="EL212">
        <v>0</v>
      </c>
      <c r="EM212">
        <v>1</v>
      </c>
      <c r="EP212">
        <v>1</v>
      </c>
      <c r="EQ212">
        <v>1</v>
      </c>
      <c r="ET212">
        <v>1</v>
      </c>
      <c r="EU212">
        <v>1</v>
      </c>
      <c r="EX212">
        <v>1</v>
      </c>
      <c r="EY212">
        <v>1</v>
      </c>
      <c r="FB212">
        <v>1</v>
      </c>
      <c r="FC212">
        <v>0</v>
      </c>
      <c r="FF212">
        <v>0</v>
      </c>
      <c r="FG212">
        <v>0</v>
      </c>
      <c r="FJ212">
        <v>0</v>
      </c>
      <c r="FK212">
        <v>0</v>
      </c>
      <c r="FN212">
        <v>0</v>
      </c>
      <c r="FO212">
        <v>1</v>
      </c>
      <c r="FR212">
        <v>1</v>
      </c>
      <c r="FS212">
        <v>0</v>
      </c>
      <c r="FV212">
        <v>0</v>
      </c>
      <c r="FW212">
        <v>0</v>
      </c>
      <c r="FZ212">
        <v>0</v>
      </c>
      <c r="GA212">
        <v>0</v>
      </c>
      <c r="GD212">
        <v>0</v>
      </c>
      <c r="GE212">
        <v>0</v>
      </c>
      <c r="GH212">
        <v>0</v>
      </c>
      <c r="GI212">
        <v>0</v>
      </c>
      <c r="GL212">
        <v>0</v>
      </c>
      <c r="GM212">
        <v>0</v>
      </c>
      <c r="GP212">
        <v>0</v>
      </c>
      <c r="GQ212">
        <v>0</v>
      </c>
      <c r="GT212">
        <v>0</v>
      </c>
      <c r="GU212">
        <v>0</v>
      </c>
      <c r="GX212">
        <v>0</v>
      </c>
      <c r="GY212">
        <v>0</v>
      </c>
      <c r="HB212">
        <v>0</v>
      </c>
      <c r="HC212">
        <v>0</v>
      </c>
      <c r="HF212">
        <v>0</v>
      </c>
      <c r="HG212">
        <v>0</v>
      </c>
      <c r="HJ212">
        <v>0</v>
      </c>
      <c r="HK212">
        <v>0</v>
      </c>
      <c r="HN212">
        <v>0</v>
      </c>
      <c r="HO212">
        <v>0</v>
      </c>
      <c r="HR212">
        <v>0</v>
      </c>
      <c r="HS212">
        <v>0</v>
      </c>
      <c r="HV212">
        <v>0</v>
      </c>
      <c r="HW212">
        <v>0</v>
      </c>
      <c r="HZ212">
        <v>0</v>
      </c>
      <c r="IA212">
        <v>0</v>
      </c>
      <c r="ID212">
        <v>0</v>
      </c>
      <c r="IE212">
        <v>0</v>
      </c>
      <c r="IH212">
        <v>0</v>
      </c>
      <c r="II212">
        <v>0</v>
      </c>
      <c r="IL212">
        <v>0</v>
      </c>
      <c r="IM212">
        <v>0</v>
      </c>
      <c r="IP212">
        <v>0</v>
      </c>
      <c r="IQ212">
        <v>0</v>
      </c>
      <c r="IT212">
        <v>0</v>
      </c>
      <c r="IU212">
        <v>0</v>
      </c>
      <c r="IX212">
        <v>0</v>
      </c>
      <c r="IY212">
        <f t="shared" ca="1" si="17"/>
        <v>9</v>
      </c>
      <c r="IZ212">
        <f t="shared" ca="1" si="17"/>
        <v>0</v>
      </c>
      <c r="JA212">
        <f t="shared" ca="1" si="17"/>
        <v>0</v>
      </c>
      <c r="JB212">
        <f t="shared" ca="1" si="17"/>
        <v>9</v>
      </c>
    </row>
    <row r="213" spans="1:262" x14ac:dyDescent="0.25">
      <c r="A213" s="167">
        <v>210</v>
      </c>
      <c r="B213" s="167" t="s">
        <v>344</v>
      </c>
      <c r="C213">
        <v>1</v>
      </c>
      <c r="F213">
        <v>1</v>
      </c>
      <c r="G213">
        <v>1</v>
      </c>
      <c r="J213">
        <v>1</v>
      </c>
      <c r="K213">
        <v>1</v>
      </c>
      <c r="N213">
        <v>1</v>
      </c>
      <c r="O213">
        <v>0</v>
      </c>
      <c r="R213">
        <v>0</v>
      </c>
      <c r="S213">
        <v>0</v>
      </c>
      <c r="V213">
        <v>0</v>
      </c>
      <c r="W213">
        <v>2</v>
      </c>
      <c r="Z213">
        <v>2</v>
      </c>
      <c r="AA213">
        <v>0</v>
      </c>
      <c r="AD213">
        <v>0</v>
      </c>
      <c r="AE213">
        <v>0</v>
      </c>
      <c r="AH213">
        <v>0</v>
      </c>
      <c r="AI213">
        <v>0</v>
      </c>
      <c r="AL213">
        <v>0</v>
      </c>
      <c r="AM213">
        <v>0</v>
      </c>
      <c r="AP213">
        <v>0</v>
      </c>
      <c r="AQ213">
        <v>0</v>
      </c>
      <c r="AT213">
        <v>0</v>
      </c>
      <c r="AU213">
        <v>1</v>
      </c>
      <c r="AX213">
        <v>1</v>
      </c>
      <c r="AY213">
        <v>0</v>
      </c>
      <c r="BB213">
        <v>0</v>
      </c>
      <c r="BC213">
        <v>0</v>
      </c>
      <c r="BF213">
        <v>0</v>
      </c>
      <c r="BG213">
        <v>0</v>
      </c>
      <c r="BJ213">
        <v>0</v>
      </c>
      <c r="BK213">
        <v>1</v>
      </c>
      <c r="BN213">
        <v>1</v>
      </c>
      <c r="BO213">
        <v>0</v>
      </c>
      <c r="BR213">
        <v>0</v>
      </c>
      <c r="BS213">
        <v>1</v>
      </c>
      <c r="BV213">
        <v>1</v>
      </c>
      <c r="BW213">
        <v>0</v>
      </c>
      <c r="BZ213">
        <v>0</v>
      </c>
      <c r="CA213">
        <v>0</v>
      </c>
      <c r="CD213">
        <v>0</v>
      </c>
      <c r="CE213">
        <v>0</v>
      </c>
      <c r="CH213">
        <v>0</v>
      </c>
      <c r="CI213">
        <v>0</v>
      </c>
      <c r="CL213">
        <v>0</v>
      </c>
      <c r="CM213">
        <v>0</v>
      </c>
      <c r="CP213">
        <v>0</v>
      </c>
      <c r="CQ213">
        <v>0</v>
      </c>
      <c r="CT213">
        <v>0</v>
      </c>
      <c r="CU213">
        <v>0</v>
      </c>
      <c r="CX213">
        <v>0</v>
      </c>
      <c r="CY213">
        <v>0</v>
      </c>
      <c r="DB213">
        <v>0</v>
      </c>
      <c r="DC213">
        <v>0</v>
      </c>
      <c r="DF213">
        <v>0</v>
      </c>
      <c r="DG213">
        <v>0</v>
      </c>
      <c r="DJ213">
        <v>0</v>
      </c>
      <c r="DK213">
        <v>0</v>
      </c>
      <c r="DN213">
        <v>0</v>
      </c>
      <c r="DO213">
        <v>0</v>
      </c>
      <c r="DR213">
        <v>0</v>
      </c>
      <c r="DS213">
        <v>0</v>
      </c>
      <c r="DV213">
        <v>0</v>
      </c>
      <c r="DW213">
        <v>0</v>
      </c>
      <c r="DZ213">
        <v>0</v>
      </c>
      <c r="EA213">
        <v>0</v>
      </c>
      <c r="ED213">
        <v>0</v>
      </c>
      <c r="EE213">
        <v>0</v>
      </c>
      <c r="EH213">
        <v>0</v>
      </c>
      <c r="EI213">
        <v>0</v>
      </c>
      <c r="EL213">
        <v>0</v>
      </c>
      <c r="EM213">
        <v>0</v>
      </c>
      <c r="EP213">
        <v>0</v>
      </c>
      <c r="EQ213">
        <v>0</v>
      </c>
      <c r="ET213">
        <v>0</v>
      </c>
      <c r="EU213">
        <v>0</v>
      </c>
      <c r="EX213">
        <v>0</v>
      </c>
      <c r="EY213">
        <v>0</v>
      </c>
      <c r="FB213">
        <v>0</v>
      </c>
      <c r="FC213">
        <v>0</v>
      </c>
      <c r="FF213">
        <v>0</v>
      </c>
      <c r="FG213">
        <v>0</v>
      </c>
      <c r="FJ213">
        <v>0</v>
      </c>
      <c r="FK213">
        <v>0</v>
      </c>
      <c r="FN213">
        <v>0</v>
      </c>
      <c r="FO213">
        <v>0</v>
      </c>
      <c r="FR213">
        <v>0</v>
      </c>
      <c r="FS213">
        <v>0</v>
      </c>
      <c r="FV213">
        <v>0</v>
      </c>
      <c r="FW213">
        <v>0</v>
      </c>
      <c r="FZ213">
        <v>0</v>
      </c>
      <c r="GA213">
        <v>0</v>
      </c>
      <c r="GD213">
        <v>0</v>
      </c>
      <c r="GE213">
        <v>0</v>
      </c>
      <c r="GH213">
        <v>0</v>
      </c>
      <c r="GI213">
        <v>1</v>
      </c>
      <c r="GL213">
        <v>1</v>
      </c>
      <c r="GM213">
        <v>0</v>
      </c>
      <c r="GP213">
        <v>0</v>
      </c>
      <c r="GQ213">
        <v>0</v>
      </c>
      <c r="GT213">
        <v>0</v>
      </c>
      <c r="GU213">
        <v>0</v>
      </c>
      <c r="GX213">
        <v>0</v>
      </c>
      <c r="GY213">
        <v>0</v>
      </c>
      <c r="HB213">
        <v>0</v>
      </c>
      <c r="HC213">
        <v>0</v>
      </c>
      <c r="HF213">
        <v>0</v>
      </c>
      <c r="HG213">
        <v>0</v>
      </c>
      <c r="HJ213">
        <v>0</v>
      </c>
      <c r="HK213">
        <v>0</v>
      </c>
      <c r="HN213">
        <v>0</v>
      </c>
      <c r="HO213">
        <v>0</v>
      </c>
      <c r="HR213">
        <v>0</v>
      </c>
      <c r="HS213">
        <v>0</v>
      </c>
      <c r="HV213">
        <v>0</v>
      </c>
      <c r="HW213">
        <v>0</v>
      </c>
      <c r="HZ213">
        <v>0</v>
      </c>
      <c r="IA213">
        <v>0</v>
      </c>
      <c r="ID213">
        <v>0</v>
      </c>
      <c r="IE213">
        <v>0</v>
      </c>
      <c r="IH213">
        <v>0</v>
      </c>
      <c r="II213">
        <v>0</v>
      </c>
      <c r="IL213">
        <v>0</v>
      </c>
      <c r="IM213">
        <v>0</v>
      </c>
      <c r="IP213">
        <v>0</v>
      </c>
      <c r="IQ213">
        <v>0</v>
      </c>
      <c r="IT213">
        <v>0</v>
      </c>
      <c r="IU213">
        <v>0</v>
      </c>
      <c r="IX213">
        <v>0</v>
      </c>
      <c r="IY213">
        <f t="shared" ca="1" si="17"/>
        <v>3</v>
      </c>
      <c r="IZ213">
        <f t="shared" ca="1" si="17"/>
        <v>0</v>
      </c>
      <c r="JA213">
        <f t="shared" ca="1" si="17"/>
        <v>0</v>
      </c>
      <c r="JB213">
        <f t="shared" ca="1" si="17"/>
        <v>3</v>
      </c>
    </row>
    <row r="214" spans="1:262" x14ac:dyDescent="0.25">
      <c r="A214" s="167">
        <v>211</v>
      </c>
      <c r="B214" s="167" t="s">
        <v>325</v>
      </c>
      <c r="C214">
        <v>0</v>
      </c>
      <c r="F214">
        <v>0</v>
      </c>
      <c r="G214">
        <v>0</v>
      </c>
      <c r="J214">
        <v>0</v>
      </c>
      <c r="K214">
        <v>1</v>
      </c>
      <c r="N214">
        <v>1</v>
      </c>
      <c r="O214">
        <v>0</v>
      </c>
      <c r="R214">
        <v>0</v>
      </c>
      <c r="S214">
        <v>0</v>
      </c>
      <c r="V214">
        <v>0</v>
      </c>
      <c r="W214">
        <v>0</v>
      </c>
      <c r="Z214">
        <v>0</v>
      </c>
      <c r="AA214">
        <v>0</v>
      </c>
      <c r="AD214">
        <v>0</v>
      </c>
      <c r="AE214">
        <v>0</v>
      </c>
      <c r="AH214">
        <v>0</v>
      </c>
      <c r="AI214">
        <v>0</v>
      </c>
      <c r="AL214">
        <v>0</v>
      </c>
      <c r="AM214">
        <v>0</v>
      </c>
      <c r="AP214">
        <v>0</v>
      </c>
      <c r="AQ214">
        <v>1</v>
      </c>
      <c r="AT214">
        <v>1</v>
      </c>
      <c r="AU214">
        <v>0</v>
      </c>
      <c r="AX214">
        <v>0</v>
      </c>
      <c r="AY214">
        <v>0</v>
      </c>
      <c r="BB214">
        <v>0</v>
      </c>
      <c r="BC214">
        <v>0</v>
      </c>
      <c r="BF214">
        <v>0</v>
      </c>
      <c r="BG214">
        <v>0</v>
      </c>
      <c r="BJ214">
        <v>0</v>
      </c>
      <c r="BK214">
        <v>0</v>
      </c>
      <c r="BN214">
        <v>0</v>
      </c>
      <c r="BO214">
        <v>0</v>
      </c>
      <c r="BR214">
        <v>0</v>
      </c>
      <c r="BS214">
        <v>0</v>
      </c>
      <c r="BV214">
        <v>0</v>
      </c>
      <c r="BW214">
        <v>0</v>
      </c>
      <c r="BZ214">
        <v>0</v>
      </c>
      <c r="CA214">
        <v>0</v>
      </c>
      <c r="CD214">
        <v>0</v>
      </c>
      <c r="CE214">
        <v>0</v>
      </c>
      <c r="CH214">
        <v>0</v>
      </c>
      <c r="CI214">
        <v>0</v>
      </c>
      <c r="CL214">
        <v>0</v>
      </c>
      <c r="CM214">
        <v>0</v>
      </c>
      <c r="CP214">
        <v>0</v>
      </c>
      <c r="CQ214">
        <v>0</v>
      </c>
      <c r="CT214">
        <v>0</v>
      </c>
      <c r="CU214">
        <v>0</v>
      </c>
      <c r="CX214">
        <v>0</v>
      </c>
      <c r="CY214">
        <v>0</v>
      </c>
      <c r="DB214">
        <v>0</v>
      </c>
      <c r="DC214">
        <v>0</v>
      </c>
      <c r="DF214">
        <v>0</v>
      </c>
      <c r="DG214">
        <v>0</v>
      </c>
      <c r="DJ214">
        <v>0</v>
      </c>
      <c r="DK214">
        <v>0</v>
      </c>
      <c r="DN214">
        <v>0</v>
      </c>
      <c r="DO214">
        <v>0</v>
      </c>
      <c r="DR214">
        <v>0</v>
      </c>
      <c r="DS214">
        <v>0</v>
      </c>
      <c r="DV214">
        <v>0</v>
      </c>
      <c r="DW214">
        <v>0</v>
      </c>
      <c r="DZ214">
        <v>0</v>
      </c>
      <c r="EA214">
        <v>0</v>
      </c>
      <c r="ED214">
        <v>0</v>
      </c>
      <c r="EE214">
        <v>0</v>
      </c>
      <c r="EH214">
        <v>0</v>
      </c>
      <c r="EI214">
        <v>0</v>
      </c>
      <c r="EL214">
        <v>0</v>
      </c>
      <c r="EM214">
        <v>0</v>
      </c>
      <c r="EP214">
        <v>0</v>
      </c>
      <c r="EQ214">
        <v>0</v>
      </c>
      <c r="ET214">
        <v>0</v>
      </c>
      <c r="EU214">
        <v>0</v>
      </c>
      <c r="EX214">
        <v>0</v>
      </c>
      <c r="EY214">
        <v>0</v>
      </c>
      <c r="FB214">
        <v>0</v>
      </c>
      <c r="FC214">
        <v>0</v>
      </c>
      <c r="FF214">
        <v>0</v>
      </c>
      <c r="FG214">
        <v>0</v>
      </c>
      <c r="FJ214">
        <v>0</v>
      </c>
      <c r="FK214">
        <v>0</v>
      </c>
      <c r="FN214">
        <v>0</v>
      </c>
      <c r="FO214">
        <v>0</v>
      </c>
      <c r="FR214">
        <v>0</v>
      </c>
      <c r="FS214">
        <v>0</v>
      </c>
      <c r="FV214">
        <v>0</v>
      </c>
      <c r="FW214">
        <v>0</v>
      </c>
      <c r="FZ214">
        <v>0</v>
      </c>
      <c r="GA214">
        <v>0</v>
      </c>
      <c r="GD214">
        <v>0</v>
      </c>
      <c r="GE214">
        <v>1</v>
      </c>
      <c r="GH214">
        <v>1</v>
      </c>
      <c r="GI214">
        <v>0</v>
      </c>
      <c r="GL214">
        <v>0</v>
      </c>
      <c r="GM214">
        <v>0</v>
      </c>
      <c r="GP214">
        <v>0</v>
      </c>
      <c r="GQ214">
        <v>0</v>
      </c>
      <c r="GT214">
        <v>0</v>
      </c>
      <c r="GU214">
        <v>0</v>
      </c>
      <c r="GX214">
        <v>0</v>
      </c>
      <c r="GY214">
        <v>0</v>
      </c>
      <c r="HB214">
        <v>0</v>
      </c>
      <c r="HC214">
        <v>0</v>
      </c>
      <c r="HF214">
        <v>0</v>
      </c>
      <c r="HG214">
        <v>0</v>
      </c>
      <c r="HJ214">
        <v>0</v>
      </c>
      <c r="HK214">
        <v>0</v>
      </c>
      <c r="HN214">
        <v>0</v>
      </c>
      <c r="HO214">
        <v>0</v>
      </c>
      <c r="HR214">
        <v>0</v>
      </c>
      <c r="HS214">
        <v>0</v>
      </c>
      <c r="HV214">
        <v>0</v>
      </c>
      <c r="HW214">
        <v>0</v>
      </c>
      <c r="HZ214">
        <v>0</v>
      </c>
      <c r="IA214">
        <v>0</v>
      </c>
      <c r="ID214">
        <v>0</v>
      </c>
      <c r="IE214">
        <v>0</v>
      </c>
      <c r="IH214">
        <v>0</v>
      </c>
      <c r="II214">
        <v>0</v>
      </c>
      <c r="IL214">
        <v>0</v>
      </c>
      <c r="IM214">
        <v>0</v>
      </c>
      <c r="IP214">
        <v>0</v>
      </c>
      <c r="IQ214">
        <v>0</v>
      </c>
      <c r="IT214">
        <v>0</v>
      </c>
      <c r="IU214">
        <v>0</v>
      </c>
      <c r="IX214">
        <v>0</v>
      </c>
      <c r="IY214">
        <f t="shared" ca="1" si="17"/>
        <v>1</v>
      </c>
      <c r="IZ214">
        <f t="shared" ca="1" si="17"/>
        <v>0</v>
      </c>
      <c r="JA214">
        <f t="shared" ca="1" si="17"/>
        <v>0</v>
      </c>
      <c r="JB214">
        <f t="shared" ca="1" si="17"/>
        <v>1</v>
      </c>
    </row>
    <row r="215" spans="1:262" x14ac:dyDescent="0.25">
      <c r="A215" s="167">
        <v>212</v>
      </c>
      <c r="B215" s="167" t="s">
        <v>351</v>
      </c>
      <c r="C215">
        <v>0</v>
      </c>
      <c r="F215">
        <v>0</v>
      </c>
      <c r="G215">
        <v>1</v>
      </c>
      <c r="J215">
        <v>1</v>
      </c>
      <c r="K215">
        <v>0</v>
      </c>
      <c r="N215">
        <v>0</v>
      </c>
      <c r="O215">
        <v>0</v>
      </c>
      <c r="R215">
        <v>0</v>
      </c>
      <c r="S215">
        <v>0</v>
      </c>
      <c r="V215">
        <v>0</v>
      </c>
      <c r="W215">
        <v>0</v>
      </c>
      <c r="Z215">
        <v>0</v>
      </c>
      <c r="AA215">
        <v>1</v>
      </c>
      <c r="AD215">
        <v>1</v>
      </c>
      <c r="AE215">
        <v>0</v>
      </c>
      <c r="AH215">
        <v>0</v>
      </c>
      <c r="AI215">
        <v>0</v>
      </c>
      <c r="AL215">
        <v>0</v>
      </c>
      <c r="AM215">
        <v>0</v>
      </c>
      <c r="AP215">
        <v>0</v>
      </c>
      <c r="AQ215">
        <v>0</v>
      </c>
      <c r="AT215">
        <v>0</v>
      </c>
      <c r="AU215">
        <v>0</v>
      </c>
      <c r="AX215">
        <v>0</v>
      </c>
      <c r="AY215">
        <v>0</v>
      </c>
      <c r="BB215">
        <v>0</v>
      </c>
      <c r="BC215">
        <v>0</v>
      </c>
      <c r="BF215">
        <v>0</v>
      </c>
      <c r="BG215">
        <v>0</v>
      </c>
      <c r="BJ215">
        <v>0</v>
      </c>
      <c r="BK215">
        <v>0</v>
      </c>
      <c r="BN215">
        <v>0</v>
      </c>
      <c r="BO215">
        <v>0</v>
      </c>
      <c r="BR215">
        <v>0</v>
      </c>
      <c r="BS215">
        <v>0</v>
      </c>
      <c r="BV215">
        <v>0</v>
      </c>
      <c r="BW215">
        <v>0</v>
      </c>
      <c r="BZ215">
        <v>0</v>
      </c>
      <c r="CA215">
        <v>1</v>
      </c>
      <c r="CD215">
        <v>1</v>
      </c>
      <c r="CE215">
        <v>0</v>
      </c>
      <c r="CH215">
        <v>0</v>
      </c>
      <c r="CI215">
        <v>0</v>
      </c>
      <c r="CL215">
        <v>0</v>
      </c>
      <c r="CM215">
        <v>0</v>
      </c>
      <c r="CP215">
        <v>0</v>
      </c>
      <c r="CQ215">
        <v>0</v>
      </c>
      <c r="CT215">
        <v>0</v>
      </c>
      <c r="CU215">
        <v>0</v>
      </c>
      <c r="CX215">
        <v>0</v>
      </c>
      <c r="CY215">
        <v>0</v>
      </c>
      <c r="DB215">
        <v>0</v>
      </c>
      <c r="DC215">
        <v>0</v>
      </c>
      <c r="DF215">
        <v>0</v>
      </c>
      <c r="DG215">
        <v>0</v>
      </c>
      <c r="DJ215">
        <v>0</v>
      </c>
      <c r="DK215">
        <v>0</v>
      </c>
      <c r="DN215">
        <v>0</v>
      </c>
      <c r="DO215">
        <v>0</v>
      </c>
      <c r="DR215">
        <v>0</v>
      </c>
      <c r="DS215">
        <v>0</v>
      </c>
      <c r="DV215">
        <v>0</v>
      </c>
      <c r="DW215">
        <v>0</v>
      </c>
      <c r="DZ215">
        <v>0</v>
      </c>
      <c r="EA215">
        <v>0</v>
      </c>
      <c r="ED215">
        <v>0</v>
      </c>
      <c r="EE215">
        <v>0</v>
      </c>
      <c r="EH215">
        <v>0</v>
      </c>
      <c r="EI215">
        <v>0</v>
      </c>
      <c r="EL215">
        <v>0</v>
      </c>
      <c r="EM215">
        <v>0</v>
      </c>
      <c r="EP215">
        <v>0</v>
      </c>
      <c r="EQ215">
        <v>0</v>
      </c>
      <c r="ET215">
        <v>0</v>
      </c>
      <c r="EU215">
        <v>0</v>
      </c>
      <c r="EX215">
        <v>0</v>
      </c>
      <c r="EY215">
        <v>0</v>
      </c>
      <c r="FB215">
        <v>0</v>
      </c>
      <c r="FC215">
        <v>0</v>
      </c>
      <c r="FF215">
        <v>0</v>
      </c>
      <c r="FG215">
        <v>0</v>
      </c>
      <c r="FJ215">
        <v>0</v>
      </c>
      <c r="FK215">
        <v>0</v>
      </c>
      <c r="FN215">
        <v>0</v>
      </c>
      <c r="FO215">
        <v>0</v>
      </c>
      <c r="FR215">
        <v>0</v>
      </c>
      <c r="FS215">
        <v>0</v>
      </c>
      <c r="FV215">
        <v>0</v>
      </c>
      <c r="FW215">
        <v>0</v>
      </c>
      <c r="FZ215">
        <v>0</v>
      </c>
      <c r="GA215">
        <v>0</v>
      </c>
      <c r="GD215">
        <v>0</v>
      </c>
      <c r="GE215">
        <v>0</v>
      </c>
      <c r="GH215">
        <v>0</v>
      </c>
      <c r="GI215">
        <v>0</v>
      </c>
      <c r="GL215">
        <v>0</v>
      </c>
      <c r="GM215">
        <v>0</v>
      </c>
      <c r="GP215">
        <v>0</v>
      </c>
      <c r="GQ215">
        <v>0</v>
      </c>
      <c r="GT215">
        <v>0</v>
      </c>
      <c r="GU215">
        <v>0</v>
      </c>
      <c r="GX215">
        <v>0</v>
      </c>
      <c r="GY215">
        <v>0</v>
      </c>
      <c r="HB215">
        <v>0</v>
      </c>
      <c r="HC215">
        <v>0</v>
      </c>
      <c r="HF215">
        <v>0</v>
      </c>
      <c r="HG215">
        <v>0</v>
      </c>
      <c r="HJ215">
        <v>0</v>
      </c>
      <c r="HK215">
        <v>0</v>
      </c>
      <c r="HN215">
        <v>0</v>
      </c>
      <c r="HO215">
        <v>0</v>
      </c>
      <c r="HR215">
        <v>0</v>
      </c>
      <c r="HS215">
        <v>0</v>
      </c>
      <c r="HV215">
        <v>0</v>
      </c>
      <c r="HW215">
        <v>0</v>
      </c>
      <c r="HZ215">
        <v>0</v>
      </c>
      <c r="IA215">
        <v>0</v>
      </c>
      <c r="ID215">
        <v>0</v>
      </c>
      <c r="IE215">
        <v>0</v>
      </c>
      <c r="IH215">
        <v>0</v>
      </c>
      <c r="II215">
        <v>0</v>
      </c>
      <c r="IL215">
        <v>0</v>
      </c>
      <c r="IM215">
        <v>0</v>
      </c>
      <c r="IP215">
        <v>0</v>
      </c>
      <c r="IQ215">
        <v>0</v>
      </c>
      <c r="IT215">
        <v>0</v>
      </c>
      <c r="IU215">
        <v>0</v>
      </c>
      <c r="IX215">
        <v>0</v>
      </c>
      <c r="IY215">
        <f t="shared" ca="1" si="17"/>
        <v>1</v>
      </c>
      <c r="IZ215">
        <f t="shared" ca="1" si="17"/>
        <v>0</v>
      </c>
      <c r="JA215">
        <f t="shared" ca="1" si="17"/>
        <v>0</v>
      </c>
      <c r="JB215">
        <f t="shared" ca="1" si="17"/>
        <v>1</v>
      </c>
    </row>
    <row r="216" spans="1:262" x14ac:dyDescent="0.25">
      <c r="A216" s="167">
        <v>213</v>
      </c>
      <c r="B216" s="167" t="s">
        <v>352</v>
      </c>
      <c r="C216">
        <v>0</v>
      </c>
      <c r="F216">
        <v>0</v>
      </c>
      <c r="G216">
        <v>1</v>
      </c>
      <c r="J216">
        <v>1</v>
      </c>
      <c r="K216">
        <v>1</v>
      </c>
      <c r="N216">
        <v>1</v>
      </c>
      <c r="O216">
        <v>1</v>
      </c>
      <c r="R216">
        <v>1</v>
      </c>
      <c r="S216">
        <v>0</v>
      </c>
      <c r="V216">
        <v>0</v>
      </c>
      <c r="W216">
        <v>0</v>
      </c>
      <c r="Z216">
        <v>0</v>
      </c>
      <c r="AA216">
        <v>1</v>
      </c>
      <c r="AD216">
        <v>1</v>
      </c>
      <c r="AE216">
        <v>0</v>
      </c>
      <c r="AH216">
        <v>0</v>
      </c>
      <c r="AI216">
        <v>0</v>
      </c>
      <c r="AL216">
        <v>0</v>
      </c>
      <c r="AM216">
        <v>0</v>
      </c>
      <c r="AP216">
        <v>0</v>
      </c>
      <c r="AQ216">
        <v>0</v>
      </c>
      <c r="AT216">
        <v>0</v>
      </c>
      <c r="AU216">
        <v>1</v>
      </c>
      <c r="AX216">
        <v>1</v>
      </c>
      <c r="AY216">
        <v>0</v>
      </c>
      <c r="BB216">
        <v>0</v>
      </c>
      <c r="BC216">
        <v>0</v>
      </c>
      <c r="BF216">
        <v>0</v>
      </c>
      <c r="BG216">
        <v>1</v>
      </c>
      <c r="BJ216">
        <v>1</v>
      </c>
      <c r="BK216">
        <v>0</v>
      </c>
      <c r="BN216">
        <v>0</v>
      </c>
      <c r="BO216">
        <v>0</v>
      </c>
      <c r="BR216">
        <v>0</v>
      </c>
      <c r="BS216">
        <v>0</v>
      </c>
      <c r="BV216">
        <v>0</v>
      </c>
      <c r="BW216">
        <v>0</v>
      </c>
      <c r="BZ216">
        <v>0</v>
      </c>
      <c r="CA216">
        <v>1</v>
      </c>
      <c r="CD216">
        <v>1</v>
      </c>
      <c r="CE216">
        <v>0</v>
      </c>
      <c r="CH216">
        <v>0</v>
      </c>
      <c r="CI216">
        <v>0</v>
      </c>
      <c r="CL216">
        <v>0</v>
      </c>
      <c r="CM216">
        <v>0</v>
      </c>
      <c r="CP216">
        <v>0</v>
      </c>
      <c r="CQ216">
        <v>0</v>
      </c>
      <c r="CT216">
        <v>0</v>
      </c>
      <c r="CU216">
        <v>0</v>
      </c>
      <c r="CX216">
        <v>0</v>
      </c>
      <c r="CY216">
        <v>0</v>
      </c>
      <c r="DB216">
        <v>0</v>
      </c>
      <c r="DC216">
        <v>0</v>
      </c>
      <c r="DF216">
        <v>0</v>
      </c>
      <c r="DG216">
        <v>0</v>
      </c>
      <c r="DJ216">
        <v>0</v>
      </c>
      <c r="DK216">
        <v>0</v>
      </c>
      <c r="DN216">
        <v>0</v>
      </c>
      <c r="DO216">
        <v>0</v>
      </c>
      <c r="DR216">
        <v>0</v>
      </c>
      <c r="DS216">
        <v>0</v>
      </c>
      <c r="DV216">
        <v>0</v>
      </c>
      <c r="DW216">
        <v>0</v>
      </c>
      <c r="DZ216">
        <v>0</v>
      </c>
      <c r="EA216">
        <v>0</v>
      </c>
      <c r="ED216">
        <v>0</v>
      </c>
      <c r="EE216">
        <v>0</v>
      </c>
      <c r="EH216">
        <v>0</v>
      </c>
      <c r="EI216">
        <v>0</v>
      </c>
      <c r="EL216">
        <v>0</v>
      </c>
      <c r="EM216">
        <v>0</v>
      </c>
      <c r="EP216">
        <v>0</v>
      </c>
      <c r="EQ216">
        <v>0</v>
      </c>
      <c r="ET216">
        <v>0</v>
      </c>
      <c r="EU216">
        <v>0</v>
      </c>
      <c r="EX216">
        <v>0</v>
      </c>
      <c r="EY216">
        <v>0</v>
      </c>
      <c r="FB216">
        <v>0</v>
      </c>
      <c r="FC216">
        <v>0</v>
      </c>
      <c r="FF216">
        <v>0</v>
      </c>
      <c r="FG216">
        <v>0</v>
      </c>
      <c r="FJ216">
        <v>0</v>
      </c>
      <c r="FK216">
        <v>0</v>
      </c>
      <c r="FN216">
        <v>0</v>
      </c>
      <c r="FO216">
        <v>0</v>
      </c>
      <c r="FR216">
        <v>0</v>
      </c>
      <c r="FS216">
        <v>0</v>
      </c>
      <c r="FV216">
        <v>0</v>
      </c>
      <c r="FW216">
        <v>0</v>
      </c>
      <c r="FZ216">
        <v>0</v>
      </c>
      <c r="GA216">
        <v>0</v>
      </c>
      <c r="GD216">
        <v>0</v>
      </c>
      <c r="GE216">
        <v>0</v>
      </c>
      <c r="GH216">
        <v>0</v>
      </c>
      <c r="GI216">
        <v>0</v>
      </c>
      <c r="GL216">
        <v>0</v>
      </c>
      <c r="GM216">
        <v>0</v>
      </c>
      <c r="GP216">
        <v>0</v>
      </c>
      <c r="GQ216">
        <v>0</v>
      </c>
      <c r="GT216">
        <v>0</v>
      </c>
      <c r="GU216">
        <v>1</v>
      </c>
      <c r="GX216">
        <v>1</v>
      </c>
      <c r="GY216">
        <v>0</v>
      </c>
      <c r="HB216">
        <v>0</v>
      </c>
      <c r="HC216">
        <v>0</v>
      </c>
      <c r="HF216">
        <v>0</v>
      </c>
      <c r="HG216">
        <v>0</v>
      </c>
      <c r="HJ216">
        <v>0</v>
      </c>
      <c r="HK216">
        <v>0</v>
      </c>
      <c r="HN216">
        <v>0</v>
      </c>
      <c r="HO216">
        <v>0</v>
      </c>
      <c r="HR216">
        <v>0</v>
      </c>
      <c r="HS216">
        <v>0</v>
      </c>
      <c r="HV216">
        <v>0</v>
      </c>
      <c r="HW216">
        <v>0</v>
      </c>
      <c r="HZ216">
        <v>0</v>
      </c>
      <c r="IA216">
        <v>0</v>
      </c>
      <c r="ID216">
        <v>0</v>
      </c>
      <c r="IE216">
        <v>1</v>
      </c>
      <c r="IH216">
        <v>1</v>
      </c>
      <c r="II216">
        <v>0</v>
      </c>
      <c r="IL216">
        <v>0</v>
      </c>
      <c r="IM216">
        <v>0</v>
      </c>
      <c r="IP216">
        <v>0</v>
      </c>
      <c r="IQ216">
        <v>0</v>
      </c>
      <c r="IT216">
        <v>0</v>
      </c>
      <c r="IU216">
        <v>0</v>
      </c>
      <c r="IX216">
        <v>0</v>
      </c>
      <c r="IY216">
        <f t="shared" ca="1" si="17"/>
        <v>3</v>
      </c>
      <c r="IZ216">
        <f t="shared" ca="1" si="17"/>
        <v>0</v>
      </c>
      <c r="JA216">
        <f t="shared" ca="1" si="17"/>
        <v>0</v>
      </c>
      <c r="JB216">
        <f t="shared" ca="1" si="17"/>
        <v>3</v>
      </c>
    </row>
    <row r="217" spans="1:262" x14ac:dyDescent="0.25">
      <c r="A217" s="167">
        <v>214</v>
      </c>
      <c r="B217" s="167" t="s">
        <v>332</v>
      </c>
      <c r="C217">
        <v>0</v>
      </c>
      <c r="F217">
        <v>0</v>
      </c>
      <c r="G217">
        <v>0</v>
      </c>
      <c r="J217">
        <v>0</v>
      </c>
      <c r="K217">
        <v>2</v>
      </c>
      <c r="N217">
        <v>2</v>
      </c>
      <c r="O217">
        <v>1</v>
      </c>
      <c r="R217">
        <v>1</v>
      </c>
      <c r="S217">
        <v>0</v>
      </c>
      <c r="V217">
        <v>0</v>
      </c>
      <c r="W217">
        <v>1</v>
      </c>
      <c r="Z217">
        <v>1</v>
      </c>
      <c r="AA217">
        <v>0</v>
      </c>
      <c r="AD217">
        <v>0</v>
      </c>
      <c r="AE217">
        <v>0</v>
      </c>
      <c r="AH217">
        <v>0</v>
      </c>
      <c r="AI217">
        <v>0</v>
      </c>
      <c r="AL217">
        <v>0</v>
      </c>
      <c r="AM217">
        <v>0</v>
      </c>
      <c r="AP217">
        <v>0</v>
      </c>
      <c r="AQ217">
        <v>0</v>
      </c>
      <c r="AT217">
        <v>0</v>
      </c>
      <c r="AU217">
        <v>1</v>
      </c>
      <c r="AX217">
        <v>1</v>
      </c>
      <c r="AY217">
        <v>0</v>
      </c>
      <c r="BB217">
        <v>0</v>
      </c>
      <c r="BC217">
        <v>0</v>
      </c>
      <c r="BF217">
        <v>0</v>
      </c>
      <c r="BG217">
        <v>1</v>
      </c>
      <c r="BJ217">
        <v>1</v>
      </c>
      <c r="BK217">
        <v>0</v>
      </c>
      <c r="BN217">
        <v>0</v>
      </c>
      <c r="BO217">
        <v>0</v>
      </c>
      <c r="BR217">
        <v>0</v>
      </c>
      <c r="BS217">
        <v>0</v>
      </c>
      <c r="BV217">
        <v>0</v>
      </c>
      <c r="BW217">
        <v>0</v>
      </c>
      <c r="BZ217">
        <v>0</v>
      </c>
      <c r="CA217">
        <v>0</v>
      </c>
      <c r="CD217">
        <v>0</v>
      </c>
      <c r="CE217">
        <v>0</v>
      </c>
      <c r="CH217">
        <v>0</v>
      </c>
      <c r="CI217">
        <v>0</v>
      </c>
      <c r="CL217">
        <v>0</v>
      </c>
      <c r="CM217">
        <v>0</v>
      </c>
      <c r="CP217">
        <v>0</v>
      </c>
      <c r="CQ217">
        <v>0</v>
      </c>
      <c r="CT217">
        <v>0</v>
      </c>
      <c r="CU217">
        <v>0</v>
      </c>
      <c r="CX217">
        <v>0</v>
      </c>
      <c r="CY217">
        <v>0</v>
      </c>
      <c r="DB217">
        <v>0</v>
      </c>
      <c r="DC217">
        <v>0</v>
      </c>
      <c r="DF217">
        <v>0</v>
      </c>
      <c r="DG217">
        <v>0</v>
      </c>
      <c r="DJ217">
        <v>0</v>
      </c>
      <c r="DK217">
        <v>0</v>
      </c>
      <c r="DN217">
        <v>0</v>
      </c>
      <c r="DO217">
        <v>0</v>
      </c>
      <c r="DR217">
        <v>0</v>
      </c>
      <c r="DS217">
        <v>0</v>
      </c>
      <c r="DV217">
        <v>0</v>
      </c>
      <c r="DW217">
        <v>0</v>
      </c>
      <c r="DZ217">
        <v>0</v>
      </c>
      <c r="EA217">
        <v>0</v>
      </c>
      <c r="ED217">
        <v>0</v>
      </c>
      <c r="EE217">
        <v>0</v>
      </c>
      <c r="EH217">
        <v>0</v>
      </c>
      <c r="EI217">
        <v>0</v>
      </c>
      <c r="EL217">
        <v>0</v>
      </c>
      <c r="EM217">
        <v>0</v>
      </c>
      <c r="EP217">
        <v>0</v>
      </c>
      <c r="EQ217">
        <v>0</v>
      </c>
      <c r="ET217">
        <v>0</v>
      </c>
      <c r="EU217">
        <v>0</v>
      </c>
      <c r="EX217">
        <v>0</v>
      </c>
      <c r="EY217">
        <v>0</v>
      </c>
      <c r="FB217">
        <v>0</v>
      </c>
      <c r="FC217">
        <v>0</v>
      </c>
      <c r="FF217">
        <v>0</v>
      </c>
      <c r="FG217">
        <v>0</v>
      </c>
      <c r="FJ217">
        <v>0</v>
      </c>
      <c r="FK217">
        <v>0</v>
      </c>
      <c r="FN217">
        <v>0</v>
      </c>
      <c r="FO217">
        <v>1</v>
      </c>
      <c r="FR217">
        <v>1</v>
      </c>
      <c r="FS217">
        <v>0</v>
      </c>
      <c r="FV217">
        <v>0</v>
      </c>
      <c r="FW217">
        <v>0</v>
      </c>
      <c r="FZ217">
        <v>0</v>
      </c>
      <c r="GA217">
        <v>0</v>
      </c>
      <c r="GD217">
        <v>0</v>
      </c>
      <c r="GE217">
        <v>0</v>
      </c>
      <c r="GH217">
        <v>0</v>
      </c>
      <c r="GI217">
        <v>1</v>
      </c>
      <c r="GL217">
        <v>1</v>
      </c>
      <c r="GM217">
        <v>0</v>
      </c>
      <c r="GP217">
        <v>0</v>
      </c>
      <c r="GQ217">
        <v>0</v>
      </c>
      <c r="GT217">
        <v>0</v>
      </c>
      <c r="GU217">
        <v>0</v>
      </c>
      <c r="GX217">
        <v>0</v>
      </c>
      <c r="GY217">
        <v>0</v>
      </c>
      <c r="HB217">
        <v>0</v>
      </c>
      <c r="HC217">
        <v>0</v>
      </c>
      <c r="HF217">
        <v>0</v>
      </c>
      <c r="HG217">
        <v>0</v>
      </c>
      <c r="HJ217">
        <v>0</v>
      </c>
      <c r="HK217">
        <v>0</v>
      </c>
      <c r="HN217">
        <v>0</v>
      </c>
      <c r="HO217">
        <v>0</v>
      </c>
      <c r="HR217">
        <v>0</v>
      </c>
      <c r="HS217">
        <v>0</v>
      </c>
      <c r="HV217">
        <v>0</v>
      </c>
      <c r="HW217">
        <v>0</v>
      </c>
      <c r="HZ217">
        <v>0</v>
      </c>
      <c r="IA217">
        <v>0</v>
      </c>
      <c r="ID217">
        <v>0</v>
      </c>
      <c r="IE217">
        <v>0</v>
      </c>
      <c r="IH217">
        <v>0</v>
      </c>
      <c r="II217">
        <v>0</v>
      </c>
      <c r="IL217">
        <v>0</v>
      </c>
      <c r="IM217">
        <v>0</v>
      </c>
      <c r="IP217">
        <v>0</v>
      </c>
      <c r="IQ217">
        <v>1</v>
      </c>
      <c r="IT217">
        <v>1</v>
      </c>
      <c r="IU217">
        <v>0</v>
      </c>
      <c r="IX217">
        <v>0</v>
      </c>
      <c r="IY217">
        <f t="shared" ca="1" si="17"/>
        <v>3</v>
      </c>
      <c r="IZ217">
        <f t="shared" ca="1" si="17"/>
        <v>0</v>
      </c>
      <c r="JA217">
        <f t="shared" ca="1" si="17"/>
        <v>0</v>
      </c>
      <c r="JB217">
        <f t="shared" ca="1" si="17"/>
        <v>3</v>
      </c>
    </row>
    <row r="218" spans="1:262" x14ac:dyDescent="0.25">
      <c r="A218" s="167">
        <v>215</v>
      </c>
      <c r="B218" s="167" t="s">
        <v>333</v>
      </c>
      <c r="C218">
        <v>0</v>
      </c>
      <c r="F218">
        <v>0</v>
      </c>
      <c r="G218">
        <v>1</v>
      </c>
      <c r="J218">
        <v>1</v>
      </c>
      <c r="K218">
        <v>0</v>
      </c>
      <c r="N218">
        <v>0</v>
      </c>
      <c r="O218">
        <v>0</v>
      </c>
      <c r="R218">
        <v>0</v>
      </c>
      <c r="S218">
        <v>0</v>
      </c>
      <c r="V218">
        <v>0</v>
      </c>
      <c r="W218">
        <v>0</v>
      </c>
      <c r="Z218">
        <v>0</v>
      </c>
      <c r="AA218">
        <v>0</v>
      </c>
      <c r="AD218">
        <v>0</v>
      </c>
      <c r="AE218">
        <v>0</v>
      </c>
      <c r="AH218">
        <v>0</v>
      </c>
      <c r="AI218">
        <v>0</v>
      </c>
      <c r="AL218">
        <v>0</v>
      </c>
      <c r="AM218">
        <v>0</v>
      </c>
      <c r="AP218">
        <v>0</v>
      </c>
      <c r="AQ218">
        <v>0</v>
      </c>
      <c r="AT218">
        <v>0</v>
      </c>
      <c r="AU218">
        <v>1</v>
      </c>
      <c r="AX218">
        <v>1</v>
      </c>
      <c r="AY218">
        <v>0</v>
      </c>
      <c r="BB218">
        <v>0</v>
      </c>
      <c r="BC218">
        <v>0</v>
      </c>
      <c r="BF218">
        <v>0</v>
      </c>
      <c r="BG218">
        <v>0</v>
      </c>
      <c r="BJ218">
        <v>0</v>
      </c>
      <c r="BK218">
        <v>0</v>
      </c>
      <c r="BN218">
        <v>0</v>
      </c>
      <c r="BO218">
        <v>0</v>
      </c>
      <c r="BR218">
        <v>0</v>
      </c>
      <c r="BS218">
        <v>0</v>
      </c>
      <c r="BV218">
        <v>0</v>
      </c>
      <c r="BW218">
        <v>0</v>
      </c>
      <c r="BZ218">
        <v>0</v>
      </c>
      <c r="CA218">
        <v>0</v>
      </c>
      <c r="CD218">
        <v>0</v>
      </c>
      <c r="CE218">
        <v>0</v>
      </c>
      <c r="CH218">
        <v>0</v>
      </c>
      <c r="CI218">
        <v>0</v>
      </c>
      <c r="CL218">
        <v>0</v>
      </c>
      <c r="CM218">
        <v>0</v>
      </c>
      <c r="CP218">
        <v>0</v>
      </c>
      <c r="CQ218">
        <v>0</v>
      </c>
      <c r="CT218">
        <v>0</v>
      </c>
      <c r="CU218">
        <v>0</v>
      </c>
      <c r="CX218">
        <v>0</v>
      </c>
      <c r="CY218">
        <v>0</v>
      </c>
      <c r="DB218">
        <v>0</v>
      </c>
      <c r="DC218">
        <v>0</v>
      </c>
      <c r="DF218">
        <v>0</v>
      </c>
      <c r="DG218">
        <v>0</v>
      </c>
      <c r="DJ218">
        <v>0</v>
      </c>
      <c r="DK218">
        <v>0</v>
      </c>
      <c r="DN218">
        <v>0</v>
      </c>
      <c r="DO218">
        <v>0</v>
      </c>
      <c r="DR218">
        <v>0</v>
      </c>
      <c r="DS218">
        <v>0</v>
      </c>
      <c r="DV218">
        <v>0</v>
      </c>
      <c r="DW218">
        <v>0</v>
      </c>
      <c r="DZ218">
        <v>0</v>
      </c>
      <c r="EA218">
        <v>0</v>
      </c>
      <c r="ED218">
        <v>0</v>
      </c>
      <c r="EE218">
        <v>1</v>
      </c>
      <c r="EH218">
        <v>1</v>
      </c>
      <c r="EI218">
        <v>0</v>
      </c>
      <c r="EL218">
        <v>0</v>
      </c>
      <c r="EM218">
        <v>0</v>
      </c>
      <c r="EP218">
        <v>0</v>
      </c>
      <c r="EQ218">
        <v>0</v>
      </c>
      <c r="ET218">
        <v>0</v>
      </c>
      <c r="EU218">
        <v>0</v>
      </c>
      <c r="EX218">
        <v>0</v>
      </c>
      <c r="EY218">
        <v>0</v>
      </c>
      <c r="FB218">
        <v>0</v>
      </c>
      <c r="FC218">
        <v>0</v>
      </c>
      <c r="FF218">
        <v>0</v>
      </c>
      <c r="FG218">
        <v>0</v>
      </c>
      <c r="FJ218">
        <v>0</v>
      </c>
      <c r="FK218">
        <v>0</v>
      </c>
      <c r="FN218">
        <v>0</v>
      </c>
      <c r="FO218">
        <v>0</v>
      </c>
      <c r="FR218">
        <v>0</v>
      </c>
      <c r="FS218">
        <v>0</v>
      </c>
      <c r="FV218">
        <v>0</v>
      </c>
      <c r="FW218">
        <v>0</v>
      </c>
      <c r="FZ218">
        <v>0</v>
      </c>
      <c r="GA218">
        <v>0</v>
      </c>
      <c r="GD218">
        <v>0</v>
      </c>
      <c r="GE218">
        <v>0</v>
      </c>
      <c r="GH218">
        <v>0</v>
      </c>
      <c r="GI218">
        <v>0</v>
      </c>
      <c r="GL218">
        <v>0</v>
      </c>
      <c r="GM218">
        <v>0</v>
      </c>
      <c r="GP218">
        <v>0</v>
      </c>
      <c r="GQ218">
        <v>0</v>
      </c>
      <c r="GT218">
        <v>0</v>
      </c>
      <c r="GU218">
        <v>0</v>
      </c>
      <c r="GX218">
        <v>0</v>
      </c>
      <c r="GY218">
        <v>0</v>
      </c>
      <c r="HB218">
        <v>0</v>
      </c>
      <c r="HC218">
        <v>0</v>
      </c>
      <c r="HF218">
        <v>0</v>
      </c>
      <c r="HG218">
        <v>0</v>
      </c>
      <c r="HJ218">
        <v>0</v>
      </c>
      <c r="HK218">
        <v>0</v>
      </c>
      <c r="HN218">
        <v>0</v>
      </c>
      <c r="HO218">
        <v>0</v>
      </c>
      <c r="HR218">
        <v>0</v>
      </c>
      <c r="HS218">
        <v>0</v>
      </c>
      <c r="HV218">
        <v>0</v>
      </c>
      <c r="HW218">
        <v>0</v>
      </c>
      <c r="HZ218">
        <v>0</v>
      </c>
      <c r="IA218">
        <v>0</v>
      </c>
      <c r="ID218">
        <v>0</v>
      </c>
      <c r="IE218">
        <v>0</v>
      </c>
      <c r="IH218">
        <v>0</v>
      </c>
      <c r="II218">
        <v>0</v>
      </c>
      <c r="IL218">
        <v>0</v>
      </c>
      <c r="IM218">
        <v>0</v>
      </c>
      <c r="IP218">
        <v>0</v>
      </c>
      <c r="IQ218">
        <v>0</v>
      </c>
      <c r="IT218">
        <v>0</v>
      </c>
      <c r="IU218">
        <v>0</v>
      </c>
      <c r="IX218">
        <v>0</v>
      </c>
      <c r="IY218">
        <f t="shared" ca="1" si="17"/>
        <v>1</v>
      </c>
      <c r="IZ218">
        <f t="shared" ca="1" si="17"/>
        <v>0</v>
      </c>
      <c r="JA218">
        <f t="shared" ca="1" si="17"/>
        <v>0</v>
      </c>
      <c r="JB218">
        <f t="shared" ca="1" si="17"/>
        <v>1</v>
      </c>
    </row>
    <row r="219" spans="1:262" x14ac:dyDescent="0.25">
      <c r="A219" s="167">
        <v>216</v>
      </c>
      <c r="B219" s="167" t="s">
        <v>355</v>
      </c>
      <c r="C219">
        <v>0</v>
      </c>
      <c r="F219">
        <v>0</v>
      </c>
      <c r="G219">
        <v>0</v>
      </c>
      <c r="J219">
        <v>0</v>
      </c>
      <c r="K219">
        <v>1</v>
      </c>
      <c r="N219">
        <v>1</v>
      </c>
      <c r="O219">
        <v>0</v>
      </c>
      <c r="R219">
        <v>0</v>
      </c>
      <c r="S219">
        <v>0</v>
      </c>
      <c r="V219">
        <v>0</v>
      </c>
      <c r="W219">
        <v>0</v>
      </c>
      <c r="Z219">
        <v>0</v>
      </c>
      <c r="AA219">
        <v>0</v>
      </c>
      <c r="AD219">
        <v>0</v>
      </c>
      <c r="AE219">
        <v>0</v>
      </c>
      <c r="AH219">
        <v>0</v>
      </c>
      <c r="AI219">
        <v>0</v>
      </c>
      <c r="AL219">
        <v>0</v>
      </c>
      <c r="AM219">
        <v>0</v>
      </c>
      <c r="AP219">
        <v>0</v>
      </c>
      <c r="AQ219">
        <v>1</v>
      </c>
      <c r="AT219">
        <v>1</v>
      </c>
      <c r="AU219">
        <v>0</v>
      </c>
      <c r="AX219">
        <v>0</v>
      </c>
      <c r="AY219">
        <v>0</v>
      </c>
      <c r="BB219">
        <v>0</v>
      </c>
      <c r="BC219">
        <v>0</v>
      </c>
      <c r="BF219">
        <v>0</v>
      </c>
      <c r="BG219">
        <v>0</v>
      </c>
      <c r="BJ219">
        <v>0</v>
      </c>
      <c r="BK219">
        <v>0</v>
      </c>
      <c r="BN219">
        <v>0</v>
      </c>
      <c r="BO219">
        <v>0</v>
      </c>
      <c r="BR219">
        <v>0</v>
      </c>
      <c r="BS219">
        <v>0</v>
      </c>
      <c r="BV219">
        <v>0</v>
      </c>
      <c r="BW219">
        <v>0</v>
      </c>
      <c r="BZ219">
        <v>0</v>
      </c>
      <c r="CA219">
        <v>0</v>
      </c>
      <c r="CD219">
        <v>0</v>
      </c>
      <c r="CE219">
        <v>0</v>
      </c>
      <c r="CH219">
        <v>0</v>
      </c>
      <c r="CI219">
        <v>0</v>
      </c>
      <c r="CL219">
        <v>0</v>
      </c>
      <c r="CM219">
        <v>0</v>
      </c>
      <c r="CP219">
        <v>0</v>
      </c>
      <c r="CQ219">
        <v>0</v>
      </c>
      <c r="CT219">
        <v>0</v>
      </c>
      <c r="CU219">
        <v>0</v>
      </c>
      <c r="CX219">
        <v>0</v>
      </c>
      <c r="CY219">
        <v>0</v>
      </c>
      <c r="DB219">
        <v>0</v>
      </c>
      <c r="DC219">
        <v>0</v>
      </c>
      <c r="DF219">
        <v>0</v>
      </c>
      <c r="DG219">
        <v>0</v>
      </c>
      <c r="DJ219">
        <v>0</v>
      </c>
      <c r="DK219">
        <v>0</v>
      </c>
      <c r="DN219">
        <v>0</v>
      </c>
      <c r="DO219">
        <v>0</v>
      </c>
      <c r="DR219">
        <v>0</v>
      </c>
      <c r="DS219">
        <v>0</v>
      </c>
      <c r="DV219">
        <v>0</v>
      </c>
      <c r="DW219">
        <v>0</v>
      </c>
      <c r="DZ219">
        <v>0</v>
      </c>
      <c r="EA219">
        <v>0</v>
      </c>
      <c r="ED219">
        <v>0</v>
      </c>
      <c r="EE219">
        <v>0</v>
      </c>
      <c r="EH219">
        <v>0</v>
      </c>
      <c r="EI219">
        <v>0</v>
      </c>
      <c r="EL219">
        <v>0</v>
      </c>
      <c r="EM219">
        <v>0</v>
      </c>
      <c r="EP219">
        <v>0</v>
      </c>
      <c r="EQ219">
        <v>0</v>
      </c>
      <c r="ET219">
        <v>0</v>
      </c>
      <c r="EU219">
        <v>0</v>
      </c>
      <c r="EX219">
        <v>0</v>
      </c>
      <c r="EY219">
        <v>0</v>
      </c>
      <c r="FB219">
        <v>0</v>
      </c>
      <c r="FC219">
        <v>0</v>
      </c>
      <c r="FF219">
        <v>0</v>
      </c>
      <c r="FG219">
        <v>0</v>
      </c>
      <c r="FJ219">
        <v>0</v>
      </c>
      <c r="FK219">
        <v>0</v>
      </c>
      <c r="FN219">
        <v>0</v>
      </c>
      <c r="FO219">
        <v>0</v>
      </c>
      <c r="FR219">
        <v>0</v>
      </c>
      <c r="FS219">
        <v>0</v>
      </c>
      <c r="FV219">
        <v>0</v>
      </c>
      <c r="FW219">
        <v>0</v>
      </c>
      <c r="FZ219">
        <v>0</v>
      </c>
      <c r="GA219">
        <v>1</v>
      </c>
      <c r="GD219">
        <v>1</v>
      </c>
      <c r="GE219">
        <v>0</v>
      </c>
      <c r="GH219">
        <v>0</v>
      </c>
      <c r="GI219">
        <v>0</v>
      </c>
      <c r="GL219">
        <v>0</v>
      </c>
      <c r="GM219">
        <v>0</v>
      </c>
      <c r="GP219">
        <v>0</v>
      </c>
      <c r="GQ219">
        <v>0</v>
      </c>
      <c r="GT219">
        <v>0</v>
      </c>
      <c r="GU219">
        <v>0</v>
      </c>
      <c r="GX219">
        <v>0</v>
      </c>
      <c r="GY219">
        <v>0</v>
      </c>
      <c r="HB219">
        <v>0</v>
      </c>
      <c r="HC219">
        <v>0</v>
      </c>
      <c r="HF219">
        <v>0</v>
      </c>
      <c r="HG219">
        <v>0</v>
      </c>
      <c r="HJ219">
        <v>0</v>
      </c>
      <c r="HK219">
        <v>0</v>
      </c>
      <c r="HN219">
        <v>0</v>
      </c>
      <c r="HO219">
        <v>0</v>
      </c>
      <c r="HR219">
        <v>0</v>
      </c>
      <c r="HS219">
        <v>0</v>
      </c>
      <c r="HV219">
        <v>0</v>
      </c>
      <c r="HW219">
        <v>0</v>
      </c>
      <c r="HZ219">
        <v>0</v>
      </c>
      <c r="IA219">
        <v>0</v>
      </c>
      <c r="ID219">
        <v>0</v>
      </c>
      <c r="IE219">
        <v>0</v>
      </c>
      <c r="IH219">
        <v>0</v>
      </c>
      <c r="II219">
        <v>0</v>
      </c>
      <c r="IL219">
        <v>0</v>
      </c>
      <c r="IM219">
        <v>0</v>
      </c>
      <c r="IP219">
        <v>0</v>
      </c>
      <c r="IQ219">
        <v>0</v>
      </c>
      <c r="IT219">
        <v>0</v>
      </c>
      <c r="IU219">
        <v>0</v>
      </c>
      <c r="IX219">
        <v>0</v>
      </c>
      <c r="IY219">
        <f t="shared" ca="1" si="17"/>
        <v>1</v>
      </c>
      <c r="IZ219">
        <f t="shared" ca="1" si="17"/>
        <v>0</v>
      </c>
      <c r="JA219">
        <f t="shared" ca="1" si="17"/>
        <v>0</v>
      </c>
      <c r="JB219">
        <f t="shared" ca="1" si="17"/>
        <v>1</v>
      </c>
    </row>
    <row r="220" spans="1:262" x14ac:dyDescent="0.25">
      <c r="A220" s="167">
        <v>217</v>
      </c>
      <c r="B220" s="167" t="s">
        <v>335</v>
      </c>
      <c r="C220">
        <v>1</v>
      </c>
      <c r="F220">
        <v>1</v>
      </c>
      <c r="G220">
        <v>1</v>
      </c>
      <c r="J220">
        <v>1</v>
      </c>
      <c r="K220">
        <v>4</v>
      </c>
      <c r="N220">
        <v>4</v>
      </c>
      <c r="O220">
        <v>0</v>
      </c>
      <c r="R220">
        <v>0</v>
      </c>
      <c r="S220">
        <v>0</v>
      </c>
      <c r="V220">
        <v>0</v>
      </c>
      <c r="W220">
        <v>2</v>
      </c>
      <c r="Z220">
        <v>2</v>
      </c>
      <c r="AA220">
        <v>0</v>
      </c>
      <c r="AD220">
        <v>0</v>
      </c>
      <c r="AE220">
        <v>0</v>
      </c>
      <c r="AH220">
        <v>0</v>
      </c>
      <c r="AI220">
        <v>0</v>
      </c>
      <c r="AL220">
        <v>0</v>
      </c>
      <c r="AM220">
        <v>0</v>
      </c>
      <c r="AP220">
        <v>0</v>
      </c>
      <c r="AQ220">
        <v>2</v>
      </c>
      <c r="AT220">
        <v>2</v>
      </c>
      <c r="AU220">
        <v>1</v>
      </c>
      <c r="AX220">
        <v>1</v>
      </c>
      <c r="AY220">
        <v>0</v>
      </c>
      <c r="BB220">
        <v>0</v>
      </c>
      <c r="BC220">
        <v>0</v>
      </c>
      <c r="BF220">
        <v>0</v>
      </c>
      <c r="BG220">
        <v>1</v>
      </c>
      <c r="BJ220">
        <v>1</v>
      </c>
      <c r="BK220">
        <v>1</v>
      </c>
      <c r="BN220">
        <v>1</v>
      </c>
      <c r="BO220">
        <v>0</v>
      </c>
      <c r="BR220">
        <v>0</v>
      </c>
      <c r="BS220">
        <v>1</v>
      </c>
      <c r="BV220">
        <v>1</v>
      </c>
      <c r="BW220">
        <v>0</v>
      </c>
      <c r="BZ220">
        <v>0</v>
      </c>
      <c r="CA220">
        <v>0</v>
      </c>
      <c r="CD220">
        <v>0</v>
      </c>
      <c r="CE220">
        <v>0</v>
      </c>
      <c r="CH220">
        <v>0</v>
      </c>
      <c r="CI220">
        <v>0</v>
      </c>
      <c r="CL220">
        <v>0</v>
      </c>
      <c r="CM220">
        <v>0</v>
      </c>
      <c r="CP220">
        <v>0</v>
      </c>
      <c r="CQ220">
        <v>0</v>
      </c>
      <c r="CT220">
        <v>0</v>
      </c>
      <c r="CU220">
        <v>0</v>
      </c>
      <c r="CX220">
        <v>0</v>
      </c>
      <c r="CY220">
        <v>0</v>
      </c>
      <c r="DB220">
        <v>0</v>
      </c>
      <c r="DC220">
        <v>0</v>
      </c>
      <c r="DF220">
        <v>0</v>
      </c>
      <c r="DG220">
        <v>0</v>
      </c>
      <c r="DJ220">
        <v>0</v>
      </c>
      <c r="DK220">
        <v>0</v>
      </c>
      <c r="DN220">
        <v>0</v>
      </c>
      <c r="DO220">
        <v>0</v>
      </c>
      <c r="DR220">
        <v>0</v>
      </c>
      <c r="DS220">
        <v>0</v>
      </c>
      <c r="DV220">
        <v>0</v>
      </c>
      <c r="DW220">
        <v>0</v>
      </c>
      <c r="DZ220">
        <v>0</v>
      </c>
      <c r="EA220">
        <v>0</v>
      </c>
      <c r="ED220">
        <v>0</v>
      </c>
      <c r="EE220">
        <v>0</v>
      </c>
      <c r="EH220">
        <v>0</v>
      </c>
      <c r="EI220">
        <v>0</v>
      </c>
      <c r="EL220">
        <v>0</v>
      </c>
      <c r="EM220">
        <v>0</v>
      </c>
      <c r="EP220">
        <v>0</v>
      </c>
      <c r="EQ220">
        <v>0</v>
      </c>
      <c r="ET220">
        <v>0</v>
      </c>
      <c r="EU220">
        <v>0</v>
      </c>
      <c r="EX220">
        <v>0</v>
      </c>
      <c r="EY220">
        <v>0</v>
      </c>
      <c r="FB220">
        <v>0</v>
      </c>
      <c r="FC220">
        <v>0</v>
      </c>
      <c r="FF220">
        <v>0</v>
      </c>
      <c r="FG220">
        <v>0</v>
      </c>
      <c r="FJ220">
        <v>0</v>
      </c>
      <c r="FK220">
        <v>0</v>
      </c>
      <c r="FN220">
        <v>0</v>
      </c>
      <c r="FO220">
        <v>0</v>
      </c>
      <c r="FR220">
        <v>0</v>
      </c>
      <c r="FS220">
        <v>0</v>
      </c>
      <c r="FV220">
        <v>0</v>
      </c>
      <c r="FW220">
        <v>0</v>
      </c>
      <c r="FZ220">
        <v>0</v>
      </c>
      <c r="GA220">
        <v>1</v>
      </c>
      <c r="GD220">
        <v>1</v>
      </c>
      <c r="GE220">
        <v>1</v>
      </c>
      <c r="GH220">
        <v>1</v>
      </c>
      <c r="GI220">
        <v>1</v>
      </c>
      <c r="GL220">
        <v>1</v>
      </c>
      <c r="GM220">
        <v>0</v>
      </c>
      <c r="GP220">
        <v>0</v>
      </c>
      <c r="GQ220">
        <v>0</v>
      </c>
      <c r="GT220">
        <v>0</v>
      </c>
      <c r="GU220">
        <v>1</v>
      </c>
      <c r="GX220">
        <v>1</v>
      </c>
      <c r="GY220">
        <v>0</v>
      </c>
      <c r="HB220">
        <v>0</v>
      </c>
      <c r="HC220">
        <v>0</v>
      </c>
      <c r="HF220">
        <v>0</v>
      </c>
      <c r="HG220">
        <v>0</v>
      </c>
      <c r="HJ220">
        <v>0</v>
      </c>
      <c r="HK220">
        <v>0</v>
      </c>
      <c r="HN220">
        <v>0</v>
      </c>
      <c r="HO220">
        <v>0</v>
      </c>
      <c r="HR220">
        <v>0</v>
      </c>
      <c r="HS220">
        <v>0</v>
      </c>
      <c r="HV220">
        <v>0</v>
      </c>
      <c r="HW220">
        <v>0</v>
      </c>
      <c r="HZ220">
        <v>0</v>
      </c>
      <c r="IA220">
        <v>0</v>
      </c>
      <c r="ID220">
        <v>0</v>
      </c>
      <c r="IE220">
        <v>0</v>
      </c>
      <c r="IH220">
        <v>0</v>
      </c>
      <c r="II220">
        <v>0</v>
      </c>
      <c r="IL220">
        <v>0</v>
      </c>
      <c r="IM220">
        <v>0</v>
      </c>
      <c r="IP220">
        <v>0</v>
      </c>
      <c r="IQ220">
        <v>0</v>
      </c>
      <c r="IT220">
        <v>0</v>
      </c>
      <c r="IU220">
        <v>0</v>
      </c>
      <c r="IX220">
        <v>0</v>
      </c>
      <c r="IY220">
        <f t="shared" ca="1" si="17"/>
        <v>6</v>
      </c>
      <c r="IZ220">
        <f t="shared" ca="1" si="17"/>
        <v>0</v>
      </c>
      <c r="JA220">
        <f t="shared" ca="1" si="17"/>
        <v>0</v>
      </c>
      <c r="JB220">
        <f t="shared" ca="1" si="17"/>
        <v>6</v>
      </c>
    </row>
    <row r="221" spans="1:262" x14ac:dyDescent="0.25">
      <c r="A221" s="167">
        <v>218</v>
      </c>
      <c r="B221" s="167" t="s">
        <v>338</v>
      </c>
      <c r="C221">
        <v>0</v>
      </c>
      <c r="F221">
        <v>0</v>
      </c>
      <c r="G221">
        <v>0</v>
      </c>
      <c r="J221">
        <v>0</v>
      </c>
      <c r="K221">
        <v>1</v>
      </c>
      <c r="N221">
        <v>1</v>
      </c>
      <c r="O221">
        <v>0</v>
      </c>
      <c r="R221">
        <v>0</v>
      </c>
      <c r="S221">
        <v>0</v>
      </c>
      <c r="V221">
        <v>0</v>
      </c>
      <c r="W221">
        <v>0</v>
      </c>
      <c r="Z221">
        <v>0</v>
      </c>
      <c r="AA221">
        <v>0</v>
      </c>
      <c r="AD221">
        <v>0</v>
      </c>
      <c r="AE221">
        <v>0</v>
      </c>
      <c r="AH221">
        <v>0</v>
      </c>
      <c r="AI221">
        <v>0</v>
      </c>
      <c r="AL221">
        <v>0</v>
      </c>
      <c r="AM221">
        <v>0</v>
      </c>
      <c r="AP221">
        <v>0</v>
      </c>
      <c r="AQ221">
        <v>1</v>
      </c>
      <c r="AT221">
        <v>1</v>
      </c>
      <c r="AU221">
        <v>0</v>
      </c>
      <c r="AX221">
        <v>0</v>
      </c>
      <c r="AY221">
        <v>0</v>
      </c>
      <c r="BB221">
        <v>0</v>
      </c>
      <c r="BC221">
        <v>0</v>
      </c>
      <c r="BF221">
        <v>0</v>
      </c>
      <c r="BG221">
        <v>0</v>
      </c>
      <c r="BJ221">
        <v>0</v>
      </c>
      <c r="BK221">
        <v>0</v>
      </c>
      <c r="BN221">
        <v>0</v>
      </c>
      <c r="BO221">
        <v>0</v>
      </c>
      <c r="BR221">
        <v>0</v>
      </c>
      <c r="BS221">
        <v>0</v>
      </c>
      <c r="BV221">
        <v>0</v>
      </c>
      <c r="BW221">
        <v>0</v>
      </c>
      <c r="BZ221">
        <v>0</v>
      </c>
      <c r="CA221">
        <v>0</v>
      </c>
      <c r="CD221">
        <v>0</v>
      </c>
      <c r="CE221">
        <v>0</v>
      </c>
      <c r="CH221">
        <v>0</v>
      </c>
      <c r="CI221">
        <v>0</v>
      </c>
      <c r="CL221">
        <v>0</v>
      </c>
      <c r="CM221">
        <v>0</v>
      </c>
      <c r="CP221">
        <v>0</v>
      </c>
      <c r="CQ221">
        <v>0</v>
      </c>
      <c r="CT221">
        <v>0</v>
      </c>
      <c r="CU221">
        <v>0</v>
      </c>
      <c r="CX221">
        <v>0</v>
      </c>
      <c r="CY221">
        <v>0</v>
      </c>
      <c r="DB221">
        <v>0</v>
      </c>
      <c r="DC221">
        <v>0</v>
      </c>
      <c r="DF221">
        <v>0</v>
      </c>
      <c r="DG221">
        <v>0</v>
      </c>
      <c r="DJ221">
        <v>0</v>
      </c>
      <c r="DK221">
        <v>0</v>
      </c>
      <c r="DN221">
        <v>0</v>
      </c>
      <c r="DO221">
        <v>0</v>
      </c>
      <c r="DR221">
        <v>0</v>
      </c>
      <c r="DS221">
        <v>0</v>
      </c>
      <c r="DV221">
        <v>0</v>
      </c>
      <c r="DW221">
        <v>0</v>
      </c>
      <c r="DZ221">
        <v>0</v>
      </c>
      <c r="EA221">
        <v>0</v>
      </c>
      <c r="ED221">
        <v>0</v>
      </c>
      <c r="EE221">
        <v>0</v>
      </c>
      <c r="EH221">
        <v>0</v>
      </c>
      <c r="EI221">
        <v>0</v>
      </c>
      <c r="EL221">
        <v>0</v>
      </c>
      <c r="EM221">
        <v>0</v>
      </c>
      <c r="EP221">
        <v>0</v>
      </c>
      <c r="EQ221">
        <v>0</v>
      </c>
      <c r="ET221">
        <v>0</v>
      </c>
      <c r="EU221">
        <v>0</v>
      </c>
      <c r="EX221">
        <v>0</v>
      </c>
      <c r="EY221">
        <v>0</v>
      </c>
      <c r="FB221">
        <v>0</v>
      </c>
      <c r="FC221">
        <v>0</v>
      </c>
      <c r="FF221">
        <v>0</v>
      </c>
      <c r="FG221">
        <v>0</v>
      </c>
      <c r="FJ221">
        <v>0</v>
      </c>
      <c r="FK221">
        <v>0</v>
      </c>
      <c r="FN221">
        <v>0</v>
      </c>
      <c r="FO221">
        <v>0</v>
      </c>
      <c r="FR221">
        <v>0</v>
      </c>
      <c r="FS221">
        <v>0</v>
      </c>
      <c r="FV221">
        <v>0</v>
      </c>
      <c r="FW221">
        <v>0</v>
      </c>
      <c r="FZ221">
        <v>0</v>
      </c>
      <c r="GA221">
        <v>0</v>
      </c>
      <c r="GD221">
        <v>0</v>
      </c>
      <c r="GE221">
        <v>1</v>
      </c>
      <c r="GH221">
        <v>1</v>
      </c>
      <c r="GI221">
        <v>0</v>
      </c>
      <c r="GL221">
        <v>0</v>
      </c>
      <c r="GM221">
        <v>0</v>
      </c>
      <c r="GP221">
        <v>0</v>
      </c>
      <c r="GQ221">
        <v>0</v>
      </c>
      <c r="GT221">
        <v>0</v>
      </c>
      <c r="GU221">
        <v>0</v>
      </c>
      <c r="GX221">
        <v>0</v>
      </c>
      <c r="GY221">
        <v>0</v>
      </c>
      <c r="HB221">
        <v>0</v>
      </c>
      <c r="HC221">
        <v>0</v>
      </c>
      <c r="HF221">
        <v>0</v>
      </c>
      <c r="HG221">
        <v>0</v>
      </c>
      <c r="HJ221">
        <v>0</v>
      </c>
      <c r="HK221">
        <v>0</v>
      </c>
      <c r="HN221">
        <v>0</v>
      </c>
      <c r="HO221">
        <v>0</v>
      </c>
      <c r="HR221">
        <v>0</v>
      </c>
      <c r="HS221">
        <v>0</v>
      </c>
      <c r="HV221">
        <v>0</v>
      </c>
      <c r="HW221">
        <v>0</v>
      </c>
      <c r="HZ221">
        <v>0</v>
      </c>
      <c r="IA221">
        <v>0</v>
      </c>
      <c r="ID221">
        <v>0</v>
      </c>
      <c r="IE221">
        <v>0</v>
      </c>
      <c r="IH221">
        <v>0</v>
      </c>
      <c r="II221">
        <v>0</v>
      </c>
      <c r="IL221">
        <v>0</v>
      </c>
      <c r="IM221">
        <v>0</v>
      </c>
      <c r="IP221">
        <v>0</v>
      </c>
      <c r="IQ221">
        <v>0</v>
      </c>
      <c r="IT221">
        <v>0</v>
      </c>
      <c r="IU221">
        <v>0</v>
      </c>
      <c r="IX221">
        <v>0</v>
      </c>
      <c r="IY221">
        <f t="shared" ca="1" si="17"/>
        <v>1</v>
      </c>
      <c r="IZ221">
        <f t="shared" ca="1" si="17"/>
        <v>0</v>
      </c>
      <c r="JA221">
        <f t="shared" ca="1" si="17"/>
        <v>0</v>
      </c>
      <c r="JB221">
        <f t="shared" ca="1" si="17"/>
        <v>1</v>
      </c>
    </row>
    <row r="222" spans="1:262" x14ac:dyDescent="0.25">
      <c r="A222" s="167">
        <v>219</v>
      </c>
      <c r="B222" s="167" t="s">
        <v>336</v>
      </c>
      <c r="C222">
        <v>0</v>
      </c>
      <c r="F222">
        <v>0</v>
      </c>
      <c r="G222">
        <v>1</v>
      </c>
      <c r="J222">
        <v>1</v>
      </c>
      <c r="K222">
        <v>2</v>
      </c>
      <c r="N222">
        <v>2</v>
      </c>
      <c r="O222">
        <v>1</v>
      </c>
      <c r="R222">
        <v>1</v>
      </c>
      <c r="S222">
        <v>0</v>
      </c>
      <c r="V222">
        <v>0</v>
      </c>
      <c r="W222">
        <v>0</v>
      </c>
      <c r="Z222">
        <v>0</v>
      </c>
      <c r="AA222">
        <v>0</v>
      </c>
      <c r="AD222">
        <v>0</v>
      </c>
      <c r="AE222">
        <v>0</v>
      </c>
      <c r="AH222">
        <v>0</v>
      </c>
      <c r="AI222">
        <v>0</v>
      </c>
      <c r="AL222">
        <v>0</v>
      </c>
      <c r="AM222">
        <v>0</v>
      </c>
      <c r="AP222">
        <v>0</v>
      </c>
      <c r="AQ222">
        <v>0</v>
      </c>
      <c r="AT222">
        <v>0</v>
      </c>
      <c r="AU222">
        <v>2</v>
      </c>
      <c r="AX222">
        <v>2</v>
      </c>
      <c r="AY222">
        <v>0</v>
      </c>
      <c r="BB222">
        <v>0</v>
      </c>
      <c r="BC222">
        <v>0</v>
      </c>
      <c r="BF222">
        <v>0</v>
      </c>
      <c r="BG222">
        <v>2</v>
      </c>
      <c r="BJ222">
        <v>2</v>
      </c>
      <c r="BK222">
        <v>0</v>
      </c>
      <c r="BN222">
        <v>0</v>
      </c>
      <c r="BO222">
        <v>0</v>
      </c>
      <c r="BR222">
        <v>0</v>
      </c>
      <c r="BS222">
        <v>0</v>
      </c>
      <c r="BV222">
        <v>0</v>
      </c>
      <c r="BW222">
        <v>0</v>
      </c>
      <c r="BZ222">
        <v>0</v>
      </c>
      <c r="CA222">
        <v>0</v>
      </c>
      <c r="CD222">
        <v>0</v>
      </c>
      <c r="CE222">
        <v>0</v>
      </c>
      <c r="CH222">
        <v>0</v>
      </c>
      <c r="CI222">
        <v>0</v>
      </c>
      <c r="CL222">
        <v>0</v>
      </c>
      <c r="CM222">
        <v>0</v>
      </c>
      <c r="CP222">
        <v>0</v>
      </c>
      <c r="CQ222">
        <v>0</v>
      </c>
      <c r="CT222">
        <v>0</v>
      </c>
      <c r="CU222">
        <v>0</v>
      </c>
      <c r="CX222">
        <v>0</v>
      </c>
      <c r="CY222">
        <v>0</v>
      </c>
      <c r="DB222">
        <v>0</v>
      </c>
      <c r="DC222">
        <v>0</v>
      </c>
      <c r="DF222">
        <v>0</v>
      </c>
      <c r="DG222">
        <v>0</v>
      </c>
      <c r="DJ222">
        <v>0</v>
      </c>
      <c r="DK222">
        <v>0</v>
      </c>
      <c r="DN222">
        <v>0</v>
      </c>
      <c r="DO222">
        <v>0</v>
      </c>
      <c r="DR222">
        <v>0</v>
      </c>
      <c r="DS222">
        <v>0</v>
      </c>
      <c r="DV222">
        <v>0</v>
      </c>
      <c r="DW222">
        <v>0</v>
      </c>
      <c r="DZ222">
        <v>0</v>
      </c>
      <c r="EA222">
        <v>0</v>
      </c>
      <c r="ED222">
        <v>0</v>
      </c>
      <c r="EE222">
        <v>1</v>
      </c>
      <c r="EH222">
        <v>1</v>
      </c>
      <c r="EI222">
        <v>0</v>
      </c>
      <c r="EL222">
        <v>0</v>
      </c>
      <c r="EM222">
        <v>0</v>
      </c>
      <c r="EP222">
        <v>0</v>
      </c>
      <c r="EQ222">
        <v>0</v>
      </c>
      <c r="ET222">
        <v>0</v>
      </c>
      <c r="EU222">
        <v>0</v>
      </c>
      <c r="EX222">
        <v>0</v>
      </c>
      <c r="EY222">
        <v>0</v>
      </c>
      <c r="FB222">
        <v>0</v>
      </c>
      <c r="FC222">
        <v>0</v>
      </c>
      <c r="FF222">
        <v>0</v>
      </c>
      <c r="FG222">
        <v>0</v>
      </c>
      <c r="FJ222">
        <v>0</v>
      </c>
      <c r="FK222">
        <v>0</v>
      </c>
      <c r="FN222">
        <v>0</v>
      </c>
      <c r="FO222">
        <v>0</v>
      </c>
      <c r="FR222">
        <v>0</v>
      </c>
      <c r="FS222">
        <v>0</v>
      </c>
      <c r="FV222">
        <v>0</v>
      </c>
      <c r="FW222">
        <v>0</v>
      </c>
      <c r="FZ222">
        <v>0</v>
      </c>
      <c r="GA222">
        <v>0</v>
      </c>
      <c r="GD222">
        <v>0</v>
      </c>
      <c r="GE222">
        <v>0</v>
      </c>
      <c r="GH222">
        <v>0</v>
      </c>
      <c r="GI222">
        <v>1</v>
      </c>
      <c r="GL222">
        <v>1</v>
      </c>
      <c r="GM222">
        <v>0</v>
      </c>
      <c r="GP222">
        <v>0</v>
      </c>
      <c r="GQ222">
        <v>0</v>
      </c>
      <c r="GT222">
        <v>0</v>
      </c>
      <c r="GU222">
        <v>1</v>
      </c>
      <c r="GX222">
        <v>1</v>
      </c>
      <c r="GY222">
        <v>0</v>
      </c>
      <c r="HB222">
        <v>0</v>
      </c>
      <c r="HC222">
        <v>0</v>
      </c>
      <c r="HF222">
        <v>0</v>
      </c>
      <c r="HG222">
        <v>0</v>
      </c>
      <c r="HJ222">
        <v>0</v>
      </c>
      <c r="HK222">
        <v>0</v>
      </c>
      <c r="HN222">
        <v>0</v>
      </c>
      <c r="HO222">
        <v>0</v>
      </c>
      <c r="HR222">
        <v>0</v>
      </c>
      <c r="HS222">
        <v>0</v>
      </c>
      <c r="HV222">
        <v>0</v>
      </c>
      <c r="HW222">
        <v>0</v>
      </c>
      <c r="HZ222">
        <v>0</v>
      </c>
      <c r="IA222">
        <v>0</v>
      </c>
      <c r="ID222">
        <v>0</v>
      </c>
      <c r="IE222">
        <v>0</v>
      </c>
      <c r="IH222">
        <v>0</v>
      </c>
      <c r="II222">
        <v>0</v>
      </c>
      <c r="IL222">
        <v>0</v>
      </c>
      <c r="IM222">
        <v>0</v>
      </c>
      <c r="IP222">
        <v>0</v>
      </c>
      <c r="IQ222">
        <v>1</v>
      </c>
      <c r="IT222">
        <v>1</v>
      </c>
      <c r="IU222">
        <v>0</v>
      </c>
      <c r="IX222">
        <v>0</v>
      </c>
      <c r="IY222">
        <f t="shared" ca="1" si="17"/>
        <v>4</v>
      </c>
      <c r="IZ222">
        <f t="shared" ca="1" si="17"/>
        <v>0</v>
      </c>
      <c r="JA222">
        <f t="shared" ca="1" si="17"/>
        <v>0</v>
      </c>
      <c r="JB222">
        <f t="shared" ca="1" si="17"/>
        <v>4</v>
      </c>
    </row>
    <row r="223" spans="1:262" x14ac:dyDescent="0.25">
      <c r="A223" s="167">
        <v>220</v>
      </c>
      <c r="B223" s="167" t="s">
        <v>354</v>
      </c>
      <c r="C223">
        <v>0</v>
      </c>
      <c r="F223">
        <v>0</v>
      </c>
      <c r="G223">
        <v>1</v>
      </c>
      <c r="J223">
        <v>1</v>
      </c>
      <c r="K223">
        <v>3</v>
      </c>
      <c r="N223">
        <v>3</v>
      </c>
      <c r="O223">
        <v>1</v>
      </c>
      <c r="R223">
        <v>1</v>
      </c>
      <c r="S223">
        <v>0</v>
      </c>
      <c r="V223">
        <v>0</v>
      </c>
      <c r="W223">
        <v>1</v>
      </c>
      <c r="Z223">
        <v>1</v>
      </c>
      <c r="AA223">
        <v>0</v>
      </c>
      <c r="AD223">
        <v>0</v>
      </c>
      <c r="AE223">
        <v>0</v>
      </c>
      <c r="AH223">
        <v>0</v>
      </c>
      <c r="AI223">
        <v>0</v>
      </c>
      <c r="AL223">
        <v>0</v>
      </c>
      <c r="AM223">
        <v>0</v>
      </c>
      <c r="AP223">
        <v>0</v>
      </c>
      <c r="AQ223">
        <v>0</v>
      </c>
      <c r="AT223">
        <v>0</v>
      </c>
      <c r="AU223">
        <v>2</v>
      </c>
      <c r="AX223">
        <v>2</v>
      </c>
      <c r="AY223">
        <v>0</v>
      </c>
      <c r="BB223">
        <v>0</v>
      </c>
      <c r="BC223">
        <v>0</v>
      </c>
      <c r="BF223">
        <v>0</v>
      </c>
      <c r="BG223">
        <v>2</v>
      </c>
      <c r="BJ223">
        <v>2</v>
      </c>
      <c r="BK223">
        <v>0</v>
      </c>
      <c r="BN223">
        <v>0</v>
      </c>
      <c r="BO223">
        <v>0</v>
      </c>
      <c r="BR223">
        <v>0</v>
      </c>
      <c r="BS223">
        <v>0</v>
      </c>
      <c r="BV223">
        <v>0</v>
      </c>
      <c r="BW223">
        <v>0</v>
      </c>
      <c r="BZ223">
        <v>0</v>
      </c>
      <c r="CA223">
        <v>0</v>
      </c>
      <c r="CD223">
        <v>0</v>
      </c>
      <c r="CE223">
        <v>0</v>
      </c>
      <c r="CH223">
        <v>0</v>
      </c>
      <c r="CI223">
        <v>0</v>
      </c>
      <c r="CL223">
        <v>0</v>
      </c>
      <c r="CM223">
        <v>0</v>
      </c>
      <c r="CP223">
        <v>0</v>
      </c>
      <c r="CQ223">
        <v>0</v>
      </c>
      <c r="CT223">
        <v>0</v>
      </c>
      <c r="CU223">
        <v>0</v>
      </c>
      <c r="CX223">
        <v>0</v>
      </c>
      <c r="CY223">
        <v>0</v>
      </c>
      <c r="DB223">
        <v>0</v>
      </c>
      <c r="DC223">
        <v>0</v>
      </c>
      <c r="DF223">
        <v>0</v>
      </c>
      <c r="DG223">
        <v>0</v>
      </c>
      <c r="DJ223">
        <v>0</v>
      </c>
      <c r="DK223">
        <v>0</v>
      </c>
      <c r="DN223">
        <v>0</v>
      </c>
      <c r="DO223">
        <v>0</v>
      </c>
      <c r="DR223">
        <v>0</v>
      </c>
      <c r="DS223">
        <v>0</v>
      </c>
      <c r="DV223">
        <v>0</v>
      </c>
      <c r="DW223">
        <v>0</v>
      </c>
      <c r="DZ223">
        <v>0</v>
      </c>
      <c r="EA223">
        <v>0</v>
      </c>
      <c r="ED223">
        <v>0</v>
      </c>
      <c r="EE223">
        <v>1</v>
      </c>
      <c r="EH223">
        <v>1</v>
      </c>
      <c r="EI223">
        <v>0</v>
      </c>
      <c r="EL223">
        <v>0</v>
      </c>
      <c r="EM223">
        <v>0</v>
      </c>
      <c r="EP223">
        <v>0</v>
      </c>
      <c r="EQ223">
        <v>0</v>
      </c>
      <c r="ET223">
        <v>0</v>
      </c>
      <c r="EU223">
        <v>0</v>
      </c>
      <c r="EX223">
        <v>0</v>
      </c>
      <c r="EY223">
        <v>0</v>
      </c>
      <c r="FB223">
        <v>0</v>
      </c>
      <c r="FC223">
        <v>0</v>
      </c>
      <c r="FF223">
        <v>0</v>
      </c>
      <c r="FG223">
        <v>0</v>
      </c>
      <c r="FJ223">
        <v>0</v>
      </c>
      <c r="FK223">
        <v>0</v>
      </c>
      <c r="FN223">
        <v>0</v>
      </c>
      <c r="FO223">
        <v>1</v>
      </c>
      <c r="FR223">
        <v>1</v>
      </c>
      <c r="FS223">
        <v>0</v>
      </c>
      <c r="FV223">
        <v>0</v>
      </c>
      <c r="FW223">
        <v>0</v>
      </c>
      <c r="FZ223">
        <v>0</v>
      </c>
      <c r="GA223">
        <v>0</v>
      </c>
      <c r="GD223">
        <v>0</v>
      </c>
      <c r="GE223">
        <v>0</v>
      </c>
      <c r="GH223">
        <v>0</v>
      </c>
      <c r="GI223">
        <v>1</v>
      </c>
      <c r="GL223">
        <v>1</v>
      </c>
      <c r="GM223">
        <v>0</v>
      </c>
      <c r="GP223">
        <v>0</v>
      </c>
      <c r="GQ223">
        <v>0</v>
      </c>
      <c r="GT223">
        <v>0</v>
      </c>
      <c r="GU223">
        <v>1</v>
      </c>
      <c r="GX223">
        <v>1</v>
      </c>
      <c r="GY223">
        <v>0</v>
      </c>
      <c r="HB223">
        <v>0</v>
      </c>
      <c r="HC223">
        <v>0</v>
      </c>
      <c r="HF223">
        <v>0</v>
      </c>
      <c r="HG223">
        <v>0</v>
      </c>
      <c r="HJ223">
        <v>0</v>
      </c>
      <c r="HK223">
        <v>0</v>
      </c>
      <c r="HN223">
        <v>0</v>
      </c>
      <c r="HO223">
        <v>0</v>
      </c>
      <c r="HR223">
        <v>0</v>
      </c>
      <c r="HS223">
        <v>0</v>
      </c>
      <c r="HV223">
        <v>0</v>
      </c>
      <c r="HW223">
        <v>0</v>
      </c>
      <c r="HZ223">
        <v>0</v>
      </c>
      <c r="IA223">
        <v>0</v>
      </c>
      <c r="ID223">
        <v>0</v>
      </c>
      <c r="IE223">
        <v>0</v>
      </c>
      <c r="IH223">
        <v>0</v>
      </c>
      <c r="II223">
        <v>0</v>
      </c>
      <c r="IL223">
        <v>0</v>
      </c>
      <c r="IM223">
        <v>0</v>
      </c>
      <c r="IP223">
        <v>0</v>
      </c>
      <c r="IQ223">
        <v>1</v>
      </c>
      <c r="IT223">
        <v>1</v>
      </c>
      <c r="IU223">
        <v>0</v>
      </c>
      <c r="IX223">
        <v>0</v>
      </c>
      <c r="IY223">
        <f t="shared" ca="1" si="17"/>
        <v>5</v>
      </c>
      <c r="IZ223">
        <f t="shared" ca="1" si="17"/>
        <v>0</v>
      </c>
      <c r="JA223">
        <f t="shared" ca="1" si="17"/>
        <v>0</v>
      </c>
      <c r="JB223">
        <f t="shared" ca="1" si="17"/>
        <v>5</v>
      </c>
    </row>
    <row r="224" spans="1:262" x14ac:dyDescent="0.25">
      <c r="A224" s="167">
        <v>221</v>
      </c>
      <c r="B224" s="167" t="s">
        <v>341</v>
      </c>
      <c r="C224">
        <v>0</v>
      </c>
      <c r="F224">
        <v>0</v>
      </c>
      <c r="G224">
        <v>0</v>
      </c>
      <c r="J224">
        <v>0</v>
      </c>
      <c r="K224">
        <v>3</v>
      </c>
      <c r="N224">
        <v>3</v>
      </c>
      <c r="O224">
        <v>1</v>
      </c>
      <c r="R224">
        <v>1</v>
      </c>
      <c r="S224">
        <v>0</v>
      </c>
      <c r="V224">
        <v>0</v>
      </c>
      <c r="W224">
        <v>0</v>
      </c>
      <c r="Z224">
        <v>0</v>
      </c>
      <c r="AA224">
        <v>0</v>
      </c>
      <c r="AD224">
        <v>0</v>
      </c>
      <c r="AE224">
        <v>0</v>
      </c>
      <c r="AH224">
        <v>0</v>
      </c>
      <c r="AI224">
        <v>0</v>
      </c>
      <c r="AL224">
        <v>0</v>
      </c>
      <c r="AM224">
        <v>0</v>
      </c>
      <c r="AP224">
        <v>0</v>
      </c>
      <c r="AQ224">
        <v>3</v>
      </c>
      <c r="AT224">
        <v>3</v>
      </c>
      <c r="AU224">
        <v>0</v>
      </c>
      <c r="AX224">
        <v>0</v>
      </c>
      <c r="AY224">
        <v>1</v>
      </c>
      <c r="BB224">
        <v>1</v>
      </c>
      <c r="BC224">
        <v>0</v>
      </c>
      <c r="BF224">
        <v>0</v>
      </c>
      <c r="BG224">
        <v>0</v>
      </c>
      <c r="BJ224">
        <v>0</v>
      </c>
      <c r="BK224">
        <v>0</v>
      </c>
      <c r="BN224">
        <v>0</v>
      </c>
      <c r="BO224">
        <v>0</v>
      </c>
      <c r="BR224">
        <v>0</v>
      </c>
      <c r="BS224">
        <v>0</v>
      </c>
      <c r="BV224">
        <v>0</v>
      </c>
      <c r="BW224">
        <v>0</v>
      </c>
      <c r="BZ224">
        <v>0</v>
      </c>
      <c r="CA224">
        <v>0</v>
      </c>
      <c r="CD224">
        <v>0</v>
      </c>
      <c r="CE224">
        <v>0</v>
      </c>
      <c r="CH224">
        <v>0</v>
      </c>
      <c r="CI224">
        <v>0</v>
      </c>
      <c r="CL224">
        <v>0</v>
      </c>
      <c r="CM224">
        <v>0</v>
      </c>
      <c r="CP224">
        <v>0</v>
      </c>
      <c r="CQ224">
        <v>0</v>
      </c>
      <c r="CT224">
        <v>0</v>
      </c>
      <c r="CU224">
        <v>0</v>
      </c>
      <c r="CX224">
        <v>0</v>
      </c>
      <c r="CY224">
        <v>0</v>
      </c>
      <c r="DB224">
        <v>0</v>
      </c>
      <c r="DC224">
        <v>0</v>
      </c>
      <c r="DF224">
        <v>0</v>
      </c>
      <c r="DG224">
        <v>0</v>
      </c>
      <c r="DJ224">
        <v>0</v>
      </c>
      <c r="DK224">
        <v>0</v>
      </c>
      <c r="DN224">
        <v>0</v>
      </c>
      <c r="DO224">
        <v>0</v>
      </c>
      <c r="DR224">
        <v>0</v>
      </c>
      <c r="DS224">
        <v>0</v>
      </c>
      <c r="DV224">
        <v>0</v>
      </c>
      <c r="DW224">
        <v>0</v>
      </c>
      <c r="DZ224">
        <v>0</v>
      </c>
      <c r="EA224">
        <v>0</v>
      </c>
      <c r="ED224">
        <v>0</v>
      </c>
      <c r="EE224">
        <v>0</v>
      </c>
      <c r="EH224">
        <v>0</v>
      </c>
      <c r="EI224">
        <v>0</v>
      </c>
      <c r="EL224">
        <v>0</v>
      </c>
      <c r="EM224">
        <v>0</v>
      </c>
      <c r="EP224">
        <v>0</v>
      </c>
      <c r="EQ224">
        <v>0</v>
      </c>
      <c r="ET224">
        <v>0</v>
      </c>
      <c r="EU224">
        <v>0</v>
      </c>
      <c r="EX224">
        <v>0</v>
      </c>
      <c r="EY224">
        <v>0</v>
      </c>
      <c r="FB224">
        <v>0</v>
      </c>
      <c r="FC224">
        <v>0</v>
      </c>
      <c r="FF224">
        <v>0</v>
      </c>
      <c r="FG224">
        <v>0</v>
      </c>
      <c r="FJ224">
        <v>0</v>
      </c>
      <c r="FK224">
        <v>0</v>
      </c>
      <c r="FN224">
        <v>0</v>
      </c>
      <c r="FO224">
        <v>0</v>
      </c>
      <c r="FR224">
        <v>0</v>
      </c>
      <c r="FS224">
        <v>0</v>
      </c>
      <c r="FV224">
        <v>0</v>
      </c>
      <c r="FW224">
        <v>0</v>
      </c>
      <c r="FZ224">
        <v>0</v>
      </c>
      <c r="GA224">
        <v>1</v>
      </c>
      <c r="GD224">
        <v>1</v>
      </c>
      <c r="GE224">
        <v>1</v>
      </c>
      <c r="GH224">
        <v>1</v>
      </c>
      <c r="GI224">
        <v>0</v>
      </c>
      <c r="GL224">
        <v>0</v>
      </c>
      <c r="GM224">
        <v>1</v>
      </c>
      <c r="GP224">
        <v>1</v>
      </c>
      <c r="GQ224">
        <v>0</v>
      </c>
      <c r="GT224">
        <v>0</v>
      </c>
      <c r="GU224">
        <v>0</v>
      </c>
      <c r="GX224">
        <v>0</v>
      </c>
      <c r="GY224">
        <v>0</v>
      </c>
      <c r="HB224">
        <v>0</v>
      </c>
      <c r="HC224">
        <v>0</v>
      </c>
      <c r="HF224">
        <v>0</v>
      </c>
      <c r="HG224">
        <v>0</v>
      </c>
      <c r="HJ224">
        <v>0</v>
      </c>
      <c r="HK224">
        <v>0</v>
      </c>
      <c r="HN224">
        <v>0</v>
      </c>
      <c r="HO224">
        <v>0</v>
      </c>
      <c r="HR224">
        <v>0</v>
      </c>
      <c r="HS224">
        <v>0</v>
      </c>
      <c r="HV224">
        <v>0</v>
      </c>
      <c r="HW224">
        <v>0</v>
      </c>
      <c r="HZ224">
        <v>0</v>
      </c>
      <c r="IA224">
        <v>1</v>
      </c>
      <c r="ID224">
        <v>1</v>
      </c>
      <c r="IE224">
        <v>0</v>
      </c>
      <c r="IH224">
        <v>0</v>
      </c>
      <c r="II224">
        <v>0</v>
      </c>
      <c r="IL224">
        <v>0</v>
      </c>
      <c r="IM224">
        <v>0</v>
      </c>
      <c r="IP224">
        <v>0</v>
      </c>
      <c r="IQ224">
        <v>0</v>
      </c>
      <c r="IT224">
        <v>0</v>
      </c>
      <c r="IU224">
        <v>0</v>
      </c>
      <c r="IX224">
        <v>0</v>
      </c>
      <c r="IY224">
        <f t="shared" ca="1" si="17"/>
        <v>4</v>
      </c>
      <c r="IZ224">
        <f t="shared" ca="1" si="17"/>
        <v>0</v>
      </c>
      <c r="JA224">
        <f t="shared" ca="1" si="17"/>
        <v>0</v>
      </c>
      <c r="JB224">
        <f t="shared" ca="1" si="17"/>
        <v>4</v>
      </c>
    </row>
    <row r="225" spans="1:262" x14ac:dyDescent="0.25">
      <c r="A225" s="167">
        <v>222</v>
      </c>
      <c r="B225" s="167" t="s">
        <v>343</v>
      </c>
      <c r="C225">
        <v>0</v>
      </c>
      <c r="F225">
        <v>0</v>
      </c>
      <c r="G225">
        <v>0</v>
      </c>
      <c r="J225">
        <v>0</v>
      </c>
      <c r="K225">
        <v>2</v>
      </c>
      <c r="N225">
        <v>2</v>
      </c>
      <c r="O225">
        <v>1</v>
      </c>
      <c r="R225">
        <v>1</v>
      </c>
      <c r="S225">
        <v>0</v>
      </c>
      <c r="V225">
        <v>0</v>
      </c>
      <c r="W225">
        <v>1</v>
      </c>
      <c r="Z225">
        <v>1</v>
      </c>
      <c r="AA225">
        <v>0</v>
      </c>
      <c r="AD225">
        <v>0</v>
      </c>
      <c r="AE225">
        <v>0</v>
      </c>
      <c r="AH225">
        <v>0</v>
      </c>
      <c r="AI225">
        <v>0</v>
      </c>
      <c r="AL225">
        <v>0</v>
      </c>
      <c r="AM225">
        <v>0</v>
      </c>
      <c r="AP225">
        <v>0</v>
      </c>
      <c r="AQ225">
        <v>1</v>
      </c>
      <c r="AT225">
        <v>1</v>
      </c>
      <c r="AU225">
        <v>0</v>
      </c>
      <c r="AX225">
        <v>0</v>
      </c>
      <c r="AY225">
        <v>0</v>
      </c>
      <c r="BB225">
        <v>0</v>
      </c>
      <c r="BC225">
        <v>0</v>
      </c>
      <c r="BF225">
        <v>0</v>
      </c>
      <c r="BG225">
        <v>1</v>
      </c>
      <c r="BJ225">
        <v>1</v>
      </c>
      <c r="BK225">
        <v>0</v>
      </c>
      <c r="BN225">
        <v>0</v>
      </c>
      <c r="BO225">
        <v>0</v>
      </c>
      <c r="BR225">
        <v>0</v>
      </c>
      <c r="BS225">
        <v>0</v>
      </c>
      <c r="BV225">
        <v>0</v>
      </c>
      <c r="BW225">
        <v>0</v>
      </c>
      <c r="BZ225">
        <v>0</v>
      </c>
      <c r="CA225">
        <v>0</v>
      </c>
      <c r="CD225">
        <v>0</v>
      </c>
      <c r="CE225">
        <v>0</v>
      </c>
      <c r="CH225">
        <v>0</v>
      </c>
      <c r="CI225">
        <v>0</v>
      </c>
      <c r="CL225">
        <v>0</v>
      </c>
      <c r="CM225">
        <v>0</v>
      </c>
      <c r="CP225">
        <v>0</v>
      </c>
      <c r="CQ225">
        <v>0</v>
      </c>
      <c r="CT225">
        <v>0</v>
      </c>
      <c r="CU225">
        <v>0</v>
      </c>
      <c r="CX225">
        <v>0</v>
      </c>
      <c r="CY225">
        <v>0</v>
      </c>
      <c r="DB225">
        <v>0</v>
      </c>
      <c r="DC225">
        <v>0</v>
      </c>
      <c r="DF225">
        <v>0</v>
      </c>
      <c r="DG225">
        <v>0</v>
      </c>
      <c r="DJ225">
        <v>0</v>
      </c>
      <c r="DK225">
        <v>0</v>
      </c>
      <c r="DN225">
        <v>0</v>
      </c>
      <c r="DO225">
        <v>0</v>
      </c>
      <c r="DR225">
        <v>0</v>
      </c>
      <c r="DS225">
        <v>0</v>
      </c>
      <c r="DV225">
        <v>0</v>
      </c>
      <c r="DW225">
        <v>0</v>
      </c>
      <c r="DZ225">
        <v>0</v>
      </c>
      <c r="EA225">
        <v>0</v>
      </c>
      <c r="ED225">
        <v>0</v>
      </c>
      <c r="EE225">
        <v>0</v>
      </c>
      <c r="EH225">
        <v>0</v>
      </c>
      <c r="EI225">
        <v>0</v>
      </c>
      <c r="EL225">
        <v>0</v>
      </c>
      <c r="EM225">
        <v>0</v>
      </c>
      <c r="EP225">
        <v>0</v>
      </c>
      <c r="EQ225">
        <v>0</v>
      </c>
      <c r="ET225">
        <v>0</v>
      </c>
      <c r="EU225">
        <v>0</v>
      </c>
      <c r="EX225">
        <v>0</v>
      </c>
      <c r="EY225">
        <v>0</v>
      </c>
      <c r="FB225">
        <v>0</v>
      </c>
      <c r="FC225">
        <v>0</v>
      </c>
      <c r="FF225">
        <v>0</v>
      </c>
      <c r="FG225">
        <v>0</v>
      </c>
      <c r="FJ225">
        <v>0</v>
      </c>
      <c r="FK225">
        <v>0</v>
      </c>
      <c r="FN225">
        <v>0</v>
      </c>
      <c r="FO225">
        <v>1</v>
      </c>
      <c r="FR225">
        <v>1</v>
      </c>
      <c r="FS225">
        <v>0</v>
      </c>
      <c r="FV225">
        <v>0</v>
      </c>
      <c r="FW225">
        <v>0</v>
      </c>
      <c r="FZ225">
        <v>0</v>
      </c>
      <c r="GA225">
        <v>0</v>
      </c>
      <c r="GD225">
        <v>0</v>
      </c>
      <c r="GE225">
        <v>1</v>
      </c>
      <c r="GH225">
        <v>1</v>
      </c>
      <c r="GI225">
        <v>0</v>
      </c>
      <c r="GL225">
        <v>0</v>
      </c>
      <c r="GM225">
        <v>0</v>
      </c>
      <c r="GP225">
        <v>0</v>
      </c>
      <c r="GQ225">
        <v>0</v>
      </c>
      <c r="GT225">
        <v>0</v>
      </c>
      <c r="GU225">
        <v>0</v>
      </c>
      <c r="GX225">
        <v>0</v>
      </c>
      <c r="GY225">
        <v>0</v>
      </c>
      <c r="HB225">
        <v>0</v>
      </c>
      <c r="HC225">
        <v>0</v>
      </c>
      <c r="HF225">
        <v>0</v>
      </c>
      <c r="HG225">
        <v>0</v>
      </c>
      <c r="HJ225">
        <v>0</v>
      </c>
      <c r="HK225">
        <v>0</v>
      </c>
      <c r="HN225">
        <v>0</v>
      </c>
      <c r="HO225">
        <v>0</v>
      </c>
      <c r="HR225">
        <v>0</v>
      </c>
      <c r="HS225">
        <v>0</v>
      </c>
      <c r="HV225">
        <v>0</v>
      </c>
      <c r="HW225">
        <v>0</v>
      </c>
      <c r="HZ225">
        <v>0</v>
      </c>
      <c r="IA225">
        <v>0</v>
      </c>
      <c r="ID225">
        <v>0</v>
      </c>
      <c r="IE225">
        <v>0</v>
      </c>
      <c r="IH225">
        <v>0</v>
      </c>
      <c r="II225">
        <v>0</v>
      </c>
      <c r="IL225">
        <v>0</v>
      </c>
      <c r="IM225">
        <v>0</v>
      </c>
      <c r="IP225">
        <v>0</v>
      </c>
      <c r="IQ225">
        <v>1</v>
      </c>
      <c r="IT225">
        <v>1</v>
      </c>
      <c r="IU225">
        <v>0</v>
      </c>
      <c r="IX225">
        <v>0</v>
      </c>
      <c r="IY225">
        <f t="shared" ca="1" si="17"/>
        <v>3</v>
      </c>
      <c r="IZ225">
        <f t="shared" ca="1" si="17"/>
        <v>0</v>
      </c>
      <c r="JA225">
        <f t="shared" ca="1" si="17"/>
        <v>0</v>
      </c>
      <c r="JB225">
        <f t="shared" ca="1" si="17"/>
        <v>3</v>
      </c>
    </row>
    <row r="226" spans="1:262" x14ac:dyDescent="0.25">
      <c r="A226" s="167">
        <v>223</v>
      </c>
      <c r="B226" s="167" t="s">
        <v>345</v>
      </c>
      <c r="C226">
        <v>0</v>
      </c>
      <c r="F226">
        <v>0</v>
      </c>
      <c r="G226">
        <v>0</v>
      </c>
      <c r="J226">
        <v>0</v>
      </c>
      <c r="K226">
        <v>1</v>
      </c>
      <c r="N226">
        <v>1</v>
      </c>
      <c r="O226">
        <v>0</v>
      </c>
      <c r="R226">
        <v>0</v>
      </c>
      <c r="S226">
        <v>0</v>
      </c>
      <c r="V226">
        <v>0</v>
      </c>
      <c r="W226">
        <v>0</v>
      </c>
      <c r="Z226">
        <v>0</v>
      </c>
      <c r="AA226">
        <v>0</v>
      </c>
      <c r="AD226">
        <v>0</v>
      </c>
      <c r="AE226">
        <v>0</v>
      </c>
      <c r="AH226">
        <v>0</v>
      </c>
      <c r="AI226">
        <v>0</v>
      </c>
      <c r="AL226">
        <v>0</v>
      </c>
      <c r="AM226">
        <v>0</v>
      </c>
      <c r="AP226">
        <v>0</v>
      </c>
      <c r="AQ226">
        <v>1</v>
      </c>
      <c r="AT226">
        <v>1</v>
      </c>
      <c r="AU226">
        <v>0</v>
      </c>
      <c r="AX226">
        <v>0</v>
      </c>
      <c r="AY226">
        <v>0</v>
      </c>
      <c r="BB226">
        <v>0</v>
      </c>
      <c r="BC226">
        <v>0</v>
      </c>
      <c r="BF226">
        <v>0</v>
      </c>
      <c r="BG226">
        <v>0</v>
      </c>
      <c r="BJ226">
        <v>0</v>
      </c>
      <c r="BK226">
        <v>0</v>
      </c>
      <c r="BN226">
        <v>0</v>
      </c>
      <c r="BO226">
        <v>0</v>
      </c>
      <c r="BR226">
        <v>0</v>
      </c>
      <c r="BS226">
        <v>0</v>
      </c>
      <c r="BV226">
        <v>0</v>
      </c>
      <c r="BW226">
        <v>0</v>
      </c>
      <c r="BZ226">
        <v>0</v>
      </c>
      <c r="CA226">
        <v>0</v>
      </c>
      <c r="CD226">
        <v>0</v>
      </c>
      <c r="CE226">
        <v>0</v>
      </c>
      <c r="CH226">
        <v>0</v>
      </c>
      <c r="CI226">
        <v>0</v>
      </c>
      <c r="CL226">
        <v>0</v>
      </c>
      <c r="CM226">
        <v>0</v>
      </c>
      <c r="CP226">
        <v>0</v>
      </c>
      <c r="CQ226">
        <v>0</v>
      </c>
      <c r="CT226">
        <v>0</v>
      </c>
      <c r="CU226">
        <v>0</v>
      </c>
      <c r="CX226">
        <v>0</v>
      </c>
      <c r="CY226">
        <v>0</v>
      </c>
      <c r="DB226">
        <v>0</v>
      </c>
      <c r="DC226">
        <v>0</v>
      </c>
      <c r="DF226">
        <v>0</v>
      </c>
      <c r="DG226">
        <v>0</v>
      </c>
      <c r="DJ226">
        <v>0</v>
      </c>
      <c r="DK226">
        <v>0</v>
      </c>
      <c r="DN226">
        <v>0</v>
      </c>
      <c r="DO226">
        <v>0</v>
      </c>
      <c r="DR226">
        <v>0</v>
      </c>
      <c r="DS226">
        <v>0</v>
      </c>
      <c r="DV226">
        <v>0</v>
      </c>
      <c r="DW226">
        <v>0</v>
      </c>
      <c r="DZ226">
        <v>0</v>
      </c>
      <c r="EA226">
        <v>0</v>
      </c>
      <c r="ED226">
        <v>0</v>
      </c>
      <c r="EE226">
        <v>0</v>
      </c>
      <c r="EH226">
        <v>0</v>
      </c>
      <c r="EI226">
        <v>0</v>
      </c>
      <c r="EL226">
        <v>0</v>
      </c>
      <c r="EM226">
        <v>0</v>
      </c>
      <c r="EP226">
        <v>0</v>
      </c>
      <c r="EQ226">
        <v>0</v>
      </c>
      <c r="ET226">
        <v>0</v>
      </c>
      <c r="EU226">
        <v>0</v>
      </c>
      <c r="EX226">
        <v>0</v>
      </c>
      <c r="EY226">
        <v>0</v>
      </c>
      <c r="FB226">
        <v>0</v>
      </c>
      <c r="FC226">
        <v>0</v>
      </c>
      <c r="FF226">
        <v>0</v>
      </c>
      <c r="FG226">
        <v>0</v>
      </c>
      <c r="FJ226">
        <v>0</v>
      </c>
      <c r="FK226">
        <v>0</v>
      </c>
      <c r="FN226">
        <v>0</v>
      </c>
      <c r="FO226">
        <v>0</v>
      </c>
      <c r="FR226">
        <v>0</v>
      </c>
      <c r="FS226">
        <v>0</v>
      </c>
      <c r="FV226">
        <v>0</v>
      </c>
      <c r="FW226">
        <v>0</v>
      </c>
      <c r="FZ226">
        <v>0</v>
      </c>
      <c r="GA226">
        <v>1</v>
      </c>
      <c r="GD226">
        <v>1</v>
      </c>
      <c r="GE226">
        <v>0</v>
      </c>
      <c r="GH226">
        <v>0</v>
      </c>
      <c r="GI226">
        <v>0</v>
      </c>
      <c r="GL226">
        <v>0</v>
      </c>
      <c r="GM226">
        <v>0</v>
      </c>
      <c r="GP226">
        <v>0</v>
      </c>
      <c r="GQ226">
        <v>0</v>
      </c>
      <c r="GT226">
        <v>0</v>
      </c>
      <c r="GU226">
        <v>0</v>
      </c>
      <c r="GX226">
        <v>0</v>
      </c>
      <c r="GY226">
        <v>0</v>
      </c>
      <c r="HB226">
        <v>0</v>
      </c>
      <c r="HC226">
        <v>0</v>
      </c>
      <c r="HF226">
        <v>0</v>
      </c>
      <c r="HG226">
        <v>0</v>
      </c>
      <c r="HJ226">
        <v>0</v>
      </c>
      <c r="HK226">
        <v>0</v>
      </c>
      <c r="HN226">
        <v>0</v>
      </c>
      <c r="HO226">
        <v>0</v>
      </c>
      <c r="HR226">
        <v>0</v>
      </c>
      <c r="HS226">
        <v>0</v>
      </c>
      <c r="HV226">
        <v>0</v>
      </c>
      <c r="HW226">
        <v>0</v>
      </c>
      <c r="HZ226">
        <v>0</v>
      </c>
      <c r="IA226">
        <v>0</v>
      </c>
      <c r="ID226">
        <v>0</v>
      </c>
      <c r="IE226">
        <v>0</v>
      </c>
      <c r="IH226">
        <v>0</v>
      </c>
      <c r="II226">
        <v>0</v>
      </c>
      <c r="IL226">
        <v>0</v>
      </c>
      <c r="IM226">
        <v>0</v>
      </c>
      <c r="IP226">
        <v>0</v>
      </c>
      <c r="IQ226">
        <v>0</v>
      </c>
      <c r="IT226">
        <v>0</v>
      </c>
      <c r="IU226">
        <v>0</v>
      </c>
      <c r="IX226">
        <v>0</v>
      </c>
      <c r="IY226">
        <f t="shared" ca="1" si="17"/>
        <v>1</v>
      </c>
      <c r="IZ226">
        <f t="shared" ca="1" si="17"/>
        <v>0</v>
      </c>
      <c r="JA226">
        <f t="shared" ca="1" si="17"/>
        <v>0</v>
      </c>
      <c r="JB226">
        <f t="shared" ca="1" si="17"/>
        <v>1</v>
      </c>
    </row>
    <row r="227" spans="1:262" x14ac:dyDescent="0.25">
      <c r="A227" s="167">
        <v>224</v>
      </c>
      <c r="B227" s="167" t="s">
        <v>347</v>
      </c>
      <c r="C227">
        <v>0</v>
      </c>
      <c r="F227">
        <v>0</v>
      </c>
      <c r="G227">
        <v>0</v>
      </c>
      <c r="J227">
        <v>0</v>
      </c>
      <c r="K227">
        <v>4</v>
      </c>
      <c r="N227">
        <v>4</v>
      </c>
      <c r="O227">
        <v>1</v>
      </c>
      <c r="R227">
        <v>1</v>
      </c>
      <c r="S227">
        <v>0</v>
      </c>
      <c r="V227">
        <v>0</v>
      </c>
      <c r="W227">
        <v>0</v>
      </c>
      <c r="Z227">
        <v>0</v>
      </c>
      <c r="AA227">
        <v>0</v>
      </c>
      <c r="AD227">
        <v>0</v>
      </c>
      <c r="AE227">
        <v>0</v>
      </c>
      <c r="AH227">
        <v>0</v>
      </c>
      <c r="AI227">
        <v>0</v>
      </c>
      <c r="AL227">
        <v>0</v>
      </c>
      <c r="AM227">
        <v>0</v>
      </c>
      <c r="AP227">
        <v>0</v>
      </c>
      <c r="AQ227">
        <v>3</v>
      </c>
      <c r="AT227">
        <v>3</v>
      </c>
      <c r="AU227">
        <v>0</v>
      </c>
      <c r="AX227">
        <v>0</v>
      </c>
      <c r="AY227">
        <v>0</v>
      </c>
      <c r="BB227">
        <v>0</v>
      </c>
      <c r="BC227">
        <v>1</v>
      </c>
      <c r="BF227">
        <v>1</v>
      </c>
      <c r="BG227">
        <v>1</v>
      </c>
      <c r="BJ227">
        <v>1</v>
      </c>
      <c r="BK227">
        <v>0</v>
      </c>
      <c r="BN227">
        <v>0</v>
      </c>
      <c r="BO227">
        <v>0</v>
      </c>
      <c r="BR227">
        <v>0</v>
      </c>
      <c r="BS227">
        <v>0</v>
      </c>
      <c r="BV227">
        <v>0</v>
      </c>
      <c r="BW227">
        <v>0</v>
      </c>
      <c r="BZ227">
        <v>0</v>
      </c>
      <c r="CA227">
        <v>0</v>
      </c>
      <c r="CD227">
        <v>0</v>
      </c>
      <c r="CE227">
        <v>0</v>
      </c>
      <c r="CH227">
        <v>0</v>
      </c>
      <c r="CI227">
        <v>0</v>
      </c>
      <c r="CL227">
        <v>0</v>
      </c>
      <c r="CM227">
        <v>0</v>
      </c>
      <c r="CP227">
        <v>0</v>
      </c>
      <c r="CQ227">
        <v>0</v>
      </c>
      <c r="CT227">
        <v>0</v>
      </c>
      <c r="CU227">
        <v>0</v>
      </c>
      <c r="CX227">
        <v>0</v>
      </c>
      <c r="CY227">
        <v>0</v>
      </c>
      <c r="DB227">
        <v>0</v>
      </c>
      <c r="DC227">
        <v>0</v>
      </c>
      <c r="DF227">
        <v>0</v>
      </c>
      <c r="DG227">
        <v>0</v>
      </c>
      <c r="DJ227">
        <v>0</v>
      </c>
      <c r="DK227">
        <v>0</v>
      </c>
      <c r="DN227">
        <v>0</v>
      </c>
      <c r="DO227">
        <v>0</v>
      </c>
      <c r="DR227">
        <v>0</v>
      </c>
      <c r="DS227">
        <v>0</v>
      </c>
      <c r="DV227">
        <v>0</v>
      </c>
      <c r="DW227">
        <v>0</v>
      </c>
      <c r="DZ227">
        <v>0</v>
      </c>
      <c r="EA227">
        <v>0</v>
      </c>
      <c r="ED227">
        <v>0</v>
      </c>
      <c r="EE227">
        <v>0</v>
      </c>
      <c r="EH227">
        <v>0</v>
      </c>
      <c r="EI227">
        <v>0</v>
      </c>
      <c r="EL227">
        <v>0</v>
      </c>
      <c r="EM227">
        <v>0</v>
      </c>
      <c r="EP227">
        <v>0</v>
      </c>
      <c r="EQ227">
        <v>0</v>
      </c>
      <c r="ET227">
        <v>0</v>
      </c>
      <c r="EU227">
        <v>0</v>
      </c>
      <c r="EX227">
        <v>0</v>
      </c>
      <c r="EY227">
        <v>0</v>
      </c>
      <c r="FB227">
        <v>0</v>
      </c>
      <c r="FC227">
        <v>0</v>
      </c>
      <c r="FF227">
        <v>0</v>
      </c>
      <c r="FG227">
        <v>0</v>
      </c>
      <c r="FJ227">
        <v>0</v>
      </c>
      <c r="FK227">
        <v>0</v>
      </c>
      <c r="FN227">
        <v>0</v>
      </c>
      <c r="FO227">
        <v>0</v>
      </c>
      <c r="FR227">
        <v>0</v>
      </c>
      <c r="FS227">
        <v>0</v>
      </c>
      <c r="FV227">
        <v>0</v>
      </c>
      <c r="FW227">
        <v>1</v>
      </c>
      <c r="FZ227">
        <v>1</v>
      </c>
      <c r="GA227">
        <v>1</v>
      </c>
      <c r="GD227">
        <v>1</v>
      </c>
      <c r="GE227">
        <v>0</v>
      </c>
      <c r="GH227">
        <v>0</v>
      </c>
      <c r="GI227">
        <v>0</v>
      </c>
      <c r="GL227">
        <v>0</v>
      </c>
      <c r="GM227">
        <v>0</v>
      </c>
      <c r="GP227">
        <v>0</v>
      </c>
      <c r="GQ227">
        <v>1</v>
      </c>
      <c r="GT227">
        <v>1</v>
      </c>
      <c r="GU227">
        <v>1</v>
      </c>
      <c r="GX227">
        <v>1</v>
      </c>
      <c r="GY227">
        <v>0</v>
      </c>
      <c r="HB227">
        <v>0</v>
      </c>
      <c r="HC227">
        <v>0</v>
      </c>
      <c r="HF227">
        <v>0</v>
      </c>
      <c r="HG227">
        <v>0</v>
      </c>
      <c r="HJ227">
        <v>0</v>
      </c>
      <c r="HK227">
        <v>0</v>
      </c>
      <c r="HN227">
        <v>0</v>
      </c>
      <c r="HO227">
        <v>0</v>
      </c>
      <c r="HR227">
        <v>0</v>
      </c>
      <c r="HS227">
        <v>0</v>
      </c>
      <c r="HV227">
        <v>0</v>
      </c>
      <c r="HW227">
        <v>0</v>
      </c>
      <c r="HZ227">
        <v>0</v>
      </c>
      <c r="IA227">
        <v>1</v>
      </c>
      <c r="ID227">
        <v>1</v>
      </c>
      <c r="IE227">
        <v>0</v>
      </c>
      <c r="IH227">
        <v>0</v>
      </c>
      <c r="II227">
        <v>0</v>
      </c>
      <c r="IL227">
        <v>0</v>
      </c>
      <c r="IM227">
        <v>0</v>
      </c>
      <c r="IP227">
        <v>0</v>
      </c>
      <c r="IQ227">
        <v>0</v>
      </c>
      <c r="IT227">
        <v>0</v>
      </c>
      <c r="IU227">
        <v>0</v>
      </c>
      <c r="IX227">
        <v>0</v>
      </c>
      <c r="IY227">
        <f t="shared" ca="1" si="17"/>
        <v>5</v>
      </c>
      <c r="IZ227">
        <f t="shared" ca="1" si="17"/>
        <v>0</v>
      </c>
      <c r="JA227">
        <f t="shared" ca="1" si="17"/>
        <v>0</v>
      </c>
      <c r="JB227">
        <f t="shared" ca="1" si="17"/>
        <v>5</v>
      </c>
    </row>
    <row r="228" spans="1:262" x14ac:dyDescent="0.25">
      <c r="A228" s="167">
        <v>225</v>
      </c>
      <c r="B228" s="167" t="s">
        <v>349</v>
      </c>
      <c r="C228">
        <v>0</v>
      </c>
      <c r="F228">
        <v>0</v>
      </c>
      <c r="G228">
        <v>0</v>
      </c>
      <c r="J228">
        <v>0</v>
      </c>
      <c r="K228">
        <v>2</v>
      </c>
      <c r="N228">
        <v>2</v>
      </c>
      <c r="O228">
        <v>1</v>
      </c>
      <c r="R228">
        <v>1</v>
      </c>
      <c r="S228">
        <v>0</v>
      </c>
      <c r="V228">
        <v>0</v>
      </c>
      <c r="W228">
        <v>1</v>
      </c>
      <c r="Z228">
        <v>1</v>
      </c>
      <c r="AA228">
        <v>0</v>
      </c>
      <c r="AD228">
        <v>0</v>
      </c>
      <c r="AE228">
        <v>0</v>
      </c>
      <c r="AH228">
        <v>0</v>
      </c>
      <c r="AI228">
        <v>0</v>
      </c>
      <c r="AL228">
        <v>0</v>
      </c>
      <c r="AM228">
        <v>0</v>
      </c>
      <c r="AP228">
        <v>0</v>
      </c>
      <c r="AQ228">
        <v>0</v>
      </c>
      <c r="AT228">
        <v>0</v>
      </c>
      <c r="AU228">
        <v>1</v>
      </c>
      <c r="AX228">
        <v>1</v>
      </c>
      <c r="AY228">
        <v>0</v>
      </c>
      <c r="BB228">
        <v>0</v>
      </c>
      <c r="BC228">
        <v>0</v>
      </c>
      <c r="BF228">
        <v>0</v>
      </c>
      <c r="BG228">
        <v>1</v>
      </c>
      <c r="BJ228">
        <v>1</v>
      </c>
      <c r="BK228">
        <v>0</v>
      </c>
      <c r="BN228">
        <v>0</v>
      </c>
      <c r="BO228">
        <v>0</v>
      </c>
      <c r="BR228">
        <v>0</v>
      </c>
      <c r="BS228">
        <v>0</v>
      </c>
      <c r="BV228">
        <v>0</v>
      </c>
      <c r="BW228">
        <v>0</v>
      </c>
      <c r="BZ228">
        <v>0</v>
      </c>
      <c r="CA228">
        <v>0</v>
      </c>
      <c r="CD228">
        <v>0</v>
      </c>
      <c r="CE228">
        <v>0</v>
      </c>
      <c r="CH228">
        <v>0</v>
      </c>
      <c r="CI228">
        <v>0</v>
      </c>
      <c r="CL228">
        <v>0</v>
      </c>
      <c r="CM228">
        <v>0</v>
      </c>
      <c r="CP228">
        <v>0</v>
      </c>
      <c r="CQ228">
        <v>0</v>
      </c>
      <c r="CT228">
        <v>0</v>
      </c>
      <c r="CU228">
        <v>0</v>
      </c>
      <c r="CX228">
        <v>0</v>
      </c>
      <c r="CY228">
        <v>0</v>
      </c>
      <c r="DB228">
        <v>0</v>
      </c>
      <c r="DC228">
        <v>0</v>
      </c>
      <c r="DF228">
        <v>0</v>
      </c>
      <c r="DG228">
        <v>0</v>
      </c>
      <c r="DJ228">
        <v>0</v>
      </c>
      <c r="DK228">
        <v>0</v>
      </c>
      <c r="DN228">
        <v>0</v>
      </c>
      <c r="DO228">
        <v>0</v>
      </c>
      <c r="DR228">
        <v>0</v>
      </c>
      <c r="DS228">
        <v>0</v>
      </c>
      <c r="DV228">
        <v>0</v>
      </c>
      <c r="DW228">
        <v>0</v>
      </c>
      <c r="DZ228">
        <v>0</v>
      </c>
      <c r="EA228">
        <v>0</v>
      </c>
      <c r="ED228">
        <v>0</v>
      </c>
      <c r="EE228">
        <v>0</v>
      </c>
      <c r="EH228">
        <v>0</v>
      </c>
      <c r="EI228">
        <v>0</v>
      </c>
      <c r="EL228">
        <v>0</v>
      </c>
      <c r="EM228">
        <v>0</v>
      </c>
      <c r="EP228">
        <v>0</v>
      </c>
      <c r="EQ228">
        <v>0</v>
      </c>
      <c r="ET228">
        <v>0</v>
      </c>
      <c r="EU228">
        <v>0</v>
      </c>
      <c r="EX228">
        <v>0</v>
      </c>
      <c r="EY228">
        <v>0</v>
      </c>
      <c r="FB228">
        <v>0</v>
      </c>
      <c r="FC228">
        <v>0</v>
      </c>
      <c r="FF228">
        <v>0</v>
      </c>
      <c r="FG228">
        <v>0</v>
      </c>
      <c r="FJ228">
        <v>0</v>
      </c>
      <c r="FK228">
        <v>0</v>
      </c>
      <c r="FN228">
        <v>0</v>
      </c>
      <c r="FO228">
        <v>1</v>
      </c>
      <c r="FR228">
        <v>1</v>
      </c>
      <c r="FS228">
        <v>0</v>
      </c>
      <c r="FV228">
        <v>0</v>
      </c>
      <c r="FW228">
        <v>0</v>
      </c>
      <c r="FZ228">
        <v>0</v>
      </c>
      <c r="GA228">
        <v>0</v>
      </c>
      <c r="GD228">
        <v>0</v>
      </c>
      <c r="GE228">
        <v>0</v>
      </c>
      <c r="GH228">
        <v>0</v>
      </c>
      <c r="GI228">
        <v>1</v>
      </c>
      <c r="GL228">
        <v>1</v>
      </c>
      <c r="GM228">
        <v>0</v>
      </c>
      <c r="GP228">
        <v>0</v>
      </c>
      <c r="GQ228">
        <v>0</v>
      </c>
      <c r="GT228">
        <v>0</v>
      </c>
      <c r="GU228">
        <v>0</v>
      </c>
      <c r="GX228">
        <v>0</v>
      </c>
      <c r="GY228">
        <v>0</v>
      </c>
      <c r="HB228">
        <v>0</v>
      </c>
      <c r="HC228">
        <v>0</v>
      </c>
      <c r="HF228">
        <v>0</v>
      </c>
      <c r="HG228">
        <v>0</v>
      </c>
      <c r="HJ228">
        <v>0</v>
      </c>
      <c r="HK228">
        <v>0</v>
      </c>
      <c r="HN228">
        <v>0</v>
      </c>
      <c r="HO228">
        <v>0</v>
      </c>
      <c r="HR228">
        <v>0</v>
      </c>
      <c r="HS228">
        <v>0</v>
      </c>
      <c r="HV228">
        <v>0</v>
      </c>
      <c r="HW228">
        <v>0</v>
      </c>
      <c r="HZ228">
        <v>0</v>
      </c>
      <c r="IA228">
        <v>0</v>
      </c>
      <c r="ID228">
        <v>0</v>
      </c>
      <c r="IE228">
        <v>0</v>
      </c>
      <c r="IH228">
        <v>0</v>
      </c>
      <c r="II228">
        <v>0</v>
      </c>
      <c r="IL228">
        <v>0</v>
      </c>
      <c r="IM228">
        <v>0</v>
      </c>
      <c r="IP228">
        <v>0</v>
      </c>
      <c r="IQ228">
        <v>1</v>
      </c>
      <c r="IT228">
        <v>1</v>
      </c>
      <c r="IU228">
        <v>0</v>
      </c>
      <c r="IX228">
        <v>0</v>
      </c>
      <c r="IY228">
        <f t="shared" ca="1" si="17"/>
        <v>3</v>
      </c>
      <c r="IZ228">
        <f t="shared" ca="1" si="17"/>
        <v>0</v>
      </c>
      <c r="JA228">
        <f t="shared" ca="1" si="17"/>
        <v>0</v>
      </c>
      <c r="JB228">
        <f t="shared" ca="1" si="17"/>
        <v>3</v>
      </c>
    </row>
    <row r="229" spans="1:262" x14ac:dyDescent="0.25">
      <c r="B229" s="38" t="s">
        <v>1903</v>
      </c>
      <c r="F229">
        <v>55</v>
      </c>
      <c r="J229">
        <v>662</v>
      </c>
      <c r="N229">
        <v>334</v>
      </c>
      <c r="R229">
        <v>402</v>
      </c>
      <c r="V229">
        <v>35</v>
      </c>
      <c r="Z229">
        <v>194</v>
      </c>
      <c r="AD229">
        <v>139</v>
      </c>
      <c r="AH229">
        <v>170</v>
      </c>
      <c r="AL229">
        <v>101</v>
      </c>
      <c r="AP229">
        <v>123</v>
      </c>
      <c r="AT229">
        <v>186</v>
      </c>
      <c r="AX229">
        <v>98</v>
      </c>
      <c r="BB229">
        <v>203</v>
      </c>
      <c r="BF229">
        <v>134</v>
      </c>
      <c r="BJ229">
        <v>140</v>
      </c>
      <c r="BN229">
        <v>19</v>
      </c>
      <c r="BR229">
        <v>36</v>
      </c>
      <c r="BV229">
        <v>16</v>
      </c>
      <c r="BZ229">
        <v>14</v>
      </c>
      <c r="CD229">
        <v>38</v>
      </c>
      <c r="CH229">
        <v>24</v>
      </c>
      <c r="CL229">
        <v>14</v>
      </c>
      <c r="CP229">
        <v>11</v>
      </c>
      <c r="CT229">
        <v>17</v>
      </c>
      <c r="CX229">
        <v>21</v>
      </c>
      <c r="DB229">
        <v>33</v>
      </c>
      <c r="DF229">
        <v>46</v>
      </c>
      <c r="DJ229">
        <v>11</v>
      </c>
      <c r="DN229">
        <v>30</v>
      </c>
      <c r="DR229">
        <v>29</v>
      </c>
      <c r="DV229">
        <v>43</v>
      </c>
      <c r="DZ229">
        <v>25</v>
      </c>
      <c r="ED229">
        <v>28</v>
      </c>
      <c r="EH229">
        <v>28</v>
      </c>
      <c r="EL229">
        <v>13</v>
      </c>
      <c r="EP229">
        <v>44</v>
      </c>
      <c r="ET229">
        <v>27</v>
      </c>
      <c r="EX229">
        <v>31</v>
      </c>
      <c r="FB229">
        <v>46</v>
      </c>
      <c r="FF229">
        <v>44</v>
      </c>
      <c r="FJ229">
        <v>29</v>
      </c>
      <c r="FN229">
        <v>32</v>
      </c>
      <c r="FR229">
        <v>26</v>
      </c>
      <c r="FV229">
        <v>41</v>
      </c>
      <c r="FZ229">
        <v>34</v>
      </c>
      <c r="GD229">
        <v>35</v>
      </c>
      <c r="GH229">
        <v>28</v>
      </c>
      <c r="GL229">
        <v>43</v>
      </c>
      <c r="GP229">
        <v>18</v>
      </c>
      <c r="GT229">
        <v>45</v>
      </c>
      <c r="GX229">
        <v>32</v>
      </c>
      <c r="HB229">
        <v>37</v>
      </c>
      <c r="HF229">
        <v>29</v>
      </c>
      <c r="HJ229">
        <v>21</v>
      </c>
      <c r="HN229">
        <v>28</v>
      </c>
      <c r="HR229">
        <v>42</v>
      </c>
      <c r="HV229">
        <v>31</v>
      </c>
      <c r="HZ229">
        <v>39</v>
      </c>
      <c r="ID229">
        <v>36</v>
      </c>
      <c r="IH229">
        <v>27</v>
      </c>
      <c r="IL229">
        <v>24</v>
      </c>
      <c r="IP229">
        <v>45</v>
      </c>
      <c r="IT229">
        <v>43</v>
      </c>
      <c r="IX229">
        <v>35</v>
      </c>
    </row>
    <row r="230" spans="1:262" x14ac:dyDescent="0.25">
      <c r="B230" s="38" t="e">
        <f>#N/A</f>
        <v>#N/A</v>
      </c>
      <c r="JA230" t="str">
        <f t="array" ref="JA230">_xlfn.IFNA(B230,"")</f>
        <v/>
      </c>
    </row>
  </sheetData>
  <autoFilter ref="A3:JB3">
    <sortState ref="A4:JB230">
      <sortCondition ref="A3"/>
    </sortState>
  </autoFilter>
  <mergeCells count="66">
    <mergeCell ref="C2:F2"/>
    <mergeCell ref="C1:V1"/>
    <mergeCell ref="G2:J2"/>
    <mergeCell ref="K2:N2"/>
    <mergeCell ref="O2:R2"/>
    <mergeCell ref="S2:V2"/>
    <mergeCell ref="W1:BJ1"/>
    <mergeCell ref="W2:Z2"/>
    <mergeCell ref="AA2:AD2"/>
    <mergeCell ref="AE2:AH2"/>
    <mergeCell ref="AI2:AL2"/>
    <mergeCell ref="AM2:AP2"/>
    <mergeCell ref="AQ2:AT2"/>
    <mergeCell ref="AU2:AX2"/>
    <mergeCell ref="AY2:BB2"/>
    <mergeCell ref="BC2:BF2"/>
    <mergeCell ref="BG2:BJ2"/>
    <mergeCell ref="BK2:BN2"/>
    <mergeCell ref="BO2:BR2"/>
    <mergeCell ref="BS2:BV2"/>
    <mergeCell ref="BW2:BZ2"/>
    <mergeCell ref="CA2:CD2"/>
    <mergeCell ref="CE2:CH2"/>
    <mergeCell ref="CI2:CL2"/>
    <mergeCell ref="CM2:CP2"/>
    <mergeCell ref="CQ2:CT2"/>
    <mergeCell ref="CU2:CX2"/>
    <mergeCell ref="CY2:DB2"/>
    <mergeCell ref="DC2:DF2"/>
    <mergeCell ref="DG2:DJ2"/>
    <mergeCell ref="DK2:DN2"/>
    <mergeCell ref="DO2:DR2"/>
    <mergeCell ref="DS2:DV2"/>
    <mergeCell ref="DW2:DZ2"/>
    <mergeCell ref="EA2:ED2"/>
    <mergeCell ref="EE2:EH2"/>
    <mergeCell ref="EI2:EL2"/>
    <mergeCell ref="EM2:EP2"/>
    <mergeCell ref="EQ2:ET2"/>
    <mergeCell ref="EU2:EX2"/>
    <mergeCell ref="EY2:FB2"/>
    <mergeCell ref="FC2:FF2"/>
    <mergeCell ref="FG2:FJ2"/>
    <mergeCell ref="FK2:FN2"/>
    <mergeCell ref="FO2:FR2"/>
    <mergeCell ref="FS2:FV2"/>
    <mergeCell ref="FW2:FZ2"/>
    <mergeCell ref="GA2:GD2"/>
    <mergeCell ref="GE2:GH2"/>
    <mergeCell ref="GI2:GL2"/>
    <mergeCell ref="GM2:GP2"/>
    <mergeCell ref="GQ2:GT2"/>
    <mergeCell ref="GU2:GX2"/>
    <mergeCell ref="GY2:HB2"/>
    <mergeCell ref="HC2:HF2"/>
    <mergeCell ref="HG2:HJ2"/>
    <mergeCell ref="HK2:HN2"/>
    <mergeCell ref="II2:IL2"/>
    <mergeCell ref="IM2:IP2"/>
    <mergeCell ref="IQ2:IT2"/>
    <mergeCell ref="IU2:IX2"/>
    <mergeCell ref="HO2:HR2"/>
    <mergeCell ref="HS2:HV2"/>
    <mergeCell ref="HW2:HZ2"/>
    <mergeCell ref="IA2:ID2"/>
    <mergeCell ref="IE2:IH2"/>
  </mergeCells>
  <phoneticPr fontId="3" type="noConversion"/>
  <dataValidations count="2">
    <dataValidation type="list" allowBlank="1" showInputMessage="1" showErrorMessage="1" sqref="B65:B86">
      <formula1>i01_清單投入與產出</formula1>
    </dataValidation>
    <dataValidation type="list" allowBlank="1" showInputMessage="1" showErrorMessage="1" sqref="B3:B64">
      <formula1>i01_清單投入與產出元件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S229"/>
  <sheetViews>
    <sheetView topLeftCell="A86" workbookViewId="0">
      <selection activeCell="A18" sqref="A18:XFD18"/>
    </sheetView>
  </sheetViews>
  <sheetFormatPr defaultRowHeight="16.5" x14ac:dyDescent="0.25"/>
  <cols>
    <col min="2" max="2" width="18.25" customWidth="1"/>
  </cols>
  <sheetData>
    <row r="1" spans="1:201" ht="16.5" customHeight="1" x14ac:dyDescent="0.25">
      <c r="A1" s="38"/>
      <c r="B1" s="38"/>
      <c r="C1" s="253" t="s">
        <v>714</v>
      </c>
      <c r="D1" s="253" t="s">
        <v>714</v>
      </c>
      <c r="E1" s="253" t="s">
        <v>714</v>
      </c>
      <c r="F1" s="253" t="s">
        <v>714</v>
      </c>
      <c r="G1" s="253" t="s">
        <v>714</v>
      </c>
      <c r="H1" s="253" t="s">
        <v>714</v>
      </c>
      <c r="I1" s="253" t="s">
        <v>714</v>
      </c>
      <c r="J1" s="253" t="s">
        <v>714</v>
      </c>
      <c r="K1" s="253" t="s">
        <v>714</v>
      </c>
      <c r="L1" s="253" t="s">
        <v>714</v>
      </c>
      <c r="M1" s="253" t="s">
        <v>714</v>
      </c>
      <c r="N1" s="253" t="s">
        <v>714</v>
      </c>
      <c r="O1" s="253" t="s">
        <v>714</v>
      </c>
      <c r="P1" s="253" t="s">
        <v>714</v>
      </c>
      <c r="Q1" s="253" t="s">
        <v>714</v>
      </c>
      <c r="R1" s="253" t="s">
        <v>714</v>
      </c>
      <c r="S1" s="253" t="s">
        <v>714</v>
      </c>
      <c r="T1" s="253" t="s">
        <v>714</v>
      </c>
      <c r="U1" s="253" t="s">
        <v>714</v>
      </c>
      <c r="V1" s="253" t="s">
        <v>714</v>
      </c>
      <c r="W1" s="253" t="s">
        <v>714</v>
      </c>
      <c r="X1" s="253" t="s">
        <v>714</v>
      </c>
      <c r="Y1" s="253" t="s">
        <v>714</v>
      </c>
      <c r="Z1" s="253" t="s">
        <v>714</v>
      </c>
      <c r="AA1" s="253" t="s">
        <v>714</v>
      </c>
      <c r="AB1" s="253" t="s">
        <v>714</v>
      </c>
      <c r="AC1" s="253" t="s">
        <v>714</v>
      </c>
      <c r="AD1" s="253" t="s">
        <v>714</v>
      </c>
      <c r="AE1" s="253" t="s">
        <v>714</v>
      </c>
      <c r="AF1" s="253" t="s">
        <v>714</v>
      </c>
      <c r="AG1" s="253" t="s">
        <v>714</v>
      </c>
      <c r="AH1" s="253" t="s">
        <v>714</v>
      </c>
      <c r="AI1" s="253" t="s">
        <v>714</v>
      </c>
      <c r="AJ1" s="253" t="s">
        <v>714</v>
      </c>
      <c r="AK1" s="253" t="s">
        <v>714</v>
      </c>
      <c r="AL1" s="253" t="s">
        <v>714</v>
      </c>
      <c r="AM1" s="253" t="s">
        <v>714</v>
      </c>
      <c r="AN1" s="253" t="s">
        <v>714</v>
      </c>
      <c r="AO1" s="253" t="s">
        <v>714</v>
      </c>
      <c r="AP1" s="253" t="s">
        <v>714</v>
      </c>
      <c r="AQ1" s="253" t="s">
        <v>714</v>
      </c>
      <c r="AR1" s="253" t="s">
        <v>714</v>
      </c>
      <c r="AS1" s="253" t="s">
        <v>714</v>
      </c>
      <c r="AT1" s="253" t="s">
        <v>714</v>
      </c>
      <c r="AU1" s="253" t="s">
        <v>714</v>
      </c>
      <c r="AV1" s="253" t="s">
        <v>714</v>
      </c>
      <c r="AW1" s="253" t="s">
        <v>714</v>
      </c>
      <c r="AX1" s="253" t="s">
        <v>714</v>
      </c>
      <c r="AY1" s="253" t="s">
        <v>714</v>
      </c>
      <c r="AZ1" s="253" t="s">
        <v>714</v>
      </c>
      <c r="BA1" s="253" t="s">
        <v>714</v>
      </c>
      <c r="BB1" s="253" t="s">
        <v>714</v>
      </c>
      <c r="BC1" s="253" t="s">
        <v>714</v>
      </c>
      <c r="BD1" s="253" t="s">
        <v>714</v>
      </c>
      <c r="BE1" s="253" t="s">
        <v>714</v>
      </c>
      <c r="BF1" s="253" t="s">
        <v>714</v>
      </c>
      <c r="BG1" s="253" t="s">
        <v>714</v>
      </c>
      <c r="BH1" s="253" t="s">
        <v>714</v>
      </c>
      <c r="BI1" s="253" t="s">
        <v>714</v>
      </c>
      <c r="BJ1" s="253" t="s">
        <v>714</v>
      </c>
      <c r="BK1" s="253" t="s">
        <v>714</v>
      </c>
      <c r="BL1" s="253" t="s">
        <v>714</v>
      </c>
      <c r="BM1" s="253" t="s">
        <v>714</v>
      </c>
      <c r="BN1" s="253" t="s">
        <v>714</v>
      </c>
      <c r="BO1" s="253" t="s">
        <v>714</v>
      </c>
      <c r="BP1" s="253" t="s">
        <v>714</v>
      </c>
      <c r="BQ1" s="253" t="s">
        <v>714</v>
      </c>
      <c r="BR1" s="253" t="s">
        <v>714</v>
      </c>
      <c r="BS1" s="253" t="s">
        <v>714</v>
      </c>
      <c r="BT1" s="253" t="s">
        <v>714</v>
      </c>
      <c r="BU1" s="253" t="s">
        <v>714</v>
      </c>
      <c r="BV1" s="253" t="s">
        <v>714</v>
      </c>
      <c r="BW1" s="253" t="s">
        <v>714</v>
      </c>
      <c r="BX1" s="253" t="s">
        <v>714</v>
      </c>
      <c r="BY1" s="253" t="s">
        <v>714</v>
      </c>
      <c r="BZ1" s="253" t="s">
        <v>714</v>
      </c>
      <c r="CA1" s="253" t="s">
        <v>714</v>
      </c>
      <c r="CB1" s="253" t="s">
        <v>714</v>
      </c>
      <c r="CC1" s="253" t="s">
        <v>714</v>
      </c>
      <c r="CD1" s="253" t="s">
        <v>714</v>
      </c>
      <c r="CE1" s="253" t="s">
        <v>714</v>
      </c>
      <c r="CF1" s="253" t="s">
        <v>714</v>
      </c>
      <c r="CG1" s="253" t="s">
        <v>714</v>
      </c>
      <c r="CH1" s="253" t="s">
        <v>714</v>
      </c>
      <c r="CI1" s="253" t="s">
        <v>714</v>
      </c>
      <c r="CJ1" s="253" t="s">
        <v>714</v>
      </c>
      <c r="CK1" s="253" t="s">
        <v>714</v>
      </c>
      <c r="CL1" s="253" t="s">
        <v>714</v>
      </c>
      <c r="CM1" s="253" t="s">
        <v>714</v>
      </c>
      <c r="CN1" s="253" t="s">
        <v>714</v>
      </c>
      <c r="CO1" s="253" t="s">
        <v>714</v>
      </c>
      <c r="CP1" s="253" t="s">
        <v>714</v>
      </c>
      <c r="CQ1" s="253" t="s">
        <v>714</v>
      </c>
      <c r="CR1" s="253" t="s">
        <v>714</v>
      </c>
      <c r="CS1" s="253" t="s">
        <v>714</v>
      </c>
      <c r="CT1" s="253" t="s">
        <v>714</v>
      </c>
      <c r="CU1" s="253" t="s">
        <v>714</v>
      </c>
      <c r="CV1" s="253" t="s">
        <v>714</v>
      </c>
      <c r="CW1" s="253" t="s">
        <v>714</v>
      </c>
      <c r="CX1" s="253" t="s">
        <v>714</v>
      </c>
      <c r="CY1" s="253" t="s">
        <v>714</v>
      </c>
      <c r="CZ1" s="253" t="s">
        <v>714</v>
      </c>
      <c r="DA1" s="253" t="s">
        <v>714</v>
      </c>
      <c r="DB1" s="253" t="s">
        <v>714</v>
      </c>
      <c r="DC1" s="253" t="s">
        <v>714</v>
      </c>
      <c r="DD1" s="253" t="s">
        <v>714</v>
      </c>
      <c r="DE1" s="253" t="s">
        <v>714</v>
      </c>
      <c r="DF1" s="253" t="s">
        <v>714</v>
      </c>
      <c r="DG1" s="253" t="s">
        <v>714</v>
      </c>
      <c r="DH1" s="253" t="s">
        <v>714</v>
      </c>
      <c r="DI1" s="253" t="s">
        <v>714</v>
      </c>
      <c r="DJ1" s="253" t="s">
        <v>714</v>
      </c>
      <c r="DK1" s="253" t="s">
        <v>714</v>
      </c>
      <c r="DL1" s="253" t="s">
        <v>714</v>
      </c>
      <c r="DM1" s="253" t="s">
        <v>714</v>
      </c>
      <c r="DN1" s="253" t="s">
        <v>714</v>
      </c>
      <c r="DO1" s="253" t="s">
        <v>714</v>
      </c>
      <c r="DP1" s="253" t="s">
        <v>714</v>
      </c>
      <c r="DQ1" s="253" t="s">
        <v>714</v>
      </c>
      <c r="DR1" s="253" t="s">
        <v>714</v>
      </c>
      <c r="DS1" s="253" t="s">
        <v>714</v>
      </c>
      <c r="DT1" s="253" t="s">
        <v>714</v>
      </c>
      <c r="DU1" s="253" t="s">
        <v>714</v>
      </c>
      <c r="DV1" s="253" t="s">
        <v>714</v>
      </c>
      <c r="DW1" s="253" t="s">
        <v>714</v>
      </c>
      <c r="DX1" s="253" t="s">
        <v>714</v>
      </c>
      <c r="DY1" s="253" t="s">
        <v>714</v>
      </c>
      <c r="DZ1" s="253" t="s">
        <v>714</v>
      </c>
      <c r="EA1" s="253" t="s">
        <v>714</v>
      </c>
      <c r="EB1" s="253" t="s">
        <v>714</v>
      </c>
      <c r="EC1" s="253" t="s">
        <v>714</v>
      </c>
      <c r="ED1" s="253" t="s">
        <v>714</v>
      </c>
      <c r="EE1" s="253" t="s">
        <v>714</v>
      </c>
      <c r="EF1" s="253" t="s">
        <v>714</v>
      </c>
      <c r="EG1" s="253" t="s">
        <v>714</v>
      </c>
      <c r="EH1" s="253" t="s">
        <v>714</v>
      </c>
      <c r="EI1" s="253" t="s">
        <v>714</v>
      </c>
      <c r="EJ1" s="253" t="s">
        <v>714</v>
      </c>
      <c r="EK1" s="253" t="s">
        <v>714</v>
      </c>
      <c r="EL1" s="253" t="s">
        <v>714</v>
      </c>
      <c r="EM1" s="253" t="s">
        <v>714</v>
      </c>
      <c r="EN1" s="253" t="s">
        <v>714</v>
      </c>
      <c r="EO1" s="253" t="s">
        <v>714</v>
      </c>
      <c r="EP1" s="253" t="s">
        <v>714</v>
      </c>
      <c r="EQ1" s="253" t="s">
        <v>714</v>
      </c>
      <c r="ER1" s="253" t="s">
        <v>714</v>
      </c>
      <c r="ES1" s="253" t="s">
        <v>714</v>
      </c>
      <c r="ET1" s="253" t="s">
        <v>714</v>
      </c>
      <c r="EU1" s="253" t="s">
        <v>714</v>
      </c>
      <c r="EV1" s="253" t="s">
        <v>714</v>
      </c>
      <c r="EW1" s="253" t="s">
        <v>714</v>
      </c>
      <c r="EX1" s="253" t="s">
        <v>714</v>
      </c>
      <c r="EY1" s="253" t="s">
        <v>714</v>
      </c>
      <c r="EZ1" s="253" t="s">
        <v>714</v>
      </c>
      <c r="FA1" s="253" t="s">
        <v>714</v>
      </c>
      <c r="FB1" s="253" t="s">
        <v>714</v>
      </c>
      <c r="FC1" s="253" t="s">
        <v>714</v>
      </c>
      <c r="FD1" s="253" t="s">
        <v>714</v>
      </c>
      <c r="FE1" s="253" t="s">
        <v>714</v>
      </c>
      <c r="FF1" s="253" t="s">
        <v>714</v>
      </c>
      <c r="FG1" s="253" t="s">
        <v>714</v>
      </c>
      <c r="FH1" s="253" t="s">
        <v>714</v>
      </c>
      <c r="FI1" s="253" t="s">
        <v>714</v>
      </c>
      <c r="FJ1" s="253" t="s">
        <v>714</v>
      </c>
      <c r="FK1" s="253" t="s">
        <v>714</v>
      </c>
      <c r="FL1" s="253" t="s">
        <v>714</v>
      </c>
      <c r="FM1" s="253" t="s">
        <v>714</v>
      </c>
      <c r="FN1" s="253" t="s">
        <v>714</v>
      </c>
      <c r="FO1" s="253" t="s">
        <v>714</v>
      </c>
      <c r="FP1" s="253" t="s">
        <v>714</v>
      </c>
      <c r="FQ1" s="253" t="s">
        <v>714</v>
      </c>
      <c r="FR1" s="253" t="s">
        <v>714</v>
      </c>
      <c r="FS1" s="253" t="s">
        <v>714</v>
      </c>
      <c r="FT1" s="253" t="s">
        <v>714</v>
      </c>
      <c r="FU1" s="253" t="s">
        <v>714</v>
      </c>
      <c r="FV1" s="253" t="s">
        <v>714</v>
      </c>
      <c r="FW1" s="253" t="s">
        <v>714</v>
      </c>
      <c r="FX1" s="253" t="s">
        <v>714</v>
      </c>
      <c r="FY1" s="253" t="s">
        <v>714</v>
      </c>
      <c r="FZ1" s="253" t="s">
        <v>714</v>
      </c>
      <c r="GA1" s="253" t="s">
        <v>714</v>
      </c>
      <c r="GB1" s="253" t="s">
        <v>714</v>
      </c>
      <c r="GC1" s="253" t="s">
        <v>714</v>
      </c>
      <c r="GD1" s="253" t="s">
        <v>714</v>
      </c>
      <c r="GE1" s="253" t="s">
        <v>714</v>
      </c>
      <c r="GF1" s="253" t="s">
        <v>714</v>
      </c>
      <c r="GG1" s="253" t="s">
        <v>714</v>
      </c>
      <c r="GH1" s="253" t="s">
        <v>714</v>
      </c>
      <c r="GI1" s="253" t="s">
        <v>714</v>
      </c>
      <c r="GJ1" s="253" t="s">
        <v>714</v>
      </c>
      <c r="GK1" s="253" t="s">
        <v>714</v>
      </c>
      <c r="GL1" s="253" t="s">
        <v>714</v>
      </c>
      <c r="GM1" s="253" t="s">
        <v>714</v>
      </c>
      <c r="GN1" s="253" t="s">
        <v>714</v>
      </c>
      <c r="GO1" s="253" t="s">
        <v>714</v>
      </c>
      <c r="GP1" s="253" t="s">
        <v>714</v>
      </c>
    </row>
    <row r="2" spans="1:201" s="66" customFormat="1" ht="23.1" customHeight="1" x14ac:dyDescent="0.25">
      <c r="A2" s="74"/>
      <c r="B2" s="74"/>
      <c r="C2" s="253" t="s">
        <v>603</v>
      </c>
      <c r="D2" s="253" t="s">
        <v>603</v>
      </c>
      <c r="E2" s="253" t="s">
        <v>603</v>
      </c>
      <c r="F2" s="253" t="s">
        <v>603</v>
      </c>
      <c r="G2" s="253" t="s">
        <v>604</v>
      </c>
      <c r="H2" s="253" t="s">
        <v>604</v>
      </c>
      <c r="I2" s="253" t="s">
        <v>604</v>
      </c>
      <c r="J2" s="253" t="s">
        <v>604</v>
      </c>
      <c r="K2" s="253" t="s">
        <v>1167</v>
      </c>
      <c r="L2" s="253" t="s">
        <v>1167</v>
      </c>
      <c r="M2" s="253" t="s">
        <v>1167</v>
      </c>
      <c r="N2" s="253" t="s">
        <v>1167</v>
      </c>
      <c r="O2" s="253" t="s">
        <v>605</v>
      </c>
      <c r="P2" s="253" t="s">
        <v>605</v>
      </c>
      <c r="Q2" s="253" t="s">
        <v>605</v>
      </c>
      <c r="R2" s="253" t="s">
        <v>605</v>
      </c>
      <c r="S2" s="253" t="s">
        <v>606</v>
      </c>
      <c r="T2" s="253" t="s">
        <v>606</v>
      </c>
      <c r="U2" s="253" t="s">
        <v>606</v>
      </c>
      <c r="V2" s="253" t="s">
        <v>606</v>
      </c>
      <c r="W2" s="253" t="s">
        <v>607</v>
      </c>
      <c r="X2" s="253" t="s">
        <v>607</v>
      </c>
      <c r="Y2" s="253" t="s">
        <v>607</v>
      </c>
      <c r="Z2" s="253" t="s">
        <v>607</v>
      </c>
      <c r="AA2" s="253" t="s">
        <v>608</v>
      </c>
      <c r="AB2" s="253" t="s">
        <v>608</v>
      </c>
      <c r="AC2" s="253" t="s">
        <v>608</v>
      </c>
      <c r="AD2" s="253" t="s">
        <v>608</v>
      </c>
      <c r="AE2" s="253" t="s">
        <v>609</v>
      </c>
      <c r="AF2" s="253" t="s">
        <v>609</v>
      </c>
      <c r="AG2" s="253" t="s">
        <v>609</v>
      </c>
      <c r="AH2" s="253" t="s">
        <v>609</v>
      </c>
      <c r="AI2" s="253" t="s">
        <v>610</v>
      </c>
      <c r="AJ2" s="253" t="s">
        <v>610</v>
      </c>
      <c r="AK2" s="253" t="s">
        <v>610</v>
      </c>
      <c r="AL2" s="253" t="s">
        <v>610</v>
      </c>
      <c r="AM2" s="253" t="s">
        <v>611</v>
      </c>
      <c r="AN2" s="253" t="s">
        <v>611</v>
      </c>
      <c r="AO2" s="253" t="s">
        <v>611</v>
      </c>
      <c r="AP2" s="253" t="s">
        <v>611</v>
      </c>
      <c r="AQ2" s="253" t="s">
        <v>612</v>
      </c>
      <c r="AR2" s="253" t="s">
        <v>612</v>
      </c>
      <c r="AS2" s="253" t="s">
        <v>612</v>
      </c>
      <c r="AT2" s="253" t="s">
        <v>612</v>
      </c>
      <c r="AU2" s="253" t="s">
        <v>613</v>
      </c>
      <c r="AV2" s="253" t="s">
        <v>613</v>
      </c>
      <c r="AW2" s="253" t="s">
        <v>613</v>
      </c>
      <c r="AX2" s="253" t="s">
        <v>613</v>
      </c>
      <c r="AY2" s="253" t="s">
        <v>614</v>
      </c>
      <c r="AZ2" s="253" t="s">
        <v>614</v>
      </c>
      <c r="BA2" s="253" t="s">
        <v>614</v>
      </c>
      <c r="BB2" s="253" t="s">
        <v>614</v>
      </c>
      <c r="BC2" s="253" t="s">
        <v>615</v>
      </c>
      <c r="BD2" s="253" t="s">
        <v>615</v>
      </c>
      <c r="BE2" s="253" t="s">
        <v>615</v>
      </c>
      <c r="BF2" s="253" t="s">
        <v>615</v>
      </c>
      <c r="BG2" s="253" t="s">
        <v>616</v>
      </c>
      <c r="BH2" s="253" t="s">
        <v>616</v>
      </c>
      <c r="BI2" s="253" t="s">
        <v>616</v>
      </c>
      <c r="BJ2" s="253" t="s">
        <v>616</v>
      </c>
      <c r="BK2" s="253" t="s">
        <v>617</v>
      </c>
      <c r="BL2" s="253" t="s">
        <v>617</v>
      </c>
      <c r="BM2" s="253" t="s">
        <v>617</v>
      </c>
      <c r="BN2" s="253" t="s">
        <v>617</v>
      </c>
      <c r="BO2" s="253" t="s">
        <v>618</v>
      </c>
      <c r="BP2" s="253" t="s">
        <v>618</v>
      </c>
      <c r="BQ2" s="253" t="s">
        <v>618</v>
      </c>
      <c r="BR2" s="253" t="s">
        <v>618</v>
      </c>
      <c r="BS2" s="253" t="s">
        <v>619</v>
      </c>
      <c r="BT2" s="253" t="s">
        <v>619</v>
      </c>
      <c r="BU2" s="253" t="s">
        <v>619</v>
      </c>
      <c r="BV2" s="253" t="s">
        <v>619</v>
      </c>
      <c r="BW2" s="253" t="s">
        <v>620</v>
      </c>
      <c r="BX2" s="253" t="s">
        <v>620</v>
      </c>
      <c r="BY2" s="253" t="s">
        <v>620</v>
      </c>
      <c r="BZ2" s="253" t="s">
        <v>620</v>
      </c>
      <c r="CA2" s="253" t="s">
        <v>621</v>
      </c>
      <c r="CB2" s="253" t="s">
        <v>621</v>
      </c>
      <c r="CC2" s="253" t="s">
        <v>621</v>
      </c>
      <c r="CD2" s="253" t="s">
        <v>621</v>
      </c>
      <c r="CE2" s="253" t="s">
        <v>622</v>
      </c>
      <c r="CF2" s="253" t="s">
        <v>622</v>
      </c>
      <c r="CG2" s="253" t="s">
        <v>622</v>
      </c>
      <c r="CH2" s="253" t="s">
        <v>622</v>
      </c>
      <c r="CI2" s="253" t="s">
        <v>623</v>
      </c>
      <c r="CJ2" s="253" t="s">
        <v>623</v>
      </c>
      <c r="CK2" s="253" t="s">
        <v>623</v>
      </c>
      <c r="CL2" s="253" t="s">
        <v>623</v>
      </c>
      <c r="CM2" s="253" t="s">
        <v>624</v>
      </c>
      <c r="CN2" s="253" t="s">
        <v>624</v>
      </c>
      <c r="CO2" s="253" t="s">
        <v>624</v>
      </c>
      <c r="CP2" s="253" t="s">
        <v>624</v>
      </c>
      <c r="CQ2" s="253" t="s">
        <v>625</v>
      </c>
      <c r="CR2" s="253" t="s">
        <v>625</v>
      </c>
      <c r="CS2" s="253" t="s">
        <v>625</v>
      </c>
      <c r="CT2" s="253" t="s">
        <v>625</v>
      </c>
      <c r="CU2" s="253" t="s">
        <v>626</v>
      </c>
      <c r="CV2" s="253" t="s">
        <v>626</v>
      </c>
      <c r="CW2" s="253" t="s">
        <v>626</v>
      </c>
      <c r="CX2" s="253" t="s">
        <v>626</v>
      </c>
      <c r="CY2" s="253" t="s">
        <v>627</v>
      </c>
      <c r="CZ2" s="253" t="s">
        <v>627</v>
      </c>
      <c r="DA2" s="253" t="s">
        <v>627</v>
      </c>
      <c r="DB2" s="253" t="s">
        <v>627</v>
      </c>
      <c r="DC2" s="253" t="s">
        <v>628</v>
      </c>
      <c r="DD2" s="253" t="s">
        <v>628</v>
      </c>
      <c r="DE2" s="253" t="s">
        <v>628</v>
      </c>
      <c r="DF2" s="253" t="s">
        <v>628</v>
      </c>
      <c r="DG2" s="253" t="s">
        <v>629</v>
      </c>
      <c r="DH2" s="253" t="s">
        <v>629</v>
      </c>
      <c r="DI2" s="253" t="s">
        <v>629</v>
      </c>
      <c r="DJ2" s="253" t="s">
        <v>629</v>
      </c>
      <c r="DK2" s="253" t="s">
        <v>630</v>
      </c>
      <c r="DL2" s="253" t="s">
        <v>630</v>
      </c>
      <c r="DM2" s="253" t="s">
        <v>630</v>
      </c>
      <c r="DN2" s="253" t="s">
        <v>630</v>
      </c>
      <c r="DO2" s="253" t="s">
        <v>631</v>
      </c>
      <c r="DP2" s="253" t="s">
        <v>631</v>
      </c>
      <c r="DQ2" s="253" t="s">
        <v>631</v>
      </c>
      <c r="DR2" s="253" t="s">
        <v>631</v>
      </c>
      <c r="DS2" s="253" t="s">
        <v>632</v>
      </c>
      <c r="DT2" s="253" t="s">
        <v>632</v>
      </c>
      <c r="DU2" s="253" t="s">
        <v>632</v>
      </c>
      <c r="DV2" s="253" t="s">
        <v>632</v>
      </c>
      <c r="DW2" s="253" t="s">
        <v>633</v>
      </c>
      <c r="DX2" s="253" t="s">
        <v>633</v>
      </c>
      <c r="DY2" s="253" t="s">
        <v>633</v>
      </c>
      <c r="DZ2" s="253" t="s">
        <v>633</v>
      </c>
      <c r="EA2" s="253" t="s">
        <v>634</v>
      </c>
      <c r="EB2" s="253" t="s">
        <v>634</v>
      </c>
      <c r="EC2" s="253" t="s">
        <v>634</v>
      </c>
      <c r="ED2" s="253" t="s">
        <v>634</v>
      </c>
      <c r="EE2" s="253" t="s">
        <v>635</v>
      </c>
      <c r="EF2" s="253" t="s">
        <v>635</v>
      </c>
      <c r="EG2" s="253" t="s">
        <v>635</v>
      </c>
      <c r="EH2" s="253" t="s">
        <v>635</v>
      </c>
      <c r="EI2" s="253" t="s">
        <v>636</v>
      </c>
      <c r="EJ2" s="253" t="s">
        <v>636</v>
      </c>
      <c r="EK2" s="253" t="s">
        <v>636</v>
      </c>
      <c r="EL2" s="253" t="s">
        <v>636</v>
      </c>
      <c r="EM2" s="253" t="s">
        <v>637</v>
      </c>
      <c r="EN2" s="253" t="s">
        <v>637</v>
      </c>
      <c r="EO2" s="253" t="s">
        <v>637</v>
      </c>
      <c r="EP2" s="253" t="s">
        <v>637</v>
      </c>
      <c r="EQ2" s="253" t="s">
        <v>638</v>
      </c>
      <c r="ER2" s="253" t="s">
        <v>638</v>
      </c>
      <c r="ES2" s="253" t="s">
        <v>638</v>
      </c>
      <c r="ET2" s="253" t="s">
        <v>638</v>
      </c>
      <c r="EU2" s="253" t="s">
        <v>639</v>
      </c>
      <c r="EV2" s="253" t="s">
        <v>639</v>
      </c>
      <c r="EW2" s="253" t="s">
        <v>639</v>
      </c>
      <c r="EX2" s="253" t="s">
        <v>639</v>
      </c>
      <c r="EY2" s="253" t="s">
        <v>640</v>
      </c>
      <c r="EZ2" s="253" t="s">
        <v>640</v>
      </c>
      <c r="FA2" s="253" t="s">
        <v>640</v>
      </c>
      <c r="FB2" s="253" t="s">
        <v>640</v>
      </c>
      <c r="FC2" s="253" t="s">
        <v>641</v>
      </c>
      <c r="FD2" s="253" t="s">
        <v>641</v>
      </c>
      <c r="FE2" s="253" t="s">
        <v>641</v>
      </c>
      <c r="FF2" s="253" t="s">
        <v>641</v>
      </c>
      <c r="FG2" s="253" t="s">
        <v>642</v>
      </c>
      <c r="FH2" s="253" t="s">
        <v>642</v>
      </c>
      <c r="FI2" s="253" t="s">
        <v>642</v>
      </c>
      <c r="FJ2" s="253" t="s">
        <v>642</v>
      </c>
      <c r="FK2" s="253" t="s">
        <v>643</v>
      </c>
      <c r="FL2" s="253" t="s">
        <v>643</v>
      </c>
      <c r="FM2" s="253" t="s">
        <v>643</v>
      </c>
      <c r="FN2" s="253" t="s">
        <v>643</v>
      </c>
      <c r="FO2" s="253" t="s">
        <v>602</v>
      </c>
      <c r="FP2" s="253" t="s">
        <v>602</v>
      </c>
      <c r="FQ2" s="253" t="s">
        <v>602</v>
      </c>
      <c r="FR2" s="253" t="s">
        <v>602</v>
      </c>
      <c r="FS2" s="253" t="s">
        <v>644</v>
      </c>
      <c r="FT2" s="253" t="s">
        <v>644</v>
      </c>
      <c r="FU2" s="253" t="s">
        <v>644</v>
      </c>
      <c r="FV2" s="253" t="s">
        <v>644</v>
      </c>
      <c r="FW2" s="253" t="s">
        <v>645</v>
      </c>
      <c r="FX2" s="253" t="s">
        <v>645</v>
      </c>
      <c r="FY2" s="253" t="s">
        <v>645</v>
      </c>
      <c r="FZ2" s="253" t="s">
        <v>645</v>
      </c>
      <c r="GA2" s="253" t="s">
        <v>646</v>
      </c>
      <c r="GB2" s="253" t="s">
        <v>646</v>
      </c>
      <c r="GC2" s="253" t="s">
        <v>646</v>
      </c>
      <c r="GD2" s="253" t="s">
        <v>646</v>
      </c>
      <c r="GE2" s="253" t="s">
        <v>647</v>
      </c>
      <c r="GF2" s="253" t="s">
        <v>647</v>
      </c>
      <c r="GG2" s="253" t="s">
        <v>647</v>
      </c>
      <c r="GH2" s="253" t="s">
        <v>647</v>
      </c>
      <c r="GI2" s="253" t="s">
        <v>648</v>
      </c>
      <c r="GJ2" s="253" t="s">
        <v>648</v>
      </c>
      <c r="GK2" s="253" t="s">
        <v>648</v>
      </c>
      <c r="GL2" s="253" t="s">
        <v>648</v>
      </c>
      <c r="GM2" s="253" t="s">
        <v>649</v>
      </c>
      <c r="GN2" s="253" t="s">
        <v>649</v>
      </c>
      <c r="GO2" s="253" t="s">
        <v>649</v>
      </c>
      <c r="GP2" s="253" t="s">
        <v>649</v>
      </c>
      <c r="GQ2" s="66" t="s">
        <v>724</v>
      </c>
      <c r="GR2" s="67"/>
    </row>
    <row r="3" spans="1:201" s="66" customFormat="1" x14ac:dyDescent="0.25">
      <c r="A3" s="74"/>
      <c r="B3" s="53"/>
      <c r="C3" s="66" t="s">
        <v>172</v>
      </c>
      <c r="D3" s="66" t="s">
        <v>173</v>
      </c>
      <c r="E3" s="66" t="s">
        <v>710</v>
      </c>
      <c r="F3" s="66" t="s">
        <v>701</v>
      </c>
      <c r="G3" s="66" t="s">
        <v>172</v>
      </c>
      <c r="H3" s="66" t="s">
        <v>173</v>
      </c>
      <c r="I3" s="66" t="s">
        <v>710</v>
      </c>
      <c r="J3" s="66" t="s">
        <v>701</v>
      </c>
      <c r="K3" s="66" t="s">
        <v>172</v>
      </c>
      <c r="L3" s="66" t="s">
        <v>173</v>
      </c>
      <c r="M3" s="66" t="s">
        <v>710</v>
      </c>
      <c r="N3" s="66" t="s">
        <v>701</v>
      </c>
      <c r="O3" s="66" t="s">
        <v>172</v>
      </c>
      <c r="P3" s="66" t="s">
        <v>173</v>
      </c>
      <c r="Q3" s="66" t="s">
        <v>710</v>
      </c>
      <c r="R3" s="66" t="s">
        <v>701</v>
      </c>
      <c r="S3" s="66" t="s">
        <v>172</v>
      </c>
      <c r="T3" s="66" t="s">
        <v>173</v>
      </c>
      <c r="U3" s="66" t="s">
        <v>710</v>
      </c>
      <c r="V3" s="66" t="s">
        <v>701</v>
      </c>
      <c r="W3" s="66" t="s">
        <v>172</v>
      </c>
      <c r="X3" s="66" t="s">
        <v>173</v>
      </c>
      <c r="Y3" s="66" t="s">
        <v>710</v>
      </c>
      <c r="Z3" s="66" t="s">
        <v>701</v>
      </c>
      <c r="AA3" s="66" t="s">
        <v>172</v>
      </c>
      <c r="AB3" s="66" t="s">
        <v>173</v>
      </c>
      <c r="AC3" s="66" t="s">
        <v>710</v>
      </c>
      <c r="AD3" s="66" t="s">
        <v>701</v>
      </c>
      <c r="AE3" s="66" t="s">
        <v>172</v>
      </c>
      <c r="AF3" s="66" t="s">
        <v>173</v>
      </c>
      <c r="AG3" s="66" t="s">
        <v>710</v>
      </c>
      <c r="AH3" s="66" t="s">
        <v>701</v>
      </c>
      <c r="AI3" s="66" t="s">
        <v>172</v>
      </c>
      <c r="AJ3" s="66" t="s">
        <v>173</v>
      </c>
      <c r="AK3" s="66" t="s">
        <v>710</v>
      </c>
      <c r="AL3" s="66" t="s">
        <v>701</v>
      </c>
      <c r="AM3" s="66" t="s">
        <v>172</v>
      </c>
      <c r="AN3" s="66" t="s">
        <v>173</v>
      </c>
      <c r="AO3" s="66" t="s">
        <v>710</v>
      </c>
      <c r="AP3" s="66" t="s">
        <v>701</v>
      </c>
      <c r="AQ3" s="66" t="s">
        <v>172</v>
      </c>
      <c r="AR3" s="66" t="s">
        <v>173</v>
      </c>
      <c r="AS3" s="66" t="s">
        <v>710</v>
      </c>
      <c r="AT3" s="66" t="s">
        <v>701</v>
      </c>
      <c r="AU3" s="66" t="s">
        <v>172</v>
      </c>
      <c r="AV3" s="66" t="s">
        <v>173</v>
      </c>
      <c r="AW3" s="66" t="s">
        <v>710</v>
      </c>
      <c r="AX3" s="66" t="s">
        <v>701</v>
      </c>
      <c r="AY3" s="66" t="s">
        <v>172</v>
      </c>
      <c r="AZ3" s="66" t="s">
        <v>173</v>
      </c>
      <c r="BA3" s="66" t="s">
        <v>710</v>
      </c>
      <c r="BB3" s="66" t="s">
        <v>701</v>
      </c>
      <c r="BC3" s="66" t="s">
        <v>172</v>
      </c>
      <c r="BD3" s="66" t="s">
        <v>173</v>
      </c>
      <c r="BE3" s="66" t="s">
        <v>710</v>
      </c>
      <c r="BF3" s="66" t="s">
        <v>701</v>
      </c>
      <c r="BG3" s="66" t="s">
        <v>172</v>
      </c>
      <c r="BH3" s="66" t="s">
        <v>173</v>
      </c>
      <c r="BI3" s="66" t="s">
        <v>710</v>
      </c>
      <c r="BJ3" s="66" t="s">
        <v>701</v>
      </c>
      <c r="BK3" s="66" t="s">
        <v>172</v>
      </c>
      <c r="BL3" s="66" t="s">
        <v>173</v>
      </c>
      <c r="BM3" s="66" t="s">
        <v>710</v>
      </c>
      <c r="BN3" s="66" t="s">
        <v>701</v>
      </c>
      <c r="BO3" s="66" t="s">
        <v>172</v>
      </c>
      <c r="BP3" s="66" t="s">
        <v>173</v>
      </c>
      <c r="BQ3" s="66" t="s">
        <v>710</v>
      </c>
      <c r="BR3" s="66" t="s">
        <v>701</v>
      </c>
      <c r="BS3" s="66" t="s">
        <v>172</v>
      </c>
      <c r="BT3" s="66" t="s">
        <v>173</v>
      </c>
      <c r="BU3" s="66" t="s">
        <v>710</v>
      </c>
      <c r="BV3" s="66" t="s">
        <v>701</v>
      </c>
      <c r="BW3" s="66" t="s">
        <v>172</v>
      </c>
      <c r="BX3" s="66" t="s">
        <v>173</v>
      </c>
      <c r="BY3" s="66" t="s">
        <v>710</v>
      </c>
      <c r="BZ3" s="66" t="s">
        <v>701</v>
      </c>
      <c r="CA3" s="66" t="s">
        <v>172</v>
      </c>
      <c r="CB3" s="66" t="s">
        <v>173</v>
      </c>
      <c r="CC3" s="66" t="s">
        <v>710</v>
      </c>
      <c r="CD3" s="66" t="s">
        <v>701</v>
      </c>
      <c r="CE3" s="66" t="s">
        <v>172</v>
      </c>
      <c r="CF3" s="66" t="s">
        <v>173</v>
      </c>
      <c r="CG3" s="66" t="s">
        <v>710</v>
      </c>
      <c r="CH3" s="66" t="s">
        <v>701</v>
      </c>
      <c r="CI3" s="66" t="s">
        <v>172</v>
      </c>
      <c r="CJ3" s="66" t="s">
        <v>173</v>
      </c>
      <c r="CK3" s="66" t="s">
        <v>710</v>
      </c>
      <c r="CL3" s="66" t="s">
        <v>701</v>
      </c>
      <c r="CM3" s="66" t="s">
        <v>172</v>
      </c>
      <c r="CN3" s="66" t="s">
        <v>173</v>
      </c>
      <c r="CO3" s="66" t="s">
        <v>710</v>
      </c>
      <c r="CP3" s="66" t="s">
        <v>701</v>
      </c>
      <c r="CQ3" s="66" t="s">
        <v>172</v>
      </c>
      <c r="CR3" s="66" t="s">
        <v>173</v>
      </c>
      <c r="CS3" s="66" t="s">
        <v>710</v>
      </c>
      <c r="CT3" s="66" t="s">
        <v>701</v>
      </c>
      <c r="CU3" s="66" t="s">
        <v>172</v>
      </c>
      <c r="CV3" s="66" t="s">
        <v>173</v>
      </c>
      <c r="CW3" s="66" t="s">
        <v>710</v>
      </c>
      <c r="CX3" s="66" t="s">
        <v>701</v>
      </c>
      <c r="CY3" s="66" t="s">
        <v>172</v>
      </c>
      <c r="CZ3" s="66" t="s">
        <v>173</v>
      </c>
      <c r="DA3" s="66" t="s">
        <v>710</v>
      </c>
      <c r="DB3" s="66" t="s">
        <v>701</v>
      </c>
      <c r="DC3" s="66" t="s">
        <v>172</v>
      </c>
      <c r="DD3" s="66" t="s">
        <v>173</v>
      </c>
      <c r="DE3" s="66" t="s">
        <v>710</v>
      </c>
      <c r="DF3" s="66" t="s">
        <v>701</v>
      </c>
      <c r="DG3" s="66" t="s">
        <v>172</v>
      </c>
      <c r="DH3" s="66" t="s">
        <v>173</v>
      </c>
      <c r="DI3" s="66" t="s">
        <v>710</v>
      </c>
      <c r="DJ3" s="66" t="s">
        <v>701</v>
      </c>
      <c r="DK3" s="66" t="s">
        <v>172</v>
      </c>
      <c r="DL3" s="66" t="s">
        <v>173</v>
      </c>
      <c r="DM3" s="66" t="s">
        <v>710</v>
      </c>
      <c r="DN3" s="66" t="s">
        <v>701</v>
      </c>
      <c r="DO3" s="66" t="s">
        <v>172</v>
      </c>
      <c r="DP3" s="66" t="s">
        <v>173</v>
      </c>
      <c r="DQ3" s="66" t="s">
        <v>710</v>
      </c>
      <c r="DR3" s="66" t="s">
        <v>701</v>
      </c>
      <c r="DS3" s="66" t="s">
        <v>172</v>
      </c>
      <c r="DT3" s="66" t="s">
        <v>173</v>
      </c>
      <c r="DU3" s="66" t="s">
        <v>710</v>
      </c>
      <c r="DV3" s="66" t="s">
        <v>701</v>
      </c>
      <c r="DW3" s="66" t="s">
        <v>172</v>
      </c>
      <c r="DX3" s="66" t="s">
        <v>173</v>
      </c>
      <c r="DY3" s="66" t="s">
        <v>710</v>
      </c>
      <c r="DZ3" s="66" t="s">
        <v>701</v>
      </c>
      <c r="EA3" s="66" t="s">
        <v>172</v>
      </c>
      <c r="EB3" s="66" t="s">
        <v>173</v>
      </c>
      <c r="EC3" s="66" t="s">
        <v>710</v>
      </c>
      <c r="ED3" s="66" t="s">
        <v>701</v>
      </c>
      <c r="EE3" s="66" t="s">
        <v>172</v>
      </c>
      <c r="EF3" s="66" t="s">
        <v>173</v>
      </c>
      <c r="EG3" s="66" t="s">
        <v>710</v>
      </c>
      <c r="EH3" s="66" t="s">
        <v>701</v>
      </c>
      <c r="EI3" s="66" t="s">
        <v>172</v>
      </c>
      <c r="EJ3" s="66" t="s">
        <v>173</v>
      </c>
      <c r="EK3" s="66" t="s">
        <v>710</v>
      </c>
      <c r="EL3" s="66" t="s">
        <v>701</v>
      </c>
      <c r="EM3" s="66" t="s">
        <v>172</v>
      </c>
      <c r="EN3" s="66" t="s">
        <v>173</v>
      </c>
      <c r="EO3" s="66" t="s">
        <v>710</v>
      </c>
      <c r="EP3" s="66" t="s">
        <v>701</v>
      </c>
      <c r="EQ3" s="66" t="s">
        <v>172</v>
      </c>
      <c r="ER3" s="66" t="s">
        <v>173</v>
      </c>
      <c r="ES3" s="66" t="s">
        <v>710</v>
      </c>
      <c r="ET3" s="66" t="s">
        <v>701</v>
      </c>
      <c r="EU3" s="66" t="s">
        <v>172</v>
      </c>
      <c r="EV3" s="66" t="s">
        <v>173</v>
      </c>
      <c r="EW3" s="66" t="s">
        <v>710</v>
      </c>
      <c r="EX3" s="66" t="s">
        <v>701</v>
      </c>
      <c r="EY3" s="66" t="s">
        <v>172</v>
      </c>
      <c r="EZ3" s="66" t="s">
        <v>173</v>
      </c>
      <c r="FA3" s="66" t="s">
        <v>710</v>
      </c>
      <c r="FB3" s="66" t="s">
        <v>701</v>
      </c>
      <c r="FC3" s="66" t="s">
        <v>172</v>
      </c>
      <c r="FD3" s="66" t="s">
        <v>173</v>
      </c>
      <c r="FE3" s="66" t="s">
        <v>710</v>
      </c>
      <c r="FF3" s="66" t="s">
        <v>701</v>
      </c>
      <c r="FG3" s="66" t="s">
        <v>172</v>
      </c>
      <c r="FH3" s="66" t="s">
        <v>173</v>
      </c>
      <c r="FI3" s="66" t="s">
        <v>710</v>
      </c>
      <c r="FJ3" s="66" t="s">
        <v>701</v>
      </c>
      <c r="FK3" s="66" t="s">
        <v>172</v>
      </c>
      <c r="FL3" s="66" t="s">
        <v>173</v>
      </c>
      <c r="FM3" s="66" t="s">
        <v>710</v>
      </c>
      <c r="FN3" s="66" t="s">
        <v>701</v>
      </c>
      <c r="FO3" s="66" t="s">
        <v>172</v>
      </c>
      <c r="FP3" s="66" t="s">
        <v>173</v>
      </c>
      <c r="FQ3" s="66" t="s">
        <v>710</v>
      </c>
      <c r="FR3" s="66" t="s">
        <v>701</v>
      </c>
      <c r="FS3" s="66" t="s">
        <v>172</v>
      </c>
      <c r="FT3" s="66" t="s">
        <v>173</v>
      </c>
      <c r="FU3" s="66" t="s">
        <v>710</v>
      </c>
      <c r="FV3" s="66" t="s">
        <v>701</v>
      </c>
      <c r="FW3" s="66" t="s">
        <v>172</v>
      </c>
      <c r="FX3" s="66" t="s">
        <v>173</v>
      </c>
      <c r="FY3" s="66" t="s">
        <v>710</v>
      </c>
      <c r="FZ3" s="66" t="s">
        <v>701</v>
      </c>
      <c r="GA3" s="66" t="s">
        <v>172</v>
      </c>
      <c r="GB3" s="66" t="s">
        <v>173</v>
      </c>
      <c r="GC3" s="66" t="s">
        <v>710</v>
      </c>
      <c r="GD3" s="66" t="s">
        <v>701</v>
      </c>
      <c r="GE3" s="66" t="s">
        <v>172</v>
      </c>
      <c r="GF3" s="66" t="s">
        <v>173</v>
      </c>
      <c r="GG3" s="66" t="s">
        <v>710</v>
      </c>
      <c r="GH3" s="66" t="s">
        <v>701</v>
      </c>
      <c r="GI3" s="66" t="s">
        <v>172</v>
      </c>
      <c r="GJ3" s="66" t="s">
        <v>173</v>
      </c>
      <c r="GK3" s="66" t="s">
        <v>710</v>
      </c>
      <c r="GL3" s="66" t="s">
        <v>701</v>
      </c>
      <c r="GM3" s="66" t="s">
        <v>172</v>
      </c>
      <c r="GN3" s="66" t="s">
        <v>173</v>
      </c>
      <c r="GO3" s="66" t="s">
        <v>710</v>
      </c>
      <c r="GP3" s="66" t="s">
        <v>701</v>
      </c>
      <c r="GQ3" s="66" t="s">
        <v>1170</v>
      </c>
      <c r="GR3" s="66" t="s">
        <v>1171</v>
      </c>
      <c r="GS3" s="66" t="s">
        <v>1172</v>
      </c>
    </row>
    <row r="4" spans="1:201" ht="16.5" customHeight="1" x14ac:dyDescent="0.25">
      <c r="B4" t="s">
        <v>379</v>
      </c>
      <c r="C4" t="s">
        <v>1454</v>
      </c>
      <c r="D4" t="s">
        <v>1454</v>
      </c>
      <c r="E4" t="s">
        <v>1454</v>
      </c>
      <c r="G4" t="s">
        <v>604</v>
      </c>
      <c r="H4" t="s">
        <v>1454</v>
      </c>
      <c r="I4" t="s">
        <v>604</v>
      </c>
      <c r="K4" t="s">
        <v>1454</v>
      </c>
      <c r="L4" t="s">
        <v>392</v>
      </c>
      <c r="M4" t="s">
        <v>1454</v>
      </c>
      <c r="O4" t="s">
        <v>605</v>
      </c>
      <c r="P4" t="s">
        <v>605</v>
      </c>
      <c r="Q4" t="s">
        <v>1454</v>
      </c>
      <c r="S4" t="s">
        <v>606</v>
      </c>
      <c r="T4" t="s">
        <v>1454</v>
      </c>
      <c r="U4" t="s">
        <v>1454</v>
      </c>
      <c r="W4" t="s">
        <v>607</v>
      </c>
      <c r="X4" t="s">
        <v>1454</v>
      </c>
      <c r="Y4" t="s">
        <v>1454</v>
      </c>
      <c r="AA4" t="s">
        <v>608</v>
      </c>
      <c r="AB4" t="s">
        <v>608</v>
      </c>
      <c r="AC4" t="s">
        <v>1454</v>
      </c>
      <c r="AE4" t="s">
        <v>609</v>
      </c>
      <c r="AF4" t="s">
        <v>609</v>
      </c>
      <c r="AG4" t="s">
        <v>1454</v>
      </c>
      <c r="AI4" t="s">
        <v>610</v>
      </c>
      <c r="AJ4" t="s">
        <v>1454</v>
      </c>
      <c r="AK4" t="s">
        <v>610</v>
      </c>
      <c r="AM4" t="s">
        <v>611</v>
      </c>
      <c r="AN4" t="s">
        <v>1454</v>
      </c>
      <c r="AO4" t="s">
        <v>1454</v>
      </c>
      <c r="AQ4" t="s">
        <v>612</v>
      </c>
      <c r="AR4" t="s">
        <v>1454</v>
      </c>
      <c r="AS4" t="s">
        <v>1454</v>
      </c>
      <c r="AU4" t="s">
        <v>613</v>
      </c>
      <c r="AV4" t="s">
        <v>613</v>
      </c>
      <c r="AW4" t="s">
        <v>613</v>
      </c>
      <c r="AY4" t="s">
        <v>614</v>
      </c>
      <c r="AZ4" t="s">
        <v>614</v>
      </c>
      <c r="BA4" t="s">
        <v>1454</v>
      </c>
      <c r="BC4" t="s">
        <v>615</v>
      </c>
      <c r="BD4" t="s">
        <v>1454</v>
      </c>
      <c r="BE4" t="s">
        <v>1454</v>
      </c>
      <c r="BG4" t="s">
        <v>616</v>
      </c>
      <c r="BH4" t="s">
        <v>616</v>
      </c>
      <c r="BI4" t="s">
        <v>1454</v>
      </c>
      <c r="BK4" t="s">
        <v>617</v>
      </c>
      <c r="BL4" t="s">
        <v>617</v>
      </c>
      <c r="BM4" t="s">
        <v>617</v>
      </c>
      <c r="BO4" t="s">
        <v>618</v>
      </c>
      <c r="BP4" t="s">
        <v>618</v>
      </c>
      <c r="BQ4" t="s">
        <v>1454</v>
      </c>
      <c r="BS4" t="s">
        <v>619</v>
      </c>
      <c r="BT4" t="s">
        <v>1454</v>
      </c>
      <c r="BU4" t="s">
        <v>1454</v>
      </c>
      <c r="BW4" t="s">
        <v>620</v>
      </c>
      <c r="BX4" t="s">
        <v>620</v>
      </c>
      <c r="BY4" t="s">
        <v>620</v>
      </c>
      <c r="CA4" t="s">
        <v>621</v>
      </c>
      <c r="CB4" t="s">
        <v>621</v>
      </c>
      <c r="CC4" t="s">
        <v>1454</v>
      </c>
      <c r="CE4" t="s">
        <v>622</v>
      </c>
      <c r="CF4" t="s">
        <v>1454</v>
      </c>
      <c r="CG4" t="s">
        <v>1454</v>
      </c>
      <c r="CI4" t="s">
        <v>623</v>
      </c>
      <c r="CJ4" t="s">
        <v>1454</v>
      </c>
      <c r="CK4" t="s">
        <v>1454</v>
      </c>
      <c r="CM4" t="s">
        <v>624</v>
      </c>
      <c r="CN4" t="s">
        <v>1454</v>
      </c>
      <c r="CO4" t="s">
        <v>1454</v>
      </c>
      <c r="CQ4" t="s">
        <v>625</v>
      </c>
      <c r="CR4" t="s">
        <v>1454</v>
      </c>
      <c r="CS4" t="s">
        <v>625</v>
      </c>
      <c r="CU4" t="s">
        <v>626</v>
      </c>
      <c r="CV4" t="s">
        <v>626</v>
      </c>
      <c r="CW4" t="s">
        <v>1454</v>
      </c>
      <c r="CY4" t="s">
        <v>627</v>
      </c>
      <c r="CZ4" t="s">
        <v>627</v>
      </c>
      <c r="DA4" t="s">
        <v>1454</v>
      </c>
      <c r="DC4" t="s">
        <v>628</v>
      </c>
      <c r="DD4" t="s">
        <v>1454</v>
      </c>
      <c r="DE4" t="s">
        <v>628</v>
      </c>
      <c r="DG4" t="s">
        <v>629</v>
      </c>
      <c r="DH4" t="s">
        <v>1454</v>
      </c>
      <c r="DI4" t="s">
        <v>629</v>
      </c>
      <c r="DK4" t="s">
        <v>630</v>
      </c>
      <c r="DL4" t="s">
        <v>1454</v>
      </c>
      <c r="DM4" t="s">
        <v>630</v>
      </c>
      <c r="DO4" t="s">
        <v>631</v>
      </c>
      <c r="DP4" t="s">
        <v>1454</v>
      </c>
      <c r="DQ4" t="s">
        <v>631</v>
      </c>
      <c r="DS4" t="s">
        <v>632</v>
      </c>
      <c r="DT4" t="s">
        <v>1454</v>
      </c>
      <c r="DU4" t="s">
        <v>632</v>
      </c>
      <c r="DW4" t="s">
        <v>633</v>
      </c>
      <c r="DX4" t="s">
        <v>1454</v>
      </c>
      <c r="DY4" t="s">
        <v>633</v>
      </c>
      <c r="EA4" t="s">
        <v>634</v>
      </c>
      <c r="EB4" t="s">
        <v>1454</v>
      </c>
      <c r="EC4" t="s">
        <v>634</v>
      </c>
      <c r="EE4" t="s">
        <v>635</v>
      </c>
      <c r="EF4" t="s">
        <v>1454</v>
      </c>
      <c r="EG4" t="s">
        <v>1454</v>
      </c>
      <c r="EI4" t="s">
        <v>636</v>
      </c>
      <c r="EJ4" t="s">
        <v>1454</v>
      </c>
      <c r="EK4" t="s">
        <v>636</v>
      </c>
      <c r="EM4" t="s">
        <v>637</v>
      </c>
      <c r="EN4" t="s">
        <v>1454</v>
      </c>
      <c r="EO4" t="s">
        <v>637</v>
      </c>
      <c r="EQ4" t="s">
        <v>638</v>
      </c>
      <c r="ER4" t="s">
        <v>1454</v>
      </c>
      <c r="ES4" t="s">
        <v>638</v>
      </c>
      <c r="EU4" t="s">
        <v>639</v>
      </c>
      <c r="EV4" t="s">
        <v>1454</v>
      </c>
      <c r="EW4" t="s">
        <v>639</v>
      </c>
      <c r="EY4" t="s">
        <v>640</v>
      </c>
      <c r="EZ4" t="s">
        <v>1454</v>
      </c>
      <c r="FA4" t="s">
        <v>1454</v>
      </c>
      <c r="FC4" t="s">
        <v>641</v>
      </c>
      <c r="FD4" t="s">
        <v>1454</v>
      </c>
      <c r="FE4" t="s">
        <v>641</v>
      </c>
      <c r="FG4" t="s">
        <v>642</v>
      </c>
      <c r="FH4" t="s">
        <v>1454</v>
      </c>
      <c r="FI4" t="s">
        <v>642</v>
      </c>
      <c r="FK4" t="s">
        <v>643</v>
      </c>
      <c r="FL4" t="s">
        <v>1454</v>
      </c>
      <c r="FM4" t="s">
        <v>643</v>
      </c>
      <c r="FO4" t="s">
        <v>602</v>
      </c>
      <c r="FP4" t="s">
        <v>1454</v>
      </c>
      <c r="FQ4" t="s">
        <v>602</v>
      </c>
      <c r="FS4" t="s">
        <v>644</v>
      </c>
      <c r="FT4" t="s">
        <v>1454</v>
      </c>
      <c r="FU4" t="s">
        <v>644</v>
      </c>
      <c r="FW4" t="s">
        <v>645</v>
      </c>
      <c r="FX4" t="s">
        <v>1454</v>
      </c>
      <c r="FY4" t="s">
        <v>645</v>
      </c>
      <c r="GA4" t="s">
        <v>646</v>
      </c>
      <c r="GB4" t="s">
        <v>1454</v>
      </c>
      <c r="GC4" t="s">
        <v>646</v>
      </c>
      <c r="GE4" t="s">
        <v>647</v>
      </c>
      <c r="GF4" t="s">
        <v>1454</v>
      </c>
      <c r="GG4" t="s">
        <v>647</v>
      </c>
      <c r="GI4" t="s">
        <v>648</v>
      </c>
      <c r="GJ4" t="s">
        <v>1454</v>
      </c>
      <c r="GK4" t="s">
        <v>648</v>
      </c>
      <c r="GM4" t="s">
        <v>649</v>
      </c>
      <c r="GN4" t="s">
        <v>1454</v>
      </c>
      <c r="GO4" t="s">
        <v>1454</v>
      </c>
      <c r="GQ4" t="s">
        <v>1455</v>
      </c>
      <c r="GR4" t="s">
        <v>1456</v>
      </c>
      <c r="GS4" t="s">
        <v>1457</v>
      </c>
    </row>
    <row r="5" spans="1:201" x14ac:dyDescent="0.25">
      <c r="B5" t="s">
        <v>378</v>
      </c>
      <c r="C5" t="s">
        <v>1454</v>
      </c>
      <c r="D5" t="s">
        <v>603</v>
      </c>
      <c r="E5" t="s">
        <v>1454</v>
      </c>
      <c r="G5" t="s">
        <v>604</v>
      </c>
      <c r="H5" t="s">
        <v>604</v>
      </c>
      <c r="I5" t="s">
        <v>604</v>
      </c>
      <c r="K5" t="s">
        <v>1454</v>
      </c>
      <c r="L5" t="s">
        <v>1454</v>
      </c>
      <c r="M5" t="s">
        <v>1454</v>
      </c>
      <c r="O5" t="s">
        <v>1454</v>
      </c>
      <c r="P5" t="s">
        <v>1454</v>
      </c>
      <c r="Q5" t="s">
        <v>1454</v>
      </c>
      <c r="S5" t="s">
        <v>606</v>
      </c>
      <c r="T5" t="s">
        <v>606</v>
      </c>
      <c r="U5" t="s">
        <v>1454</v>
      </c>
      <c r="W5" t="s">
        <v>607</v>
      </c>
      <c r="X5" t="s">
        <v>607</v>
      </c>
      <c r="Y5" t="s">
        <v>607</v>
      </c>
      <c r="AA5" t="s">
        <v>608</v>
      </c>
      <c r="AB5" t="s">
        <v>1454</v>
      </c>
      <c r="AC5" t="s">
        <v>608</v>
      </c>
      <c r="AE5" t="s">
        <v>1454</v>
      </c>
      <c r="AF5" t="s">
        <v>1454</v>
      </c>
      <c r="AG5" t="s">
        <v>1454</v>
      </c>
      <c r="AI5" t="s">
        <v>1454</v>
      </c>
      <c r="AJ5" t="s">
        <v>610</v>
      </c>
      <c r="AK5" t="s">
        <v>1454</v>
      </c>
      <c r="AM5" t="s">
        <v>611</v>
      </c>
      <c r="AN5" t="s">
        <v>611</v>
      </c>
      <c r="AO5" t="s">
        <v>611</v>
      </c>
      <c r="AQ5" t="s">
        <v>612</v>
      </c>
      <c r="AR5" t="s">
        <v>612</v>
      </c>
      <c r="AS5" t="s">
        <v>612</v>
      </c>
      <c r="AU5" t="s">
        <v>613</v>
      </c>
      <c r="AV5" t="s">
        <v>613</v>
      </c>
      <c r="AW5" t="s">
        <v>613</v>
      </c>
      <c r="AY5" t="s">
        <v>1454</v>
      </c>
      <c r="AZ5" t="s">
        <v>1454</v>
      </c>
      <c r="BA5" t="s">
        <v>1454</v>
      </c>
      <c r="BC5" t="s">
        <v>615</v>
      </c>
      <c r="BD5" t="s">
        <v>615</v>
      </c>
      <c r="BE5" t="s">
        <v>615</v>
      </c>
      <c r="BG5" t="s">
        <v>616</v>
      </c>
      <c r="BH5" t="s">
        <v>1454</v>
      </c>
      <c r="BI5" t="s">
        <v>616</v>
      </c>
      <c r="BK5" t="s">
        <v>617</v>
      </c>
      <c r="BL5" t="s">
        <v>617</v>
      </c>
      <c r="BM5" t="s">
        <v>617</v>
      </c>
      <c r="BO5" t="s">
        <v>618</v>
      </c>
      <c r="BP5" t="s">
        <v>618</v>
      </c>
      <c r="BQ5" t="s">
        <v>618</v>
      </c>
      <c r="BS5" t="s">
        <v>619</v>
      </c>
      <c r="BT5" t="s">
        <v>619</v>
      </c>
      <c r="BU5" t="s">
        <v>619</v>
      </c>
      <c r="BW5" t="s">
        <v>620</v>
      </c>
      <c r="BX5" t="s">
        <v>1454</v>
      </c>
      <c r="BY5" t="s">
        <v>620</v>
      </c>
      <c r="CA5" t="s">
        <v>621</v>
      </c>
      <c r="CB5" t="s">
        <v>1454</v>
      </c>
      <c r="CC5" t="s">
        <v>1454</v>
      </c>
      <c r="CE5" t="s">
        <v>622</v>
      </c>
      <c r="CF5" t="s">
        <v>622</v>
      </c>
      <c r="CG5" t="s">
        <v>622</v>
      </c>
      <c r="CI5" t="s">
        <v>623</v>
      </c>
      <c r="CJ5" t="s">
        <v>1454</v>
      </c>
      <c r="CK5" t="s">
        <v>623</v>
      </c>
      <c r="CM5" t="s">
        <v>624</v>
      </c>
      <c r="CN5" t="s">
        <v>1454</v>
      </c>
      <c r="CO5" t="s">
        <v>624</v>
      </c>
      <c r="CQ5" t="s">
        <v>625</v>
      </c>
      <c r="CR5" t="s">
        <v>1454</v>
      </c>
      <c r="CS5" t="s">
        <v>625</v>
      </c>
      <c r="CU5" t="s">
        <v>626</v>
      </c>
      <c r="CV5" t="s">
        <v>1454</v>
      </c>
      <c r="CW5" t="s">
        <v>626</v>
      </c>
      <c r="CY5" t="s">
        <v>627</v>
      </c>
      <c r="CZ5" t="s">
        <v>1454</v>
      </c>
      <c r="DA5" t="s">
        <v>1454</v>
      </c>
      <c r="DC5" t="s">
        <v>628</v>
      </c>
      <c r="DD5" t="s">
        <v>628</v>
      </c>
      <c r="DE5" t="s">
        <v>628</v>
      </c>
      <c r="DG5" t="s">
        <v>629</v>
      </c>
      <c r="DH5" t="s">
        <v>629</v>
      </c>
      <c r="DI5" t="s">
        <v>1454</v>
      </c>
      <c r="DK5" t="s">
        <v>630</v>
      </c>
      <c r="DL5" t="s">
        <v>630</v>
      </c>
      <c r="DM5" t="s">
        <v>630</v>
      </c>
      <c r="DO5" t="s">
        <v>631</v>
      </c>
      <c r="DP5" t="s">
        <v>631</v>
      </c>
      <c r="DQ5" t="s">
        <v>631</v>
      </c>
      <c r="DS5" t="s">
        <v>632</v>
      </c>
      <c r="DT5" t="s">
        <v>1454</v>
      </c>
      <c r="DU5" t="s">
        <v>632</v>
      </c>
      <c r="DW5" t="s">
        <v>633</v>
      </c>
      <c r="DX5" t="s">
        <v>1454</v>
      </c>
      <c r="DY5" t="s">
        <v>633</v>
      </c>
      <c r="EA5" t="s">
        <v>634</v>
      </c>
      <c r="EB5" t="s">
        <v>634</v>
      </c>
      <c r="EC5" t="s">
        <v>634</v>
      </c>
      <c r="EE5" t="s">
        <v>635</v>
      </c>
      <c r="EF5" t="s">
        <v>1454</v>
      </c>
      <c r="EG5" t="s">
        <v>635</v>
      </c>
      <c r="EI5" t="s">
        <v>636</v>
      </c>
      <c r="EJ5" t="s">
        <v>1454</v>
      </c>
      <c r="EK5" t="s">
        <v>636</v>
      </c>
      <c r="EM5" t="s">
        <v>637</v>
      </c>
      <c r="EN5" t="s">
        <v>1454</v>
      </c>
      <c r="EO5" t="s">
        <v>637</v>
      </c>
      <c r="EQ5" t="s">
        <v>638</v>
      </c>
      <c r="ER5" t="s">
        <v>1454</v>
      </c>
      <c r="ES5" t="s">
        <v>638</v>
      </c>
      <c r="EU5" t="s">
        <v>639</v>
      </c>
      <c r="EV5" t="s">
        <v>1454</v>
      </c>
      <c r="EW5" t="s">
        <v>639</v>
      </c>
      <c r="EY5" t="s">
        <v>640</v>
      </c>
      <c r="EZ5" t="s">
        <v>1454</v>
      </c>
      <c r="FA5" t="s">
        <v>640</v>
      </c>
      <c r="FC5" t="s">
        <v>641</v>
      </c>
      <c r="FD5" t="s">
        <v>1454</v>
      </c>
      <c r="FE5" t="s">
        <v>641</v>
      </c>
      <c r="FG5" t="s">
        <v>642</v>
      </c>
      <c r="FH5" t="s">
        <v>642</v>
      </c>
      <c r="FI5" t="s">
        <v>642</v>
      </c>
      <c r="FK5" t="s">
        <v>643</v>
      </c>
      <c r="FL5" t="s">
        <v>643</v>
      </c>
      <c r="FM5" t="s">
        <v>643</v>
      </c>
      <c r="FO5" t="s">
        <v>602</v>
      </c>
      <c r="FP5" t="s">
        <v>602</v>
      </c>
      <c r="FQ5" t="s">
        <v>602</v>
      </c>
      <c r="FS5" t="s">
        <v>644</v>
      </c>
      <c r="FT5" t="s">
        <v>1454</v>
      </c>
      <c r="FU5" t="s">
        <v>644</v>
      </c>
      <c r="FW5" t="s">
        <v>645</v>
      </c>
      <c r="FX5" t="s">
        <v>1454</v>
      </c>
      <c r="FY5" t="s">
        <v>645</v>
      </c>
      <c r="GA5" t="s">
        <v>646</v>
      </c>
      <c r="GB5" t="s">
        <v>1454</v>
      </c>
      <c r="GC5" t="s">
        <v>646</v>
      </c>
      <c r="GE5" t="s">
        <v>647</v>
      </c>
      <c r="GF5" t="s">
        <v>1454</v>
      </c>
      <c r="GG5" t="s">
        <v>647</v>
      </c>
      <c r="GI5" t="s">
        <v>648</v>
      </c>
      <c r="GJ5" t="s">
        <v>1454</v>
      </c>
      <c r="GK5" t="s">
        <v>648</v>
      </c>
      <c r="GM5" t="s">
        <v>649</v>
      </c>
      <c r="GN5" t="s">
        <v>1454</v>
      </c>
      <c r="GO5" t="s">
        <v>649</v>
      </c>
      <c r="GQ5" t="s">
        <v>1458</v>
      </c>
      <c r="GR5" t="s">
        <v>1459</v>
      </c>
      <c r="GS5" t="s">
        <v>1460</v>
      </c>
    </row>
    <row r="6" spans="1:201" x14ac:dyDescent="0.25">
      <c r="B6" t="s">
        <v>402</v>
      </c>
      <c r="C6" t="s">
        <v>603</v>
      </c>
      <c r="D6" t="s">
        <v>1454</v>
      </c>
      <c r="E6" t="s">
        <v>1454</v>
      </c>
      <c r="G6" t="s">
        <v>604</v>
      </c>
      <c r="H6" t="s">
        <v>1454</v>
      </c>
      <c r="I6" t="s">
        <v>1454</v>
      </c>
      <c r="K6" t="s">
        <v>1454</v>
      </c>
      <c r="L6" t="s">
        <v>1454</v>
      </c>
      <c r="M6" t="s">
        <v>1454</v>
      </c>
      <c r="O6" t="s">
        <v>1454</v>
      </c>
      <c r="P6" t="s">
        <v>1454</v>
      </c>
      <c r="Q6" t="s">
        <v>1454</v>
      </c>
      <c r="S6" t="s">
        <v>606</v>
      </c>
      <c r="T6" t="s">
        <v>1454</v>
      </c>
      <c r="U6" t="s">
        <v>1454</v>
      </c>
      <c r="W6" t="s">
        <v>1454</v>
      </c>
      <c r="X6" t="s">
        <v>1454</v>
      </c>
      <c r="Y6" t="s">
        <v>1454</v>
      </c>
      <c r="AA6" t="s">
        <v>1454</v>
      </c>
      <c r="AB6" t="s">
        <v>1454</v>
      </c>
      <c r="AC6" t="s">
        <v>1454</v>
      </c>
      <c r="AE6" t="s">
        <v>1454</v>
      </c>
      <c r="AF6" t="s">
        <v>1454</v>
      </c>
      <c r="AG6" t="s">
        <v>1454</v>
      </c>
      <c r="AI6" t="s">
        <v>1454</v>
      </c>
      <c r="AJ6" t="s">
        <v>1454</v>
      </c>
      <c r="AK6" t="s">
        <v>1454</v>
      </c>
      <c r="AM6" t="s">
        <v>1454</v>
      </c>
      <c r="AN6" t="s">
        <v>1454</v>
      </c>
      <c r="AO6" t="s">
        <v>1454</v>
      </c>
      <c r="AQ6" t="s">
        <v>1454</v>
      </c>
      <c r="AR6" t="s">
        <v>1454</v>
      </c>
      <c r="AS6" t="s">
        <v>1454</v>
      </c>
      <c r="AU6" t="s">
        <v>1454</v>
      </c>
      <c r="AV6" t="s">
        <v>1454</v>
      </c>
      <c r="AW6" t="s">
        <v>1454</v>
      </c>
      <c r="AY6" t="s">
        <v>1454</v>
      </c>
      <c r="AZ6" t="s">
        <v>1454</v>
      </c>
      <c r="BA6" t="s">
        <v>1454</v>
      </c>
      <c r="BC6" t="s">
        <v>1454</v>
      </c>
      <c r="BD6" t="s">
        <v>1454</v>
      </c>
      <c r="BE6" t="s">
        <v>1454</v>
      </c>
      <c r="BG6" t="s">
        <v>616</v>
      </c>
      <c r="BH6" t="s">
        <v>1454</v>
      </c>
      <c r="BI6" t="s">
        <v>1454</v>
      </c>
      <c r="BK6" t="s">
        <v>1454</v>
      </c>
      <c r="BL6" t="s">
        <v>1454</v>
      </c>
      <c r="BM6" t="s">
        <v>1454</v>
      </c>
      <c r="BO6" t="s">
        <v>1454</v>
      </c>
      <c r="BP6" t="s">
        <v>1454</v>
      </c>
      <c r="BQ6" t="s">
        <v>1454</v>
      </c>
      <c r="BS6" t="s">
        <v>1454</v>
      </c>
      <c r="BT6" t="s">
        <v>1454</v>
      </c>
      <c r="BU6" t="s">
        <v>1454</v>
      </c>
      <c r="BW6" t="s">
        <v>1454</v>
      </c>
      <c r="BX6" t="s">
        <v>1454</v>
      </c>
      <c r="BY6" t="s">
        <v>1454</v>
      </c>
      <c r="CA6" t="s">
        <v>1454</v>
      </c>
      <c r="CB6" t="s">
        <v>1454</v>
      </c>
      <c r="CC6" t="s">
        <v>1454</v>
      </c>
      <c r="CE6" t="s">
        <v>1454</v>
      </c>
      <c r="CF6" t="s">
        <v>1454</v>
      </c>
      <c r="CG6" t="s">
        <v>1454</v>
      </c>
      <c r="CI6" t="s">
        <v>1454</v>
      </c>
      <c r="CJ6" t="s">
        <v>1454</v>
      </c>
      <c r="CK6" t="s">
        <v>1454</v>
      </c>
      <c r="CM6" t="s">
        <v>1454</v>
      </c>
      <c r="CN6" t="s">
        <v>1454</v>
      </c>
      <c r="CO6" t="s">
        <v>1454</v>
      </c>
      <c r="CQ6" t="s">
        <v>1454</v>
      </c>
      <c r="CR6" t="s">
        <v>1454</v>
      </c>
      <c r="CS6" t="s">
        <v>1454</v>
      </c>
      <c r="CU6" t="s">
        <v>626</v>
      </c>
      <c r="CV6" t="s">
        <v>1454</v>
      </c>
      <c r="CW6" t="s">
        <v>1454</v>
      </c>
      <c r="CY6" t="s">
        <v>1454</v>
      </c>
      <c r="CZ6" t="s">
        <v>1454</v>
      </c>
      <c r="DA6" t="s">
        <v>1454</v>
      </c>
      <c r="DC6" t="s">
        <v>1454</v>
      </c>
      <c r="DD6" t="s">
        <v>1454</v>
      </c>
      <c r="DE6" t="s">
        <v>1454</v>
      </c>
      <c r="DG6" t="s">
        <v>1454</v>
      </c>
      <c r="DH6" t="s">
        <v>1454</v>
      </c>
      <c r="DI6" t="s">
        <v>1454</v>
      </c>
      <c r="DK6" t="s">
        <v>1454</v>
      </c>
      <c r="DL6" t="s">
        <v>1454</v>
      </c>
      <c r="DM6" t="s">
        <v>1454</v>
      </c>
      <c r="DO6" t="s">
        <v>1454</v>
      </c>
      <c r="DP6" t="s">
        <v>1454</v>
      </c>
      <c r="DQ6" t="s">
        <v>1454</v>
      </c>
      <c r="DS6" t="s">
        <v>1454</v>
      </c>
      <c r="DT6" t="s">
        <v>1454</v>
      </c>
      <c r="DU6" t="s">
        <v>1454</v>
      </c>
      <c r="DW6" t="s">
        <v>1454</v>
      </c>
      <c r="DX6" t="s">
        <v>1454</v>
      </c>
      <c r="DY6" t="s">
        <v>1454</v>
      </c>
      <c r="EA6" t="s">
        <v>1454</v>
      </c>
      <c r="EB6" t="s">
        <v>1454</v>
      </c>
      <c r="EC6" t="s">
        <v>1454</v>
      </c>
      <c r="EE6" t="s">
        <v>1454</v>
      </c>
      <c r="EF6" t="s">
        <v>1454</v>
      </c>
      <c r="EG6" t="s">
        <v>1454</v>
      </c>
      <c r="EI6" t="s">
        <v>1454</v>
      </c>
      <c r="EJ6" t="s">
        <v>1454</v>
      </c>
      <c r="EK6" t="s">
        <v>1454</v>
      </c>
      <c r="EM6" t="s">
        <v>1454</v>
      </c>
      <c r="EN6" t="s">
        <v>1454</v>
      </c>
      <c r="EO6" t="s">
        <v>1454</v>
      </c>
      <c r="EQ6" t="s">
        <v>1454</v>
      </c>
      <c r="ER6" t="s">
        <v>1454</v>
      </c>
      <c r="ES6" t="s">
        <v>1454</v>
      </c>
      <c r="EU6" t="s">
        <v>1454</v>
      </c>
      <c r="EV6" t="s">
        <v>1454</v>
      </c>
      <c r="EW6" t="s">
        <v>1454</v>
      </c>
      <c r="EY6" t="s">
        <v>1454</v>
      </c>
      <c r="EZ6" t="s">
        <v>1454</v>
      </c>
      <c r="FA6" t="s">
        <v>1454</v>
      </c>
      <c r="FC6" t="s">
        <v>1454</v>
      </c>
      <c r="FD6" t="s">
        <v>1454</v>
      </c>
      <c r="FE6" t="s">
        <v>1454</v>
      </c>
      <c r="FG6" t="s">
        <v>1454</v>
      </c>
      <c r="FH6" t="s">
        <v>1454</v>
      </c>
      <c r="FI6" t="s">
        <v>1454</v>
      </c>
      <c r="FK6" t="s">
        <v>1454</v>
      </c>
      <c r="FL6" t="s">
        <v>1454</v>
      </c>
      <c r="FM6" t="s">
        <v>1454</v>
      </c>
      <c r="FO6" t="s">
        <v>1454</v>
      </c>
      <c r="FP6" t="s">
        <v>1454</v>
      </c>
      <c r="FQ6" t="s">
        <v>1454</v>
      </c>
      <c r="FS6" t="s">
        <v>1454</v>
      </c>
      <c r="FT6" t="s">
        <v>1454</v>
      </c>
      <c r="FU6" t="s">
        <v>1454</v>
      </c>
      <c r="FW6" t="s">
        <v>1454</v>
      </c>
      <c r="FX6" t="s">
        <v>1454</v>
      </c>
      <c r="FY6" t="s">
        <v>1454</v>
      </c>
      <c r="GA6" t="s">
        <v>1454</v>
      </c>
      <c r="GB6" t="s">
        <v>1454</v>
      </c>
      <c r="GC6" t="s">
        <v>1454</v>
      </c>
      <c r="GE6" t="s">
        <v>1454</v>
      </c>
      <c r="GF6" t="s">
        <v>1454</v>
      </c>
      <c r="GG6" t="s">
        <v>1454</v>
      </c>
      <c r="GI6" t="s">
        <v>1454</v>
      </c>
      <c r="GJ6" t="s">
        <v>1454</v>
      </c>
      <c r="GK6" t="s">
        <v>1454</v>
      </c>
      <c r="GM6" t="s">
        <v>649</v>
      </c>
      <c r="GN6" t="s">
        <v>1454</v>
      </c>
      <c r="GO6" t="s">
        <v>1454</v>
      </c>
      <c r="GQ6" t="s">
        <v>1461</v>
      </c>
      <c r="GR6" t="s">
        <v>1454</v>
      </c>
      <c r="GS6" t="s">
        <v>1454</v>
      </c>
    </row>
    <row r="7" spans="1:201" s="11" customFormat="1" x14ac:dyDescent="0.25">
      <c r="B7" t="s">
        <v>424</v>
      </c>
      <c r="C7" t="s">
        <v>1454</v>
      </c>
      <c r="D7" t="s">
        <v>1454</v>
      </c>
      <c r="E7" t="s">
        <v>1454</v>
      </c>
      <c r="F7"/>
      <c r="G7" t="s">
        <v>1454</v>
      </c>
      <c r="H7" t="s">
        <v>1454</v>
      </c>
      <c r="I7" t="s">
        <v>1454</v>
      </c>
      <c r="J7"/>
      <c r="K7" t="s">
        <v>1454</v>
      </c>
      <c r="L7" t="s">
        <v>1454</v>
      </c>
      <c r="M7" t="s">
        <v>1454</v>
      </c>
      <c r="N7"/>
      <c r="O7" t="s">
        <v>1454</v>
      </c>
      <c r="P7" t="s">
        <v>1454</v>
      </c>
      <c r="Q7" t="s">
        <v>1454</v>
      </c>
      <c r="R7"/>
      <c r="S7" t="s">
        <v>1454</v>
      </c>
      <c r="T7" t="s">
        <v>1454</v>
      </c>
      <c r="U7" t="s">
        <v>1454</v>
      </c>
      <c r="V7"/>
      <c r="W7" t="s">
        <v>1454</v>
      </c>
      <c r="X7" t="s">
        <v>1454</v>
      </c>
      <c r="Y7" t="s">
        <v>1454</v>
      </c>
      <c r="Z7"/>
      <c r="AA7" t="s">
        <v>1454</v>
      </c>
      <c r="AB7" t="s">
        <v>1454</v>
      </c>
      <c r="AC7" t="s">
        <v>1454</v>
      </c>
      <c r="AD7"/>
      <c r="AE7" t="s">
        <v>1454</v>
      </c>
      <c r="AF7" t="s">
        <v>1454</v>
      </c>
      <c r="AG7" t="s">
        <v>1454</v>
      </c>
      <c r="AH7"/>
      <c r="AI7" t="s">
        <v>1454</v>
      </c>
      <c r="AJ7" t="s">
        <v>1454</v>
      </c>
      <c r="AK7" t="s">
        <v>1454</v>
      </c>
      <c r="AL7"/>
      <c r="AM7" t="s">
        <v>1454</v>
      </c>
      <c r="AN7" t="s">
        <v>1454</v>
      </c>
      <c r="AO7" t="s">
        <v>1454</v>
      </c>
      <c r="AP7"/>
      <c r="AQ7" t="s">
        <v>1454</v>
      </c>
      <c r="AR7" t="s">
        <v>1454</v>
      </c>
      <c r="AS7" t="s">
        <v>1454</v>
      </c>
      <c r="AT7"/>
      <c r="AU7" t="s">
        <v>1454</v>
      </c>
      <c r="AV7" t="s">
        <v>1454</v>
      </c>
      <c r="AW7" t="s">
        <v>1454</v>
      </c>
      <c r="AX7"/>
      <c r="AY7" t="s">
        <v>1454</v>
      </c>
      <c r="AZ7" t="s">
        <v>1454</v>
      </c>
      <c r="BA7" t="s">
        <v>1454</v>
      </c>
      <c r="BB7"/>
      <c r="BC7" t="s">
        <v>1454</v>
      </c>
      <c r="BD7" t="s">
        <v>1454</v>
      </c>
      <c r="BE7" t="s">
        <v>1454</v>
      </c>
      <c r="BF7"/>
      <c r="BG7" t="s">
        <v>1454</v>
      </c>
      <c r="BH7" t="s">
        <v>1454</v>
      </c>
      <c r="BI7" t="s">
        <v>1454</v>
      </c>
      <c r="BJ7"/>
      <c r="BK7" t="s">
        <v>1454</v>
      </c>
      <c r="BL7" t="s">
        <v>1454</v>
      </c>
      <c r="BM7" t="s">
        <v>1454</v>
      </c>
      <c r="BN7"/>
      <c r="BO7" t="s">
        <v>1454</v>
      </c>
      <c r="BP7" t="s">
        <v>1454</v>
      </c>
      <c r="BQ7" t="s">
        <v>1454</v>
      </c>
      <c r="BR7"/>
      <c r="BS7" t="s">
        <v>1454</v>
      </c>
      <c r="BT7" t="s">
        <v>1454</v>
      </c>
      <c r="BU7" t="s">
        <v>1454</v>
      </c>
      <c r="BV7"/>
      <c r="BW7" t="s">
        <v>1454</v>
      </c>
      <c r="BX7" t="s">
        <v>1454</v>
      </c>
      <c r="BY7" t="s">
        <v>1454</v>
      </c>
      <c r="BZ7"/>
      <c r="CA7" t="s">
        <v>1454</v>
      </c>
      <c r="CB7" t="s">
        <v>1454</v>
      </c>
      <c r="CC7" t="s">
        <v>1454</v>
      </c>
      <c r="CD7"/>
      <c r="CE7" t="s">
        <v>622</v>
      </c>
      <c r="CF7" t="s">
        <v>1454</v>
      </c>
      <c r="CG7" t="s">
        <v>1454</v>
      </c>
      <c r="CH7"/>
      <c r="CI7" t="s">
        <v>1454</v>
      </c>
      <c r="CJ7" t="s">
        <v>1454</v>
      </c>
      <c r="CK7" t="s">
        <v>1454</v>
      </c>
      <c r="CL7"/>
      <c r="CM7" t="s">
        <v>1454</v>
      </c>
      <c r="CN7" t="s">
        <v>1454</v>
      </c>
      <c r="CO7" t="s">
        <v>1454</v>
      </c>
      <c r="CP7"/>
      <c r="CQ7" t="s">
        <v>1454</v>
      </c>
      <c r="CR7" t="s">
        <v>1454</v>
      </c>
      <c r="CS7" t="s">
        <v>1454</v>
      </c>
      <c r="CT7"/>
      <c r="CU7" t="s">
        <v>1454</v>
      </c>
      <c r="CV7" t="s">
        <v>626</v>
      </c>
      <c r="CW7" t="s">
        <v>1454</v>
      </c>
      <c r="CX7"/>
      <c r="CY7" t="s">
        <v>1454</v>
      </c>
      <c r="CZ7" t="s">
        <v>1454</v>
      </c>
      <c r="DA7" t="s">
        <v>1454</v>
      </c>
      <c r="DB7"/>
      <c r="DC7" t="s">
        <v>1454</v>
      </c>
      <c r="DD7" t="s">
        <v>1454</v>
      </c>
      <c r="DE7" t="s">
        <v>1454</v>
      </c>
      <c r="DF7"/>
      <c r="DG7" t="s">
        <v>629</v>
      </c>
      <c r="DH7" t="s">
        <v>1454</v>
      </c>
      <c r="DI7" t="s">
        <v>1454</v>
      </c>
      <c r="DJ7"/>
      <c r="DK7" t="s">
        <v>1454</v>
      </c>
      <c r="DL7" t="s">
        <v>1454</v>
      </c>
      <c r="DM7" t="s">
        <v>1454</v>
      </c>
      <c r="DN7"/>
      <c r="DO7" t="s">
        <v>1454</v>
      </c>
      <c r="DP7" t="s">
        <v>1454</v>
      </c>
      <c r="DQ7" t="s">
        <v>1454</v>
      </c>
      <c r="DR7"/>
      <c r="DS7" t="s">
        <v>1454</v>
      </c>
      <c r="DT7" t="s">
        <v>1454</v>
      </c>
      <c r="DU7" t="s">
        <v>1454</v>
      </c>
      <c r="DV7"/>
      <c r="DW7" t="s">
        <v>1454</v>
      </c>
      <c r="DX7" t="s">
        <v>1454</v>
      </c>
      <c r="DY7" t="s">
        <v>1454</v>
      </c>
      <c r="DZ7"/>
      <c r="EA7" t="s">
        <v>1454</v>
      </c>
      <c r="EB7" t="s">
        <v>1454</v>
      </c>
      <c r="EC7" t="s">
        <v>1454</v>
      </c>
      <c r="ED7"/>
      <c r="EE7" t="s">
        <v>1454</v>
      </c>
      <c r="EF7" t="s">
        <v>1454</v>
      </c>
      <c r="EG7" t="s">
        <v>1454</v>
      </c>
      <c r="EH7"/>
      <c r="EI7" t="s">
        <v>636</v>
      </c>
      <c r="EJ7" t="s">
        <v>1454</v>
      </c>
      <c r="EK7" t="s">
        <v>1454</v>
      </c>
      <c r="EL7"/>
      <c r="EM7" t="s">
        <v>1454</v>
      </c>
      <c r="EN7" t="s">
        <v>1454</v>
      </c>
      <c r="EO7" t="s">
        <v>1454</v>
      </c>
      <c r="EP7"/>
      <c r="EQ7" t="s">
        <v>1454</v>
      </c>
      <c r="ER7" t="s">
        <v>1454</v>
      </c>
      <c r="ES7" t="s">
        <v>1454</v>
      </c>
      <c r="ET7"/>
      <c r="EU7" t="s">
        <v>1454</v>
      </c>
      <c r="EV7" t="s">
        <v>1454</v>
      </c>
      <c r="EW7" t="s">
        <v>1454</v>
      </c>
      <c r="EX7"/>
      <c r="EY7" t="s">
        <v>1454</v>
      </c>
      <c r="EZ7" t="s">
        <v>1454</v>
      </c>
      <c r="FA7" t="s">
        <v>1454</v>
      </c>
      <c r="FB7"/>
      <c r="FC7" t="s">
        <v>1454</v>
      </c>
      <c r="FD7" t="s">
        <v>1454</v>
      </c>
      <c r="FE7" t="s">
        <v>1454</v>
      </c>
      <c r="FF7"/>
      <c r="FG7" t="s">
        <v>1454</v>
      </c>
      <c r="FH7" t="s">
        <v>1454</v>
      </c>
      <c r="FI7" t="s">
        <v>1454</v>
      </c>
      <c r="FJ7"/>
      <c r="FK7" t="s">
        <v>1454</v>
      </c>
      <c r="FL7" t="s">
        <v>1454</v>
      </c>
      <c r="FM7" t="s">
        <v>1454</v>
      </c>
      <c r="FN7"/>
      <c r="FO7" t="s">
        <v>1454</v>
      </c>
      <c r="FP7" t="s">
        <v>1454</v>
      </c>
      <c r="FQ7" t="s">
        <v>1454</v>
      </c>
      <c r="FR7"/>
      <c r="FS7" t="s">
        <v>1454</v>
      </c>
      <c r="FT7" t="s">
        <v>1454</v>
      </c>
      <c r="FU7" t="s">
        <v>1454</v>
      </c>
      <c r="FV7"/>
      <c r="FW7" t="s">
        <v>1454</v>
      </c>
      <c r="FX7" t="s">
        <v>1454</v>
      </c>
      <c r="FY7" t="s">
        <v>1454</v>
      </c>
      <c r="FZ7"/>
      <c r="GA7" t="s">
        <v>1454</v>
      </c>
      <c r="GB7" t="s">
        <v>1454</v>
      </c>
      <c r="GC7" t="s">
        <v>1454</v>
      </c>
      <c r="GD7"/>
      <c r="GE7" t="s">
        <v>647</v>
      </c>
      <c r="GF7" t="s">
        <v>1454</v>
      </c>
      <c r="GG7" t="s">
        <v>647</v>
      </c>
      <c r="GH7"/>
      <c r="GI7" t="s">
        <v>1454</v>
      </c>
      <c r="GJ7" t="s">
        <v>1454</v>
      </c>
      <c r="GK7" t="s">
        <v>1454</v>
      </c>
      <c r="GL7"/>
      <c r="GM7" t="s">
        <v>649</v>
      </c>
      <c r="GN7" t="s">
        <v>1454</v>
      </c>
      <c r="GO7" t="s">
        <v>1454</v>
      </c>
      <c r="GP7"/>
      <c r="GQ7" t="s">
        <v>1462</v>
      </c>
      <c r="GR7" t="s">
        <v>1463</v>
      </c>
      <c r="GS7" t="s">
        <v>1464</v>
      </c>
    </row>
    <row r="8" spans="1:201" x14ac:dyDescent="0.25">
      <c r="B8" t="s">
        <v>404</v>
      </c>
      <c r="C8" t="s">
        <v>603</v>
      </c>
      <c r="D8" t="s">
        <v>1454</v>
      </c>
      <c r="E8" t="s">
        <v>1454</v>
      </c>
      <c r="G8" t="s">
        <v>604</v>
      </c>
      <c r="H8" t="s">
        <v>1454</v>
      </c>
      <c r="I8" t="s">
        <v>1454</v>
      </c>
      <c r="K8" t="s">
        <v>392</v>
      </c>
      <c r="L8" t="s">
        <v>1454</v>
      </c>
      <c r="M8" t="s">
        <v>1454</v>
      </c>
      <c r="O8" t="s">
        <v>605</v>
      </c>
      <c r="P8" t="s">
        <v>1454</v>
      </c>
      <c r="Q8" t="s">
        <v>1454</v>
      </c>
      <c r="S8" t="s">
        <v>606</v>
      </c>
      <c r="T8" t="s">
        <v>1454</v>
      </c>
      <c r="U8" t="s">
        <v>1454</v>
      </c>
      <c r="W8" t="s">
        <v>607</v>
      </c>
      <c r="X8" t="s">
        <v>1454</v>
      </c>
      <c r="Y8" t="s">
        <v>1454</v>
      </c>
      <c r="AA8" t="s">
        <v>608</v>
      </c>
      <c r="AB8" t="s">
        <v>1454</v>
      </c>
      <c r="AC8" t="s">
        <v>1454</v>
      </c>
      <c r="AE8" t="s">
        <v>609</v>
      </c>
      <c r="AF8" t="s">
        <v>1454</v>
      </c>
      <c r="AG8" t="s">
        <v>1454</v>
      </c>
      <c r="AI8" t="s">
        <v>610</v>
      </c>
      <c r="AJ8" t="s">
        <v>1454</v>
      </c>
      <c r="AK8" t="s">
        <v>1454</v>
      </c>
      <c r="AM8" t="s">
        <v>611</v>
      </c>
      <c r="AN8" t="s">
        <v>1454</v>
      </c>
      <c r="AO8" t="s">
        <v>1454</v>
      </c>
      <c r="AQ8" t="s">
        <v>612</v>
      </c>
      <c r="AR8" t="s">
        <v>1454</v>
      </c>
      <c r="AS8" t="s">
        <v>1454</v>
      </c>
      <c r="AU8" t="s">
        <v>613</v>
      </c>
      <c r="AV8" t="s">
        <v>1454</v>
      </c>
      <c r="AW8" t="s">
        <v>1454</v>
      </c>
      <c r="AY8" t="s">
        <v>614</v>
      </c>
      <c r="AZ8" t="s">
        <v>1454</v>
      </c>
      <c r="BA8" t="s">
        <v>1454</v>
      </c>
      <c r="BC8" t="s">
        <v>615</v>
      </c>
      <c r="BD8" t="s">
        <v>1454</v>
      </c>
      <c r="BE8" t="s">
        <v>1454</v>
      </c>
      <c r="BG8" t="s">
        <v>616</v>
      </c>
      <c r="BH8" t="s">
        <v>1454</v>
      </c>
      <c r="BI8" t="s">
        <v>1454</v>
      </c>
      <c r="BK8" t="s">
        <v>617</v>
      </c>
      <c r="BL8" t="s">
        <v>1454</v>
      </c>
      <c r="BM8" t="s">
        <v>1454</v>
      </c>
      <c r="BO8" t="s">
        <v>618</v>
      </c>
      <c r="BP8" t="s">
        <v>1454</v>
      </c>
      <c r="BQ8" t="s">
        <v>1454</v>
      </c>
      <c r="BS8" t="s">
        <v>619</v>
      </c>
      <c r="BT8" t="s">
        <v>1454</v>
      </c>
      <c r="BU8" t="s">
        <v>1454</v>
      </c>
      <c r="BW8" t="s">
        <v>620</v>
      </c>
      <c r="BX8" t="s">
        <v>1454</v>
      </c>
      <c r="BY8" t="s">
        <v>1454</v>
      </c>
      <c r="CA8" t="s">
        <v>621</v>
      </c>
      <c r="CB8" t="s">
        <v>1454</v>
      </c>
      <c r="CC8" t="s">
        <v>1454</v>
      </c>
      <c r="CE8" t="s">
        <v>622</v>
      </c>
      <c r="CF8" t="s">
        <v>1454</v>
      </c>
      <c r="CG8" t="s">
        <v>1454</v>
      </c>
      <c r="CI8" t="s">
        <v>623</v>
      </c>
      <c r="CJ8" t="s">
        <v>1454</v>
      </c>
      <c r="CK8" t="s">
        <v>1454</v>
      </c>
      <c r="CM8" t="s">
        <v>624</v>
      </c>
      <c r="CN8" t="s">
        <v>1454</v>
      </c>
      <c r="CO8" t="s">
        <v>1454</v>
      </c>
      <c r="CQ8" t="s">
        <v>625</v>
      </c>
      <c r="CR8" t="s">
        <v>1454</v>
      </c>
      <c r="CS8" t="s">
        <v>1454</v>
      </c>
      <c r="CU8" t="s">
        <v>626</v>
      </c>
      <c r="CV8" t="s">
        <v>1454</v>
      </c>
      <c r="CW8" t="s">
        <v>1454</v>
      </c>
      <c r="CY8" t="s">
        <v>627</v>
      </c>
      <c r="CZ8" t="s">
        <v>1454</v>
      </c>
      <c r="DA8" t="s">
        <v>1454</v>
      </c>
      <c r="DC8" t="s">
        <v>628</v>
      </c>
      <c r="DD8" t="s">
        <v>1454</v>
      </c>
      <c r="DE8" t="s">
        <v>1454</v>
      </c>
      <c r="DG8" t="s">
        <v>629</v>
      </c>
      <c r="DH8" t="s">
        <v>1454</v>
      </c>
      <c r="DI8" t="s">
        <v>1454</v>
      </c>
      <c r="DK8" t="s">
        <v>1454</v>
      </c>
      <c r="DL8" t="s">
        <v>1454</v>
      </c>
      <c r="DM8" t="s">
        <v>1454</v>
      </c>
      <c r="DO8" t="s">
        <v>631</v>
      </c>
      <c r="DP8" t="s">
        <v>1454</v>
      </c>
      <c r="DQ8" t="s">
        <v>631</v>
      </c>
      <c r="DS8" t="s">
        <v>632</v>
      </c>
      <c r="DT8" t="s">
        <v>1454</v>
      </c>
      <c r="DU8" t="s">
        <v>632</v>
      </c>
      <c r="DW8" t="s">
        <v>633</v>
      </c>
      <c r="DX8" t="s">
        <v>1454</v>
      </c>
      <c r="DY8" t="s">
        <v>633</v>
      </c>
      <c r="EA8" t="s">
        <v>634</v>
      </c>
      <c r="EB8" t="s">
        <v>1454</v>
      </c>
      <c r="EC8" t="s">
        <v>1454</v>
      </c>
      <c r="EE8" t="s">
        <v>1454</v>
      </c>
      <c r="EF8" t="s">
        <v>1454</v>
      </c>
      <c r="EG8" t="s">
        <v>1454</v>
      </c>
      <c r="EI8" t="s">
        <v>636</v>
      </c>
      <c r="EJ8" t="s">
        <v>1454</v>
      </c>
      <c r="EK8" t="s">
        <v>1454</v>
      </c>
      <c r="EM8" t="s">
        <v>637</v>
      </c>
      <c r="EN8" t="s">
        <v>1454</v>
      </c>
      <c r="EO8" t="s">
        <v>1454</v>
      </c>
      <c r="EQ8" t="s">
        <v>638</v>
      </c>
      <c r="ER8" t="s">
        <v>1454</v>
      </c>
      <c r="ES8" t="s">
        <v>1454</v>
      </c>
      <c r="EU8" t="s">
        <v>639</v>
      </c>
      <c r="EV8" t="s">
        <v>1454</v>
      </c>
      <c r="EW8" t="s">
        <v>1454</v>
      </c>
      <c r="EY8" t="s">
        <v>1454</v>
      </c>
      <c r="EZ8" t="s">
        <v>1454</v>
      </c>
      <c r="FA8" t="s">
        <v>1454</v>
      </c>
      <c r="FC8" t="s">
        <v>1454</v>
      </c>
      <c r="FD8" t="s">
        <v>1454</v>
      </c>
      <c r="FE8" t="s">
        <v>1454</v>
      </c>
      <c r="FG8" t="s">
        <v>1454</v>
      </c>
      <c r="FH8" t="s">
        <v>1454</v>
      </c>
      <c r="FI8" t="s">
        <v>1454</v>
      </c>
      <c r="FK8" t="s">
        <v>1454</v>
      </c>
      <c r="FL8" t="s">
        <v>1454</v>
      </c>
      <c r="FM8" t="s">
        <v>1454</v>
      </c>
      <c r="FO8" t="s">
        <v>602</v>
      </c>
      <c r="FP8" t="s">
        <v>1454</v>
      </c>
      <c r="FQ8" t="s">
        <v>1454</v>
      </c>
      <c r="FS8" t="s">
        <v>1454</v>
      </c>
      <c r="FT8" t="s">
        <v>1454</v>
      </c>
      <c r="FU8" t="s">
        <v>1454</v>
      </c>
      <c r="FW8" t="s">
        <v>645</v>
      </c>
      <c r="FX8" t="s">
        <v>1454</v>
      </c>
      <c r="FY8" t="s">
        <v>1454</v>
      </c>
      <c r="GA8" t="s">
        <v>1454</v>
      </c>
      <c r="GB8" t="s">
        <v>1454</v>
      </c>
      <c r="GC8" t="s">
        <v>1454</v>
      </c>
      <c r="GE8" t="s">
        <v>647</v>
      </c>
      <c r="GF8" t="s">
        <v>1454</v>
      </c>
      <c r="GG8" t="s">
        <v>1454</v>
      </c>
      <c r="GI8" t="s">
        <v>648</v>
      </c>
      <c r="GJ8" t="s">
        <v>1454</v>
      </c>
      <c r="GK8" t="s">
        <v>1454</v>
      </c>
      <c r="GM8" t="s">
        <v>1454</v>
      </c>
      <c r="GN8" t="s">
        <v>1454</v>
      </c>
      <c r="GO8" t="s">
        <v>1454</v>
      </c>
      <c r="GQ8" t="s">
        <v>1465</v>
      </c>
      <c r="GR8" t="s">
        <v>1454</v>
      </c>
      <c r="GS8" t="s">
        <v>1466</v>
      </c>
    </row>
    <row r="9" spans="1:201" x14ac:dyDescent="0.25">
      <c r="B9" t="s">
        <v>405</v>
      </c>
      <c r="C9" t="s">
        <v>603</v>
      </c>
      <c r="D9" t="s">
        <v>1454</v>
      </c>
      <c r="E9" t="s">
        <v>1454</v>
      </c>
      <c r="G9" t="s">
        <v>604</v>
      </c>
      <c r="H9" t="s">
        <v>1454</v>
      </c>
      <c r="I9" t="s">
        <v>1454</v>
      </c>
      <c r="K9" t="s">
        <v>392</v>
      </c>
      <c r="L9" t="s">
        <v>1454</v>
      </c>
      <c r="M9" t="s">
        <v>1454</v>
      </c>
      <c r="O9" t="s">
        <v>605</v>
      </c>
      <c r="P9" t="s">
        <v>1454</v>
      </c>
      <c r="Q9" t="s">
        <v>1454</v>
      </c>
      <c r="S9" t="s">
        <v>606</v>
      </c>
      <c r="T9" t="s">
        <v>1454</v>
      </c>
      <c r="U9" t="s">
        <v>1454</v>
      </c>
      <c r="W9" t="s">
        <v>607</v>
      </c>
      <c r="X9" t="s">
        <v>1454</v>
      </c>
      <c r="Y9" t="s">
        <v>1454</v>
      </c>
      <c r="AA9" t="s">
        <v>608</v>
      </c>
      <c r="AB9" t="s">
        <v>1454</v>
      </c>
      <c r="AC9" t="s">
        <v>1454</v>
      </c>
      <c r="AE9" t="s">
        <v>609</v>
      </c>
      <c r="AF9" t="s">
        <v>1454</v>
      </c>
      <c r="AG9" t="s">
        <v>1454</v>
      </c>
      <c r="AI9" t="s">
        <v>610</v>
      </c>
      <c r="AJ9" t="s">
        <v>1454</v>
      </c>
      <c r="AK9" t="s">
        <v>1454</v>
      </c>
      <c r="AM9" t="s">
        <v>611</v>
      </c>
      <c r="AN9" t="s">
        <v>1454</v>
      </c>
      <c r="AO9" t="s">
        <v>1454</v>
      </c>
      <c r="AQ9" t="s">
        <v>612</v>
      </c>
      <c r="AR9" t="s">
        <v>1454</v>
      </c>
      <c r="AS9" t="s">
        <v>1454</v>
      </c>
      <c r="AU9" t="s">
        <v>613</v>
      </c>
      <c r="AV9" t="s">
        <v>1454</v>
      </c>
      <c r="AW9" t="s">
        <v>1454</v>
      </c>
      <c r="AY9" t="s">
        <v>614</v>
      </c>
      <c r="AZ9" t="s">
        <v>1454</v>
      </c>
      <c r="BA9" t="s">
        <v>1454</v>
      </c>
      <c r="BC9" t="s">
        <v>615</v>
      </c>
      <c r="BD9" t="s">
        <v>1454</v>
      </c>
      <c r="BE9" t="s">
        <v>1454</v>
      </c>
      <c r="BG9" t="s">
        <v>616</v>
      </c>
      <c r="BH9" t="s">
        <v>1454</v>
      </c>
      <c r="BI9" t="s">
        <v>1454</v>
      </c>
      <c r="BK9" t="s">
        <v>617</v>
      </c>
      <c r="BL9" t="s">
        <v>1454</v>
      </c>
      <c r="BM9" t="s">
        <v>1454</v>
      </c>
      <c r="BO9" t="s">
        <v>618</v>
      </c>
      <c r="BP9" t="s">
        <v>1454</v>
      </c>
      <c r="BQ9" t="s">
        <v>1454</v>
      </c>
      <c r="BS9" t="s">
        <v>619</v>
      </c>
      <c r="BT9" t="s">
        <v>1454</v>
      </c>
      <c r="BU9" t="s">
        <v>1454</v>
      </c>
      <c r="BW9" t="s">
        <v>620</v>
      </c>
      <c r="BX9" t="s">
        <v>1454</v>
      </c>
      <c r="BY9" t="s">
        <v>1454</v>
      </c>
      <c r="CA9" t="s">
        <v>621</v>
      </c>
      <c r="CB9" t="s">
        <v>1454</v>
      </c>
      <c r="CC9" t="s">
        <v>1454</v>
      </c>
      <c r="CE9" t="s">
        <v>622</v>
      </c>
      <c r="CF9" t="s">
        <v>1454</v>
      </c>
      <c r="CG9" t="s">
        <v>1454</v>
      </c>
      <c r="CI9" t="s">
        <v>623</v>
      </c>
      <c r="CJ9" t="s">
        <v>1454</v>
      </c>
      <c r="CK9" t="s">
        <v>1454</v>
      </c>
      <c r="CM9" t="s">
        <v>624</v>
      </c>
      <c r="CN9" t="s">
        <v>1454</v>
      </c>
      <c r="CO9" t="s">
        <v>1454</v>
      </c>
      <c r="CQ9" t="s">
        <v>625</v>
      </c>
      <c r="CR9" t="s">
        <v>1454</v>
      </c>
      <c r="CS9" t="s">
        <v>1454</v>
      </c>
      <c r="CU9" t="s">
        <v>626</v>
      </c>
      <c r="CV9" t="s">
        <v>1454</v>
      </c>
      <c r="CW9" t="s">
        <v>626</v>
      </c>
      <c r="CY9" t="s">
        <v>627</v>
      </c>
      <c r="CZ9" t="s">
        <v>1454</v>
      </c>
      <c r="DA9" t="s">
        <v>1454</v>
      </c>
      <c r="DC9" t="s">
        <v>628</v>
      </c>
      <c r="DD9" t="s">
        <v>1454</v>
      </c>
      <c r="DE9" t="s">
        <v>628</v>
      </c>
      <c r="DG9" t="s">
        <v>629</v>
      </c>
      <c r="DH9" t="s">
        <v>1454</v>
      </c>
      <c r="DI9" t="s">
        <v>629</v>
      </c>
      <c r="DK9" t="s">
        <v>630</v>
      </c>
      <c r="DL9" t="s">
        <v>1454</v>
      </c>
      <c r="DM9" t="s">
        <v>1454</v>
      </c>
      <c r="DO9" t="s">
        <v>631</v>
      </c>
      <c r="DP9" t="s">
        <v>1454</v>
      </c>
      <c r="DQ9" t="s">
        <v>631</v>
      </c>
      <c r="DS9" t="s">
        <v>632</v>
      </c>
      <c r="DT9" t="s">
        <v>1454</v>
      </c>
      <c r="DU9" t="s">
        <v>632</v>
      </c>
      <c r="DW9" t="s">
        <v>633</v>
      </c>
      <c r="DX9" t="s">
        <v>1454</v>
      </c>
      <c r="DY9" t="s">
        <v>1454</v>
      </c>
      <c r="EA9" t="s">
        <v>634</v>
      </c>
      <c r="EB9" t="s">
        <v>1454</v>
      </c>
      <c r="EC9" t="s">
        <v>634</v>
      </c>
      <c r="EE9" t="s">
        <v>635</v>
      </c>
      <c r="EF9" t="s">
        <v>1454</v>
      </c>
      <c r="EG9" t="s">
        <v>1454</v>
      </c>
      <c r="EI9" t="s">
        <v>636</v>
      </c>
      <c r="EJ9" t="s">
        <v>1454</v>
      </c>
      <c r="EK9" t="s">
        <v>636</v>
      </c>
      <c r="EM9" t="s">
        <v>637</v>
      </c>
      <c r="EN9" t="s">
        <v>1454</v>
      </c>
      <c r="EO9" t="s">
        <v>1454</v>
      </c>
      <c r="EQ9" t="s">
        <v>638</v>
      </c>
      <c r="ER9" t="s">
        <v>1454</v>
      </c>
      <c r="ES9" t="s">
        <v>1454</v>
      </c>
      <c r="EU9" t="s">
        <v>639</v>
      </c>
      <c r="EV9" t="s">
        <v>1454</v>
      </c>
      <c r="EW9" t="s">
        <v>1454</v>
      </c>
      <c r="EY9" t="s">
        <v>1454</v>
      </c>
      <c r="EZ9" t="s">
        <v>1454</v>
      </c>
      <c r="FA9" t="s">
        <v>1454</v>
      </c>
      <c r="FC9" t="s">
        <v>641</v>
      </c>
      <c r="FD9" t="s">
        <v>1454</v>
      </c>
      <c r="FE9" t="s">
        <v>1454</v>
      </c>
      <c r="FG9" t="s">
        <v>642</v>
      </c>
      <c r="FH9" t="s">
        <v>1454</v>
      </c>
      <c r="FI9" t="s">
        <v>1454</v>
      </c>
      <c r="FK9" t="s">
        <v>643</v>
      </c>
      <c r="FL9" t="s">
        <v>1454</v>
      </c>
      <c r="FM9" t="s">
        <v>1454</v>
      </c>
      <c r="FO9" t="s">
        <v>602</v>
      </c>
      <c r="FP9" t="s">
        <v>1454</v>
      </c>
      <c r="FQ9" t="s">
        <v>1454</v>
      </c>
      <c r="FS9" t="s">
        <v>644</v>
      </c>
      <c r="FT9" t="s">
        <v>1454</v>
      </c>
      <c r="FU9" t="s">
        <v>1454</v>
      </c>
      <c r="FW9" t="s">
        <v>645</v>
      </c>
      <c r="FX9" t="s">
        <v>1454</v>
      </c>
      <c r="FY9" t="s">
        <v>1454</v>
      </c>
      <c r="GA9" t="s">
        <v>1454</v>
      </c>
      <c r="GB9" t="s">
        <v>1454</v>
      </c>
      <c r="GC9" t="s">
        <v>1454</v>
      </c>
      <c r="GE9" t="s">
        <v>647</v>
      </c>
      <c r="GF9" t="s">
        <v>647</v>
      </c>
      <c r="GG9" t="s">
        <v>1454</v>
      </c>
      <c r="GI9" t="s">
        <v>648</v>
      </c>
      <c r="GJ9" t="s">
        <v>1454</v>
      </c>
      <c r="GK9" t="s">
        <v>1454</v>
      </c>
      <c r="GM9" t="s">
        <v>649</v>
      </c>
      <c r="GN9" t="s">
        <v>1454</v>
      </c>
      <c r="GO9" t="s">
        <v>649</v>
      </c>
      <c r="GQ9" t="s">
        <v>1467</v>
      </c>
      <c r="GR9" t="s">
        <v>1464</v>
      </c>
      <c r="GS9" t="s">
        <v>1468</v>
      </c>
    </row>
    <row r="10" spans="1:201" x14ac:dyDescent="0.25">
      <c r="B10" t="s">
        <v>403</v>
      </c>
      <c r="C10" t="s">
        <v>1454</v>
      </c>
      <c r="D10" t="s">
        <v>603</v>
      </c>
      <c r="E10" t="s">
        <v>1454</v>
      </c>
      <c r="G10" t="s">
        <v>604</v>
      </c>
      <c r="H10" t="s">
        <v>1454</v>
      </c>
      <c r="I10" t="s">
        <v>1454</v>
      </c>
      <c r="K10" t="s">
        <v>392</v>
      </c>
      <c r="L10" t="s">
        <v>1454</v>
      </c>
      <c r="M10" t="s">
        <v>1454</v>
      </c>
      <c r="O10" t="s">
        <v>605</v>
      </c>
      <c r="P10" t="s">
        <v>1454</v>
      </c>
      <c r="Q10" t="s">
        <v>1454</v>
      </c>
      <c r="S10" t="s">
        <v>606</v>
      </c>
      <c r="T10" t="s">
        <v>1454</v>
      </c>
      <c r="U10" t="s">
        <v>1454</v>
      </c>
      <c r="W10" t="s">
        <v>607</v>
      </c>
      <c r="X10" t="s">
        <v>1454</v>
      </c>
      <c r="Y10" t="s">
        <v>1454</v>
      </c>
      <c r="AA10" t="s">
        <v>1454</v>
      </c>
      <c r="AB10" t="s">
        <v>1454</v>
      </c>
      <c r="AC10" t="s">
        <v>1454</v>
      </c>
      <c r="AE10" t="s">
        <v>609</v>
      </c>
      <c r="AF10" t="s">
        <v>1454</v>
      </c>
      <c r="AG10" t="s">
        <v>1454</v>
      </c>
      <c r="AI10" t="s">
        <v>1454</v>
      </c>
      <c r="AJ10" t="s">
        <v>1454</v>
      </c>
      <c r="AK10" t="s">
        <v>1454</v>
      </c>
      <c r="AM10" t="s">
        <v>1454</v>
      </c>
      <c r="AN10" t="s">
        <v>1454</v>
      </c>
      <c r="AO10" t="s">
        <v>1454</v>
      </c>
      <c r="AQ10" t="s">
        <v>1454</v>
      </c>
      <c r="AR10" t="s">
        <v>1454</v>
      </c>
      <c r="AS10" t="s">
        <v>1454</v>
      </c>
      <c r="AU10" t="s">
        <v>1454</v>
      </c>
      <c r="AV10" t="s">
        <v>1454</v>
      </c>
      <c r="AW10" t="s">
        <v>1454</v>
      </c>
      <c r="AY10" t="s">
        <v>614</v>
      </c>
      <c r="AZ10" t="s">
        <v>1454</v>
      </c>
      <c r="BA10" t="s">
        <v>1454</v>
      </c>
      <c r="BC10" t="s">
        <v>1454</v>
      </c>
      <c r="BD10" t="s">
        <v>1454</v>
      </c>
      <c r="BE10" t="s">
        <v>1454</v>
      </c>
      <c r="BG10" t="s">
        <v>1454</v>
      </c>
      <c r="BH10" t="s">
        <v>1454</v>
      </c>
      <c r="BI10" t="s">
        <v>1454</v>
      </c>
      <c r="BK10" t="s">
        <v>617</v>
      </c>
      <c r="BL10" t="s">
        <v>1454</v>
      </c>
      <c r="BM10" t="s">
        <v>1454</v>
      </c>
      <c r="BO10" t="s">
        <v>618</v>
      </c>
      <c r="BP10" t="s">
        <v>1454</v>
      </c>
      <c r="BQ10" t="s">
        <v>1454</v>
      </c>
      <c r="BS10" t="s">
        <v>1454</v>
      </c>
      <c r="BT10" t="s">
        <v>1454</v>
      </c>
      <c r="BU10" t="s">
        <v>1454</v>
      </c>
      <c r="BW10" t="s">
        <v>620</v>
      </c>
      <c r="BX10" t="s">
        <v>1454</v>
      </c>
      <c r="BY10" t="s">
        <v>1454</v>
      </c>
      <c r="CA10" t="s">
        <v>621</v>
      </c>
      <c r="CB10" t="s">
        <v>1454</v>
      </c>
      <c r="CC10" t="s">
        <v>1454</v>
      </c>
      <c r="CE10" t="s">
        <v>1454</v>
      </c>
      <c r="CF10" t="s">
        <v>1454</v>
      </c>
      <c r="CG10" t="s">
        <v>1454</v>
      </c>
      <c r="CI10" t="s">
        <v>1454</v>
      </c>
      <c r="CJ10" t="s">
        <v>1454</v>
      </c>
      <c r="CK10" t="s">
        <v>1454</v>
      </c>
      <c r="CM10" t="s">
        <v>1454</v>
      </c>
      <c r="CN10" t="s">
        <v>1454</v>
      </c>
      <c r="CO10" t="s">
        <v>1454</v>
      </c>
      <c r="CQ10" t="s">
        <v>1454</v>
      </c>
      <c r="CR10" t="s">
        <v>1454</v>
      </c>
      <c r="CS10" t="s">
        <v>1454</v>
      </c>
      <c r="CU10" t="s">
        <v>626</v>
      </c>
      <c r="CV10" t="s">
        <v>1454</v>
      </c>
      <c r="CW10" t="s">
        <v>1454</v>
      </c>
      <c r="CY10" t="s">
        <v>627</v>
      </c>
      <c r="CZ10" t="s">
        <v>1454</v>
      </c>
      <c r="DA10" t="s">
        <v>1454</v>
      </c>
      <c r="DC10" t="s">
        <v>1454</v>
      </c>
      <c r="DD10" t="s">
        <v>1454</v>
      </c>
      <c r="DE10" t="s">
        <v>1454</v>
      </c>
      <c r="DG10" t="s">
        <v>1454</v>
      </c>
      <c r="DH10" t="s">
        <v>1454</v>
      </c>
      <c r="DI10" t="s">
        <v>1454</v>
      </c>
      <c r="DK10" t="s">
        <v>1454</v>
      </c>
      <c r="DL10" t="s">
        <v>1454</v>
      </c>
      <c r="DM10" t="s">
        <v>1454</v>
      </c>
      <c r="DO10" t="s">
        <v>1454</v>
      </c>
      <c r="DP10" t="s">
        <v>1454</v>
      </c>
      <c r="DQ10" t="s">
        <v>1454</v>
      </c>
      <c r="DS10" t="s">
        <v>1454</v>
      </c>
      <c r="DT10" t="s">
        <v>1454</v>
      </c>
      <c r="DU10" t="s">
        <v>1454</v>
      </c>
      <c r="DW10" t="s">
        <v>1454</v>
      </c>
      <c r="DX10" t="s">
        <v>1454</v>
      </c>
      <c r="DY10" t="s">
        <v>1454</v>
      </c>
      <c r="EA10" t="s">
        <v>1454</v>
      </c>
      <c r="EB10" t="s">
        <v>1454</v>
      </c>
      <c r="EC10" t="s">
        <v>1454</v>
      </c>
      <c r="EE10" t="s">
        <v>1454</v>
      </c>
      <c r="EF10" t="s">
        <v>1454</v>
      </c>
      <c r="EG10" t="s">
        <v>1454</v>
      </c>
      <c r="EI10" t="s">
        <v>1454</v>
      </c>
      <c r="EJ10" t="s">
        <v>1454</v>
      </c>
      <c r="EK10" t="s">
        <v>1454</v>
      </c>
      <c r="EM10" t="s">
        <v>1454</v>
      </c>
      <c r="EN10" t="s">
        <v>1454</v>
      </c>
      <c r="EO10" t="s">
        <v>1454</v>
      </c>
      <c r="EQ10" t="s">
        <v>1454</v>
      </c>
      <c r="ER10" t="s">
        <v>1454</v>
      </c>
      <c r="ES10" t="s">
        <v>1454</v>
      </c>
      <c r="EU10" t="s">
        <v>1454</v>
      </c>
      <c r="EV10" t="s">
        <v>1454</v>
      </c>
      <c r="EW10" t="s">
        <v>1454</v>
      </c>
      <c r="EY10" t="s">
        <v>1454</v>
      </c>
      <c r="EZ10" t="s">
        <v>1454</v>
      </c>
      <c r="FA10" t="s">
        <v>1454</v>
      </c>
      <c r="FC10" t="s">
        <v>1454</v>
      </c>
      <c r="FD10" t="s">
        <v>1454</v>
      </c>
      <c r="FE10" t="s">
        <v>1454</v>
      </c>
      <c r="FG10" t="s">
        <v>1454</v>
      </c>
      <c r="FH10" t="s">
        <v>1454</v>
      </c>
      <c r="FI10" t="s">
        <v>1454</v>
      </c>
      <c r="FK10" t="s">
        <v>1454</v>
      </c>
      <c r="FL10" t="s">
        <v>1454</v>
      </c>
      <c r="FM10" t="s">
        <v>1454</v>
      </c>
      <c r="FO10" t="s">
        <v>1454</v>
      </c>
      <c r="FP10" t="s">
        <v>1454</v>
      </c>
      <c r="FQ10" t="s">
        <v>1454</v>
      </c>
      <c r="FS10" t="s">
        <v>1454</v>
      </c>
      <c r="FT10" t="s">
        <v>1454</v>
      </c>
      <c r="FU10" t="s">
        <v>1454</v>
      </c>
      <c r="FW10" t="s">
        <v>1454</v>
      </c>
      <c r="FX10" t="s">
        <v>1454</v>
      </c>
      <c r="FY10" t="s">
        <v>1454</v>
      </c>
      <c r="GA10" t="s">
        <v>1454</v>
      </c>
      <c r="GB10" t="s">
        <v>1454</v>
      </c>
      <c r="GC10" t="s">
        <v>1454</v>
      </c>
      <c r="GE10" t="s">
        <v>1454</v>
      </c>
      <c r="GF10" t="s">
        <v>1454</v>
      </c>
      <c r="GG10" t="s">
        <v>1454</v>
      </c>
      <c r="GI10" t="s">
        <v>1454</v>
      </c>
      <c r="GJ10" t="s">
        <v>1454</v>
      </c>
      <c r="GK10" t="s">
        <v>1454</v>
      </c>
      <c r="GM10" t="s">
        <v>649</v>
      </c>
      <c r="GN10" t="s">
        <v>1454</v>
      </c>
      <c r="GO10" t="s">
        <v>1454</v>
      </c>
      <c r="GQ10" t="s">
        <v>1469</v>
      </c>
      <c r="GR10" t="s">
        <v>1470</v>
      </c>
      <c r="GS10" t="s">
        <v>1454</v>
      </c>
    </row>
    <row r="11" spans="1:201" s="11" customFormat="1" x14ac:dyDescent="0.25">
      <c r="B11" t="s">
        <v>406</v>
      </c>
      <c r="C11" t="s">
        <v>1454</v>
      </c>
      <c r="D11" t="s">
        <v>1454</v>
      </c>
      <c r="E11" t="s">
        <v>1454</v>
      </c>
      <c r="F11"/>
      <c r="G11" t="s">
        <v>1454</v>
      </c>
      <c r="H11" t="s">
        <v>1454</v>
      </c>
      <c r="I11" t="s">
        <v>1454</v>
      </c>
      <c r="J11"/>
      <c r="K11" t="s">
        <v>1454</v>
      </c>
      <c r="L11" t="s">
        <v>1454</v>
      </c>
      <c r="M11" t="s">
        <v>1454</v>
      </c>
      <c r="N11"/>
      <c r="O11" t="s">
        <v>1454</v>
      </c>
      <c r="P11" t="s">
        <v>1454</v>
      </c>
      <c r="Q11" t="s">
        <v>1454</v>
      </c>
      <c r="R11"/>
      <c r="S11" t="s">
        <v>1454</v>
      </c>
      <c r="T11" t="s">
        <v>1454</v>
      </c>
      <c r="U11" t="s">
        <v>1454</v>
      </c>
      <c r="V11"/>
      <c r="W11" t="s">
        <v>1454</v>
      </c>
      <c r="X11" t="s">
        <v>1454</v>
      </c>
      <c r="Y11" t="s">
        <v>1454</v>
      </c>
      <c r="Z11"/>
      <c r="AA11" t="s">
        <v>1454</v>
      </c>
      <c r="AB11" t="s">
        <v>1454</v>
      </c>
      <c r="AC11" t="s">
        <v>1454</v>
      </c>
      <c r="AD11"/>
      <c r="AE11" t="s">
        <v>1454</v>
      </c>
      <c r="AF11" t="s">
        <v>1454</v>
      </c>
      <c r="AG11" t="s">
        <v>1454</v>
      </c>
      <c r="AH11"/>
      <c r="AI11" t="s">
        <v>1454</v>
      </c>
      <c r="AJ11" t="s">
        <v>1454</v>
      </c>
      <c r="AK11" t="s">
        <v>1454</v>
      </c>
      <c r="AL11"/>
      <c r="AM11" t="s">
        <v>1454</v>
      </c>
      <c r="AN11" t="s">
        <v>1454</v>
      </c>
      <c r="AO11" t="s">
        <v>1454</v>
      </c>
      <c r="AP11"/>
      <c r="AQ11" t="s">
        <v>1454</v>
      </c>
      <c r="AR11" t="s">
        <v>1454</v>
      </c>
      <c r="AS11" t="s">
        <v>1454</v>
      </c>
      <c r="AT11"/>
      <c r="AU11" t="s">
        <v>1454</v>
      </c>
      <c r="AV11" t="s">
        <v>1454</v>
      </c>
      <c r="AW11" t="s">
        <v>1454</v>
      </c>
      <c r="AX11"/>
      <c r="AY11" t="s">
        <v>1454</v>
      </c>
      <c r="AZ11" t="s">
        <v>1454</v>
      </c>
      <c r="BA11" t="s">
        <v>1454</v>
      </c>
      <c r="BB11"/>
      <c r="BC11" t="s">
        <v>1454</v>
      </c>
      <c r="BD11" t="s">
        <v>1454</v>
      </c>
      <c r="BE11" t="s">
        <v>1454</v>
      </c>
      <c r="BF11"/>
      <c r="BG11" t="s">
        <v>1454</v>
      </c>
      <c r="BH11" t="s">
        <v>1454</v>
      </c>
      <c r="BI11" t="s">
        <v>1454</v>
      </c>
      <c r="BJ11"/>
      <c r="BK11" t="s">
        <v>1454</v>
      </c>
      <c r="BL11" t="s">
        <v>1454</v>
      </c>
      <c r="BM11" t="s">
        <v>1454</v>
      </c>
      <c r="BN11"/>
      <c r="BO11" t="s">
        <v>1454</v>
      </c>
      <c r="BP11" t="s">
        <v>1454</v>
      </c>
      <c r="BQ11" t="s">
        <v>1454</v>
      </c>
      <c r="BR11"/>
      <c r="BS11" t="s">
        <v>1454</v>
      </c>
      <c r="BT11" t="s">
        <v>1454</v>
      </c>
      <c r="BU11" t="s">
        <v>1454</v>
      </c>
      <c r="BV11"/>
      <c r="BW11" t="s">
        <v>1454</v>
      </c>
      <c r="BX11" t="s">
        <v>1454</v>
      </c>
      <c r="BY11" t="s">
        <v>1454</v>
      </c>
      <c r="BZ11"/>
      <c r="CA11" t="s">
        <v>1454</v>
      </c>
      <c r="CB11" t="s">
        <v>1454</v>
      </c>
      <c r="CC11" t="s">
        <v>1454</v>
      </c>
      <c r="CD11"/>
      <c r="CE11" t="s">
        <v>1454</v>
      </c>
      <c r="CF11" t="s">
        <v>1454</v>
      </c>
      <c r="CG11" t="s">
        <v>1454</v>
      </c>
      <c r="CH11"/>
      <c r="CI11" t="s">
        <v>1454</v>
      </c>
      <c r="CJ11" t="s">
        <v>1454</v>
      </c>
      <c r="CK11" t="s">
        <v>1454</v>
      </c>
      <c r="CL11"/>
      <c r="CM11" t="s">
        <v>1454</v>
      </c>
      <c r="CN11" t="s">
        <v>1454</v>
      </c>
      <c r="CO11" t="s">
        <v>1454</v>
      </c>
      <c r="CP11"/>
      <c r="CQ11" t="s">
        <v>1454</v>
      </c>
      <c r="CR11" t="s">
        <v>1454</v>
      </c>
      <c r="CS11" t="s">
        <v>1454</v>
      </c>
      <c r="CT11"/>
      <c r="CU11" t="s">
        <v>1454</v>
      </c>
      <c r="CV11" t="s">
        <v>1454</v>
      </c>
      <c r="CW11" t="s">
        <v>1454</v>
      </c>
      <c r="CX11"/>
      <c r="CY11" t="s">
        <v>1454</v>
      </c>
      <c r="CZ11" t="s">
        <v>1454</v>
      </c>
      <c r="DA11" t="s">
        <v>1454</v>
      </c>
      <c r="DB11"/>
      <c r="DC11" t="s">
        <v>1454</v>
      </c>
      <c r="DD11" t="s">
        <v>628</v>
      </c>
      <c r="DE11" t="s">
        <v>1454</v>
      </c>
      <c r="DF11"/>
      <c r="DG11" t="s">
        <v>629</v>
      </c>
      <c r="DH11" t="s">
        <v>1454</v>
      </c>
      <c r="DI11" t="s">
        <v>1454</v>
      </c>
      <c r="DJ11"/>
      <c r="DK11" t="s">
        <v>1454</v>
      </c>
      <c r="DL11" t="s">
        <v>1454</v>
      </c>
      <c r="DM11" t="s">
        <v>1454</v>
      </c>
      <c r="DN11"/>
      <c r="DO11" t="s">
        <v>1454</v>
      </c>
      <c r="DP11" t="s">
        <v>1454</v>
      </c>
      <c r="DQ11" t="s">
        <v>1454</v>
      </c>
      <c r="DR11"/>
      <c r="DS11" t="s">
        <v>1454</v>
      </c>
      <c r="DT11" t="s">
        <v>1454</v>
      </c>
      <c r="DU11" t="s">
        <v>1454</v>
      </c>
      <c r="DV11"/>
      <c r="DW11" t="s">
        <v>1454</v>
      </c>
      <c r="DX11" t="s">
        <v>1454</v>
      </c>
      <c r="DY11" t="s">
        <v>1454</v>
      </c>
      <c r="DZ11"/>
      <c r="EA11" t="s">
        <v>1454</v>
      </c>
      <c r="EB11" t="s">
        <v>1454</v>
      </c>
      <c r="EC11" t="s">
        <v>1454</v>
      </c>
      <c r="ED11"/>
      <c r="EE11" t="s">
        <v>1454</v>
      </c>
      <c r="EF11" t="s">
        <v>1454</v>
      </c>
      <c r="EG11" t="s">
        <v>1454</v>
      </c>
      <c r="EH11"/>
      <c r="EI11" t="s">
        <v>1454</v>
      </c>
      <c r="EJ11" t="s">
        <v>1454</v>
      </c>
      <c r="EK11" t="s">
        <v>1454</v>
      </c>
      <c r="EL11"/>
      <c r="EM11" t="s">
        <v>1454</v>
      </c>
      <c r="EN11" t="s">
        <v>1454</v>
      </c>
      <c r="EO11" t="s">
        <v>1454</v>
      </c>
      <c r="EP11"/>
      <c r="EQ11" t="s">
        <v>1454</v>
      </c>
      <c r="ER11" t="s">
        <v>1454</v>
      </c>
      <c r="ES11" t="s">
        <v>1454</v>
      </c>
      <c r="ET11"/>
      <c r="EU11" t="s">
        <v>1454</v>
      </c>
      <c r="EV11" t="s">
        <v>1454</v>
      </c>
      <c r="EW11" t="s">
        <v>1454</v>
      </c>
      <c r="EX11"/>
      <c r="EY11" t="s">
        <v>1454</v>
      </c>
      <c r="EZ11" t="s">
        <v>1454</v>
      </c>
      <c r="FA11" t="s">
        <v>1454</v>
      </c>
      <c r="FB11"/>
      <c r="FC11" t="s">
        <v>1454</v>
      </c>
      <c r="FD11" t="s">
        <v>1454</v>
      </c>
      <c r="FE11" t="s">
        <v>1454</v>
      </c>
      <c r="FF11"/>
      <c r="FG11" t="s">
        <v>1454</v>
      </c>
      <c r="FH11" t="s">
        <v>1454</v>
      </c>
      <c r="FI11" t="s">
        <v>1454</v>
      </c>
      <c r="FJ11"/>
      <c r="FK11" t="s">
        <v>1454</v>
      </c>
      <c r="FL11" t="s">
        <v>1454</v>
      </c>
      <c r="FM11" t="s">
        <v>1454</v>
      </c>
      <c r="FN11"/>
      <c r="FO11" t="s">
        <v>602</v>
      </c>
      <c r="FP11" t="s">
        <v>1454</v>
      </c>
      <c r="FQ11" t="s">
        <v>1454</v>
      </c>
      <c r="FR11"/>
      <c r="FS11" t="s">
        <v>1454</v>
      </c>
      <c r="FT11" t="s">
        <v>1454</v>
      </c>
      <c r="FU11" t="s">
        <v>1454</v>
      </c>
      <c r="FV11"/>
      <c r="FW11" t="s">
        <v>1454</v>
      </c>
      <c r="FX11" t="s">
        <v>1454</v>
      </c>
      <c r="FY11" t="s">
        <v>1454</v>
      </c>
      <c r="FZ11"/>
      <c r="GA11" t="s">
        <v>1454</v>
      </c>
      <c r="GB11" t="s">
        <v>1454</v>
      </c>
      <c r="GC11" t="s">
        <v>1454</v>
      </c>
      <c r="GD11"/>
      <c r="GE11" t="s">
        <v>1454</v>
      </c>
      <c r="GF11" t="s">
        <v>1454</v>
      </c>
      <c r="GG11" t="s">
        <v>1454</v>
      </c>
      <c r="GH11"/>
      <c r="GI11" t="s">
        <v>1454</v>
      </c>
      <c r="GJ11" t="s">
        <v>1454</v>
      </c>
      <c r="GK11" t="s">
        <v>1454</v>
      </c>
      <c r="GL11"/>
      <c r="GM11" t="s">
        <v>1454</v>
      </c>
      <c r="GN11" t="s">
        <v>1454</v>
      </c>
      <c r="GO11" t="s">
        <v>1454</v>
      </c>
      <c r="GP11"/>
      <c r="GQ11" t="s">
        <v>1471</v>
      </c>
      <c r="GR11" t="s">
        <v>1472</v>
      </c>
      <c r="GS11" t="s">
        <v>1454</v>
      </c>
    </row>
    <row r="12" spans="1:201" x14ac:dyDescent="0.25">
      <c r="B12" t="s">
        <v>407</v>
      </c>
      <c r="C12" t="s">
        <v>1454</v>
      </c>
      <c r="D12" t="s">
        <v>1454</v>
      </c>
      <c r="E12" t="s">
        <v>1454</v>
      </c>
      <c r="G12" t="s">
        <v>1454</v>
      </c>
      <c r="H12" t="s">
        <v>604</v>
      </c>
      <c r="I12" t="s">
        <v>1454</v>
      </c>
      <c r="K12" t="s">
        <v>1454</v>
      </c>
      <c r="L12" t="s">
        <v>1454</v>
      </c>
      <c r="M12" t="s">
        <v>1454</v>
      </c>
      <c r="O12" t="s">
        <v>1454</v>
      </c>
      <c r="P12" t="s">
        <v>1454</v>
      </c>
      <c r="Q12" t="s">
        <v>1454</v>
      </c>
      <c r="S12" t="s">
        <v>1454</v>
      </c>
      <c r="T12" t="s">
        <v>1454</v>
      </c>
      <c r="U12" t="s">
        <v>1454</v>
      </c>
      <c r="W12" t="s">
        <v>1454</v>
      </c>
      <c r="X12" t="s">
        <v>1454</v>
      </c>
      <c r="Y12" t="s">
        <v>1454</v>
      </c>
      <c r="AA12" t="s">
        <v>1454</v>
      </c>
      <c r="AB12" t="s">
        <v>1454</v>
      </c>
      <c r="AC12" t="s">
        <v>1454</v>
      </c>
      <c r="AE12" t="s">
        <v>1454</v>
      </c>
      <c r="AF12" t="s">
        <v>1454</v>
      </c>
      <c r="AG12" t="s">
        <v>1454</v>
      </c>
      <c r="AI12" t="s">
        <v>1454</v>
      </c>
      <c r="AJ12" t="s">
        <v>610</v>
      </c>
      <c r="AK12" t="s">
        <v>1454</v>
      </c>
      <c r="AM12" t="s">
        <v>1454</v>
      </c>
      <c r="AN12" t="s">
        <v>1454</v>
      </c>
      <c r="AO12" t="s">
        <v>1454</v>
      </c>
      <c r="AQ12" t="s">
        <v>1454</v>
      </c>
      <c r="AR12" t="s">
        <v>1454</v>
      </c>
      <c r="AS12" t="s">
        <v>1454</v>
      </c>
      <c r="AU12" t="s">
        <v>1454</v>
      </c>
      <c r="AV12" t="s">
        <v>613</v>
      </c>
      <c r="AW12" t="s">
        <v>1454</v>
      </c>
      <c r="AY12" t="s">
        <v>1454</v>
      </c>
      <c r="AZ12" t="s">
        <v>1454</v>
      </c>
      <c r="BA12" t="s">
        <v>1454</v>
      </c>
      <c r="BC12" t="s">
        <v>1454</v>
      </c>
      <c r="BD12" t="s">
        <v>1454</v>
      </c>
      <c r="BE12" t="s">
        <v>1454</v>
      </c>
      <c r="BG12" t="s">
        <v>1454</v>
      </c>
      <c r="BH12" t="s">
        <v>1454</v>
      </c>
      <c r="BI12" t="s">
        <v>1454</v>
      </c>
      <c r="BK12" t="s">
        <v>1454</v>
      </c>
      <c r="BL12" t="s">
        <v>1454</v>
      </c>
      <c r="BM12" t="s">
        <v>1454</v>
      </c>
      <c r="BO12" t="s">
        <v>1454</v>
      </c>
      <c r="BP12" t="s">
        <v>1454</v>
      </c>
      <c r="BQ12" t="s">
        <v>1454</v>
      </c>
      <c r="BS12" t="s">
        <v>1454</v>
      </c>
      <c r="BT12" t="s">
        <v>1454</v>
      </c>
      <c r="BU12" t="s">
        <v>1454</v>
      </c>
      <c r="BW12" t="s">
        <v>1454</v>
      </c>
      <c r="BX12" t="s">
        <v>1454</v>
      </c>
      <c r="BY12" t="s">
        <v>1454</v>
      </c>
      <c r="CA12" t="s">
        <v>1454</v>
      </c>
      <c r="CB12" t="s">
        <v>1454</v>
      </c>
      <c r="CC12" t="s">
        <v>1454</v>
      </c>
      <c r="CE12" t="s">
        <v>1454</v>
      </c>
      <c r="CF12" t="s">
        <v>1454</v>
      </c>
      <c r="CG12" t="s">
        <v>1454</v>
      </c>
      <c r="CI12" t="s">
        <v>1454</v>
      </c>
      <c r="CJ12" t="s">
        <v>1454</v>
      </c>
      <c r="CK12" t="s">
        <v>1454</v>
      </c>
      <c r="CM12" t="s">
        <v>1454</v>
      </c>
      <c r="CN12" t="s">
        <v>1454</v>
      </c>
      <c r="CO12" t="s">
        <v>1454</v>
      </c>
      <c r="CQ12" t="s">
        <v>1454</v>
      </c>
      <c r="CR12" t="s">
        <v>625</v>
      </c>
      <c r="CS12" t="s">
        <v>1454</v>
      </c>
      <c r="CU12" t="s">
        <v>1454</v>
      </c>
      <c r="CV12" t="s">
        <v>626</v>
      </c>
      <c r="CW12" t="s">
        <v>1454</v>
      </c>
      <c r="CY12" t="s">
        <v>1454</v>
      </c>
      <c r="CZ12" t="s">
        <v>1454</v>
      </c>
      <c r="DA12" t="s">
        <v>1454</v>
      </c>
      <c r="DC12" t="s">
        <v>1454</v>
      </c>
      <c r="DD12" t="s">
        <v>628</v>
      </c>
      <c r="DE12" t="s">
        <v>1454</v>
      </c>
      <c r="DG12" t="s">
        <v>1454</v>
      </c>
      <c r="DH12" t="s">
        <v>1454</v>
      </c>
      <c r="DI12" t="s">
        <v>1454</v>
      </c>
      <c r="DK12" t="s">
        <v>1454</v>
      </c>
      <c r="DL12" t="s">
        <v>630</v>
      </c>
      <c r="DM12" t="s">
        <v>1454</v>
      </c>
      <c r="DO12" t="s">
        <v>1454</v>
      </c>
      <c r="DP12" t="s">
        <v>631</v>
      </c>
      <c r="DQ12" t="s">
        <v>1454</v>
      </c>
      <c r="DS12" t="s">
        <v>1454</v>
      </c>
      <c r="DT12" t="s">
        <v>632</v>
      </c>
      <c r="DU12" t="s">
        <v>1454</v>
      </c>
      <c r="DW12" t="s">
        <v>1454</v>
      </c>
      <c r="DX12" t="s">
        <v>633</v>
      </c>
      <c r="DY12" t="s">
        <v>1454</v>
      </c>
      <c r="EA12" t="s">
        <v>1454</v>
      </c>
      <c r="EB12" t="s">
        <v>1454</v>
      </c>
      <c r="EC12" t="s">
        <v>1454</v>
      </c>
      <c r="EE12" t="s">
        <v>1454</v>
      </c>
      <c r="EF12" t="s">
        <v>635</v>
      </c>
      <c r="EG12" t="s">
        <v>1454</v>
      </c>
      <c r="EI12" t="s">
        <v>1454</v>
      </c>
      <c r="EJ12" t="s">
        <v>636</v>
      </c>
      <c r="EK12" t="s">
        <v>1454</v>
      </c>
      <c r="EM12" t="s">
        <v>1454</v>
      </c>
      <c r="EN12" t="s">
        <v>637</v>
      </c>
      <c r="EO12" t="s">
        <v>1454</v>
      </c>
      <c r="EQ12" t="s">
        <v>1454</v>
      </c>
      <c r="ER12" t="s">
        <v>638</v>
      </c>
      <c r="ES12" t="s">
        <v>1454</v>
      </c>
      <c r="EU12" t="s">
        <v>639</v>
      </c>
      <c r="EV12" t="s">
        <v>1454</v>
      </c>
      <c r="EW12" t="s">
        <v>1454</v>
      </c>
      <c r="EY12" t="s">
        <v>1454</v>
      </c>
      <c r="EZ12" t="s">
        <v>640</v>
      </c>
      <c r="FA12" t="s">
        <v>1454</v>
      </c>
      <c r="FC12" t="s">
        <v>1454</v>
      </c>
      <c r="FD12" t="s">
        <v>641</v>
      </c>
      <c r="FE12" t="s">
        <v>1454</v>
      </c>
      <c r="FG12" t="s">
        <v>1454</v>
      </c>
      <c r="FH12" t="s">
        <v>642</v>
      </c>
      <c r="FI12" t="s">
        <v>1454</v>
      </c>
      <c r="FK12" t="s">
        <v>1454</v>
      </c>
      <c r="FL12" t="s">
        <v>643</v>
      </c>
      <c r="FM12" t="s">
        <v>1454</v>
      </c>
      <c r="FO12" t="s">
        <v>1454</v>
      </c>
      <c r="FP12" t="s">
        <v>602</v>
      </c>
      <c r="FQ12" t="s">
        <v>1454</v>
      </c>
      <c r="FS12" t="s">
        <v>1454</v>
      </c>
      <c r="FT12" t="s">
        <v>644</v>
      </c>
      <c r="FU12" t="s">
        <v>1454</v>
      </c>
      <c r="FW12" t="s">
        <v>1454</v>
      </c>
      <c r="FX12" t="s">
        <v>645</v>
      </c>
      <c r="FY12" t="s">
        <v>1454</v>
      </c>
      <c r="GA12" t="s">
        <v>1454</v>
      </c>
      <c r="GB12" t="s">
        <v>646</v>
      </c>
      <c r="GC12" t="s">
        <v>1454</v>
      </c>
      <c r="GE12" t="s">
        <v>1454</v>
      </c>
      <c r="GF12" t="s">
        <v>647</v>
      </c>
      <c r="GG12" t="s">
        <v>1454</v>
      </c>
      <c r="GI12" t="s">
        <v>1454</v>
      </c>
      <c r="GJ12" t="s">
        <v>648</v>
      </c>
      <c r="GK12" t="s">
        <v>1454</v>
      </c>
      <c r="GM12" t="s">
        <v>1454</v>
      </c>
      <c r="GN12" t="s">
        <v>1454</v>
      </c>
      <c r="GO12" t="s">
        <v>1454</v>
      </c>
      <c r="GQ12" t="s">
        <v>1473</v>
      </c>
      <c r="GR12" t="s">
        <v>1474</v>
      </c>
      <c r="GS12" t="s">
        <v>1454</v>
      </c>
    </row>
    <row r="13" spans="1:201" x14ac:dyDescent="0.25">
      <c r="B13" t="s">
        <v>408</v>
      </c>
      <c r="C13" t="s">
        <v>1454</v>
      </c>
      <c r="D13" t="s">
        <v>1454</v>
      </c>
      <c r="E13" t="s">
        <v>1454</v>
      </c>
      <c r="G13" t="s">
        <v>1454</v>
      </c>
      <c r="H13" t="s">
        <v>1454</v>
      </c>
      <c r="I13" t="s">
        <v>1454</v>
      </c>
      <c r="K13" t="s">
        <v>1454</v>
      </c>
      <c r="L13" t="s">
        <v>1454</v>
      </c>
      <c r="M13" t="s">
        <v>1454</v>
      </c>
      <c r="O13" t="s">
        <v>1454</v>
      </c>
      <c r="P13" t="s">
        <v>1454</v>
      </c>
      <c r="Q13" t="s">
        <v>1454</v>
      </c>
      <c r="S13" t="s">
        <v>1454</v>
      </c>
      <c r="T13" t="s">
        <v>1454</v>
      </c>
      <c r="U13" t="s">
        <v>1454</v>
      </c>
      <c r="W13" t="s">
        <v>1454</v>
      </c>
      <c r="X13" t="s">
        <v>1454</v>
      </c>
      <c r="Y13" t="s">
        <v>1454</v>
      </c>
      <c r="AA13" t="s">
        <v>1454</v>
      </c>
      <c r="AB13" t="s">
        <v>1454</v>
      </c>
      <c r="AC13" t="s">
        <v>1454</v>
      </c>
      <c r="AE13" t="s">
        <v>1454</v>
      </c>
      <c r="AF13" t="s">
        <v>1454</v>
      </c>
      <c r="AG13" t="s">
        <v>1454</v>
      </c>
      <c r="AI13" t="s">
        <v>1454</v>
      </c>
      <c r="AJ13" t="s">
        <v>1454</v>
      </c>
      <c r="AK13" t="s">
        <v>1454</v>
      </c>
      <c r="AM13" t="s">
        <v>1454</v>
      </c>
      <c r="AN13" t="s">
        <v>1454</v>
      </c>
      <c r="AO13" t="s">
        <v>1454</v>
      </c>
      <c r="AQ13" t="s">
        <v>1454</v>
      </c>
      <c r="AR13" t="s">
        <v>1454</v>
      </c>
      <c r="AS13" t="s">
        <v>1454</v>
      </c>
      <c r="AU13" t="s">
        <v>1454</v>
      </c>
      <c r="AV13" t="s">
        <v>1454</v>
      </c>
      <c r="AW13" t="s">
        <v>1454</v>
      </c>
      <c r="AY13" t="s">
        <v>1454</v>
      </c>
      <c r="AZ13" t="s">
        <v>1454</v>
      </c>
      <c r="BA13" t="s">
        <v>1454</v>
      </c>
      <c r="BC13" t="s">
        <v>1454</v>
      </c>
      <c r="BD13" t="s">
        <v>1454</v>
      </c>
      <c r="BE13" t="s">
        <v>1454</v>
      </c>
      <c r="BG13" t="s">
        <v>1454</v>
      </c>
      <c r="BH13" t="s">
        <v>1454</v>
      </c>
      <c r="BI13" t="s">
        <v>1454</v>
      </c>
      <c r="BK13" t="s">
        <v>1454</v>
      </c>
      <c r="BL13" t="s">
        <v>1454</v>
      </c>
      <c r="BM13" t="s">
        <v>1454</v>
      </c>
      <c r="BO13" t="s">
        <v>1454</v>
      </c>
      <c r="BP13" t="s">
        <v>1454</v>
      </c>
      <c r="BQ13" t="s">
        <v>1454</v>
      </c>
      <c r="BS13" t="s">
        <v>1454</v>
      </c>
      <c r="BT13" t="s">
        <v>1454</v>
      </c>
      <c r="BU13" t="s">
        <v>1454</v>
      </c>
      <c r="BW13" t="s">
        <v>1454</v>
      </c>
      <c r="BX13" t="s">
        <v>1454</v>
      </c>
      <c r="BY13" t="s">
        <v>1454</v>
      </c>
      <c r="CA13" t="s">
        <v>1454</v>
      </c>
      <c r="CB13" t="s">
        <v>1454</v>
      </c>
      <c r="CC13" t="s">
        <v>1454</v>
      </c>
      <c r="CE13" t="s">
        <v>1454</v>
      </c>
      <c r="CF13" t="s">
        <v>1454</v>
      </c>
      <c r="CG13" t="s">
        <v>1454</v>
      </c>
      <c r="CI13" t="s">
        <v>1454</v>
      </c>
      <c r="CJ13" t="s">
        <v>1454</v>
      </c>
      <c r="CK13" t="s">
        <v>1454</v>
      </c>
      <c r="CM13" t="s">
        <v>1454</v>
      </c>
      <c r="CN13" t="s">
        <v>1454</v>
      </c>
      <c r="CO13" t="s">
        <v>1454</v>
      </c>
      <c r="CQ13" t="s">
        <v>1454</v>
      </c>
      <c r="CR13" t="s">
        <v>1454</v>
      </c>
      <c r="CS13" t="s">
        <v>1454</v>
      </c>
      <c r="CU13" t="s">
        <v>1454</v>
      </c>
      <c r="CV13" t="s">
        <v>1454</v>
      </c>
      <c r="CW13" t="s">
        <v>1454</v>
      </c>
      <c r="CY13" t="s">
        <v>1454</v>
      </c>
      <c r="CZ13" t="s">
        <v>1454</v>
      </c>
      <c r="DA13" t="s">
        <v>1454</v>
      </c>
      <c r="DC13" t="s">
        <v>628</v>
      </c>
      <c r="DD13" t="s">
        <v>1454</v>
      </c>
      <c r="DE13" t="s">
        <v>1454</v>
      </c>
      <c r="DG13" t="s">
        <v>1454</v>
      </c>
      <c r="DH13" t="s">
        <v>1454</v>
      </c>
      <c r="DI13" t="s">
        <v>1454</v>
      </c>
      <c r="DK13" t="s">
        <v>1454</v>
      </c>
      <c r="DL13" t="s">
        <v>1454</v>
      </c>
      <c r="DM13" t="s">
        <v>1454</v>
      </c>
      <c r="DO13" t="s">
        <v>1454</v>
      </c>
      <c r="DP13" t="s">
        <v>1454</v>
      </c>
      <c r="DQ13" t="s">
        <v>1454</v>
      </c>
      <c r="DS13" t="s">
        <v>1454</v>
      </c>
      <c r="DT13" t="s">
        <v>1454</v>
      </c>
      <c r="DU13" t="s">
        <v>1454</v>
      </c>
      <c r="DW13" t="s">
        <v>1454</v>
      </c>
      <c r="DX13" t="s">
        <v>1454</v>
      </c>
      <c r="DY13" t="s">
        <v>1454</v>
      </c>
      <c r="EA13" t="s">
        <v>1454</v>
      </c>
      <c r="EB13" t="s">
        <v>1454</v>
      </c>
      <c r="EC13" t="s">
        <v>1454</v>
      </c>
      <c r="EE13" t="s">
        <v>1454</v>
      </c>
      <c r="EF13" t="s">
        <v>1454</v>
      </c>
      <c r="EG13" t="s">
        <v>1454</v>
      </c>
      <c r="EI13" t="s">
        <v>1454</v>
      </c>
      <c r="EJ13" t="s">
        <v>1454</v>
      </c>
      <c r="EK13" t="s">
        <v>1454</v>
      </c>
      <c r="EM13" t="s">
        <v>1454</v>
      </c>
      <c r="EN13" t="s">
        <v>1454</v>
      </c>
      <c r="EO13" t="s">
        <v>1454</v>
      </c>
      <c r="EQ13" t="s">
        <v>1454</v>
      </c>
      <c r="ER13" t="s">
        <v>1454</v>
      </c>
      <c r="ES13" t="s">
        <v>1454</v>
      </c>
      <c r="EU13" t="s">
        <v>1454</v>
      </c>
      <c r="EV13" t="s">
        <v>639</v>
      </c>
      <c r="EW13" t="s">
        <v>1454</v>
      </c>
      <c r="EY13" t="s">
        <v>1454</v>
      </c>
      <c r="EZ13" t="s">
        <v>1454</v>
      </c>
      <c r="FA13" t="s">
        <v>1454</v>
      </c>
      <c r="FC13" t="s">
        <v>1454</v>
      </c>
      <c r="FD13" t="s">
        <v>1454</v>
      </c>
      <c r="FE13" t="s">
        <v>1454</v>
      </c>
      <c r="FG13" t="s">
        <v>1454</v>
      </c>
      <c r="FH13" t="s">
        <v>1454</v>
      </c>
      <c r="FI13" t="s">
        <v>1454</v>
      </c>
      <c r="FK13" t="s">
        <v>1454</v>
      </c>
      <c r="FL13" t="s">
        <v>1454</v>
      </c>
      <c r="FM13" t="s">
        <v>1454</v>
      </c>
      <c r="FO13" t="s">
        <v>602</v>
      </c>
      <c r="FP13" t="s">
        <v>1454</v>
      </c>
      <c r="FQ13" t="s">
        <v>1454</v>
      </c>
      <c r="FS13" t="s">
        <v>1454</v>
      </c>
      <c r="FT13" t="s">
        <v>1454</v>
      </c>
      <c r="FU13" t="s">
        <v>1454</v>
      </c>
      <c r="FW13" t="s">
        <v>1454</v>
      </c>
      <c r="FX13" t="s">
        <v>1454</v>
      </c>
      <c r="FY13" t="s">
        <v>1454</v>
      </c>
      <c r="GA13" t="s">
        <v>1454</v>
      </c>
      <c r="GB13" t="s">
        <v>1454</v>
      </c>
      <c r="GC13" t="s">
        <v>1454</v>
      </c>
      <c r="GE13" t="s">
        <v>647</v>
      </c>
      <c r="GF13" t="s">
        <v>1454</v>
      </c>
      <c r="GG13" t="s">
        <v>1454</v>
      </c>
      <c r="GI13" t="s">
        <v>1454</v>
      </c>
      <c r="GJ13" t="s">
        <v>1454</v>
      </c>
      <c r="GK13" t="s">
        <v>1454</v>
      </c>
      <c r="GM13" t="s">
        <v>1454</v>
      </c>
      <c r="GN13" t="s">
        <v>1454</v>
      </c>
      <c r="GO13" t="s">
        <v>1454</v>
      </c>
      <c r="GQ13" t="s">
        <v>1475</v>
      </c>
      <c r="GR13" t="s">
        <v>1473</v>
      </c>
      <c r="GS13" t="s">
        <v>1454</v>
      </c>
    </row>
    <row r="14" spans="1:201" x14ac:dyDescent="0.25">
      <c r="B14" t="s">
        <v>409</v>
      </c>
      <c r="C14" t="s">
        <v>1454</v>
      </c>
      <c r="D14" t="s">
        <v>1454</v>
      </c>
      <c r="E14" t="s">
        <v>1454</v>
      </c>
      <c r="G14" t="s">
        <v>1454</v>
      </c>
      <c r="H14" t="s">
        <v>1454</v>
      </c>
      <c r="I14" t="s">
        <v>1454</v>
      </c>
      <c r="K14" t="s">
        <v>1454</v>
      </c>
      <c r="L14" t="s">
        <v>1454</v>
      </c>
      <c r="M14" t="s">
        <v>1454</v>
      </c>
      <c r="O14" t="s">
        <v>1454</v>
      </c>
      <c r="P14" t="s">
        <v>1454</v>
      </c>
      <c r="Q14" t="s">
        <v>1454</v>
      </c>
      <c r="S14" t="s">
        <v>1454</v>
      </c>
      <c r="T14" t="s">
        <v>1454</v>
      </c>
      <c r="U14" t="s">
        <v>1454</v>
      </c>
      <c r="W14" t="s">
        <v>1454</v>
      </c>
      <c r="X14" t="s">
        <v>1454</v>
      </c>
      <c r="Y14" t="s">
        <v>1454</v>
      </c>
      <c r="AA14" t="s">
        <v>1454</v>
      </c>
      <c r="AB14" t="s">
        <v>1454</v>
      </c>
      <c r="AC14" t="s">
        <v>1454</v>
      </c>
      <c r="AE14" t="s">
        <v>1454</v>
      </c>
      <c r="AF14" t="s">
        <v>1454</v>
      </c>
      <c r="AG14" t="s">
        <v>1454</v>
      </c>
      <c r="AI14" t="s">
        <v>1454</v>
      </c>
      <c r="AJ14" t="s">
        <v>1454</v>
      </c>
      <c r="AK14" t="s">
        <v>1454</v>
      </c>
      <c r="AM14" t="s">
        <v>1454</v>
      </c>
      <c r="AN14" t="s">
        <v>1454</v>
      </c>
      <c r="AO14" t="s">
        <v>1454</v>
      </c>
      <c r="AQ14" t="s">
        <v>1454</v>
      </c>
      <c r="AR14" t="s">
        <v>1454</v>
      </c>
      <c r="AS14" t="s">
        <v>1454</v>
      </c>
      <c r="AU14" t="s">
        <v>1454</v>
      </c>
      <c r="AV14" t="s">
        <v>1454</v>
      </c>
      <c r="AW14" t="s">
        <v>1454</v>
      </c>
      <c r="AY14" t="s">
        <v>1454</v>
      </c>
      <c r="AZ14" t="s">
        <v>1454</v>
      </c>
      <c r="BA14" t="s">
        <v>1454</v>
      </c>
      <c r="BC14" t="s">
        <v>1454</v>
      </c>
      <c r="BD14" t="s">
        <v>1454</v>
      </c>
      <c r="BE14" t="s">
        <v>1454</v>
      </c>
      <c r="BG14" t="s">
        <v>1454</v>
      </c>
      <c r="BH14" t="s">
        <v>1454</v>
      </c>
      <c r="BI14" t="s">
        <v>1454</v>
      </c>
      <c r="BK14" t="s">
        <v>1454</v>
      </c>
      <c r="BL14" t="s">
        <v>1454</v>
      </c>
      <c r="BM14" t="s">
        <v>1454</v>
      </c>
      <c r="BO14" t="s">
        <v>1454</v>
      </c>
      <c r="BP14" t="s">
        <v>1454</v>
      </c>
      <c r="BQ14" t="s">
        <v>1454</v>
      </c>
      <c r="BS14" t="s">
        <v>1454</v>
      </c>
      <c r="BT14" t="s">
        <v>1454</v>
      </c>
      <c r="BU14" t="s">
        <v>1454</v>
      </c>
      <c r="BW14" t="s">
        <v>1454</v>
      </c>
      <c r="BX14" t="s">
        <v>1454</v>
      </c>
      <c r="BY14" t="s">
        <v>1454</v>
      </c>
      <c r="CA14" t="s">
        <v>1454</v>
      </c>
      <c r="CB14" t="s">
        <v>1454</v>
      </c>
      <c r="CC14" t="s">
        <v>1454</v>
      </c>
      <c r="CE14" t="s">
        <v>1454</v>
      </c>
      <c r="CF14" t="s">
        <v>1454</v>
      </c>
      <c r="CG14" t="s">
        <v>1454</v>
      </c>
      <c r="CI14" t="s">
        <v>1454</v>
      </c>
      <c r="CJ14" t="s">
        <v>1454</v>
      </c>
      <c r="CK14" t="s">
        <v>1454</v>
      </c>
      <c r="CM14" t="s">
        <v>1454</v>
      </c>
      <c r="CN14" t="s">
        <v>1454</v>
      </c>
      <c r="CO14" t="s">
        <v>1454</v>
      </c>
      <c r="CQ14" t="s">
        <v>1454</v>
      </c>
      <c r="CR14" t="s">
        <v>1454</v>
      </c>
      <c r="CS14" t="s">
        <v>1454</v>
      </c>
      <c r="CU14" t="s">
        <v>1454</v>
      </c>
      <c r="CV14" t="s">
        <v>1454</v>
      </c>
      <c r="CW14" t="s">
        <v>1454</v>
      </c>
      <c r="CY14" t="s">
        <v>1454</v>
      </c>
      <c r="CZ14" t="s">
        <v>1454</v>
      </c>
      <c r="DA14" t="s">
        <v>1454</v>
      </c>
      <c r="DC14" t="s">
        <v>1454</v>
      </c>
      <c r="DD14" t="s">
        <v>1454</v>
      </c>
      <c r="DE14" t="s">
        <v>1454</v>
      </c>
      <c r="DG14" t="s">
        <v>1454</v>
      </c>
      <c r="DH14" t="s">
        <v>1454</v>
      </c>
      <c r="DI14" t="s">
        <v>1454</v>
      </c>
      <c r="DK14" t="s">
        <v>1454</v>
      </c>
      <c r="DL14" t="s">
        <v>1454</v>
      </c>
      <c r="DM14" t="s">
        <v>1454</v>
      </c>
      <c r="DO14" t="s">
        <v>1454</v>
      </c>
      <c r="DP14" t="s">
        <v>1454</v>
      </c>
      <c r="DQ14" t="s">
        <v>1454</v>
      </c>
      <c r="DS14" t="s">
        <v>1454</v>
      </c>
      <c r="DT14" t="s">
        <v>1454</v>
      </c>
      <c r="DU14" t="s">
        <v>1454</v>
      </c>
      <c r="DW14" t="s">
        <v>1454</v>
      </c>
      <c r="DX14" t="s">
        <v>1454</v>
      </c>
      <c r="DY14" t="s">
        <v>1454</v>
      </c>
      <c r="EA14" t="s">
        <v>1454</v>
      </c>
      <c r="EB14" t="s">
        <v>1454</v>
      </c>
      <c r="EC14" t="s">
        <v>1454</v>
      </c>
      <c r="EE14" t="s">
        <v>1454</v>
      </c>
      <c r="EF14" t="s">
        <v>1454</v>
      </c>
      <c r="EG14" t="s">
        <v>1454</v>
      </c>
      <c r="EI14" t="s">
        <v>1454</v>
      </c>
      <c r="EJ14" t="s">
        <v>1454</v>
      </c>
      <c r="EK14" t="s">
        <v>1454</v>
      </c>
      <c r="EM14" t="s">
        <v>1454</v>
      </c>
      <c r="EN14" t="s">
        <v>1454</v>
      </c>
      <c r="EO14" t="s">
        <v>1454</v>
      </c>
      <c r="EQ14" t="s">
        <v>1454</v>
      </c>
      <c r="ER14" t="s">
        <v>1454</v>
      </c>
      <c r="ES14" t="s">
        <v>1454</v>
      </c>
      <c r="EU14" t="s">
        <v>1454</v>
      </c>
      <c r="EV14" t="s">
        <v>1454</v>
      </c>
      <c r="EW14" t="s">
        <v>1454</v>
      </c>
      <c r="EY14" t="s">
        <v>640</v>
      </c>
      <c r="EZ14" t="s">
        <v>1454</v>
      </c>
      <c r="FA14" t="s">
        <v>1454</v>
      </c>
      <c r="FC14" t="s">
        <v>1454</v>
      </c>
      <c r="FD14" t="s">
        <v>1454</v>
      </c>
      <c r="FE14" t="s">
        <v>1454</v>
      </c>
      <c r="FG14" t="s">
        <v>1454</v>
      </c>
      <c r="FH14" t="s">
        <v>1454</v>
      </c>
      <c r="FI14" t="s">
        <v>1454</v>
      </c>
      <c r="FK14" t="s">
        <v>1454</v>
      </c>
      <c r="FL14" t="s">
        <v>1454</v>
      </c>
      <c r="FM14" t="s">
        <v>1454</v>
      </c>
      <c r="FO14" t="s">
        <v>1454</v>
      </c>
      <c r="FP14" t="s">
        <v>602</v>
      </c>
      <c r="FQ14" t="s">
        <v>1454</v>
      </c>
      <c r="FS14" t="s">
        <v>1454</v>
      </c>
      <c r="FT14" t="s">
        <v>1454</v>
      </c>
      <c r="FU14" t="s">
        <v>1454</v>
      </c>
      <c r="FW14" t="s">
        <v>1454</v>
      </c>
      <c r="FX14" t="s">
        <v>1454</v>
      </c>
      <c r="FY14" t="s">
        <v>1454</v>
      </c>
      <c r="GA14" t="s">
        <v>1454</v>
      </c>
      <c r="GB14" t="s">
        <v>1454</v>
      </c>
      <c r="GC14" t="s">
        <v>1454</v>
      </c>
      <c r="GE14" t="s">
        <v>1454</v>
      </c>
      <c r="GF14" t="s">
        <v>1454</v>
      </c>
      <c r="GG14" t="s">
        <v>1454</v>
      </c>
      <c r="GI14" t="s">
        <v>1454</v>
      </c>
      <c r="GJ14" t="s">
        <v>1454</v>
      </c>
      <c r="GK14" t="s">
        <v>1454</v>
      </c>
      <c r="GM14" t="s">
        <v>1454</v>
      </c>
      <c r="GN14" t="s">
        <v>1454</v>
      </c>
      <c r="GO14" t="s">
        <v>1454</v>
      </c>
      <c r="GQ14" t="s">
        <v>1476</v>
      </c>
      <c r="GR14" t="s">
        <v>1477</v>
      </c>
      <c r="GS14" t="s">
        <v>1454</v>
      </c>
    </row>
    <row r="15" spans="1:201" s="11" customFormat="1" x14ac:dyDescent="0.25">
      <c r="B15" t="s">
        <v>410</v>
      </c>
      <c r="C15" t="s">
        <v>1454</v>
      </c>
      <c r="D15" t="s">
        <v>1454</v>
      </c>
      <c r="E15" t="s">
        <v>1454</v>
      </c>
      <c r="F15"/>
      <c r="G15" t="s">
        <v>1454</v>
      </c>
      <c r="H15" t="s">
        <v>1454</v>
      </c>
      <c r="I15" t="s">
        <v>1454</v>
      </c>
      <c r="J15"/>
      <c r="K15" t="s">
        <v>1454</v>
      </c>
      <c r="L15" t="s">
        <v>1454</v>
      </c>
      <c r="M15" t="s">
        <v>1454</v>
      </c>
      <c r="N15"/>
      <c r="O15" t="s">
        <v>1454</v>
      </c>
      <c r="P15" t="s">
        <v>1454</v>
      </c>
      <c r="Q15" t="s">
        <v>1454</v>
      </c>
      <c r="R15"/>
      <c r="S15" t="s">
        <v>1454</v>
      </c>
      <c r="T15" t="s">
        <v>1454</v>
      </c>
      <c r="U15" t="s">
        <v>1454</v>
      </c>
      <c r="V15"/>
      <c r="W15" t="s">
        <v>1454</v>
      </c>
      <c r="X15" t="s">
        <v>1454</v>
      </c>
      <c r="Y15" t="s">
        <v>1454</v>
      </c>
      <c r="Z15"/>
      <c r="AA15" t="s">
        <v>1454</v>
      </c>
      <c r="AB15" t="s">
        <v>1454</v>
      </c>
      <c r="AC15" t="s">
        <v>1454</v>
      </c>
      <c r="AD15"/>
      <c r="AE15" t="s">
        <v>1454</v>
      </c>
      <c r="AF15" t="s">
        <v>1454</v>
      </c>
      <c r="AG15" t="s">
        <v>1454</v>
      </c>
      <c r="AH15"/>
      <c r="AI15" t="s">
        <v>1454</v>
      </c>
      <c r="AJ15" t="s">
        <v>1454</v>
      </c>
      <c r="AK15" t="s">
        <v>1454</v>
      </c>
      <c r="AL15"/>
      <c r="AM15" t="s">
        <v>1454</v>
      </c>
      <c r="AN15" t="s">
        <v>1454</v>
      </c>
      <c r="AO15" t="s">
        <v>1454</v>
      </c>
      <c r="AP15"/>
      <c r="AQ15" t="s">
        <v>1454</v>
      </c>
      <c r="AR15" t="s">
        <v>1454</v>
      </c>
      <c r="AS15" t="s">
        <v>1454</v>
      </c>
      <c r="AT15"/>
      <c r="AU15" t="s">
        <v>1454</v>
      </c>
      <c r="AV15" t="s">
        <v>1454</v>
      </c>
      <c r="AW15" t="s">
        <v>1454</v>
      </c>
      <c r="AX15"/>
      <c r="AY15" t="s">
        <v>1454</v>
      </c>
      <c r="AZ15" t="s">
        <v>1454</v>
      </c>
      <c r="BA15" t="s">
        <v>1454</v>
      </c>
      <c r="BB15"/>
      <c r="BC15" t="s">
        <v>1454</v>
      </c>
      <c r="BD15" t="s">
        <v>1454</v>
      </c>
      <c r="BE15" t="s">
        <v>1454</v>
      </c>
      <c r="BF15"/>
      <c r="BG15" t="s">
        <v>1454</v>
      </c>
      <c r="BH15" t="s">
        <v>1454</v>
      </c>
      <c r="BI15" t="s">
        <v>1454</v>
      </c>
      <c r="BJ15"/>
      <c r="BK15" t="s">
        <v>1454</v>
      </c>
      <c r="BL15" t="s">
        <v>1454</v>
      </c>
      <c r="BM15" t="s">
        <v>1454</v>
      </c>
      <c r="BN15"/>
      <c r="BO15" t="s">
        <v>1454</v>
      </c>
      <c r="BP15" t="s">
        <v>1454</v>
      </c>
      <c r="BQ15" t="s">
        <v>1454</v>
      </c>
      <c r="BR15"/>
      <c r="BS15" t="s">
        <v>1454</v>
      </c>
      <c r="BT15" t="s">
        <v>1454</v>
      </c>
      <c r="BU15" t="s">
        <v>1454</v>
      </c>
      <c r="BV15"/>
      <c r="BW15" t="s">
        <v>1454</v>
      </c>
      <c r="BX15" t="s">
        <v>1454</v>
      </c>
      <c r="BY15" t="s">
        <v>1454</v>
      </c>
      <c r="BZ15"/>
      <c r="CA15" t="s">
        <v>1454</v>
      </c>
      <c r="CB15" t="s">
        <v>1454</v>
      </c>
      <c r="CC15" t="s">
        <v>1454</v>
      </c>
      <c r="CD15"/>
      <c r="CE15" t="s">
        <v>1454</v>
      </c>
      <c r="CF15" t="s">
        <v>1454</v>
      </c>
      <c r="CG15" t="s">
        <v>1454</v>
      </c>
      <c r="CH15"/>
      <c r="CI15" t="s">
        <v>1454</v>
      </c>
      <c r="CJ15" t="s">
        <v>1454</v>
      </c>
      <c r="CK15" t="s">
        <v>1454</v>
      </c>
      <c r="CL15"/>
      <c r="CM15" t="s">
        <v>1454</v>
      </c>
      <c r="CN15" t="s">
        <v>1454</v>
      </c>
      <c r="CO15" t="s">
        <v>1454</v>
      </c>
      <c r="CP15"/>
      <c r="CQ15" t="s">
        <v>1454</v>
      </c>
      <c r="CR15" t="s">
        <v>1454</v>
      </c>
      <c r="CS15" t="s">
        <v>1454</v>
      </c>
      <c r="CT15"/>
      <c r="CU15" t="s">
        <v>1454</v>
      </c>
      <c r="CV15" t="s">
        <v>1454</v>
      </c>
      <c r="CW15" t="s">
        <v>1454</v>
      </c>
      <c r="CX15"/>
      <c r="CY15" t="s">
        <v>1454</v>
      </c>
      <c r="CZ15" t="s">
        <v>1454</v>
      </c>
      <c r="DA15" t="s">
        <v>1454</v>
      </c>
      <c r="DB15"/>
      <c r="DC15" t="s">
        <v>1454</v>
      </c>
      <c r="DD15" t="s">
        <v>1454</v>
      </c>
      <c r="DE15" t="s">
        <v>1454</v>
      </c>
      <c r="DF15"/>
      <c r="DG15" t="s">
        <v>1454</v>
      </c>
      <c r="DH15" t="s">
        <v>1454</v>
      </c>
      <c r="DI15" t="s">
        <v>1454</v>
      </c>
      <c r="DJ15"/>
      <c r="DK15" t="s">
        <v>1454</v>
      </c>
      <c r="DL15" t="s">
        <v>1454</v>
      </c>
      <c r="DM15" t="s">
        <v>1454</v>
      </c>
      <c r="DN15"/>
      <c r="DO15" t="s">
        <v>1454</v>
      </c>
      <c r="DP15" t="s">
        <v>1454</v>
      </c>
      <c r="DQ15" t="s">
        <v>1454</v>
      </c>
      <c r="DR15"/>
      <c r="DS15" t="s">
        <v>1454</v>
      </c>
      <c r="DT15" t="s">
        <v>1454</v>
      </c>
      <c r="DU15" t="s">
        <v>1454</v>
      </c>
      <c r="DV15"/>
      <c r="DW15" t="s">
        <v>1454</v>
      </c>
      <c r="DX15" t="s">
        <v>1454</v>
      </c>
      <c r="DY15" t="s">
        <v>1454</v>
      </c>
      <c r="DZ15"/>
      <c r="EA15" t="s">
        <v>1454</v>
      </c>
      <c r="EB15" t="s">
        <v>1454</v>
      </c>
      <c r="EC15" t="s">
        <v>1454</v>
      </c>
      <c r="ED15"/>
      <c r="EE15" t="s">
        <v>1454</v>
      </c>
      <c r="EF15" t="s">
        <v>1454</v>
      </c>
      <c r="EG15" t="s">
        <v>1454</v>
      </c>
      <c r="EH15"/>
      <c r="EI15" t="s">
        <v>1454</v>
      </c>
      <c r="EJ15" t="s">
        <v>1454</v>
      </c>
      <c r="EK15" t="s">
        <v>1454</v>
      </c>
      <c r="EL15"/>
      <c r="EM15" t="s">
        <v>1454</v>
      </c>
      <c r="EN15" t="s">
        <v>1454</v>
      </c>
      <c r="EO15" t="s">
        <v>1454</v>
      </c>
      <c r="EP15"/>
      <c r="EQ15" t="s">
        <v>1454</v>
      </c>
      <c r="ER15" t="s">
        <v>1454</v>
      </c>
      <c r="ES15" t="s">
        <v>1454</v>
      </c>
      <c r="ET15"/>
      <c r="EU15" t="s">
        <v>1454</v>
      </c>
      <c r="EV15" t="s">
        <v>1454</v>
      </c>
      <c r="EW15" t="s">
        <v>1454</v>
      </c>
      <c r="EX15"/>
      <c r="EY15" t="s">
        <v>1454</v>
      </c>
      <c r="EZ15" t="s">
        <v>640</v>
      </c>
      <c r="FA15" t="s">
        <v>1454</v>
      </c>
      <c r="FB15"/>
      <c r="FC15" t="s">
        <v>1454</v>
      </c>
      <c r="FD15" t="s">
        <v>1454</v>
      </c>
      <c r="FE15" t="s">
        <v>1454</v>
      </c>
      <c r="FF15"/>
      <c r="FG15" t="s">
        <v>1454</v>
      </c>
      <c r="FH15" t="s">
        <v>1454</v>
      </c>
      <c r="FI15" t="s">
        <v>1454</v>
      </c>
      <c r="FJ15"/>
      <c r="FK15" t="s">
        <v>1454</v>
      </c>
      <c r="FL15" t="s">
        <v>1454</v>
      </c>
      <c r="FM15" t="s">
        <v>1454</v>
      </c>
      <c r="FN15"/>
      <c r="FO15" t="s">
        <v>1454</v>
      </c>
      <c r="FP15" t="s">
        <v>1454</v>
      </c>
      <c r="FQ15" t="s">
        <v>1454</v>
      </c>
      <c r="FR15"/>
      <c r="FS15" t="s">
        <v>1454</v>
      </c>
      <c r="FT15" t="s">
        <v>1454</v>
      </c>
      <c r="FU15" t="s">
        <v>1454</v>
      </c>
      <c r="FV15"/>
      <c r="FW15" t="s">
        <v>1454</v>
      </c>
      <c r="FX15" t="s">
        <v>1454</v>
      </c>
      <c r="FY15" t="s">
        <v>1454</v>
      </c>
      <c r="FZ15"/>
      <c r="GA15" t="s">
        <v>1454</v>
      </c>
      <c r="GB15" t="s">
        <v>1454</v>
      </c>
      <c r="GC15" t="s">
        <v>1454</v>
      </c>
      <c r="GD15"/>
      <c r="GE15" t="s">
        <v>1454</v>
      </c>
      <c r="GF15" t="s">
        <v>1454</v>
      </c>
      <c r="GG15" t="s">
        <v>1454</v>
      </c>
      <c r="GH15"/>
      <c r="GI15" t="s">
        <v>1454</v>
      </c>
      <c r="GJ15" t="s">
        <v>1454</v>
      </c>
      <c r="GK15" t="s">
        <v>1454</v>
      </c>
      <c r="GL15"/>
      <c r="GM15" t="s">
        <v>649</v>
      </c>
      <c r="GN15" t="s">
        <v>1454</v>
      </c>
      <c r="GO15" t="s">
        <v>1454</v>
      </c>
      <c r="GP15"/>
      <c r="GQ15" t="s">
        <v>649</v>
      </c>
      <c r="GR15" t="s">
        <v>1476</v>
      </c>
      <c r="GS15" t="s">
        <v>1454</v>
      </c>
    </row>
    <row r="16" spans="1:201" x14ac:dyDescent="0.25">
      <c r="B16" t="s">
        <v>411</v>
      </c>
      <c r="C16" t="s">
        <v>1454</v>
      </c>
      <c r="D16" t="s">
        <v>1454</v>
      </c>
      <c r="E16" t="s">
        <v>1454</v>
      </c>
      <c r="G16" t="s">
        <v>1454</v>
      </c>
      <c r="H16" t="s">
        <v>1454</v>
      </c>
      <c r="I16" t="s">
        <v>1454</v>
      </c>
      <c r="K16" t="s">
        <v>1454</v>
      </c>
      <c r="L16" t="s">
        <v>1454</v>
      </c>
      <c r="M16" t="s">
        <v>1454</v>
      </c>
      <c r="O16" t="s">
        <v>1454</v>
      </c>
      <c r="P16" t="s">
        <v>1454</v>
      </c>
      <c r="Q16" t="s">
        <v>1454</v>
      </c>
      <c r="S16" t="s">
        <v>1454</v>
      </c>
      <c r="T16" t="s">
        <v>1454</v>
      </c>
      <c r="U16" t="s">
        <v>1454</v>
      </c>
      <c r="W16" t="s">
        <v>1454</v>
      </c>
      <c r="X16" t="s">
        <v>1454</v>
      </c>
      <c r="Y16" t="s">
        <v>1454</v>
      </c>
      <c r="AA16" t="s">
        <v>1454</v>
      </c>
      <c r="AB16" t="s">
        <v>1454</v>
      </c>
      <c r="AC16" t="s">
        <v>1454</v>
      </c>
      <c r="AE16" t="s">
        <v>1454</v>
      </c>
      <c r="AF16" t="s">
        <v>1454</v>
      </c>
      <c r="AG16" t="s">
        <v>1454</v>
      </c>
      <c r="AI16" t="s">
        <v>1454</v>
      </c>
      <c r="AJ16" t="s">
        <v>1454</v>
      </c>
      <c r="AK16" t="s">
        <v>1454</v>
      </c>
      <c r="AM16" t="s">
        <v>1454</v>
      </c>
      <c r="AN16" t="s">
        <v>1454</v>
      </c>
      <c r="AO16" t="s">
        <v>1454</v>
      </c>
      <c r="AQ16" t="s">
        <v>1454</v>
      </c>
      <c r="AR16" t="s">
        <v>1454</v>
      </c>
      <c r="AS16" t="s">
        <v>1454</v>
      </c>
      <c r="AU16" t="s">
        <v>1454</v>
      </c>
      <c r="AV16" t="s">
        <v>1454</v>
      </c>
      <c r="AW16" t="s">
        <v>1454</v>
      </c>
      <c r="AY16" t="s">
        <v>1454</v>
      </c>
      <c r="AZ16" t="s">
        <v>1454</v>
      </c>
      <c r="BA16" t="s">
        <v>1454</v>
      </c>
      <c r="BC16" t="s">
        <v>1454</v>
      </c>
      <c r="BD16" t="s">
        <v>1454</v>
      </c>
      <c r="BE16" t="s">
        <v>1454</v>
      </c>
      <c r="BG16" t="s">
        <v>1454</v>
      </c>
      <c r="BH16" t="s">
        <v>1454</v>
      </c>
      <c r="BI16" t="s">
        <v>1454</v>
      </c>
      <c r="BK16" t="s">
        <v>1454</v>
      </c>
      <c r="BL16" t="s">
        <v>1454</v>
      </c>
      <c r="BM16" t="s">
        <v>1454</v>
      </c>
      <c r="BO16" t="s">
        <v>1454</v>
      </c>
      <c r="BP16" t="s">
        <v>1454</v>
      </c>
      <c r="BQ16" t="s">
        <v>1454</v>
      </c>
      <c r="BS16" t="s">
        <v>1454</v>
      </c>
      <c r="BT16" t="s">
        <v>1454</v>
      </c>
      <c r="BU16" t="s">
        <v>1454</v>
      </c>
      <c r="BW16" t="s">
        <v>1454</v>
      </c>
      <c r="BX16" t="s">
        <v>1454</v>
      </c>
      <c r="BY16" t="s">
        <v>1454</v>
      </c>
      <c r="CA16" t="s">
        <v>1454</v>
      </c>
      <c r="CB16" t="s">
        <v>1454</v>
      </c>
      <c r="CC16" t="s">
        <v>1454</v>
      </c>
      <c r="CE16" t="s">
        <v>1454</v>
      </c>
      <c r="CF16" t="s">
        <v>1454</v>
      </c>
      <c r="CG16" t="s">
        <v>1454</v>
      </c>
      <c r="CI16" t="s">
        <v>1454</v>
      </c>
      <c r="CJ16" t="s">
        <v>1454</v>
      </c>
      <c r="CK16" t="s">
        <v>1454</v>
      </c>
      <c r="CM16" t="s">
        <v>1454</v>
      </c>
      <c r="CN16" t="s">
        <v>1454</v>
      </c>
      <c r="CO16" t="s">
        <v>1454</v>
      </c>
      <c r="CQ16" t="s">
        <v>1454</v>
      </c>
      <c r="CR16" t="s">
        <v>1454</v>
      </c>
      <c r="CS16" t="s">
        <v>1454</v>
      </c>
      <c r="CU16" t="s">
        <v>1454</v>
      </c>
      <c r="CV16" t="s">
        <v>1454</v>
      </c>
      <c r="CW16" t="s">
        <v>1454</v>
      </c>
      <c r="CY16" t="s">
        <v>1454</v>
      </c>
      <c r="CZ16" t="s">
        <v>1454</v>
      </c>
      <c r="DA16" t="s">
        <v>1454</v>
      </c>
      <c r="DC16" t="s">
        <v>1454</v>
      </c>
      <c r="DD16" t="s">
        <v>1454</v>
      </c>
      <c r="DE16" t="s">
        <v>1454</v>
      </c>
      <c r="DG16" t="s">
        <v>1454</v>
      </c>
      <c r="DH16" t="s">
        <v>1454</v>
      </c>
      <c r="DI16" t="s">
        <v>1454</v>
      </c>
      <c r="DK16" t="s">
        <v>1454</v>
      </c>
      <c r="DL16" t="s">
        <v>1454</v>
      </c>
      <c r="DM16" t="s">
        <v>1454</v>
      </c>
      <c r="DO16" t="s">
        <v>1454</v>
      </c>
      <c r="DP16" t="s">
        <v>1454</v>
      </c>
      <c r="DQ16" t="s">
        <v>1454</v>
      </c>
      <c r="DS16" t="s">
        <v>1454</v>
      </c>
      <c r="DT16" t="s">
        <v>1454</v>
      </c>
      <c r="DU16" t="s">
        <v>1454</v>
      </c>
      <c r="DW16" t="s">
        <v>1454</v>
      </c>
      <c r="DX16" t="s">
        <v>1454</v>
      </c>
      <c r="DY16" t="s">
        <v>1454</v>
      </c>
      <c r="EA16" t="s">
        <v>1454</v>
      </c>
      <c r="EB16" t="s">
        <v>1454</v>
      </c>
      <c r="EC16" t="s">
        <v>1454</v>
      </c>
      <c r="EE16" t="s">
        <v>1454</v>
      </c>
      <c r="EF16" t="s">
        <v>1454</v>
      </c>
      <c r="EG16" t="s">
        <v>1454</v>
      </c>
      <c r="EI16" t="s">
        <v>1454</v>
      </c>
      <c r="EJ16" t="s">
        <v>1454</v>
      </c>
      <c r="EK16" t="s">
        <v>1454</v>
      </c>
      <c r="EM16" t="s">
        <v>1454</v>
      </c>
      <c r="EN16" t="s">
        <v>1454</v>
      </c>
      <c r="EO16" t="s">
        <v>1454</v>
      </c>
      <c r="EQ16" t="s">
        <v>1454</v>
      </c>
      <c r="ER16" t="s">
        <v>1454</v>
      </c>
      <c r="ES16" t="s">
        <v>1454</v>
      </c>
      <c r="EU16" t="s">
        <v>1454</v>
      </c>
      <c r="EV16" t="s">
        <v>1454</v>
      </c>
      <c r="EW16" t="s">
        <v>1454</v>
      </c>
      <c r="EY16" t="s">
        <v>1454</v>
      </c>
      <c r="EZ16" t="s">
        <v>1454</v>
      </c>
      <c r="FA16" t="s">
        <v>1454</v>
      </c>
      <c r="FC16" t="s">
        <v>1454</v>
      </c>
      <c r="FD16" t="s">
        <v>1454</v>
      </c>
      <c r="FE16" t="s">
        <v>1454</v>
      </c>
      <c r="FG16" t="s">
        <v>1454</v>
      </c>
      <c r="FH16" t="s">
        <v>1454</v>
      </c>
      <c r="FI16" t="s">
        <v>1454</v>
      </c>
      <c r="FK16" t="s">
        <v>1454</v>
      </c>
      <c r="FL16" t="s">
        <v>1454</v>
      </c>
      <c r="FM16" t="s">
        <v>1454</v>
      </c>
      <c r="FO16" t="s">
        <v>1454</v>
      </c>
      <c r="FP16" t="s">
        <v>1454</v>
      </c>
      <c r="FQ16" t="s">
        <v>1454</v>
      </c>
      <c r="FS16" t="s">
        <v>1454</v>
      </c>
      <c r="FT16" t="s">
        <v>1454</v>
      </c>
      <c r="FU16" t="s">
        <v>1454</v>
      </c>
      <c r="FW16" t="s">
        <v>1454</v>
      </c>
      <c r="FX16" t="s">
        <v>1454</v>
      </c>
      <c r="FY16" t="s">
        <v>1454</v>
      </c>
      <c r="GA16" t="s">
        <v>1454</v>
      </c>
      <c r="GB16" t="s">
        <v>1454</v>
      </c>
      <c r="GC16" t="s">
        <v>1454</v>
      </c>
      <c r="GE16" t="s">
        <v>1454</v>
      </c>
      <c r="GF16" t="s">
        <v>1454</v>
      </c>
      <c r="GG16" t="s">
        <v>1454</v>
      </c>
      <c r="GI16" t="s">
        <v>1454</v>
      </c>
      <c r="GJ16" t="s">
        <v>1454</v>
      </c>
      <c r="GK16" t="s">
        <v>1454</v>
      </c>
      <c r="GM16" t="s">
        <v>1454</v>
      </c>
      <c r="GN16" t="s">
        <v>1454</v>
      </c>
      <c r="GO16" t="s">
        <v>649</v>
      </c>
      <c r="GQ16" t="s">
        <v>1454</v>
      </c>
      <c r="GR16" t="s">
        <v>1454</v>
      </c>
      <c r="GS16" t="s">
        <v>649</v>
      </c>
    </row>
    <row r="17" spans="2:201" x14ac:dyDescent="0.25">
      <c r="B17" t="s">
        <v>412</v>
      </c>
      <c r="C17" t="s">
        <v>1454</v>
      </c>
      <c r="D17" t="s">
        <v>1454</v>
      </c>
      <c r="E17" t="s">
        <v>1454</v>
      </c>
      <c r="G17" t="s">
        <v>1454</v>
      </c>
      <c r="H17" t="s">
        <v>1454</v>
      </c>
      <c r="I17" t="s">
        <v>1454</v>
      </c>
      <c r="K17" t="s">
        <v>1454</v>
      </c>
      <c r="L17" t="s">
        <v>1454</v>
      </c>
      <c r="M17" t="s">
        <v>1454</v>
      </c>
      <c r="O17" t="s">
        <v>1454</v>
      </c>
      <c r="P17" t="s">
        <v>1454</v>
      </c>
      <c r="Q17" t="s">
        <v>1454</v>
      </c>
      <c r="S17" t="s">
        <v>1454</v>
      </c>
      <c r="T17" t="s">
        <v>1454</v>
      </c>
      <c r="U17" t="s">
        <v>1454</v>
      </c>
      <c r="W17" t="s">
        <v>1454</v>
      </c>
      <c r="X17" t="s">
        <v>1454</v>
      </c>
      <c r="Y17" t="s">
        <v>1454</v>
      </c>
      <c r="AA17" t="s">
        <v>1454</v>
      </c>
      <c r="AB17" t="s">
        <v>1454</v>
      </c>
      <c r="AC17" t="s">
        <v>1454</v>
      </c>
      <c r="AE17" t="s">
        <v>1454</v>
      </c>
      <c r="AF17" t="s">
        <v>1454</v>
      </c>
      <c r="AG17" t="s">
        <v>1454</v>
      </c>
      <c r="AI17" t="s">
        <v>1454</v>
      </c>
      <c r="AJ17" t="s">
        <v>1454</v>
      </c>
      <c r="AK17" t="s">
        <v>1454</v>
      </c>
      <c r="AM17" t="s">
        <v>1454</v>
      </c>
      <c r="AN17" t="s">
        <v>1454</v>
      </c>
      <c r="AO17" t="s">
        <v>1454</v>
      </c>
      <c r="AQ17" t="s">
        <v>1454</v>
      </c>
      <c r="AR17" t="s">
        <v>1454</v>
      </c>
      <c r="AS17" t="s">
        <v>1454</v>
      </c>
      <c r="AU17" t="s">
        <v>1454</v>
      </c>
      <c r="AV17" t="s">
        <v>1454</v>
      </c>
      <c r="AW17" t="s">
        <v>1454</v>
      </c>
      <c r="AY17" t="s">
        <v>1454</v>
      </c>
      <c r="AZ17" t="s">
        <v>1454</v>
      </c>
      <c r="BA17" t="s">
        <v>1454</v>
      </c>
      <c r="BC17" t="s">
        <v>1454</v>
      </c>
      <c r="BD17" t="s">
        <v>1454</v>
      </c>
      <c r="BE17" t="s">
        <v>1454</v>
      </c>
      <c r="BG17" t="s">
        <v>1454</v>
      </c>
      <c r="BH17" t="s">
        <v>1454</v>
      </c>
      <c r="BI17" t="s">
        <v>1454</v>
      </c>
      <c r="BK17" t="s">
        <v>1454</v>
      </c>
      <c r="BL17" t="s">
        <v>1454</v>
      </c>
      <c r="BM17" t="s">
        <v>1454</v>
      </c>
      <c r="BO17" t="s">
        <v>1454</v>
      </c>
      <c r="BP17" t="s">
        <v>1454</v>
      </c>
      <c r="BQ17" t="s">
        <v>1454</v>
      </c>
      <c r="BS17" t="s">
        <v>1454</v>
      </c>
      <c r="BT17" t="s">
        <v>1454</v>
      </c>
      <c r="BU17" t="s">
        <v>1454</v>
      </c>
      <c r="BW17" t="s">
        <v>1454</v>
      </c>
      <c r="BX17" t="s">
        <v>1454</v>
      </c>
      <c r="BY17" t="s">
        <v>1454</v>
      </c>
      <c r="CA17" t="s">
        <v>1454</v>
      </c>
      <c r="CB17" t="s">
        <v>1454</v>
      </c>
      <c r="CC17" t="s">
        <v>1454</v>
      </c>
      <c r="CE17" t="s">
        <v>1454</v>
      </c>
      <c r="CF17" t="s">
        <v>1454</v>
      </c>
      <c r="CG17" t="s">
        <v>1454</v>
      </c>
      <c r="CI17" t="s">
        <v>1454</v>
      </c>
      <c r="CJ17" t="s">
        <v>1454</v>
      </c>
      <c r="CK17" t="s">
        <v>1454</v>
      </c>
      <c r="CM17" t="s">
        <v>1454</v>
      </c>
      <c r="CN17" t="s">
        <v>1454</v>
      </c>
      <c r="CO17" t="s">
        <v>1454</v>
      </c>
      <c r="CQ17" t="s">
        <v>1454</v>
      </c>
      <c r="CR17" t="s">
        <v>1454</v>
      </c>
      <c r="CS17" t="s">
        <v>1454</v>
      </c>
      <c r="CU17" t="s">
        <v>1454</v>
      </c>
      <c r="CV17" t="s">
        <v>1454</v>
      </c>
      <c r="CW17" t="s">
        <v>1454</v>
      </c>
      <c r="CY17" t="s">
        <v>1454</v>
      </c>
      <c r="CZ17" t="s">
        <v>1454</v>
      </c>
      <c r="DA17" t="s">
        <v>1454</v>
      </c>
      <c r="DC17" t="s">
        <v>1454</v>
      </c>
      <c r="DD17" t="s">
        <v>628</v>
      </c>
      <c r="DE17" t="s">
        <v>1454</v>
      </c>
      <c r="DG17" t="s">
        <v>1454</v>
      </c>
      <c r="DH17" t="s">
        <v>1454</v>
      </c>
      <c r="DI17" t="s">
        <v>1454</v>
      </c>
      <c r="DK17" t="s">
        <v>1454</v>
      </c>
      <c r="DL17" t="s">
        <v>1454</v>
      </c>
      <c r="DM17" t="s">
        <v>1454</v>
      </c>
      <c r="DO17" t="s">
        <v>1454</v>
      </c>
      <c r="DP17" t="s">
        <v>1454</v>
      </c>
      <c r="DQ17" t="s">
        <v>1454</v>
      </c>
      <c r="DS17" t="s">
        <v>1454</v>
      </c>
      <c r="DT17" t="s">
        <v>1454</v>
      </c>
      <c r="DU17" t="s">
        <v>1454</v>
      </c>
      <c r="DW17" t="s">
        <v>1454</v>
      </c>
      <c r="DX17" t="s">
        <v>1454</v>
      </c>
      <c r="DY17" t="s">
        <v>1454</v>
      </c>
      <c r="EA17" t="s">
        <v>1454</v>
      </c>
      <c r="EB17" t="s">
        <v>1454</v>
      </c>
      <c r="EC17" t="s">
        <v>1454</v>
      </c>
      <c r="EE17" t="s">
        <v>1454</v>
      </c>
      <c r="EF17" t="s">
        <v>1454</v>
      </c>
      <c r="EG17" t="s">
        <v>1454</v>
      </c>
      <c r="EI17" t="s">
        <v>1454</v>
      </c>
      <c r="EJ17" t="s">
        <v>1454</v>
      </c>
      <c r="EK17" t="s">
        <v>1454</v>
      </c>
      <c r="EM17" t="s">
        <v>1454</v>
      </c>
      <c r="EN17" t="s">
        <v>1454</v>
      </c>
      <c r="EO17" t="s">
        <v>1454</v>
      </c>
      <c r="EQ17" t="s">
        <v>1454</v>
      </c>
      <c r="ER17" t="s">
        <v>1454</v>
      </c>
      <c r="ES17" t="s">
        <v>1454</v>
      </c>
      <c r="EU17" t="s">
        <v>1454</v>
      </c>
      <c r="EV17" t="s">
        <v>1454</v>
      </c>
      <c r="EW17" t="s">
        <v>1454</v>
      </c>
      <c r="EY17" t="s">
        <v>640</v>
      </c>
      <c r="EZ17" t="s">
        <v>1454</v>
      </c>
      <c r="FA17" t="s">
        <v>1454</v>
      </c>
      <c r="FC17" t="s">
        <v>641</v>
      </c>
      <c r="FD17" t="s">
        <v>1454</v>
      </c>
      <c r="FE17" t="s">
        <v>1454</v>
      </c>
      <c r="FG17" t="s">
        <v>642</v>
      </c>
      <c r="FH17" t="s">
        <v>1454</v>
      </c>
      <c r="FI17" t="s">
        <v>1454</v>
      </c>
      <c r="FK17" t="s">
        <v>643</v>
      </c>
      <c r="FL17" t="s">
        <v>1454</v>
      </c>
      <c r="FM17" t="s">
        <v>1454</v>
      </c>
      <c r="FO17" t="s">
        <v>602</v>
      </c>
      <c r="FP17" t="s">
        <v>1454</v>
      </c>
      <c r="FQ17" t="s">
        <v>1454</v>
      </c>
      <c r="FS17" t="s">
        <v>644</v>
      </c>
      <c r="FT17" t="s">
        <v>1454</v>
      </c>
      <c r="FU17" t="s">
        <v>1454</v>
      </c>
      <c r="FW17" t="s">
        <v>645</v>
      </c>
      <c r="FX17" t="s">
        <v>1454</v>
      </c>
      <c r="FY17" t="s">
        <v>1454</v>
      </c>
      <c r="GA17" t="s">
        <v>646</v>
      </c>
      <c r="GB17" t="s">
        <v>1454</v>
      </c>
      <c r="GC17" t="s">
        <v>1454</v>
      </c>
      <c r="GE17" t="s">
        <v>647</v>
      </c>
      <c r="GF17" t="s">
        <v>1454</v>
      </c>
      <c r="GG17" t="s">
        <v>1454</v>
      </c>
      <c r="GI17" t="s">
        <v>648</v>
      </c>
      <c r="GJ17" t="s">
        <v>1454</v>
      </c>
      <c r="GK17" t="s">
        <v>1454</v>
      </c>
      <c r="GM17" t="s">
        <v>1454</v>
      </c>
      <c r="GN17" t="s">
        <v>1454</v>
      </c>
      <c r="GO17" t="s">
        <v>1454</v>
      </c>
      <c r="GQ17" t="s">
        <v>1478</v>
      </c>
      <c r="GR17" t="s">
        <v>1472</v>
      </c>
      <c r="GS17" t="s">
        <v>1454</v>
      </c>
    </row>
    <row r="18" spans="2:201" x14ac:dyDescent="0.25">
      <c r="B18" t="s">
        <v>413</v>
      </c>
      <c r="C18" t="s">
        <v>1454</v>
      </c>
      <c r="D18" t="s">
        <v>1454</v>
      </c>
      <c r="E18" t="s">
        <v>1454</v>
      </c>
      <c r="G18" t="s">
        <v>1454</v>
      </c>
      <c r="H18" t="s">
        <v>1454</v>
      </c>
      <c r="I18" t="s">
        <v>1454</v>
      </c>
      <c r="K18" t="s">
        <v>1454</v>
      </c>
      <c r="L18" t="s">
        <v>1454</v>
      </c>
      <c r="M18" t="s">
        <v>1454</v>
      </c>
      <c r="O18" t="s">
        <v>1454</v>
      </c>
      <c r="P18" t="s">
        <v>1454</v>
      </c>
      <c r="Q18" t="s">
        <v>1454</v>
      </c>
      <c r="S18" t="s">
        <v>1454</v>
      </c>
      <c r="T18" t="s">
        <v>1454</v>
      </c>
      <c r="U18" t="s">
        <v>1454</v>
      </c>
      <c r="W18" t="s">
        <v>1454</v>
      </c>
      <c r="X18" t="s">
        <v>1454</v>
      </c>
      <c r="Y18" t="s">
        <v>1454</v>
      </c>
      <c r="AA18" t="s">
        <v>1454</v>
      </c>
      <c r="AB18" t="s">
        <v>1454</v>
      </c>
      <c r="AC18" t="s">
        <v>1454</v>
      </c>
      <c r="AE18" t="s">
        <v>1454</v>
      </c>
      <c r="AF18" t="s">
        <v>1454</v>
      </c>
      <c r="AG18" t="s">
        <v>1454</v>
      </c>
      <c r="AI18" t="s">
        <v>1454</v>
      </c>
      <c r="AJ18" t="s">
        <v>1454</v>
      </c>
      <c r="AK18" t="s">
        <v>1454</v>
      </c>
      <c r="AM18" t="s">
        <v>1454</v>
      </c>
      <c r="AN18" t="s">
        <v>1454</v>
      </c>
      <c r="AO18" t="s">
        <v>1454</v>
      </c>
      <c r="AQ18" t="s">
        <v>1454</v>
      </c>
      <c r="AR18" t="s">
        <v>1454</v>
      </c>
      <c r="AS18" t="s">
        <v>1454</v>
      </c>
      <c r="AU18" t="s">
        <v>1454</v>
      </c>
      <c r="AV18" t="s">
        <v>1454</v>
      </c>
      <c r="AW18" t="s">
        <v>1454</v>
      </c>
      <c r="AY18" t="s">
        <v>1454</v>
      </c>
      <c r="AZ18" t="s">
        <v>1454</v>
      </c>
      <c r="BA18" t="s">
        <v>1454</v>
      </c>
      <c r="BC18" t="s">
        <v>1454</v>
      </c>
      <c r="BD18" t="s">
        <v>1454</v>
      </c>
      <c r="BE18" t="s">
        <v>1454</v>
      </c>
      <c r="BG18" t="s">
        <v>1454</v>
      </c>
      <c r="BH18" t="s">
        <v>1454</v>
      </c>
      <c r="BI18" t="s">
        <v>1454</v>
      </c>
      <c r="BK18" t="s">
        <v>1454</v>
      </c>
      <c r="BL18" t="s">
        <v>1454</v>
      </c>
      <c r="BM18" t="s">
        <v>1454</v>
      </c>
      <c r="BO18" t="s">
        <v>1454</v>
      </c>
      <c r="BP18" t="s">
        <v>1454</v>
      </c>
      <c r="BQ18" t="s">
        <v>1454</v>
      </c>
      <c r="BS18" t="s">
        <v>1454</v>
      </c>
      <c r="BT18" t="s">
        <v>1454</v>
      </c>
      <c r="BU18" t="s">
        <v>1454</v>
      </c>
      <c r="BW18" t="s">
        <v>1454</v>
      </c>
      <c r="BX18" t="s">
        <v>1454</v>
      </c>
      <c r="BY18" t="s">
        <v>1454</v>
      </c>
      <c r="CA18" t="s">
        <v>1454</v>
      </c>
      <c r="CB18" t="s">
        <v>1454</v>
      </c>
      <c r="CC18" t="s">
        <v>1454</v>
      </c>
      <c r="CE18" t="s">
        <v>1454</v>
      </c>
      <c r="CF18" t="s">
        <v>1454</v>
      </c>
      <c r="CG18" t="s">
        <v>1454</v>
      </c>
      <c r="CI18" t="s">
        <v>1454</v>
      </c>
      <c r="CJ18" t="s">
        <v>1454</v>
      </c>
      <c r="CK18" t="s">
        <v>1454</v>
      </c>
      <c r="CM18" t="s">
        <v>1454</v>
      </c>
      <c r="CN18" t="s">
        <v>1454</v>
      </c>
      <c r="CO18" t="s">
        <v>1454</v>
      </c>
      <c r="CQ18" t="s">
        <v>1454</v>
      </c>
      <c r="CR18" t="s">
        <v>1454</v>
      </c>
      <c r="CS18" t="s">
        <v>1454</v>
      </c>
      <c r="CU18" t="s">
        <v>1454</v>
      </c>
      <c r="CV18" t="s">
        <v>1454</v>
      </c>
      <c r="CW18" t="s">
        <v>1454</v>
      </c>
      <c r="CY18" t="s">
        <v>1454</v>
      </c>
      <c r="CZ18" t="s">
        <v>1454</v>
      </c>
      <c r="DA18" t="s">
        <v>1454</v>
      </c>
      <c r="DC18" t="s">
        <v>1454</v>
      </c>
      <c r="DD18" t="s">
        <v>1454</v>
      </c>
      <c r="DE18" t="s">
        <v>1454</v>
      </c>
      <c r="DG18" t="s">
        <v>1454</v>
      </c>
      <c r="DH18" t="s">
        <v>1454</v>
      </c>
      <c r="DI18" t="s">
        <v>1454</v>
      </c>
      <c r="DK18" t="s">
        <v>1454</v>
      </c>
      <c r="DL18" t="s">
        <v>1454</v>
      </c>
      <c r="DM18" t="s">
        <v>1454</v>
      </c>
      <c r="DO18" t="s">
        <v>1454</v>
      </c>
      <c r="DP18" t="s">
        <v>1454</v>
      </c>
      <c r="DQ18" t="s">
        <v>1454</v>
      </c>
      <c r="DS18" t="s">
        <v>1454</v>
      </c>
      <c r="DT18" t="s">
        <v>1454</v>
      </c>
      <c r="DU18" t="s">
        <v>1454</v>
      </c>
      <c r="DW18" t="s">
        <v>1454</v>
      </c>
      <c r="DX18" t="s">
        <v>1454</v>
      </c>
      <c r="DY18" t="s">
        <v>1454</v>
      </c>
      <c r="EA18" t="s">
        <v>1454</v>
      </c>
      <c r="EB18" t="s">
        <v>1454</v>
      </c>
      <c r="EC18" t="s">
        <v>1454</v>
      </c>
      <c r="EE18" t="s">
        <v>1454</v>
      </c>
      <c r="EF18" t="s">
        <v>1454</v>
      </c>
      <c r="EG18" t="s">
        <v>1454</v>
      </c>
      <c r="EI18" t="s">
        <v>1454</v>
      </c>
      <c r="EJ18" t="s">
        <v>1454</v>
      </c>
      <c r="EK18" t="s">
        <v>1454</v>
      </c>
      <c r="EM18" t="s">
        <v>1454</v>
      </c>
      <c r="EN18" t="s">
        <v>1454</v>
      </c>
      <c r="EO18" t="s">
        <v>1454</v>
      </c>
      <c r="EQ18" t="s">
        <v>638</v>
      </c>
      <c r="ER18" t="s">
        <v>1454</v>
      </c>
      <c r="ES18" t="s">
        <v>1454</v>
      </c>
      <c r="EU18" t="s">
        <v>1454</v>
      </c>
      <c r="EV18" t="s">
        <v>1454</v>
      </c>
      <c r="EW18" t="s">
        <v>1454</v>
      </c>
      <c r="EY18" t="s">
        <v>1454</v>
      </c>
      <c r="EZ18" t="s">
        <v>640</v>
      </c>
      <c r="FA18" t="s">
        <v>1454</v>
      </c>
      <c r="FC18" t="s">
        <v>1454</v>
      </c>
      <c r="FD18" t="s">
        <v>641</v>
      </c>
      <c r="FE18" t="s">
        <v>1454</v>
      </c>
      <c r="FG18" t="s">
        <v>1454</v>
      </c>
      <c r="FH18" t="s">
        <v>642</v>
      </c>
      <c r="FI18" t="s">
        <v>1454</v>
      </c>
      <c r="FK18" t="s">
        <v>1454</v>
      </c>
      <c r="FL18" t="s">
        <v>643</v>
      </c>
      <c r="FM18" t="s">
        <v>1454</v>
      </c>
      <c r="FO18" t="s">
        <v>1454</v>
      </c>
      <c r="FP18" t="s">
        <v>602</v>
      </c>
      <c r="FQ18" t="s">
        <v>1454</v>
      </c>
      <c r="FS18" t="s">
        <v>1454</v>
      </c>
      <c r="FT18" t="s">
        <v>644</v>
      </c>
      <c r="FU18" t="s">
        <v>1454</v>
      </c>
      <c r="FW18" t="s">
        <v>1454</v>
      </c>
      <c r="FX18" t="s">
        <v>645</v>
      </c>
      <c r="FY18" t="s">
        <v>1454</v>
      </c>
      <c r="GA18" t="s">
        <v>1454</v>
      </c>
      <c r="GB18" t="s">
        <v>646</v>
      </c>
      <c r="GC18" t="s">
        <v>1454</v>
      </c>
      <c r="GE18" t="s">
        <v>1454</v>
      </c>
      <c r="GF18" t="s">
        <v>647</v>
      </c>
      <c r="GG18" t="s">
        <v>1454</v>
      </c>
      <c r="GI18" t="s">
        <v>1454</v>
      </c>
      <c r="GJ18" t="s">
        <v>648</v>
      </c>
      <c r="GK18" t="s">
        <v>1454</v>
      </c>
      <c r="GM18" t="s">
        <v>1454</v>
      </c>
      <c r="GN18" t="s">
        <v>1454</v>
      </c>
      <c r="GO18" t="s">
        <v>1454</v>
      </c>
      <c r="GQ18" t="s">
        <v>1479</v>
      </c>
      <c r="GR18" t="s">
        <v>1478</v>
      </c>
      <c r="GS18" t="s">
        <v>1454</v>
      </c>
    </row>
    <row r="19" spans="2:201" s="11" customFormat="1" x14ac:dyDescent="0.25">
      <c r="B19" t="s">
        <v>414</v>
      </c>
      <c r="C19" t="s">
        <v>1454</v>
      </c>
      <c r="D19" t="s">
        <v>1454</v>
      </c>
      <c r="E19" t="s">
        <v>1454</v>
      </c>
      <c r="F19"/>
      <c r="G19" t="s">
        <v>1454</v>
      </c>
      <c r="H19" t="s">
        <v>1454</v>
      </c>
      <c r="I19" t="s">
        <v>1454</v>
      </c>
      <c r="J19"/>
      <c r="K19" t="s">
        <v>1454</v>
      </c>
      <c r="L19" t="s">
        <v>1454</v>
      </c>
      <c r="M19" t="s">
        <v>1454</v>
      </c>
      <c r="N19"/>
      <c r="O19" t="s">
        <v>1454</v>
      </c>
      <c r="P19" t="s">
        <v>1454</v>
      </c>
      <c r="Q19" t="s">
        <v>1454</v>
      </c>
      <c r="R19"/>
      <c r="S19" t="s">
        <v>1454</v>
      </c>
      <c r="T19" t="s">
        <v>1454</v>
      </c>
      <c r="U19" t="s">
        <v>1454</v>
      </c>
      <c r="V19"/>
      <c r="W19" t="s">
        <v>1454</v>
      </c>
      <c r="X19" t="s">
        <v>1454</v>
      </c>
      <c r="Y19" t="s">
        <v>1454</v>
      </c>
      <c r="Z19"/>
      <c r="AA19" t="s">
        <v>1454</v>
      </c>
      <c r="AB19" t="s">
        <v>1454</v>
      </c>
      <c r="AC19" t="s">
        <v>1454</v>
      </c>
      <c r="AD19"/>
      <c r="AE19" t="s">
        <v>1454</v>
      </c>
      <c r="AF19" t="s">
        <v>1454</v>
      </c>
      <c r="AG19" t="s">
        <v>1454</v>
      </c>
      <c r="AH19"/>
      <c r="AI19" t="s">
        <v>1454</v>
      </c>
      <c r="AJ19" t="s">
        <v>1454</v>
      </c>
      <c r="AK19" t="s">
        <v>1454</v>
      </c>
      <c r="AL19"/>
      <c r="AM19" t="s">
        <v>1454</v>
      </c>
      <c r="AN19" t="s">
        <v>1454</v>
      </c>
      <c r="AO19" t="s">
        <v>1454</v>
      </c>
      <c r="AP19"/>
      <c r="AQ19" t="s">
        <v>1454</v>
      </c>
      <c r="AR19" t="s">
        <v>1454</v>
      </c>
      <c r="AS19" t="s">
        <v>1454</v>
      </c>
      <c r="AT19"/>
      <c r="AU19" t="s">
        <v>1454</v>
      </c>
      <c r="AV19" t="s">
        <v>1454</v>
      </c>
      <c r="AW19" t="s">
        <v>1454</v>
      </c>
      <c r="AX19"/>
      <c r="AY19" t="s">
        <v>1454</v>
      </c>
      <c r="AZ19" t="s">
        <v>1454</v>
      </c>
      <c r="BA19" t="s">
        <v>1454</v>
      </c>
      <c r="BB19"/>
      <c r="BC19" t="s">
        <v>1454</v>
      </c>
      <c r="BD19" t="s">
        <v>1454</v>
      </c>
      <c r="BE19" t="s">
        <v>1454</v>
      </c>
      <c r="BF19"/>
      <c r="BG19" t="s">
        <v>1454</v>
      </c>
      <c r="BH19" t="s">
        <v>1454</v>
      </c>
      <c r="BI19" t="s">
        <v>1454</v>
      </c>
      <c r="BJ19"/>
      <c r="BK19" t="s">
        <v>1454</v>
      </c>
      <c r="BL19" t="s">
        <v>1454</v>
      </c>
      <c r="BM19" t="s">
        <v>1454</v>
      </c>
      <c r="BN19"/>
      <c r="BO19" t="s">
        <v>1454</v>
      </c>
      <c r="BP19" t="s">
        <v>1454</v>
      </c>
      <c r="BQ19" t="s">
        <v>1454</v>
      </c>
      <c r="BR19"/>
      <c r="BS19" t="s">
        <v>1454</v>
      </c>
      <c r="BT19" t="s">
        <v>1454</v>
      </c>
      <c r="BU19" t="s">
        <v>1454</v>
      </c>
      <c r="BV19"/>
      <c r="BW19" t="s">
        <v>1454</v>
      </c>
      <c r="BX19" t="s">
        <v>1454</v>
      </c>
      <c r="BY19" t="s">
        <v>1454</v>
      </c>
      <c r="BZ19"/>
      <c r="CA19" t="s">
        <v>1454</v>
      </c>
      <c r="CB19" t="s">
        <v>1454</v>
      </c>
      <c r="CC19" t="s">
        <v>1454</v>
      </c>
      <c r="CD19"/>
      <c r="CE19" t="s">
        <v>1454</v>
      </c>
      <c r="CF19" t="s">
        <v>1454</v>
      </c>
      <c r="CG19" t="s">
        <v>1454</v>
      </c>
      <c r="CH19"/>
      <c r="CI19" t="s">
        <v>1454</v>
      </c>
      <c r="CJ19" t="s">
        <v>1454</v>
      </c>
      <c r="CK19" t="s">
        <v>1454</v>
      </c>
      <c r="CL19"/>
      <c r="CM19" t="s">
        <v>1454</v>
      </c>
      <c r="CN19" t="s">
        <v>1454</v>
      </c>
      <c r="CO19" t="s">
        <v>1454</v>
      </c>
      <c r="CP19"/>
      <c r="CQ19" t="s">
        <v>1454</v>
      </c>
      <c r="CR19" t="s">
        <v>1454</v>
      </c>
      <c r="CS19" t="s">
        <v>1454</v>
      </c>
      <c r="CT19"/>
      <c r="CU19" t="s">
        <v>1454</v>
      </c>
      <c r="CV19" t="s">
        <v>1454</v>
      </c>
      <c r="CW19" t="s">
        <v>1454</v>
      </c>
      <c r="CX19"/>
      <c r="CY19" t="s">
        <v>1454</v>
      </c>
      <c r="CZ19" t="s">
        <v>1454</v>
      </c>
      <c r="DA19" t="s">
        <v>1454</v>
      </c>
      <c r="DB19"/>
      <c r="DC19" t="s">
        <v>1454</v>
      </c>
      <c r="DD19" t="s">
        <v>1454</v>
      </c>
      <c r="DE19" t="s">
        <v>1454</v>
      </c>
      <c r="DF19"/>
      <c r="DG19" t="s">
        <v>1454</v>
      </c>
      <c r="DH19" t="s">
        <v>1454</v>
      </c>
      <c r="DI19" t="s">
        <v>1454</v>
      </c>
      <c r="DJ19"/>
      <c r="DK19" t="s">
        <v>1454</v>
      </c>
      <c r="DL19" t="s">
        <v>1454</v>
      </c>
      <c r="DM19" t="s">
        <v>1454</v>
      </c>
      <c r="DN19"/>
      <c r="DO19" t="s">
        <v>1454</v>
      </c>
      <c r="DP19" t="s">
        <v>1454</v>
      </c>
      <c r="DQ19" t="s">
        <v>1454</v>
      </c>
      <c r="DR19"/>
      <c r="DS19" t="s">
        <v>1454</v>
      </c>
      <c r="DT19" t="s">
        <v>1454</v>
      </c>
      <c r="DU19" t="s">
        <v>1454</v>
      </c>
      <c r="DV19"/>
      <c r="DW19" t="s">
        <v>633</v>
      </c>
      <c r="DX19" t="s">
        <v>1454</v>
      </c>
      <c r="DY19" t="s">
        <v>1454</v>
      </c>
      <c r="DZ19"/>
      <c r="EA19" t="s">
        <v>634</v>
      </c>
      <c r="EB19" t="s">
        <v>1454</v>
      </c>
      <c r="EC19" t="s">
        <v>1454</v>
      </c>
      <c r="ED19"/>
      <c r="EE19" t="s">
        <v>1454</v>
      </c>
      <c r="EF19" t="s">
        <v>1454</v>
      </c>
      <c r="EG19" t="s">
        <v>1454</v>
      </c>
      <c r="EH19"/>
      <c r="EI19" t="s">
        <v>1454</v>
      </c>
      <c r="EJ19" t="s">
        <v>1454</v>
      </c>
      <c r="EK19" t="s">
        <v>1454</v>
      </c>
      <c r="EL19"/>
      <c r="EM19" t="s">
        <v>1454</v>
      </c>
      <c r="EN19" t="s">
        <v>1454</v>
      </c>
      <c r="EO19" t="s">
        <v>1454</v>
      </c>
      <c r="EP19"/>
      <c r="EQ19" t="s">
        <v>1454</v>
      </c>
      <c r="ER19" t="s">
        <v>638</v>
      </c>
      <c r="ES19" t="s">
        <v>1454</v>
      </c>
      <c r="ET19"/>
      <c r="EU19" t="s">
        <v>639</v>
      </c>
      <c r="EV19" t="s">
        <v>1454</v>
      </c>
      <c r="EW19" t="s">
        <v>1454</v>
      </c>
      <c r="EX19"/>
      <c r="EY19" t="s">
        <v>1454</v>
      </c>
      <c r="EZ19" t="s">
        <v>1454</v>
      </c>
      <c r="FA19" t="s">
        <v>1454</v>
      </c>
      <c r="FB19"/>
      <c r="FC19" t="s">
        <v>1454</v>
      </c>
      <c r="FD19" t="s">
        <v>1454</v>
      </c>
      <c r="FE19" t="s">
        <v>1454</v>
      </c>
      <c r="FF19"/>
      <c r="FG19" t="s">
        <v>1454</v>
      </c>
      <c r="FH19" t="s">
        <v>1454</v>
      </c>
      <c r="FI19" t="s">
        <v>1454</v>
      </c>
      <c r="FJ19"/>
      <c r="FK19" t="s">
        <v>1454</v>
      </c>
      <c r="FL19" t="s">
        <v>1454</v>
      </c>
      <c r="FM19" t="s">
        <v>1454</v>
      </c>
      <c r="FN19"/>
      <c r="FO19" t="s">
        <v>1454</v>
      </c>
      <c r="FP19" t="s">
        <v>1454</v>
      </c>
      <c r="FQ19" t="s">
        <v>1454</v>
      </c>
      <c r="FR19"/>
      <c r="FS19" t="s">
        <v>1454</v>
      </c>
      <c r="FT19" t="s">
        <v>1454</v>
      </c>
      <c r="FU19" t="s">
        <v>1454</v>
      </c>
      <c r="FV19"/>
      <c r="FW19" t="s">
        <v>1454</v>
      </c>
      <c r="FX19" t="s">
        <v>1454</v>
      </c>
      <c r="FY19" t="s">
        <v>1454</v>
      </c>
      <c r="FZ19"/>
      <c r="GA19" t="s">
        <v>646</v>
      </c>
      <c r="GB19" t="s">
        <v>1454</v>
      </c>
      <c r="GC19" t="s">
        <v>1454</v>
      </c>
      <c r="GD19"/>
      <c r="GE19" t="s">
        <v>1454</v>
      </c>
      <c r="GF19" t="s">
        <v>1454</v>
      </c>
      <c r="GG19" t="s">
        <v>1454</v>
      </c>
      <c r="GH19"/>
      <c r="GI19" t="s">
        <v>1454</v>
      </c>
      <c r="GJ19" t="s">
        <v>1454</v>
      </c>
      <c r="GK19" t="s">
        <v>1454</v>
      </c>
      <c r="GL19"/>
      <c r="GM19" t="s">
        <v>1454</v>
      </c>
      <c r="GN19" t="s">
        <v>1454</v>
      </c>
      <c r="GO19" t="s">
        <v>1454</v>
      </c>
      <c r="GP19"/>
      <c r="GQ19" t="s">
        <v>1480</v>
      </c>
      <c r="GR19" t="s">
        <v>1479</v>
      </c>
      <c r="GS19" t="s">
        <v>1454</v>
      </c>
    </row>
    <row r="20" spans="2:201" x14ac:dyDescent="0.25">
      <c r="B20" t="s">
        <v>415</v>
      </c>
      <c r="C20" t="s">
        <v>1454</v>
      </c>
      <c r="D20" t="s">
        <v>1454</v>
      </c>
      <c r="E20" t="s">
        <v>1454</v>
      </c>
      <c r="G20" t="s">
        <v>1454</v>
      </c>
      <c r="H20" t="s">
        <v>1454</v>
      </c>
      <c r="I20" t="s">
        <v>1454</v>
      </c>
      <c r="K20" t="s">
        <v>1454</v>
      </c>
      <c r="L20" t="s">
        <v>1454</v>
      </c>
      <c r="M20" t="s">
        <v>1454</v>
      </c>
      <c r="O20" t="s">
        <v>1454</v>
      </c>
      <c r="P20" t="s">
        <v>1454</v>
      </c>
      <c r="Q20" t="s">
        <v>1454</v>
      </c>
      <c r="S20" t="s">
        <v>1454</v>
      </c>
      <c r="T20" t="s">
        <v>1454</v>
      </c>
      <c r="U20" t="s">
        <v>1454</v>
      </c>
      <c r="W20" t="s">
        <v>1454</v>
      </c>
      <c r="X20" t="s">
        <v>1454</v>
      </c>
      <c r="Y20" t="s">
        <v>1454</v>
      </c>
      <c r="AA20" t="s">
        <v>1454</v>
      </c>
      <c r="AB20" t="s">
        <v>1454</v>
      </c>
      <c r="AC20" t="s">
        <v>1454</v>
      </c>
      <c r="AE20" t="s">
        <v>1454</v>
      </c>
      <c r="AF20" t="s">
        <v>1454</v>
      </c>
      <c r="AG20" t="s">
        <v>1454</v>
      </c>
      <c r="AI20" t="s">
        <v>1454</v>
      </c>
      <c r="AJ20" t="s">
        <v>1454</v>
      </c>
      <c r="AK20" t="s">
        <v>1454</v>
      </c>
      <c r="AM20" t="s">
        <v>1454</v>
      </c>
      <c r="AN20" t="s">
        <v>1454</v>
      </c>
      <c r="AO20" t="s">
        <v>1454</v>
      </c>
      <c r="AQ20" t="s">
        <v>1454</v>
      </c>
      <c r="AR20" t="s">
        <v>1454</v>
      </c>
      <c r="AS20" t="s">
        <v>1454</v>
      </c>
      <c r="AU20" t="s">
        <v>1454</v>
      </c>
      <c r="AV20" t="s">
        <v>1454</v>
      </c>
      <c r="AW20" t="s">
        <v>1454</v>
      </c>
      <c r="AY20" t="s">
        <v>1454</v>
      </c>
      <c r="AZ20" t="s">
        <v>1454</v>
      </c>
      <c r="BA20" t="s">
        <v>1454</v>
      </c>
      <c r="BC20" t="s">
        <v>1454</v>
      </c>
      <c r="BD20" t="s">
        <v>1454</v>
      </c>
      <c r="BE20" t="s">
        <v>1454</v>
      </c>
      <c r="BG20" t="s">
        <v>1454</v>
      </c>
      <c r="BH20" t="s">
        <v>1454</v>
      </c>
      <c r="BI20" t="s">
        <v>1454</v>
      </c>
      <c r="BK20" t="s">
        <v>1454</v>
      </c>
      <c r="BL20" t="s">
        <v>1454</v>
      </c>
      <c r="BM20" t="s">
        <v>1454</v>
      </c>
      <c r="BO20" t="s">
        <v>1454</v>
      </c>
      <c r="BP20" t="s">
        <v>1454</v>
      </c>
      <c r="BQ20" t="s">
        <v>1454</v>
      </c>
      <c r="BS20" t="s">
        <v>1454</v>
      </c>
      <c r="BT20" t="s">
        <v>1454</v>
      </c>
      <c r="BU20" t="s">
        <v>1454</v>
      </c>
      <c r="BW20" t="s">
        <v>1454</v>
      </c>
      <c r="BX20" t="s">
        <v>1454</v>
      </c>
      <c r="BY20" t="s">
        <v>1454</v>
      </c>
      <c r="CA20" t="s">
        <v>1454</v>
      </c>
      <c r="CB20" t="s">
        <v>1454</v>
      </c>
      <c r="CC20" t="s">
        <v>1454</v>
      </c>
      <c r="CE20" t="s">
        <v>1454</v>
      </c>
      <c r="CF20" t="s">
        <v>1454</v>
      </c>
      <c r="CG20" t="s">
        <v>1454</v>
      </c>
      <c r="CI20" t="s">
        <v>1454</v>
      </c>
      <c r="CJ20" t="s">
        <v>1454</v>
      </c>
      <c r="CK20" t="s">
        <v>1454</v>
      </c>
      <c r="CM20" t="s">
        <v>1454</v>
      </c>
      <c r="CN20" t="s">
        <v>1454</v>
      </c>
      <c r="CO20" t="s">
        <v>1454</v>
      </c>
      <c r="CQ20" t="s">
        <v>1454</v>
      </c>
      <c r="CR20" t="s">
        <v>1454</v>
      </c>
      <c r="CS20" t="s">
        <v>1454</v>
      </c>
      <c r="CU20" t="s">
        <v>1454</v>
      </c>
      <c r="CV20" t="s">
        <v>1454</v>
      </c>
      <c r="CW20" t="s">
        <v>1454</v>
      </c>
      <c r="CY20" t="s">
        <v>1454</v>
      </c>
      <c r="CZ20" t="s">
        <v>1454</v>
      </c>
      <c r="DA20" t="s">
        <v>1454</v>
      </c>
      <c r="DC20" t="s">
        <v>1454</v>
      </c>
      <c r="DD20" t="s">
        <v>1454</v>
      </c>
      <c r="DE20" t="s">
        <v>1454</v>
      </c>
      <c r="DG20" t="s">
        <v>1454</v>
      </c>
      <c r="DH20" t="s">
        <v>1454</v>
      </c>
      <c r="DI20" t="s">
        <v>1454</v>
      </c>
      <c r="DK20" t="s">
        <v>1454</v>
      </c>
      <c r="DL20" t="s">
        <v>1454</v>
      </c>
      <c r="DM20" t="s">
        <v>1454</v>
      </c>
      <c r="DO20" t="s">
        <v>1454</v>
      </c>
      <c r="DP20" t="s">
        <v>1454</v>
      </c>
      <c r="DQ20" t="s">
        <v>1454</v>
      </c>
      <c r="DS20" t="s">
        <v>1454</v>
      </c>
      <c r="DT20" t="s">
        <v>1454</v>
      </c>
      <c r="DU20" t="s">
        <v>1454</v>
      </c>
      <c r="DW20" t="s">
        <v>1454</v>
      </c>
      <c r="DX20" t="s">
        <v>1454</v>
      </c>
      <c r="DY20" t="s">
        <v>1454</v>
      </c>
      <c r="EA20" t="s">
        <v>1454</v>
      </c>
      <c r="EB20" t="s">
        <v>1454</v>
      </c>
      <c r="EC20" t="s">
        <v>1454</v>
      </c>
      <c r="EE20" t="s">
        <v>1454</v>
      </c>
      <c r="EF20" t="s">
        <v>1454</v>
      </c>
      <c r="EG20" t="s">
        <v>1454</v>
      </c>
      <c r="EI20" t="s">
        <v>1454</v>
      </c>
      <c r="EJ20" t="s">
        <v>1454</v>
      </c>
      <c r="EK20" t="s">
        <v>1454</v>
      </c>
      <c r="EM20" t="s">
        <v>1454</v>
      </c>
      <c r="EN20" t="s">
        <v>1454</v>
      </c>
      <c r="EO20" t="s">
        <v>1454</v>
      </c>
      <c r="EQ20" t="s">
        <v>1454</v>
      </c>
      <c r="ER20" t="s">
        <v>1454</v>
      </c>
      <c r="ES20" t="s">
        <v>1454</v>
      </c>
      <c r="EU20" t="s">
        <v>1454</v>
      </c>
      <c r="EV20" t="s">
        <v>1454</v>
      </c>
      <c r="EW20" t="s">
        <v>1454</v>
      </c>
      <c r="EY20" t="s">
        <v>1454</v>
      </c>
      <c r="EZ20" t="s">
        <v>1454</v>
      </c>
      <c r="FA20" t="s">
        <v>1454</v>
      </c>
      <c r="FC20" t="s">
        <v>1454</v>
      </c>
      <c r="FD20" t="s">
        <v>1454</v>
      </c>
      <c r="FE20" t="s">
        <v>1454</v>
      </c>
      <c r="FG20" t="s">
        <v>1454</v>
      </c>
      <c r="FH20" t="s">
        <v>1454</v>
      </c>
      <c r="FI20" t="s">
        <v>1454</v>
      </c>
      <c r="FK20" t="s">
        <v>1454</v>
      </c>
      <c r="FL20" t="s">
        <v>1454</v>
      </c>
      <c r="FM20" t="s">
        <v>1454</v>
      </c>
      <c r="FO20" t="s">
        <v>1454</v>
      </c>
      <c r="FP20" t="s">
        <v>1454</v>
      </c>
      <c r="FQ20" t="s">
        <v>1454</v>
      </c>
      <c r="FS20" t="s">
        <v>1454</v>
      </c>
      <c r="FT20" t="s">
        <v>1454</v>
      </c>
      <c r="FU20" t="s">
        <v>1454</v>
      </c>
      <c r="FW20" t="s">
        <v>1454</v>
      </c>
      <c r="FX20" t="s">
        <v>1454</v>
      </c>
      <c r="FY20" t="s">
        <v>1454</v>
      </c>
      <c r="GA20" t="s">
        <v>1454</v>
      </c>
      <c r="GB20" t="s">
        <v>1454</v>
      </c>
      <c r="GC20" t="s">
        <v>1454</v>
      </c>
      <c r="GE20" t="s">
        <v>1454</v>
      </c>
      <c r="GF20" t="s">
        <v>1454</v>
      </c>
      <c r="GG20" t="s">
        <v>1454</v>
      </c>
      <c r="GI20" t="s">
        <v>1454</v>
      </c>
      <c r="GJ20" t="s">
        <v>1454</v>
      </c>
      <c r="GK20" t="s">
        <v>1454</v>
      </c>
      <c r="GM20" t="s">
        <v>1454</v>
      </c>
      <c r="GN20" t="s">
        <v>1454</v>
      </c>
      <c r="GO20" t="s">
        <v>649</v>
      </c>
      <c r="GQ20" t="s">
        <v>1454</v>
      </c>
      <c r="GR20" t="s">
        <v>1454</v>
      </c>
      <c r="GS20" t="s">
        <v>649</v>
      </c>
    </row>
    <row r="21" spans="2:201" x14ac:dyDescent="0.25">
      <c r="B21" t="s">
        <v>416</v>
      </c>
      <c r="C21" t="s">
        <v>1454</v>
      </c>
      <c r="D21" t="s">
        <v>1454</v>
      </c>
      <c r="E21" t="s">
        <v>1454</v>
      </c>
      <c r="G21" t="s">
        <v>1454</v>
      </c>
      <c r="H21" t="s">
        <v>1454</v>
      </c>
      <c r="I21" t="s">
        <v>1454</v>
      </c>
      <c r="K21" t="s">
        <v>1454</v>
      </c>
      <c r="L21" t="s">
        <v>1454</v>
      </c>
      <c r="M21" t="s">
        <v>1454</v>
      </c>
      <c r="O21" t="s">
        <v>1454</v>
      </c>
      <c r="P21" t="s">
        <v>1454</v>
      </c>
      <c r="Q21" t="s">
        <v>1454</v>
      </c>
      <c r="S21" t="s">
        <v>1454</v>
      </c>
      <c r="T21" t="s">
        <v>1454</v>
      </c>
      <c r="U21" t="s">
        <v>1454</v>
      </c>
      <c r="W21" t="s">
        <v>1454</v>
      </c>
      <c r="X21" t="s">
        <v>1454</v>
      </c>
      <c r="Y21" t="s">
        <v>1454</v>
      </c>
      <c r="AA21" t="s">
        <v>1454</v>
      </c>
      <c r="AB21" t="s">
        <v>1454</v>
      </c>
      <c r="AC21" t="s">
        <v>1454</v>
      </c>
      <c r="AE21" t="s">
        <v>1454</v>
      </c>
      <c r="AF21" t="s">
        <v>1454</v>
      </c>
      <c r="AG21" t="s">
        <v>1454</v>
      </c>
      <c r="AI21" t="s">
        <v>1454</v>
      </c>
      <c r="AJ21" t="s">
        <v>1454</v>
      </c>
      <c r="AK21" t="s">
        <v>1454</v>
      </c>
      <c r="AM21" t="s">
        <v>1454</v>
      </c>
      <c r="AN21" t="s">
        <v>1454</v>
      </c>
      <c r="AO21" t="s">
        <v>1454</v>
      </c>
      <c r="AQ21" t="s">
        <v>1454</v>
      </c>
      <c r="AR21" t="s">
        <v>1454</v>
      </c>
      <c r="AS21" t="s">
        <v>1454</v>
      </c>
      <c r="AU21" t="s">
        <v>1454</v>
      </c>
      <c r="AV21" t="s">
        <v>1454</v>
      </c>
      <c r="AW21" t="s">
        <v>1454</v>
      </c>
      <c r="AY21" t="s">
        <v>1454</v>
      </c>
      <c r="AZ21" t="s">
        <v>1454</v>
      </c>
      <c r="BA21" t="s">
        <v>1454</v>
      </c>
      <c r="BC21" t="s">
        <v>1454</v>
      </c>
      <c r="BD21" t="s">
        <v>1454</v>
      </c>
      <c r="BE21" t="s">
        <v>1454</v>
      </c>
      <c r="BG21" t="s">
        <v>1454</v>
      </c>
      <c r="BH21" t="s">
        <v>1454</v>
      </c>
      <c r="BI21" t="s">
        <v>1454</v>
      </c>
      <c r="BK21" t="s">
        <v>1454</v>
      </c>
      <c r="BL21" t="s">
        <v>1454</v>
      </c>
      <c r="BM21" t="s">
        <v>1454</v>
      </c>
      <c r="BO21" t="s">
        <v>1454</v>
      </c>
      <c r="BP21" t="s">
        <v>1454</v>
      </c>
      <c r="BQ21" t="s">
        <v>1454</v>
      </c>
      <c r="BS21" t="s">
        <v>1454</v>
      </c>
      <c r="BT21" t="s">
        <v>1454</v>
      </c>
      <c r="BU21" t="s">
        <v>1454</v>
      </c>
      <c r="BW21" t="s">
        <v>1454</v>
      </c>
      <c r="BX21" t="s">
        <v>1454</v>
      </c>
      <c r="BY21" t="s">
        <v>1454</v>
      </c>
      <c r="CA21" t="s">
        <v>1454</v>
      </c>
      <c r="CB21" t="s">
        <v>1454</v>
      </c>
      <c r="CC21" t="s">
        <v>1454</v>
      </c>
      <c r="CE21" t="s">
        <v>1454</v>
      </c>
      <c r="CF21" t="s">
        <v>1454</v>
      </c>
      <c r="CG21" t="s">
        <v>1454</v>
      </c>
      <c r="CI21" t="s">
        <v>1454</v>
      </c>
      <c r="CJ21" t="s">
        <v>1454</v>
      </c>
      <c r="CK21" t="s">
        <v>1454</v>
      </c>
      <c r="CM21" t="s">
        <v>1454</v>
      </c>
      <c r="CN21" t="s">
        <v>1454</v>
      </c>
      <c r="CO21" t="s">
        <v>1454</v>
      </c>
      <c r="CQ21" t="s">
        <v>1454</v>
      </c>
      <c r="CR21" t="s">
        <v>1454</v>
      </c>
      <c r="CS21" t="s">
        <v>1454</v>
      </c>
      <c r="CU21" t="s">
        <v>1454</v>
      </c>
      <c r="CV21" t="s">
        <v>1454</v>
      </c>
      <c r="CW21" t="s">
        <v>1454</v>
      </c>
      <c r="CY21" t="s">
        <v>1454</v>
      </c>
      <c r="CZ21" t="s">
        <v>1454</v>
      </c>
      <c r="DA21" t="s">
        <v>1454</v>
      </c>
      <c r="DC21" t="s">
        <v>1454</v>
      </c>
      <c r="DD21" t="s">
        <v>1454</v>
      </c>
      <c r="DE21" t="s">
        <v>1454</v>
      </c>
      <c r="DG21" t="s">
        <v>1454</v>
      </c>
      <c r="DH21" t="s">
        <v>1454</v>
      </c>
      <c r="DI21" t="s">
        <v>1454</v>
      </c>
      <c r="DK21" t="s">
        <v>1454</v>
      </c>
      <c r="DL21" t="s">
        <v>1454</v>
      </c>
      <c r="DM21" t="s">
        <v>1454</v>
      </c>
      <c r="DO21" t="s">
        <v>1454</v>
      </c>
      <c r="DP21" t="s">
        <v>1454</v>
      </c>
      <c r="DQ21" t="s">
        <v>1454</v>
      </c>
      <c r="DS21" t="s">
        <v>1454</v>
      </c>
      <c r="DT21" t="s">
        <v>632</v>
      </c>
      <c r="DU21" t="s">
        <v>1454</v>
      </c>
      <c r="DW21" t="s">
        <v>633</v>
      </c>
      <c r="DX21" t="s">
        <v>1454</v>
      </c>
      <c r="DY21" t="s">
        <v>1454</v>
      </c>
      <c r="EA21" t="s">
        <v>1454</v>
      </c>
      <c r="EB21" t="s">
        <v>1454</v>
      </c>
      <c r="EC21" t="s">
        <v>1454</v>
      </c>
      <c r="EE21" t="s">
        <v>1454</v>
      </c>
      <c r="EF21" t="s">
        <v>1454</v>
      </c>
      <c r="EG21" t="s">
        <v>1454</v>
      </c>
      <c r="EI21" t="s">
        <v>1454</v>
      </c>
      <c r="EJ21" t="s">
        <v>1454</v>
      </c>
      <c r="EK21" t="s">
        <v>1454</v>
      </c>
      <c r="EM21" t="s">
        <v>1454</v>
      </c>
      <c r="EN21" t="s">
        <v>1454</v>
      </c>
      <c r="EO21" t="s">
        <v>1454</v>
      </c>
      <c r="EQ21" t="s">
        <v>1454</v>
      </c>
      <c r="ER21" t="s">
        <v>1454</v>
      </c>
      <c r="ES21" t="s">
        <v>1454</v>
      </c>
      <c r="EU21" t="s">
        <v>1454</v>
      </c>
      <c r="EV21" t="s">
        <v>1454</v>
      </c>
      <c r="EW21" t="s">
        <v>1454</v>
      </c>
      <c r="EY21" t="s">
        <v>1454</v>
      </c>
      <c r="EZ21" t="s">
        <v>1454</v>
      </c>
      <c r="FA21" t="s">
        <v>1454</v>
      </c>
      <c r="FC21" t="s">
        <v>1454</v>
      </c>
      <c r="FD21" t="s">
        <v>1454</v>
      </c>
      <c r="FE21" t="s">
        <v>1454</v>
      </c>
      <c r="FG21" t="s">
        <v>1454</v>
      </c>
      <c r="FH21" t="s">
        <v>1454</v>
      </c>
      <c r="FI21" t="s">
        <v>1454</v>
      </c>
      <c r="FK21" t="s">
        <v>1454</v>
      </c>
      <c r="FL21" t="s">
        <v>1454</v>
      </c>
      <c r="FM21" t="s">
        <v>1454</v>
      </c>
      <c r="FO21" t="s">
        <v>1454</v>
      </c>
      <c r="FP21" t="s">
        <v>1454</v>
      </c>
      <c r="FQ21" t="s">
        <v>1454</v>
      </c>
      <c r="FS21" t="s">
        <v>1454</v>
      </c>
      <c r="FT21" t="s">
        <v>1454</v>
      </c>
      <c r="FU21" t="s">
        <v>1454</v>
      </c>
      <c r="FW21" t="s">
        <v>1454</v>
      </c>
      <c r="FX21" t="s">
        <v>1454</v>
      </c>
      <c r="FY21" t="s">
        <v>1454</v>
      </c>
      <c r="GA21" t="s">
        <v>1454</v>
      </c>
      <c r="GB21" t="s">
        <v>1454</v>
      </c>
      <c r="GC21" t="s">
        <v>1454</v>
      </c>
      <c r="GE21" t="s">
        <v>1454</v>
      </c>
      <c r="GF21" t="s">
        <v>1454</v>
      </c>
      <c r="GG21" t="s">
        <v>1454</v>
      </c>
      <c r="GI21" t="s">
        <v>1454</v>
      </c>
      <c r="GJ21" t="s">
        <v>1454</v>
      </c>
      <c r="GK21" t="s">
        <v>1454</v>
      </c>
      <c r="GM21" t="s">
        <v>1454</v>
      </c>
      <c r="GN21" t="s">
        <v>1454</v>
      </c>
      <c r="GO21" t="s">
        <v>1454</v>
      </c>
      <c r="GQ21" t="s">
        <v>1481</v>
      </c>
      <c r="GR21" t="s">
        <v>1482</v>
      </c>
      <c r="GS21" t="s">
        <v>1454</v>
      </c>
    </row>
    <row r="22" spans="2:201" x14ac:dyDescent="0.25">
      <c r="B22" t="s">
        <v>418</v>
      </c>
      <c r="C22" t="s">
        <v>1454</v>
      </c>
      <c r="D22" t="s">
        <v>1454</v>
      </c>
      <c r="E22" t="s">
        <v>1454</v>
      </c>
      <c r="G22" t="s">
        <v>1454</v>
      </c>
      <c r="H22" t="s">
        <v>1454</v>
      </c>
      <c r="I22" t="s">
        <v>1454</v>
      </c>
      <c r="K22" t="s">
        <v>1454</v>
      </c>
      <c r="L22" t="s">
        <v>1454</v>
      </c>
      <c r="M22" t="s">
        <v>1454</v>
      </c>
      <c r="O22" t="s">
        <v>1454</v>
      </c>
      <c r="P22" t="s">
        <v>1454</v>
      </c>
      <c r="Q22" t="s">
        <v>1454</v>
      </c>
      <c r="S22" t="s">
        <v>1454</v>
      </c>
      <c r="T22" t="s">
        <v>1454</v>
      </c>
      <c r="U22" t="s">
        <v>1454</v>
      </c>
      <c r="W22" t="s">
        <v>1454</v>
      </c>
      <c r="X22" t="s">
        <v>1454</v>
      </c>
      <c r="Y22" t="s">
        <v>1454</v>
      </c>
      <c r="AA22" t="s">
        <v>1454</v>
      </c>
      <c r="AB22" t="s">
        <v>1454</v>
      </c>
      <c r="AC22" t="s">
        <v>1454</v>
      </c>
      <c r="AE22" t="s">
        <v>1454</v>
      </c>
      <c r="AF22" t="s">
        <v>1454</v>
      </c>
      <c r="AG22" t="s">
        <v>1454</v>
      </c>
      <c r="AI22" t="s">
        <v>1454</v>
      </c>
      <c r="AJ22" t="s">
        <v>1454</v>
      </c>
      <c r="AK22" t="s">
        <v>1454</v>
      </c>
      <c r="AM22" t="s">
        <v>1454</v>
      </c>
      <c r="AN22" t="s">
        <v>1454</v>
      </c>
      <c r="AO22" t="s">
        <v>1454</v>
      </c>
      <c r="AQ22" t="s">
        <v>1454</v>
      </c>
      <c r="AR22" t="s">
        <v>1454</v>
      </c>
      <c r="AS22" t="s">
        <v>1454</v>
      </c>
      <c r="AU22" t="s">
        <v>1454</v>
      </c>
      <c r="AV22" t="s">
        <v>1454</v>
      </c>
      <c r="AW22" t="s">
        <v>1454</v>
      </c>
      <c r="AY22" t="s">
        <v>1454</v>
      </c>
      <c r="AZ22" t="s">
        <v>1454</v>
      </c>
      <c r="BA22" t="s">
        <v>1454</v>
      </c>
      <c r="BC22" t="s">
        <v>1454</v>
      </c>
      <c r="BD22" t="s">
        <v>1454</v>
      </c>
      <c r="BE22" t="s">
        <v>1454</v>
      </c>
      <c r="BG22" t="s">
        <v>1454</v>
      </c>
      <c r="BH22" t="s">
        <v>616</v>
      </c>
      <c r="BI22" t="s">
        <v>1454</v>
      </c>
      <c r="BK22" t="s">
        <v>1454</v>
      </c>
      <c r="BL22" t="s">
        <v>1454</v>
      </c>
      <c r="BM22" t="s">
        <v>1454</v>
      </c>
      <c r="BO22" t="s">
        <v>1454</v>
      </c>
      <c r="BP22" t="s">
        <v>1454</v>
      </c>
      <c r="BQ22" t="s">
        <v>1454</v>
      </c>
      <c r="BS22" t="s">
        <v>1454</v>
      </c>
      <c r="BT22" t="s">
        <v>1454</v>
      </c>
      <c r="BU22" t="s">
        <v>1454</v>
      </c>
      <c r="BW22" t="s">
        <v>1454</v>
      </c>
      <c r="BX22" t="s">
        <v>1454</v>
      </c>
      <c r="BY22" t="s">
        <v>1454</v>
      </c>
      <c r="CA22" t="s">
        <v>1454</v>
      </c>
      <c r="CB22" t="s">
        <v>1454</v>
      </c>
      <c r="CC22" t="s">
        <v>1454</v>
      </c>
      <c r="CE22" t="s">
        <v>1454</v>
      </c>
      <c r="CF22" t="s">
        <v>1454</v>
      </c>
      <c r="CG22" t="s">
        <v>1454</v>
      </c>
      <c r="CI22" t="s">
        <v>1454</v>
      </c>
      <c r="CJ22" t="s">
        <v>1454</v>
      </c>
      <c r="CK22" t="s">
        <v>1454</v>
      </c>
      <c r="CM22" t="s">
        <v>1454</v>
      </c>
      <c r="CN22" t="s">
        <v>1454</v>
      </c>
      <c r="CO22" t="s">
        <v>1454</v>
      </c>
      <c r="CQ22" t="s">
        <v>1454</v>
      </c>
      <c r="CR22" t="s">
        <v>1454</v>
      </c>
      <c r="CS22" t="s">
        <v>1454</v>
      </c>
      <c r="CU22" t="s">
        <v>1454</v>
      </c>
      <c r="CV22" t="s">
        <v>1454</v>
      </c>
      <c r="CW22" t="s">
        <v>1454</v>
      </c>
      <c r="CY22" t="s">
        <v>1454</v>
      </c>
      <c r="CZ22" t="s">
        <v>1454</v>
      </c>
      <c r="DA22" t="s">
        <v>1454</v>
      </c>
      <c r="DC22" t="s">
        <v>1454</v>
      </c>
      <c r="DD22" t="s">
        <v>1454</v>
      </c>
      <c r="DE22" t="s">
        <v>1454</v>
      </c>
      <c r="DG22" t="s">
        <v>1454</v>
      </c>
      <c r="DH22" t="s">
        <v>1454</v>
      </c>
      <c r="DI22" t="s">
        <v>1454</v>
      </c>
      <c r="DK22" t="s">
        <v>1454</v>
      </c>
      <c r="DL22" t="s">
        <v>1454</v>
      </c>
      <c r="DM22" t="s">
        <v>1454</v>
      </c>
      <c r="DO22" t="s">
        <v>1454</v>
      </c>
      <c r="DP22" t="s">
        <v>1454</v>
      </c>
      <c r="DQ22" t="s">
        <v>1454</v>
      </c>
      <c r="DS22" t="s">
        <v>1454</v>
      </c>
      <c r="DT22" t="s">
        <v>1454</v>
      </c>
      <c r="DU22" t="s">
        <v>1454</v>
      </c>
      <c r="DW22" t="s">
        <v>1454</v>
      </c>
      <c r="DX22" t="s">
        <v>1454</v>
      </c>
      <c r="DY22" t="s">
        <v>1454</v>
      </c>
      <c r="EA22" t="s">
        <v>1454</v>
      </c>
      <c r="EB22" t="s">
        <v>1454</v>
      </c>
      <c r="EC22" t="s">
        <v>1454</v>
      </c>
      <c r="EE22" t="s">
        <v>1454</v>
      </c>
      <c r="EF22" t="s">
        <v>1454</v>
      </c>
      <c r="EG22" t="s">
        <v>1454</v>
      </c>
      <c r="EI22" t="s">
        <v>1454</v>
      </c>
      <c r="EJ22" t="s">
        <v>1454</v>
      </c>
      <c r="EK22" t="s">
        <v>1454</v>
      </c>
      <c r="EM22" t="s">
        <v>1454</v>
      </c>
      <c r="EN22" t="s">
        <v>1454</v>
      </c>
      <c r="EO22" t="s">
        <v>1454</v>
      </c>
      <c r="EQ22" t="s">
        <v>1454</v>
      </c>
      <c r="ER22" t="s">
        <v>1454</v>
      </c>
      <c r="ES22" t="s">
        <v>1454</v>
      </c>
      <c r="EU22" t="s">
        <v>1454</v>
      </c>
      <c r="EV22" t="s">
        <v>1454</v>
      </c>
      <c r="EW22" t="s">
        <v>1454</v>
      </c>
      <c r="EY22" t="s">
        <v>1454</v>
      </c>
      <c r="EZ22" t="s">
        <v>1454</v>
      </c>
      <c r="FA22" t="s">
        <v>1454</v>
      </c>
      <c r="FC22" t="s">
        <v>1454</v>
      </c>
      <c r="FD22" t="s">
        <v>1454</v>
      </c>
      <c r="FE22" t="s">
        <v>1454</v>
      </c>
      <c r="FG22" t="s">
        <v>1454</v>
      </c>
      <c r="FH22" t="s">
        <v>1454</v>
      </c>
      <c r="FI22" t="s">
        <v>1454</v>
      </c>
      <c r="FK22" t="s">
        <v>643</v>
      </c>
      <c r="FL22" t="s">
        <v>1454</v>
      </c>
      <c r="FM22" t="s">
        <v>1454</v>
      </c>
      <c r="FO22" t="s">
        <v>1454</v>
      </c>
      <c r="FP22" t="s">
        <v>1454</v>
      </c>
      <c r="FQ22" t="s">
        <v>1454</v>
      </c>
      <c r="FS22" t="s">
        <v>1454</v>
      </c>
      <c r="FT22" t="s">
        <v>1454</v>
      </c>
      <c r="FU22" t="s">
        <v>1454</v>
      </c>
      <c r="FW22" t="s">
        <v>1454</v>
      </c>
      <c r="FX22" t="s">
        <v>1454</v>
      </c>
      <c r="FY22" t="s">
        <v>1454</v>
      </c>
      <c r="GA22" t="s">
        <v>1454</v>
      </c>
      <c r="GB22" t="s">
        <v>1454</v>
      </c>
      <c r="GC22" t="s">
        <v>1454</v>
      </c>
      <c r="GE22" t="s">
        <v>1454</v>
      </c>
      <c r="GF22" t="s">
        <v>1454</v>
      </c>
      <c r="GG22" t="s">
        <v>1454</v>
      </c>
      <c r="GI22" t="s">
        <v>1454</v>
      </c>
      <c r="GJ22" t="s">
        <v>1454</v>
      </c>
      <c r="GK22" t="s">
        <v>1454</v>
      </c>
      <c r="GM22" t="s">
        <v>1454</v>
      </c>
      <c r="GN22" t="s">
        <v>1454</v>
      </c>
      <c r="GO22" t="s">
        <v>1454</v>
      </c>
      <c r="GQ22" t="s">
        <v>1483</v>
      </c>
      <c r="GR22" t="s">
        <v>1484</v>
      </c>
      <c r="GS22" t="s">
        <v>1454</v>
      </c>
    </row>
    <row r="23" spans="2:201" s="11" customFormat="1" x14ac:dyDescent="0.25">
      <c r="B23" t="s">
        <v>419</v>
      </c>
      <c r="C23" t="s">
        <v>603</v>
      </c>
      <c r="D23" t="s">
        <v>1454</v>
      </c>
      <c r="E23" t="s">
        <v>1454</v>
      </c>
      <c r="F23"/>
      <c r="G23" t="s">
        <v>604</v>
      </c>
      <c r="H23" t="s">
        <v>1454</v>
      </c>
      <c r="I23" t="s">
        <v>1454</v>
      </c>
      <c r="J23"/>
      <c r="K23" t="s">
        <v>1454</v>
      </c>
      <c r="L23" t="s">
        <v>1454</v>
      </c>
      <c r="M23" t="s">
        <v>1454</v>
      </c>
      <c r="N23"/>
      <c r="O23" t="s">
        <v>1454</v>
      </c>
      <c r="P23" t="s">
        <v>1454</v>
      </c>
      <c r="Q23" t="s">
        <v>1454</v>
      </c>
      <c r="R23"/>
      <c r="S23" t="s">
        <v>606</v>
      </c>
      <c r="T23" t="s">
        <v>1454</v>
      </c>
      <c r="U23" t="s">
        <v>1454</v>
      </c>
      <c r="V23"/>
      <c r="W23" t="s">
        <v>1454</v>
      </c>
      <c r="X23" t="s">
        <v>1454</v>
      </c>
      <c r="Y23" t="s">
        <v>1454</v>
      </c>
      <c r="Z23"/>
      <c r="AA23" t="s">
        <v>1454</v>
      </c>
      <c r="AB23" t="s">
        <v>1454</v>
      </c>
      <c r="AC23" t="s">
        <v>1454</v>
      </c>
      <c r="AD23"/>
      <c r="AE23" t="s">
        <v>1454</v>
      </c>
      <c r="AF23" t="s">
        <v>1454</v>
      </c>
      <c r="AG23" t="s">
        <v>1454</v>
      </c>
      <c r="AH23"/>
      <c r="AI23" t="s">
        <v>1454</v>
      </c>
      <c r="AJ23" t="s">
        <v>1454</v>
      </c>
      <c r="AK23" t="s">
        <v>1454</v>
      </c>
      <c r="AL23"/>
      <c r="AM23" t="s">
        <v>1454</v>
      </c>
      <c r="AN23" t="s">
        <v>1454</v>
      </c>
      <c r="AO23" t="s">
        <v>1454</v>
      </c>
      <c r="AP23"/>
      <c r="AQ23" t="s">
        <v>1454</v>
      </c>
      <c r="AR23" t="s">
        <v>1454</v>
      </c>
      <c r="AS23" t="s">
        <v>1454</v>
      </c>
      <c r="AT23"/>
      <c r="AU23" t="s">
        <v>613</v>
      </c>
      <c r="AV23" t="s">
        <v>1454</v>
      </c>
      <c r="AW23" t="s">
        <v>1454</v>
      </c>
      <c r="AX23"/>
      <c r="AY23" t="s">
        <v>1454</v>
      </c>
      <c r="AZ23" t="s">
        <v>1454</v>
      </c>
      <c r="BA23" t="s">
        <v>1454</v>
      </c>
      <c r="BB23"/>
      <c r="BC23" t="s">
        <v>1454</v>
      </c>
      <c r="BD23" t="s">
        <v>1454</v>
      </c>
      <c r="BE23" t="s">
        <v>1454</v>
      </c>
      <c r="BF23"/>
      <c r="BG23" t="s">
        <v>616</v>
      </c>
      <c r="BH23" t="s">
        <v>1454</v>
      </c>
      <c r="BI23" t="s">
        <v>1454</v>
      </c>
      <c r="BJ23"/>
      <c r="BK23" t="s">
        <v>1454</v>
      </c>
      <c r="BL23" t="s">
        <v>1454</v>
      </c>
      <c r="BM23" t="s">
        <v>1454</v>
      </c>
      <c r="BN23"/>
      <c r="BO23" t="s">
        <v>1454</v>
      </c>
      <c r="BP23" t="s">
        <v>1454</v>
      </c>
      <c r="BQ23" t="s">
        <v>1454</v>
      </c>
      <c r="BR23"/>
      <c r="BS23" t="s">
        <v>1454</v>
      </c>
      <c r="BT23" t="s">
        <v>1454</v>
      </c>
      <c r="BU23" t="s">
        <v>1454</v>
      </c>
      <c r="BV23"/>
      <c r="BW23" t="s">
        <v>1454</v>
      </c>
      <c r="BX23" t="s">
        <v>1454</v>
      </c>
      <c r="BY23" t="s">
        <v>1454</v>
      </c>
      <c r="BZ23"/>
      <c r="CA23" t="s">
        <v>1454</v>
      </c>
      <c r="CB23" t="s">
        <v>1454</v>
      </c>
      <c r="CC23" t="s">
        <v>1454</v>
      </c>
      <c r="CD23"/>
      <c r="CE23" t="s">
        <v>622</v>
      </c>
      <c r="CF23" t="s">
        <v>1454</v>
      </c>
      <c r="CG23" t="s">
        <v>1454</v>
      </c>
      <c r="CH23"/>
      <c r="CI23" t="s">
        <v>1454</v>
      </c>
      <c r="CJ23" t="s">
        <v>1454</v>
      </c>
      <c r="CK23" t="s">
        <v>1454</v>
      </c>
      <c r="CL23"/>
      <c r="CM23" t="s">
        <v>1454</v>
      </c>
      <c r="CN23" t="s">
        <v>1454</v>
      </c>
      <c r="CO23" t="s">
        <v>1454</v>
      </c>
      <c r="CP23"/>
      <c r="CQ23" t="s">
        <v>1454</v>
      </c>
      <c r="CR23" t="s">
        <v>1454</v>
      </c>
      <c r="CS23" t="s">
        <v>1454</v>
      </c>
      <c r="CT23"/>
      <c r="CU23" t="s">
        <v>1454</v>
      </c>
      <c r="CV23" t="s">
        <v>1454</v>
      </c>
      <c r="CW23" t="s">
        <v>1454</v>
      </c>
      <c r="CX23"/>
      <c r="CY23" t="s">
        <v>627</v>
      </c>
      <c r="CZ23" t="s">
        <v>1454</v>
      </c>
      <c r="DA23" t="s">
        <v>1454</v>
      </c>
      <c r="DB23"/>
      <c r="DC23" t="s">
        <v>1454</v>
      </c>
      <c r="DD23" t="s">
        <v>1454</v>
      </c>
      <c r="DE23" t="s">
        <v>1454</v>
      </c>
      <c r="DF23"/>
      <c r="DG23" t="s">
        <v>1454</v>
      </c>
      <c r="DH23" t="s">
        <v>1454</v>
      </c>
      <c r="DI23" t="s">
        <v>1454</v>
      </c>
      <c r="DJ23"/>
      <c r="DK23" t="s">
        <v>1454</v>
      </c>
      <c r="DL23" t="s">
        <v>1454</v>
      </c>
      <c r="DM23" t="s">
        <v>1454</v>
      </c>
      <c r="DN23"/>
      <c r="DO23" t="s">
        <v>1454</v>
      </c>
      <c r="DP23" t="s">
        <v>1454</v>
      </c>
      <c r="DQ23" t="s">
        <v>1454</v>
      </c>
      <c r="DR23"/>
      <c r="DS23" t="s">
        <v>1454</v>
      </c>
      <c r="DT23" t="s">
        <v>1454</v>
      </c>
      <c r="DU23" t="s">
        <v>1454</v>
      </c>
      <c r="DV23"/>
      <c r="DW23" t="s">
        <v>1454</v>
      </c>
      <c r="DX23" t="s">
        <v>1454</v>
      </c>
      <c r="DY23" t="s">
        <v>1454</v>
      </c>
      <c r="DZ23"/>
      <c r="EA23" t="s">
        <v>1454</v>
      </c>
      <c r="EB23" t="s">
        <v>1454</v>
      </c>
      <c r="EC23" t="s">
        <v>1454</v>
      </c>
      <c r="ED23"/>
      <c r="EE23" t="s">
        <v>1454</v>
      </c>
      <c r="EF23" t="s">
        <v>1454</v>
      </c>
      <c r="EG23" t="s">
        <v>1454</v>
      </c>
      <c r="EH23"/>
      <c r="EI23" t="s">
        <v>1454</v>
      </c>
      <c r="EJ23" t="s">
        <v>636</v>
      </c>
      <c r="EK23" t="s">
        <v>1454</v>
      </c>
      <c r="EL23"/>
      <c r="EM23" t="s">
        <v>1454</v>
      </c>
      <c r="EN23" t="s">
        <v>1454</v>
      </c>
      <c r="EO23" t="s">
        <v>1454</v>
      </c>
      <c r="EP23"/>
      <c r="EQ23" t="s">
        <v>638</v>
      </c>
      <c r="ER23" t="s">
        <v>1454</v>
      </c>
      <c r="ES23" t="s">
        <v>1454</v>
      </c>
      <c r="ET23"/>
      <c r="EU23" t="s">
        <v>1454</v>
      </c>
      <c r="EV23" t="s">
        <v>1454</v>
      </c>
      <c r="EW23" t="s">
        <v>1454</v>
      </c>
      <c r="EX23"/>
      <c r="EY23" t="s">
        <v>1454</v>
      </c>
      <c r="EZ23" t="s">
        <v>1454</v>
      </c>
      <c r="FA23" t="s">
        <v>1454</v>
      </c>
      <c r="FB23"/>
      <c r="FC23" t="s">
        <v>1454</v>
      </c>
      <c r="FD23" t="s">
        <v>1454</v>
      </c>
      <c r="FE23" t="s">
        <v>1454</v>
      </c>
      <c r="FF23"/>
      <c r="FG23" t="s">
        <v>1454</v>
      </c>
      <c r="FH23" t="s">
        <v>1454</v>
      </c>
      <c r="FI23" t="s">
        <v>1454</v>
      </c>
      <c r="FJ23"/>
      <c r="FK23" t="s">
        <v>1454</v>
      </c>
      <c r="FL23" t="s">
        <v>1454</v>
      </c>
      <c r="FM23" t="s">
        <v>1454</v>
      </c>
      <c r="FN23"/>
      <c r="FO23" t="s">
        <v>1454</v>
      </c>
      <c r="FP23" t="s">
        <v>1454</v>
      </c>
      <c r="FQ23" t="s">
        <v>1454</v>
      </c>
      <c r="FR23"/>
      <c r="FS23" t="s">
        <v>644</v>
      </c>
      <c r="FT23" t="s">
        <v>1454</v>
      </c>
      <c r="FU23" t="s">
        <v>1454</v>
      </c>
      <c r="FV23"/>
      <c r="FW23" t="s">
        <v>1454</v>
      </c>
      <c r="FX23" t="s">
        <v>1454</v>
      </c>
      <c r="FY23" t="s">
        <v>1454</v>
      </c>
      <c r="FZ23"/>
      <c r="GA23" t="s">
        <v>1454</v>
      </c>
      <c r="GB23" t="s">
        <v>1454</v>
      </c>
      <c r="GC23" t="s">
        <v>1454</v>
      </c>
      <c r="GD23"/>
      <c r="GE23" t="s">
        <v>647</v>
      </c>
      <c r="GF23" t="s">
        <v>1454</v>
      </c>
      <c r="GG23" t="s">
        <v>1454</v>
      </c>
      <c r="GH23"/>
      <c r="GI23" t="s">
        <v>1454</v>
      </c>
      <c r="GJ23" t="s">
        <v>1454</v>
      </c>
      <c r="GK23" t="s">
        <v>1454</v>
      </c>
      <c r="GL23"/>
      <c r="GM23" t="s">
        <v>649</v>
      </c>
      <c r="GN23" t="s">
        <v>1454</v>
      </c>
      <c r="GO23" t="s">
        <v>1454</v>
      </c>
      <c r="GP23"/>
      <c r="GQ23" t="s">
        <v>1485</v>
      </c>
      <c r="GR23" t="s">
        <v>1486</v>
      </c>
      <c r="GS23" t="s">
        <v>1454</v>
      </c>
    </row>
    <row r="24" spans="2:201" x14ac:dyDescent="0.25">
      <c r="B24" t="s">
        <v>421</v>
      </c>
      <c r="C24" t="s">
        <v>1454</v>
      </c>
      <c r="D24" t="s">
        <v>1454</v>
      </c>
      <c r="E24" t="s">
        <v>1454</v>
      </c>
      <c r="G24" t="s">
        <v>1454</v>
      </c>
      <c r="H24" t="s">
        <v>1454</v>
      </c>
      <c r="I24" t="s">
        <v>1454</v>
      </c>
      <c r="K24" t="s">
        <v>1454</v>
      </c>
      <c r="L24" t="s">
        <v>1454</v>
      </c>
      <c r="M24" t="s">
        <v>1454</v>
      </c>
      <c r="O24" t="s">
        <v>1454</v>
      </c>
      <c r="P24" t="s">
        <v>1454</v>
      </c>
      <c r="Q24" t="s">
        <v>1454</v>
      </c>
      <c r="S24" t="s">
        <v>1454</v>
      </c>
      <c r="T24" t="s">
        <v>1454</v>
      </c>
      <c r="U24" t="s">
        <v>1454</v>
      </c>
      <c r="W24" t="s">
        <v>1454</v>
      </c>
      <c r="X24" t="s">
        <v>1454</v>
      </c>
      <c r="Y24" t="s">
        <v>1454</v>
      </c>
      <c r="AA24" t="s">
        <v>1454</v>
      </c>
      <c r="AB24" t="s">
        <v>1454</v>
      </c>
      <c r="AC24" t="s">
        <v>1454</v>
      </c>
      <c r="AE24" t="s">
        <v>1454</v>
      </c>
      <c r="AF24" t="s">
        <v>1454</v>
      </c>
      <c r="AG24" t="s">
        <v>1454</v>
      </c>
      <c r="AI24" t="s">
        <v>1454</v>
      </c>
      <c r="AJ24" t="s">
        <v>1454</v>
      </c>
      <c r="AK24" t="s">
        <v>1454</v>
      </c>
      <c r="AM24" t="s">
        <v>1454</v>
      </c>
      <c r="AN24" t="s">
        <v>1454</v>
      </c>
      <c r="AO24" t="s">
        <v>1454</v>
      </c>
      <c r="AQ24" t="s">
        <v>1454</v>
      </c>
      <c r="AR24" t="s">
        <v>1454</v>
      </c>
      <c r="AS24" t="s">
        <v>1454</v>
      </c>
      <c r="AU24" t="s">
        <v>1454</v>
      </c>
      <c r="AV24" t="s">
        <v>1454</v>
      </c>
      <c r="AW24" t="s">
        <v>1454</v>
      </c>
      <c r="AY24" t="s">
        <v>1454</v>
      </c>
      <c r="AZ24" t="s">
        <v>1454</v>
      </c>
      <c r="BA24" t="s">
        <v>1454</v>
      </c>
      <c r="BC24" t="s">
        <v>1454</v>
      </c>
      <c r="BD24" t="s">
        <v>1454</v>
      </c>
      <c r="BE24" t="s">
        <v>1454</v>
      </c>
      <c r="BG24" t="s">
        <v>1454</v>
      </c>
      <c r="BH24" t="s">
        <v>1454</v>
      </c>
      <c r="BI24" t="s">
        <v>1454</v>
      </c>
      <c r="BK24" t="s">
        <v>1454</v>
      </c>
      <c r="BL24" t="s">
        <v>1454</v>
      </c>
      <c r="BM24" t="s">
        <v>1454</v>
      </c>
      <c r="BO24" t="s">
        <v>1454</v>
      </c>
      <c r="BP24" t="s">
        <v>1454</v>
      </c>
      <c r="BQ24" t="s">
        <v>1454</v>
      </c>
      <c r="BS24" t="s">
        <v>1454</v>
      </c>
      <c r="BT24" t="s">
        <v>1454</v>
      </c>
      <c r="BU24" t="s">
        <v>1454</v>
      </c>
      <c r="BW24" t="s">
        <v>1454</v>
      </c>
      <c r="BX24" t="s">
        <v>1454</v>
      </c>
      <c r="BY24" t="s">
        <v>1454</v>
      </c>
      <c r="CA24" t="s">
        <v>1454</v>
      </c>
      <c r="CB24" t="s">
        <v>1454</v>
      </c>
      <c r="CC24" t="s">
        <v>1454</v>
      </c>
      <c r="CE24" t="s">
        <v>1454</v>
      </c>
      <c r="CF24" t="s">
        <v>1454</v>
      </c>
      <c r="CG24" t="s">
        <v>1454</v>
      </c>
      <c r="CI24" t="s">
        <v>1454</v>
      </c>
      <c r="CJ24" t="s">
        <v>1454</v>
      </c>
      <c r="CK24" t="s">
        <v>1454</v>
      </c>
      <c r="CM24" t="s">
        <v>1454</v>
      </c>
      <c r="CN24" t="s">
        <v>1454</v>
      </c>
      <c r="CO24" t="s">
        <v>1454</v>
      </c>
      <c r="CQ24" t="s">
        <v>1454</v>
      </c>
      <c r="CR24" t="s">
        <v>1454</v>
      </c>
      <c r="CS24" t="s">
        <v>1454</v>
      </c>
      <c r="CU24" t="s">
        <v>1454</v>
      </c>
      <c r="CV24" t="s">
        <v>626</v>
      </c>
      <c r="CW24" t="s">
        <v>1454</v>
      </c>
      <c r="CY24" t="s">
        <v>1454</v>
      </c>
      <c r="CZ24" t="s">
        <v>1454</v>
      </c>
      <c r="DA24" t="s">
        <v>1454</v>
      </c>
      <c r="DC24" t="s">
        <v>1454</v>
      </c>
      <c r="DD24" t="s">
        <v>1454</v>
      </c>
      <c r="DE24" t="s">
        <v>1454</v>
      </c>
      <c r="DG24" t="s">
        <v>1454</v>
      </c>
      <c r="DH24" t="s">
        <v>1454</v>
      </c>
      <c r="DI24" t="s">
        <v>1454</v>
      </c>
      <c r="DK24" t="s">
        <v>1454</v>
      </c>
      <c r="DL24" t="s">
        <v>1454</v>
      </c>
      <c r="DM24" t="s">
        <v>1454</v>
      </c>
      <c r="DO24" t="s">
        <v>1454</v>
      </c>
      <c r="DP24" t="s">
        <v>1454</v>
      </c>
      <c r="DQ24" t="s">
        <v>1454</v>
      </c>
      <c r="DS24" t="s">
        <v>1454</v>
      </c>
      <c r="DT24" t="s">
        <v>1454</v>
      </c>
      <c r="DU24" t="s">
        <v>1454</v>
      </c>
      <c r="DW24" t="s">
        <v>1454</v>
      </c>
      <c r="DX24" t="s">
        <v>1454</v>
      </c>
      <c r="DY24" t="s">
        <v>1454</v>
      </c>
      <c r="EA24" t="s">
        <v>1454</v>
      </c>
      <c r="EB24" t="s">
        <v>1454</v>
      </c>
      <c r="EC24" t="s">
        <v>1454</v>
      </c>
      <c r="EE24" t="s">
        <v>1454</v>
      </c>
      <c r="EF24" t="s">
        <v>1454</v>
      </c>
      <c r="EG24" t="s">
        <v>1454</v>
      </c>
      <c r="EI24" t="s">
        <v>1454</v>
      </c>
      <c r="EJ24" t="s">
        <v>1454</v>
      </c>
      <c r="EK24" t="s">
        <v>1454</v>
      </c>
      <c r="EM24" t="s">
        <v>1454</v>
      </c>
      <c r="EN24" t="s">
        <v>1454</v>
      </c>
      <c r="EO24" t="s">
        <v>1454</v>
      </c>
      <c r="EQ24" t="s">
        <v>1454</v>
      </c>
      <c r="ER24" t="s">
        <v>1454</v>
      </c>
      <c r="ES24" t="s">
        <v>1454</v>
      </c>
      <c r="EU24" t="s">
        <v>1454</v>
      </c>
      <c r="EV24" t="s">
        <v>1454</v>
      </c>
      <c r="EW24" t="s">
        <v>1454</v>
      </c>
      <c r="EY24" t="s">
        <v>1454</v>
      </c>
      <c r="EZ24" t="s">
        <v>1454</v>
      </c>
      <c r="FA24" t="s">
        <v>1454</v>
      </c>
      <c r="FC24" t="s">
        <v>1454</v>
      </c>
      <c r="FD24" t="s">
        <v>1454</v>
      </c>
      <c r="FE24" t="s">
        <v>1454</v>
      </c>
      <c r="FG24" t="s">
        <v>1454</v>
      </c>
      <c r="FH24" t="s">
        <v>1454</v>
      </c>
      <c r="FI24" t="s">
        <v>1454</v>
      </c>
      <c r="FK24" t="s">
        <v>1454</v>
      </c>
      <c r="FL24" t="s">
        <v>1454</v>
      </c>
      <c r="FM24" t="s">
        <v>1454</v>
      </c>
      <c r="FO24" t="s">
        <v>1454</v>
      </c>
      <c r="FP24" t="s">
        <v>1454</v>
      </c>
      <c r="FQ24" t="s">
        <v>1454</v>
      </c>
      <c r="FS24" t="s">
        <v>1454</v>
      </c>
      <c r="FT24" t="s">
        <v>1454</v>
      </c>
      <c r="FU24" t="s">
        <v>1454</v>
      </c>
      <c r="FW24" t="s">
        <v>1454</v>
      </c>
      <c r="FX24" t="s">
        <v>1454</v>
      </c>
      <c r="FY24" t="s">
        <v>1454</v>
      </c>
      <c r="GA24" t="s">
        <v>1454</v>
      </c>
      <c r="GB24" t="s">
        <v>1454</v>
      </c>
      <c r="GC24" t="s">
        <v>1454</v>
      </c>
      <c r="GE24" t="s">
        <v>1454</v>
      </c>
      <c r="GF24" t="s">
        <v>1454</v>
      </c>
      <c r="GG24" t="s">
        <v>1454</v>
      </c>
      <c r="GI24" t="s">
        <v>1454</v>
      </c>
      <c r="GJ24" t="s">
        <v>1454</v>
      </c>
      <c r="GK24" t="s">
        <v>1454</v>
      </c>
      <c r="GM24" t="s">
        <v>1454</v>
      </c>
      <c r="GN24" t="s">
        <v>1454</v>
      </c>
      <c r="GO24" t="s">
        <v>1454</v>
      </c>
      <c r="GQ24" t="s">
        <v>1454</v>
      </c>
      <c r="GR24" t="s">
        <v>1463</v>
      </c>
      <c r="GS24" t="s">
        <v>1454</v>
      </c>
    </row>
    <row r="25" spans="2:201" x14ac:dyDescent="0.25">
      <c r="B25" t="s">
        <v>422</v>
      </c>
      <c r="C25" t="s">
        <v>1454</v>
      </c>
      <c r="D25" t="s">
        <v>1454</v>
      </c>
      <c r="E25" t="s">
        <v>1454</v>
      </c>
      <c r="G25" t="s">
        <v>1454</v>
      </c>
      <c r="H25" t="s">
        <v>1454</v>
      </c>
      <c r="I25" t="s">
        <v>1454</v>
      </c>
      <c r="K25" t="s">
        <v>1454</v>
      </c>
      <c r="L25" t="s">
        <v>1454</v>
      </c>
      <c r="M25" t="s">
        <v>1454</v>
      </c>
      <c r="O25" t="s">
        <v>1454</v>
      </c>
      <c r="P25" t="s">
        <v>1454</v>
      </c>
      <c r="Q25" t="s">
        <v>1454</v>
      </c>
      <c r="S25" t="s">
        <v>1454</v>
      </c>
      <c r="T25" t="s">
        <v>1454</v>
      </c>
      <c r="U25" t="s">
        <v>1454</v>
      </c>
      <c r="W25" t="s">
        <v>1454</v>
      </c>
      <c r="X25" t="s">
        <v>1454</v>
      </c>
      <c r="Y25" t="s">
        <v>1454</v>
      </c>
      <c r="AA25" t="s">
        <v>1454</v>
      </c>
      <c r="AB25" t="s">
        <v>1454</v>
      </c>
      <c r="AC25" t="s">
        <v>1454</v>
      </c>
      <c r="AE25" t="s">
        <v>1454</v>
      </c>
      <c r="AF25" t="s">
        <v>1454</v>
      </c>
      <c r="AG25" t="s">
        <v>1454</v>
      </c>
      <c r="AI25" t="s">
        <v>1454</v>
      </c>
      <c r="AJ25" t="s">
        <v>1454</v>
      </c>
      <c r="AK25" t="s">
        <v>1454</v>
      </c>
      <c r="AM25" t="s">
        <v>1454</v>
      </c>
      <c r="AN25" t="s">
        <v>1454</v>
      </c>
      <c r="AO25" t="s">
        <v>1454</v>
      </c>
      <c r="AQ25" t="s">
        <v>1454</v>
      </c>
      <c r="AR25" t="s">
        <v>1454</v>
      </c>
      <c r="AS25" t="s">
        <v>1454</v>
      </c>
      <c r="AU25" t="s">
        <v>1454</v>
      </c>
      <c r="AV25" t="s">
        <v>1454</v>
      </c>
      <c r="AW25" t="s">
        <v>1454</v>
      </c>
      <c r="AY25" t="s">
        <v>1454</v>
      </c>
      <c r="AZ25" t="s">
        <v>1454</v>
      </c>
      <c r="BA25" t="s">
        <v>1454</v>
      </c>
      <c r="BC25" t="s">
        <v>1454</v>
      </c>
      <c r="BD25" t="s">
        <v>1454</v>
      </c>
      <c r="BE25" t="s">
        <v>1454</v>
      </c>
      <c r="BG25" t="s">
        <v>1454</v>
      </c>
      <c r="BH25" t="s">
        <v>1454</v>
      </c>
      <c r="BI25" t="s">
        <v>1454</v>
      </c>
      <c r="BK25" t="s">
        <v>1454</v>
      </c>
      <c r="BL25" t="s">
        <v>1454</v>
      </c>
      <c r="BM25" t="s">
        <v>1454</v>
      </c>
      <c r="BO25" t="s">
        <v>1454</v>
      </c>
      <c r="BP25" t="s">
        <v>1454</v>
      </c>
      <c r="BQ25" t="s">
        <v>1454</v>
      </c>
      <c r="BS25" t="s">
        <v>1454</v>
      </c>
      <c r="BT25" t="s">
        <v>1454</v>
      </c>
      <c r="BU25" t="s">
        <v>1454</v>
      </c>
      <c r="BW25" t="s">
        <v>1454</v>
      </c>
      <c r="BX25" t="s">
        <v>1454</v>
      </c>
      <c r="BY25" t="s">
        <v>1454</v>
      </c>
      <c r="CA25" t="s">
        <v>1454</v>
      </c>
      <c r="CB25" t="s">
        <v>1454</v>
      </c>
      <c r="CC25" t="s">
        <v>1454</v>
      </c>
      <c r="CE25" t="s">
        <v>1454</v>
      </c>
      <c r="CF25" t="s">
        <v>1454</v>
      </c>
      <c r="CG25" t="s">
        <v>1454</v>
      </c>
      <c r="CI25" t="s">
        <v>1454</v>
      </c>
      <c r="CJ25" t="s">
        <v>1454</v>
      </c>
      <c r="CK25" t="s">
        <v>1454</v>
      </c>
      <c r="CM25" t="s">
        <v>1454</v>
      </c>
      <c r="CN25" t="s">
        <v>1454</v>
      </c>
      <c r="CO25" t="s">
        <v>1454</v>
      </c>
      <c r="CQ25" t="s">
        <v>1454</v>
      </c>
      <c r="CR25" t="s">
        <v>1454</v>
      </c>
      <c r="CS25" t="s">
        <v>1454</v>
      </c>
      <c r="CU25" t="s">
        <v>1454</v>
      </c>
      <c r="CV25" t="s">
        <v>626</v>
      </c>
      <c r="CW25" t="s">
        <v>1454</v>
      </c>
      <c r="CY25" t="s">
        <v>1454</v>
      </c>
      <c r="CZ25" t="s">
        <v>1454</v>
      </c>
      <c r="DA25" t="s">
        <v>1454</v>
      </c>
      <c r="DC25" t="s">
        <v>1454</v>
      </c>
      <c r="DD25" t="s">
        <v>1454</v>
      </c>
      <c r="DE25" t="s">
        <v>1454</v>
      </c>
      <c r="DG25" t="s">
        <v>1454</v>
      </c>
      <c r="DH25" t="s">
        <v>1454</v>
      </c>
      <c r="DI25" t="s">
        <v>1454</v>
      </c>
      <c r="DK25" t="s">
        <v>1454</v>
      </c>
      <c r="DL25" t="s">
        <v>1454</v>
      </c>
      <c r="DM25" t="s">
        <v>1454</v>
      </c>
      <c r="DO25" t="s">
        <v>1454</v>
      </c>
      <c r="DP25" t="s">
        <v>1454</v>
      </c>
      <c r="DQ25" t="s">
        <v>1454</v>
      </c>
      <c r="DS25" t="s">
        <v>1454</v>
      </c>
      <c r="DT25" t="s">
        <v>1454</v>
      </c>
      <c r="DU25" t="s">
        <v>1454</v>
      </c>
      <c r="DW25" t="s">
        <v>1454</v>
      </c>
      <c r="DX25" t="s">
        <v>1454</v>
      </c>
      <c r="DY25" t="s">
        <v>1454</v>
      </c>
      <c r="EA25" t="s">
        <v>1454</v>
      </c>
      <c r="EB25" t="s">
        <v>1454</v>
      </c>
      <c r="EC25" t="s">
        <v>1454</v>
      </c>
      <c r="EE25" t="s">
        <v>1454</v>
      </c>
      <c r="EF25" t="s">
        <v>1454</v>
      </c>
      <c r="EG25" t="s">
        <v>1454</v>
      </c>
      <c r="EI25" t="s">
        <v>1454</v>
      </c>
      <c r="EJ25" t="s">
        <v>1454</v>
      </c>
      <c r="EK25" t="s">
        <v>1454</v>
      </c>
      <c r="EM25" t="s">
        <v>1454</v>
      </c>
      <c r="EN25" t="s">
        <v>1454</v>
      </c>
      <c r="EO25" t="s">
        <v>1454</v>
      </c>
      <c r="EQ25" t="s">
        <v>1454</v>
      </c>
      <c r="ER25" t="s">
        <v>1454</v>
      </c>
      <c r="ES25" t="s">
        <v>1454</v>
      </c>
      <c r="EU25" t="s">
        <v>1454</v>
      </c>
      <c r="EV25" t="s">
        <v>1454</v>
      </c>
      <c r="EW25" t="s">
        <v>1454</v>
      </c>
      <c r="EY25" t="s">
        <v>1454</v>
      </c>
      <c r="EZ25" t="s">
        <v>1454</v>
      </c>
      <c r="FA25" t="s">
        <v>1454</v>
      </c>
      <c r="FC25" t="s">
        <v>1454</v>
      </c>
      <c r="FD25" t="s">
        <v>1454</v>
      </c>
      <c r="FE25" t="s">
        <v>1454</v>
      </c>
      <c r="FG25" t="s">
        <v>1454</v>
      </c>
      <c r="FH25" t="s">
        <v>1454</v>
      </c>
      <c r="FI25" t="s">
        <v>1454</v>
      </c>
      <c r="FK25" t="s">
        <v>1454</v>
      </c>
      <c r="FL25" t="s">
        <v>1454</v>
      </c>
      <c r="FM25" t="s">
        <v>1454</v>
      </c>
      <c r="FO25" t="s">
        <v>1454</v>
      </c>
      <c r="FP25" t="s">
        <v>1454</v>
      </c>
      <c r="FQ25" t="s">
        <v>1454</v>
      </c>
      <c r="FS25" t="s">
        <v>1454</v>
      </c>
      <c r="FT25" t="s">
        <v>1454</v>
      </c>
      <c r="FU25" t="s">
        <v>1454</v>
      </c>
      <c r="FW25" t="s">
        <v>1454</v>
      </c>
      <c r="FX25" t="s">
        <v>1454</v>
      </c>
      <c r="FY25" t="s">
        <v>1454</v>
      </c>
      <c r="GA25" t="s">
        <v>1454</v>
      </c>
      <c r="GB25" t="s">
        <v>1454</v>
      </c>
      <c r="GC25" t="s">
        <v>1454</v>
      </c>
      <c r="GE25" t="s">
        <v>1454</v>
      </c>
      <c r="GF25" t="s">
        <v>1454</v>
      </c>
      <c r="GG25" t="s">
        <v>1454</v>
      </c>
      <c r="GI25" t="s">
        <v>1454</v>
      </c>
      <c r="GJ25" t="s">
        <v>1454</v>
      </c>
      <c r="GK25" t="s">
        <v>1454</v>
      </c>
      <c r="GM25" t="s">
        <v>1454</v>
      </c>
      <c r="GN25" t="s">
        <v>1454</v>
      </c>
      <c r="GO25" t="s">
        <v>1454</v>
      </c>
      <c r="GQ25" t="s">
        <v>1454</v>
      </c>
      <c r="GR25" t="s">
        <v>1463</v>
      </c>
      <c r="GS25" t="s">
        <v>1454</v>
      </c>
    </row>
    <row r="26" spans="2:201" x14ac:dyDescent="0.25">
      <c r="B26" t="s">
        <v>426</v>
      </c>
      <c r="C26" t="s">
        <v>1454</v>
      </c>
      <c r="D26" t="s">
        <v>1454</v>
      </c>
      <c r="E26" t="s">
        <v>1454</v>
      </c>
      <c r="G26" t="s">
        <v>1454</v>
      </c>
      <c r="H26" t="s">
        <v>1454</v>
      </c>
      <c r="I26" t="s">
        <v>1454</v>
      </c>
      <c r="K26" t="s">
        <v>1454</v>
      </c>
      <c r="L26" t="s">
        <v>1454</v>
      </c>
      <c r="M26" t="s">
        <v>1454</v>
      </c>
      <c r="O26" t="s">
        <v>1454</v>
      </c>
      <c r="P26" t="s">
        <v>1454</v>
      </c>
      <c r="Q26" t="s">
        <v>1454</v>
      </c>
      <c r="S26" t="s">
        <v>1454</v>
      </c>
      <c r="T26" t="s">
        <v>1454</v>
      </c>
      <c r="U26" t="s">
        <v>1454</v>
      </c>
      <c r="W26" t="s">
        <v>1454</v>
      </c>
      <c r="X26" t="s">
        <v>1454</v>
      </c>
      <c r="Y26" t="s">
        <v>1454</v>
      </c>
      <c r="AA26" t="s">
        <v>1454</v>
      </c>
      <c r="AB26" t="s">
        <v>1454</v>
      </c>
      <c r="AC26" t="s">
        <v>1454</v>
      </c>
      <c r="AE26" t="s">
        <v>1454</v>
      </c>
      <c r="AF26" t="s">
        <v>1454</v>
      </c>
      <c r="AG26" t="s">
        <v>1454</v>
      </c>
      <c r="AI26" t="s">
        <v>1454</v>
      </c>
      <c r="AJ26" t="s">
        <v>1454</v>
      </c>
      <c r="AK26" t="s">
        <v>1454</v>
      </c>
      <c r="AM26" t="s">
        <v>1454</v>
      </c>
      <c r="AN26" t="s">
        <v>1454</v>
      </c>
      <c r="AO26" t="s">
        <v>1454</v>
      </c>
      <c r="AQ26" t="s">
        <v>1454</v>
      </c>
      <c r="AR26" t="s">
        <v>1454</v>
      </c>
      <c r="AS26" t="s">
        <v>1454</v>
      </c>
      <c r="AU26" t="s">
        <v>1454</v>
      </c>
      <c r="AV26" t="s">
        <v>1454</v>
      </c>
      <c r="AW26" t="s">
        <v>1454</v>
      </c>
      <c r="AY26" t="s">
        <v>1454</v>
      </c>
      <c r="AZ26" t="s">
        <v>1454</v>
      </c>
      <c r="BA26" t="s">
        <v>1454</v>
      </c>
      <c r="BC26" t="s">
        <v>1454</v>
      </c>
      <c r="BD26" t="s">
        <v>1454</v>
      </c>
      <c r="BE26" t="s">
        <v>1454</v>
      </c>
      <c r="BG26" t="s">
        <v>1454</v>
      </c>
      <c r="BH26" t="s">
        <v>1454</v>
      </c>
      <c r="BI26" t="s">
        <v>1454</v>
      </c>
      <c r="BK26" t="s">
        <v>1454</v>
      </c>
      <c r="BL26" t="s">
        <v>1454</v>
      </c>
      <c r="BM26" t="s">
        <v>1454</v>
      </c>
      <c r="BO26" t="s">
        <v>1454</v>
      </c>
      <c r="BP26" t="s">
        <v>1454</v>
      </c>
      <c r="BQ26" t="s">
        <v>1454</v>
      </c>
      <c r="BS26" t="s">
        <v>1454</v>
      </c>
      <c r="BT26" t="s">
        <v>1454</v>
      </c>
      <c r="BU26" t="s">
        <v>1454</v>
      </c>
      <c r="BW26" t="s">
        <v>1454</v>
      </c>
      <c r="BX26" t="s">
        <v>1454</v>
      </c>
      <c r="BY26" t="s">
        <v>1454</v>
      </c>
      <c r="CA26" t="s">
        <v>1454</v>
      </c>
      <c r="CB26" t="s">
        <v>1454</v>
      </c>
      <c r="CC26" t="s">
        <v>1454</v>
      </c>
      <c r="CE26" t="s">
        <v>1454</v>
      </c>
      <c r="CF26" t="s">
        <v>1454</v>
      </c>
      <c r="CG26" t="s">
        <v>1454</v>
      </c>
      <c r="CI26" t="s">
        <v>1454</v>
      </c>
      <c r="CJ26" t="s">
        <v>1454</v>
      </c>
      <c r="CK26" t="s">
        <v>1454</v>
      </c>
      <c r="CM26" t="s">
        <v>1454</v>
      </c>
      <c r="CN26" t="s">
        <v>1454</v>
      </c>
      <c r="CO26" t="s">
        <v>1454</v>
      </c>
      <c r="CQ26" t="s">
        <v>1454</v>
      </c>
      <c r="CR26" t="s">
        <v>1454</v>
      </c>
      <c r="CS26" t="s">
        <v>1454</v>
      </c>
      <c r="CU26" t="s">
        <v>1454</v>
      </c>
      <c r="CV26" t="s">
        <v>1454</v>
      </c>
      <c r="CW26" t="s">
        <v>1454</v>
      </c>
      <c r="CY26" t="s">
        <v>1454</v>
      </c>
      <c r="CZ26" t="s">
        <v>1454</v>
      </c>
      <c r="DA26" t="s">
        <v>1454</v>
      </c>
      <c r="DC26" t="s">
        <v>1454</v>
      </c>
      <c r="DD26" t="s">
        <v>1454</v>
      </c>
      <c r="DE26" t="s">
        <v>1454</v>
      </c>
      <c r="DG26" t="s">
        <v>1454</v>
      </c>
      <c r="DH26" t="s">
        <v>1454</v>
      </c>
      <c r="DI26" t="s">
        <v>1454</v>
      </c>
      <c r="DK26" t="s">
        <v>1454</v>
      </c>
      <c r="DL26" t="s">
        <v>1454</v>
      </c>
      <c r="DM26" t="s">
        <v>1454</v>
      </c>
      <c r="DO26" t="s">
        <v>1454</v>
      </c>
      <c r="DP26" t="s">
        <v>1454</v>
      </c>
      <c r="DQ26" t="s">
        <v>1454</v>
      </c>
      <c r="DS26" t="s">
        <v>1454</v>
      </c>
      <c r="DT26" t="s">
        <v>1454</v>
      </c>
      <c r="DU26" t="s">
        <v>1454</v>
      </c>
      <c r="DW26" t="s">
        <v>1454</v>
      </c>
      <c r="DX26" t="s">
        <v>1454</v>
      </c>
      <c r="DY26" t="s">
        <v>1454</v>
      </c>
      <c r="EA26" t="s">
        <v>1454</v>
      </c>
      <c r="EB26" t="s">
        <v>1454</v>
      </c>
      <c r="EC26" t="s">
        <v>1454</v>
      </c>
      <c r="EE26" t="s">
        <v>1454</v>
      </c>
      <c r="EF26" t="s">
        <v>1454</v>
      </c>
      <c r="EG26" t="s">
        <v>1454</v>
      </c>
      <c r="EI26" t="s">
        <v>636</v>
      </c>
      <c r="EJ26" t="s">
        <v>1454</v>
      </c>
      <c r="EK26" t="s">
        <v>1454</v>
      </c>
      <c r="EM26" t="s">
        <v>1454</v>
      </c>
      <c r="EN26" t="s">
        <v>1454</v>
      </c>
      <c r="EO26" t="s">
        <v>1454</v>
      </c>
      <c r="EQ26" t="s">
        <v>1454</v>
      </c>
      <c r="ER26" t="s">
        <v>1454</v>
      </c>
      <c r="ES26" t="s">
        <v>1454</v>
      </c>
      <c r="EU26" t="s">
        <v>1454</v>
      </c>
      <c r="EV26" t="s">
        <v>1454</v>
      </c>
      <c r="EW26" t="s">
        <v>1454</v>
      </c>
      <c r="EY26" t="s">
        <v>1454</v>
      </c>
      <c r="EZ26" t="s">
        <v>1454</v>
      </c>
      <c r="FA26" t="s">
        <v>1454</v>
      </c>
      <c r="FC26" t="s">
        <v>1454</v>
      </c>
      <c r="FD26" t="s">
        <v>1454</v>
      </c>
      <c r="FE26" t="s">
        <v>1454</v>
      </c>
      <c r="FG26" t="s">
        <v>1454</v>
      </c>
      <c r="FH26" t="s">
        <v>1454</v>
      </c>
      <c r="FI26" t="s">
        <v>1454</v>
      </c>
      <c r="FK26" t="s">
        <v>1454</v>
      </c>
      <c r="FL26" t="s">
        <v>1454</v>
      </c>
      <c r="FM26" t="s">
        <v>1454</v>
      </c>
      <c r="FO26" t="s">
        <v>1454</v>
      </c>
      <c r="FP26" t="s">
        <v>1454</v>
      </c>
      <c r="FQ26" t="s">
        <v>1454</v>
      </c>
      <c r="FS26" t="s">
        <v>1454</v>
      </c>
      <c r="FT26" t="s">
        <v>1454</v>
      </c>
      <c r="FU26" t="s">
        <v>1454</v>
      </c>
      <c r="FW26" t="s">
        <v>1454</v>
      </c>
      <c r="FX26" t="s">
        <v>1454</v>
      </c>
      <c r="FY26" t="s">
        <v>1454</v>
      </c>
      <c r="GA26" t="s">
        <v>1454</v>
      </c>
      <c r="GB26" t="s">
        <v>1454</v>
      </c>
      <c r="GC26" t="s">
        <v>1454</v>
      </c>
      <c r="GE26" t="s">
        <v>1454</v>
      </c>
      <c r="GF26" t="s">
        <v>1454</v>
      </c>
      <c r="GG26" t="s">
        <v>1454</v>
      </c>
      <c r="GI26" t="s">
        <v>1454</v>
      </c>
      <c r="GJ26" t="s">
        <v>1454</v>
      </c>
      <c r="GK26" t="s">
        <v>1454</v>
      </c>
      <c r="GM26" t="s">
        <v>1454</v>
      </c>
      <c r="GN26" t="s">
        <v>1454</v>
      </c>
      <c r="GO26" t="s">
        <v>1454</v>
      </c>
      <c r="GQ26" t="s">
        <v>1486</v>
      </c>
      <c r="GR26" t="s">
        <v>1454</v>
      </c>
      <c r="GS26" t="s">
        <v>1454</v>
      </c>
    </row>
    <row r="27" spans="2:201" s="11" customFormat="1" x14ac:dyDescent="0.25">
      <c r="B27" t="s">
        <v>427</v>
      </c>
      <c r="C27" t="s">
        <v>1454</v>
      </c>
      <c r="D27" t="s">
        <v>1454</v>
      </c>
      <c r="E27" t="s">
        <v>1454</v>
      </c>
      <c r="F27"/>
      <c r="G27" t="s">
        <v>1454</v>
      </c>
      <c r="H27" t="s">
        <v>1454</v>
      </c>
      <c r="I27" t="s">
        <v>1454</v>
      </c>
      <c r="J27"/>
      <c r="K27" t="s">
        <v>1454</v>
      </c>
      <c r="L27" t="s">
        <v>1454</v>
      </c>
      <c r="M27" t="s">
        <v>1454</v>
      </c>
      <c r="N27"/>
      <c r="O27" t="s">
        <v>1454</v>
      </c>
      <c r="P27" t="s">
        <v>1454</v>
      </c>
      <c r="Q27" t="s">
        <v>1454</v>
      </c>
      <c r="R27"/>
      <c r="S27" t="s">
        <v>1454</v>
      </c>
      <c r="T27" t="s">
        <v>1454</v>
      </c>
      <c r="U27" t="s">
        <v>1454</v>
      </c>
      <c r="V27"/>
      <c r="W27" t="s">
        <v>1454</v>
      </c>
      <c r="X27" t="s">
        <v>1454</v>
      </c>
      <c r="Y27" t="s">
        <v>1454</v>
      </c>
      <c r="Z27"/>
      <c r="AA27" t="s">
        <v>1454</v>
      </c>
      <c r="AB27" t="s">
        <v>1454</v>
      </c>
      <c r="AC27" t="s">
        <v>1454</v>
      </c>
      <c r="AD27"/>
      <c r="AE27" t="s">
        <v>1454</v>
      </c>
      <c r="AF27" t="s">
        <v>1454</v>
      </c>
      <c r="AG27" t="s">
        <v>1454</v>
      </c>
      <c r="AH27"/>
      <c r="AI27" t="s">
        <v>1454</v>
      </c>
      <c r="AJ27" t="s">
        <v>1454</v>
      </c>
      <c r="AK27" t="s">
        <v>1454</v>
      </c>
      <c r="AL27"/>
      <c r="AM27" t="s">
        <v>1454</v>
      </c>
      <c r="AN27" t="s">
        <v>1454</v>
      </c>
      <c r="AO27" t="s">
        <v>1454</v>
      </c>
      <c r="AP27"/>
      <c r="AQ27" t="s">
        <v>1454</v>
      </c>
      <c r="AR27" t="s">
        <v>1454</v>
      </c>
      <c r="AS27" t="s">
        <v>1454</v>
      </c>
      <c r="AT27"/>
      <c r="AU27" t="s">
        <v>1454</v>
      </c>
      <c r="AV27" t="s">
        <v>1454</v>
      </c>
      <c r="AW27" t="s">
        <v>1454</v>
      </c>
      <c r="AX27"/>
      <c r="AY27" t="s">
        <v>1454</v>
      </c>
      <c r="AZ27" t="s">
        <v>1454</v>
      </c>
      <c r="BA27" t="s">
        <v>1454</v>
      </c>
      <c r="BB27"/>
      <c r="BC27" t="s">
        <v>1454</v>
      </c>
      <c r="BD27" t="s">
        <v>1454</v>
      </c>
      <c r="BE27" t="s">
        <v>1454</v>
      </c>
      <c r="BF27"/>
      <c r="BG27" t="s">
        <v>1454</v>
      </c>
      <c r="BH27" t="s">
        <v>1454</v>
      </c>
      <c r="BI27" t="s">
        <v>1454</v>
      </c>
      <c r="BJ27"/>
      <c r="BK27" t="s">
        <v>1454</v>
      </c>
      <c r="BL27" t="s">
        <v>1454</v>
      </c>
      <c r="BM27" t="s">
        <v>1454</v>
      </c>
      <c r="BN27"/>
      <c r="BO27" t="s">
        <v>1454</v>
      </c>
      <c r="BP27" t="s">
        <v>1454</v>
      </c>
      <c r="BQ27" t="s">
        <v>1454</v>
      </c>
      <c r="BR27"/>
      <c r="BS27" t="s">
        <v>1454</v>
      </c>
      <c r="BT27" t="s">
        <v>1454</v>
      </c>
      <c r="BU27" t="s">
        <v>1454</v>
      </c>
      <c r="BV27"/>
      <c r="BW27" t="s">
        <v>1454</v>
      </c>
      <c r="BX27" t="s">
        <v>1454</v>
      </c>
      <c r="BY27" t="s">
        <v>1454</v>
      </c>
      <c r="BZ27"/>
      <c r="CA27" t="s">
        <v>1454</v>
      </c>
      <c r="CB27" t="s">
        <v>1454</v>
      </c>
      <c r="CC27" t="s">
        <v>1454</v>
      </c>
      <c r="CD27"/>
      <c r="CE27" t="s">
        <v>1454</v>
      </c>
      <c r="CF27" t="s">
        <v>1454</v>
      </c>
      <c r="CG27" t="s">
        <v>1454</v>
      </c>
      <c r="CH27"/>
      <c r="CI27" t="s">
        <v>1454</v>
      </c>
      <c r="CJ27" t="s">
        <v>1454</v>
      </c>
      <c r="CK27" t="s">
        <v>1454</v>
      </c>
      <c r="CL27"/>
      <c r="CM27" t="s">
        <v>1454</v>
      </c>
      <c r="CN27" t="s">
        <v>1454</v>
      </c>
      <c r="CO27" t="s">
        <v>1454</v>
      </c>
      <c r="CP27"/>
      <c r="CQ27" t="s">
        <v>1454</v>
      </c>
      <c r="CR27" t="s">
        <v>1454</v>
      </c>
      <c r="CS27" t="s">
        <v>1454</v>
      </c>
      <c r="CT27"/>
      <c r="CU27" t="s">
        <v>1454</v>
      </c>
      <c r="CV27" t="s">
        <v>1454</v>
      </c>
      <c r="CW27" t="s">
        <v>1454</v>
      </c>
      <c r="CX27"/>
      <c r="CY27" t="s">
        <v>1454</v>
      </c>
      <c r="CZ27" t="s">
        <v>1454</v>
      </c>
      <c r="DA27" t="s">
        <v>1454</v>
      </c>
      <c r="DB27"/>
      <c r="DC27" t="s">
        <v>1454</v>
      </c>
      <c r="DD27" t="s">
        <v>1454</v>
      </c>
      <c r="DE27" t="s">
        <v>1454</v>
      </c>
      <c r="DF27"/>
      <c r="DG27" t="s">
        <v>1454</v>
      </c>
      <c r="DH27" t="s">
        <v>1454</v>
      </c>
      <c r="DI27" t="s">
        <v>1454</v>
      </c>
      <c r="DJ27"/>
      <c r="DK27" t="s">
        <v>1454</v>
      </c>
      <c r="DL27" t="s">
        <v>1454</v>
      </c>
      <c r="DM27" t="s">
        <v>1454</v>
      </c>
      <c r="DN27"/>
      <c r="DO27" t="s">
        <v>1454</v>
      </c>
      <c r="DP27" t="s">
        <v>1454</v>
      </c>
      <c r="DQ27" t="s">
        <v>1454</v>
      </c>
      <c r="DR27"/>
      <c r="DS27" t="s">
        <v>1454</v>
      </c>
      <c r="DT27" t="s">
        <v>1454</v>
      </c>
      <c r="DU27" t="s">
        <v>1454</v>
      </c>
      <c r="DV27"/>
      <c r="DW27" t="s">
        <v>1454</v>
      </c>
      <c r="DX27" t="s">
        <v>1454</v>
      </c>
      <c r="DY27" t="s">
        <v>1454</v>
      </c>
      <c r="DZ27"/>
      <c r="EA27" t="s">
        <v>1454</v>
      </c>
      <c r="EB27" t="s">
        <v>1454</v>
      </c>
      <c r="EC27" t="s">
        <v>1454</v>
      </c>
      <c r="ED27"/>
      <c r="EE27" t="s">
        <v>1454</v>
      </c>
      <c r="EF27" t="s">
        <v>1454</v>
      </c>
      <c r="EG27" t="s">
        <v>1454</v>
      </c>
      <c r="EH27"/>
      <c r="EI27" t="s">
        <v>1454</v>
      </c>
      <c r="EJ27" t="s">
        <v>636</v>
      </c>
      <c r="EK27" t="s">
        <v>1454</v>
      </c>
      <c r="EL27"/>
      <c r="EM27" t="s">
        <v>1454</v>
      </c>
      <c r="EN27" t="s">
        <v>1454</v>
      </c>
      <c r="EO27" t="s">
        <v>1454</v>
      </c>
      <c r="EP27"/>
      <c r="EQ27" t="s">
        <v>1454</v>
      </c>
      <c r="ER27" t="s">
        <v>1454</v>
      </c>
      <c r="ES27" t="s">
        <v>1454</v>
      </c>
      <c r="ET27"/>
      <c r="EU27" t="s">
        <v>1454</v>
      </c>
      <c r="EV27" t="s">
        <v>1454</v>
      </c>
      <c r="EW27" t="s">
        <v>1454</v>
      </c>
      <c r="EX27"/>
      <c r="EY27" t="s">
        <v>1454</v>
      </c>
      <c r="EZ27" t="s">
        <v>1454</v>
      </c>
      <c r="FA27" t="s">
        <v>1454</v>
      </c>
      <c r="FB27"/>
      <c r="FC27" t="s">
        <v>1454</v>
      </c>
      <c r="FD27" t="s">
        <v>1454</v>
      </c>
      <c r="FE27" t="s">
        <v>1454</v>
      </c>
      <c r="FF27"/>
      <c r="FG27" t="s">
        <v>1454</v>
      </c>
      <c r="FH27" t="s">
        <v>1454</v>
      </c>
      <c r="FI27" t="s">
        <v>1454</v>
      </c>
      <c r="FJ27"/>
      <c r="FK27" t="s">
        <v>1454</v>
      </c>
      <c r="FL27" t="s">
        <v>1454</v>
      </c>
      <c r="FM27" t="s">
        <v>1454</v>
      </c>
      <c r="FN27"/>
      <c r="FO27" t="s">
        <v>1454</v>
      </c>
      <c r="FP27" t="s">
        <v>1454</v>
      </c>
      <c r="FQ27" t="s">
        <v>1454</v>
      </c>
      <c r="FR27"/>
      <c r="FS27" t="s">
        <v>1454</v>
      </c>
      <c r="FT27" t="s">
        <v>1454</v>
      </c>
      <c r="FU27" t="s">
        <v>1454</v>
      </c>
      <c r="FV27"/>
      <c r="FW27" t="s">
        <v>1454</v>
      </c>
      <c r="FX27" t="s">
        <v>1454</v>
      </c>
      <c r="FY27" t="s">
        <v>1454</v>
      </c>
      <c r="FZ27"/>
      <c r="GA27" t="s">
        <v>1454</v>
      </c>
      <c r="GB27" t="s">
        <v>1454</v>
      </c>
      <c r="GC27" t="s">
        <v>1454</v>
      </c>
      <c r="GD27"/>
      <c r="GE27" t="s">
        <v>1454</v>
      </c>
      <c r="GF27" t="s">
        <v>1454</v>
      </c>
      <c r="GG27" t="s">
        <v>1454</v>
      </c>
      <c r="GH27"/>
      <c r="GI27" t="s">
        <v>1454</v>
      </c>
      <c r="GJ27" t="s">
        <v>1454</v>
      </c>
      <c r="GK27" t="s">
        <v>1454</v>
      </c>
      <c r="GL27"/>
      <c r="GM27" t="s">
        <v>1454</v>
      </c>
      <c r="GN27" t="s">
        <v>1454</v>
      </c>
      <c r="GO27" t="s">
        <v>1454</v>
      </c>
      <c r="GP27"/>
      <c r="GQ27" t="s">
        <v>1454</v>
      </c>
      <c r="GR27" t="s">
        <v>1486</v>
      </c>
      <c r="GS27" t="s">
        <v>1454</v>
      </c>
    </row>
    <row r="28" spans="2:201" x14ac:dyDescent="0.25">
      <c r="B28" t="s">
        <v>428</v>
      </c>
      <c r="C28" t="s">
        <v>1454</v>
      </c>
      <c r="D28" t="s">
        <v>1454</v>
      </c>
      <c r="E28" t="s">
        <v>1454</v>
      </c>
      <c r="G28" t="s">
        <v>1454</v>
      </c>
      <c r="H28" t="s">
        <v>1454</v>
      </c>
      <c r="I28" t="s">
        <v>1454</v>
      </c>
      <c r="K28" t="s">
        <v>1454</v>
      </c>
      <c r="L28" t="s">
        <v>1454</v>
      </c>
      <c r="M28" t="s">
        <v>1454</v>
      </c>
      <c r="O28" t="s">
        <v>1454</v>
      </c>
      <c r="P28" t="s">
        <v>1454</v>
      </c>
      <c r="Q28" t="s">
        <v>1454</v>
      </c>
      <c r="S28" t="s">
        <v>1454</v>
      </c>
      <c r="T28" t="s">
        <v>1454</v>
      </c>
      <c r="U28" t="s">
        <v>1454</v>
      </c>
      <c r="W28" t="s">
        <v>1454</v>
      </c>
      <c r="X28" t="s">
        <v>1454</v>
      </c>
      <c r="Y28" t="s">
        <v>1454</v>
      </c>
      <c r="AA28" t="s">
        <v>1454</v>
      </c>
      <c r="AB28" t="s">
        <v>1454</v>
      </c>
      <c r="AC28" t="s">
        <v>1454</v>
      </c>
      <c r="AE28" t="s">
        <v>1454</v>
      </c>
      <c r="AF28" t="s">
        <v>1454</v>
      </c>
      <c r="AG28" t="s">
        <v>1454</v>
      </c>
      <c r="AI28" t="s">
        <v>1454</v>
      </c>
      <c r="AJ28" t="s">
        <v>1454</v>
      </c>
      <c r="AK28" t="s">
        <v>1454</v>
      </c>
      <c r="AM28" t="s">
        <v>1454</v>
      </c>
      <c r="AN28" t="s">
        <v>1454</v>
      </c>
      <c r="AO28" t="s">
        <v>1454</v>
      </c>
      <c r="AQ28" t="s">
        <v>1454</v>
      </c>
      <c r="AR28" t="s">
        <v>1454</v>
      </c>
      <c r="AS28" t="s">
        <v>1454</v>
      </c>
      <c r="AU28" t="s">
        <v>1454</v>
      </c>
      <c r="AV28" t="s">
        <v>1454</v>
      </c>
      <c r="AW28" t="s">
        <v>1454</v>
      </c>
      <c r="AY28" t="s">
        <v>1454</v>
      </c>
      <c r="AZ28" t="s">
        <v>1454</v>
      </c>
      <c r="BA28" t="s">
        <v>1454</v>
      </c>
      <c r="BC28" t="s">
        <v>1454</v>
      </c>
      <c r="BD28" t="s">
        <v>1454</v>
      </c>
      <c r="BE28" t="s">
        <v>1454</v>
      </c>
      <c r="BG28" t="s">
        <v>1454</v>
      </c>
      <c r="BH28" t="s">
        <v>1454</v>
      </c>
      <c r="BI28" t="s">
        <v>1454</v>
      </c>
      <c r="BK28" t="s">
        <v>1454</v>
      </c>
      <c r="BL28" t="s">
        <v>1454</v>
      </c>
      <c r="BM28" t="s">
        <v>1454</v>
      </c>
      <c r="BO28" t="s">
        <v>1454</v>
      </c>
      <c r="BP28" t="s">
        <v>1454</v>
      </c>
      <c r="BQ28" t="s">
        <v>1454</v>
      </c>
      <c r="BS28" t="s">
        <v>1454</v>
      </c>
      <c r="BT28" t="s">
        <v>1454</v>
      </c>
      <c r="BU28" t="s">
        <v>1454</v>
      </c>
      <c r="BW28" t="s">
        <v>1454</v>
      </c>
      <c r="BX28" t="s">
        <v>1454</v>
      </c>
      <c r="BY28" t="s">
        <v>1454</v>
      </c>
      <c r="CA28" t="s">
        <v>1454</v>
      </c>
      <c r="CB28" t="s">
        <v>1454</v>
      </c>
      <c r="CC28" t="s">
        <v>1454</v>
      </c>
      <c r="CE28" t="s">
        <v>1454</v>
      </c>
      <c r="CF28" t="s">
        <v>1454</v>
      </c>
      <c r="CG28" t="s">
        <v>1454</v>
      </c>
      <c r="CI28" t="s">
        <v>1454</v>
      </c>
      <c r="CJ28" t="s">
        <v>1454</v>
      </c>
      <c r="CK28" t="s">
        <v>1454</v>
      </c>
      <c r="CM28" t="s">
        <v>1454</v>
      </c>
      <c r="CN28" t="s">
        <v>1454</v>
      </c>
      <c r="CO28" t="s">
        <v>1454</v>
      </c>
      <c r="CQ28" t="s">
        <v>1454</v>
      </c>
      <c r="CR28" t="s">
        <v>1454</v>
      </c>
      <c r="CS28" t="s">
        <v>1454</v>
      </c>
      <c r="CU28" t="s">
        <v>1454</v>
      </c>
      <c r="CV28" t="s">
        <v>1454</v>
      </c>
      <c r="CW28" t="s">
        <v>1454</v>
      </c>
      <c r="CY28" t="s">
        <v>1454</v>
      </c>
      <c r="CZ28" t="s">
        <v>1454</v>
      </c>
      <c r="DA28" t="s">
        <v>1454</v>
      </c>
      <c r="DC28" t="s">
        <v>1454</v>
      </c>
      <c r="DD28" t="s">
        <v>1454</v>
      </c>
      <c r="DE28" t="s">
        <v>1454</v>
      </c>
      <c r="DG28" t="s">
        <v>1454</v>
      </c>
      <c r="DH28" t="s">
        <v>1454</v>
      </c>
      <c r="DI28" t="s">
        <v>1454</v>
      </c>
      <c r="DK28" t="s">
        <v>1454</v>
      </c>
      <c r="DL28" t="s">
        <v>1454</v>
      </c>
      <c r="DM28" t="s">
        <v>1454</v>
      </c>
      <c r="DO28" t="s">
        <v>1454</v>
      </c>
      <c r="DP28" t="s">
        <v>1454</v>
      </c>
      <c r="DQ28" t="s">
        <v>1454</v>
      </c>
      <c r="DS28" t="s">
        <v>1454</v>
      </c>
      <c r="DT28" t="s">
        <v>1454</v>
      </c>
      <c r="DU28" t="s">
        <v>1454</v>
      </c>
      <c r="DW28" t="s">
        <v>1454</v>
      </c>
      <c r="DX28" t="s">
        <v>1454</v>
      </c>
      <c r="DY28" t="s">
        <v>1454</v>
      </c>
      <c r="EA28" t="s">
        <v>1454</v>
      </c>
      <c r="EB28" t="s">
        <v>1454</v>
      </c>
      <c r="EC28" t="s">
        <v>1454</v>
      </c>
      <c r="EE28" t="s">
        <v>1454</v>
      </c>
      <c r="EF28" t="s">
        <v>1454</v>
      </c>
      <c r="EG28" t="s">
        <v>1454</v>
      </c>
      <c r="EI28" t="s">
        <v>1454</v>
      </c>
      <c r="EJ28" t="s">
        <v>1454</v>
      </c>
      <c r="EK28" t="s">
        <v>1454</v>
      </c>
      <c r="EM28" t="s">
        <v>1454</v>
      </c>
      <c r="EN28" t="s">
        <v>1454</v>
      </c>
      <c r="EO28" t="s">
        <v>1454</v>
      </c>
      <c r="EQ28" t="s">
        <v>1454</v>
      </c>
      <c r="ER28" t="s">
        <v>1454</v>
      </c>
      <c r="ES28" t="s">
        <v>1454</v>
      </c>
      <c r="EU28" t="s">
        <v>1454</v>
      </c>
      <c r="EV28" t="s">
        <v>1454</v>
      </c>
      <c r="EW28" t="s">
        <v>1454</v>
      </c>
      <c r="EY28" t="s">
        <v>1454</v>
      </c>
      <c r="EZ28" t="s">
        <v>1454</v>
      </c>
      <c r="FA28" t="s">
        <v>1454</v>
      </c>
      <c r="FC28" t="s">
        <v>1454</v>
      </c>
      <c r="FD28" t="s">
        <v>1454</v>
      </c>
      <c r="FE28" t="s">
        <v>1454</v>
      </c>
      <c r="FG28" t="s">
        <v>1454</v>
      </c>
      <c r="FH28" t="s">
        <v>1454</v>
      </c>
      <c r="FI28" t="s">
        <v>1454</v>
      </c>
      <c r="FK28" t="s">
        <v>1454</v>
      </c>
      <c r="FL28" t="s">
        <v>1454</v>
      </c>
      <c r="FM28" t="s">
        <v>1454</v>
      </c>
      <c r="FO28" t="s">
        <v>1454</v>
      </c>
      <c r="FP28" t="s">
        <v>1454</v>
      </c>
      <c r="FQ28" t="s">
        <v>1454</v>
      </c>
      <c r="FS28" t="s">
        <v>1454</v>
      </c>
      <c r="FT28" t="s">
        <v>1454</v>
      </c>
      <c r="FU28" t="s">
        <v>1454</v>
      </c>
      <c r="FW28" t="s">
        <v>1454</v>
      </c>
      <c r="FX28" t="s">
        <v>1454</v>
      </c>
      <c r="FY28" t="s">
        <v>1454</v>
      </c>
      <c r="GA28" t="s">
        <v>1454</v>
      </c>
      <c r="GB28" t="s">
        <v>1454</v>
      </c>
      <c r="GC28" t="s">
        <v>1454</v>
      </c>
      <c r="GE28" t="s">
        <v>1454</v>
      </c>
      <c r="GF28" t="s">
        <v>647</v>
      </c>
      <c r="GG28" t="s">
        <v>1454</v>
      </c>
      <c r="GI28" t="s">
        <v>1454</v>
      </c>
      <c r="GJ28" t="s">
        <v>1454</v>
      </c>
      <c r="GK28" t="s">
        <v>1454</v>
      </c>
      <c r="GM28" t="s">
        <v>1454</v>
      </c>
      <c r="GN28" t="s">
        <v>1454</v>
      </c>
      <c r="GO28" t="s">
        <v>1454</v>
      </c>
      <c r="GQ28" t="s">
        <v>1454</v>
      </c>
      <c r="GR28" t="s">
        <v>1464</v>
      </c>
      <c r="GS28" t="s">
        <v>1454</v>
      </c>
    </row>
    <row r="29" spans="2:201" x14ac:dyDescent="0.25">
      <c r="B29" t="s">
        <v>429</v>
      </c>
      <c r="C29" t="s">
        <v>1454</v>
      </c>
      <c r="D29" t="s">
        <v>1454</v>
      </c>
      <c r="E29" t="s">
        <v>1454</v>
      </c>
      <c r="G29" t="s">
        <v>1454</v>
      </c>
      <c r="H29" t="s">
        <v>1454</v>
      </c>
      <c r="I29" t="s">
        <v>1454</v>
      </c>
      <c r="K29" t="s">
        <v>392</v>
      </c>
      <c r="L29" t="s">
        <v>1454</v>
      </c>
      <c r="M29" t="s">
        <v>1454</v>
      </c>
      <c r="O29" t="s">
        <v>1454</v>
      </c>
      <c r="P29" t="s">
        <v>1454</v>
      </c>
      <c r="Q29" t="s">
        <v>1454</v>
      </c>
      <c r="S29" t="s">
        <v>1454</v>
      </c>
      <c r="T29" t="s">
        <v>1454</v>
      </c>
      <c r="U29" t="s">
        <v>1454</v>
      </c>
      <c r="W29" t="s">
        <v>1454</v>
      </c>
      <c r="X29" t="s">
        <v>1454</v>
      </c>
      <c r="Y29" t="s">
        <v>1454</v>
      </c>
      <c r="AA29" t="s">
        <v>1454</v>
      </c>
      <c r="AB29" t="s">
        <v>1454</v>
      </c>
      <c r="AC29" t="s">
        <v>1454</v>
      </c>
      <c r="AE29" t="s">
        <v>1454</v>
      </c>
      <c r="AF29" t="s">
        <v>1454</v>
      </c>
      <c r="AG29" t="s">
        <v>1454</v>
      </c>
      <c r="AI29" t="s">
        <v>1454</v>
      </c>
      <c r="AJ29" t="s">
        <v>1454</v>
      </c>
      <c r="AK29" t="s">
        <v>1454</v>
      </c>
      <c r="AM29" t="s">
        <v>1454</v>
      </c>
      <c r="AN29" t="s">
        <v>1454</v>
      </c>
      <c r="AO29" t="s">
        <v>1454</v>
      </c>
      <c r="AQ29" t="s">
        <v>1454</v>
      </c>
      <c r="AR29" t="s">
        <v>1454</v>
      </c>
      <c r="AS29" t="s">
        <v>1454</v>
      </c>
      <c r="AU29" t="s">
        <v>1454</v>
      </c>
      <c r="AV29" t="s">
        <v>1454</v>
      </c>
      <c r="AW29" t="s">
        <v>1454</v>
      </c>
      <c r="AY29" t="s">
        <v>1454</v>
      </c>
      <c r="AZ29" t="s">
        <v>1454</v>
      </c>
      <c r="BA29" t="s">
        <v>1454</v>
      </c>
      <c r="BC29" t="s">
        <v>1454</v>
      </c>
      <c r="BD29" t="s">
        <v>1454</v>
      </c>
      <c r="BE29" t="s">
        <v>1454</v>
      </c>
      <c r="BG29" t="s">
        <v>1454</v>
      </c>
      <c r="BH29" t="s">
        <v>1454</v>
      </c>
      <c r="BI29" t="s">
        <v>1454</v>
      </c>
      <c r="BK29" t="s">
        <v>1454</v>
      </c>
      <c r="BL29" t="s">
        <v>1454</v>
      </c>
      <c r="BM29" t="s">
        <v>1454</v>
      </c>
      <c r="BO29" t="s">
        <v>1454</v>
      </c>
      <c r="BP29" t="s">
        <v>1454</v>
      </c>
      <c r="BQ29" t="s">
        <v>1454</v>
      </c>
      <c r="BS29" t="s">
        <v>1454</v>
      </c>
      <c r="BT29" t="s">
        <v>1454</v>
      </c>
      <c r="BU29" t="s">
        <v>1454</v>
      </c>
      <c r="BW29" t="s">
        <v>1454</v>
      </c>
      <c r="BX29" t="s">
        <v>1454</v>
      </c>
      <c r="BY29" t="s">
        <v>1454</v>
      </c>
      <c r="CA29" t="s">
        <v>1454</v>
      </c>
      <c r="CB29" t="s">
        <v>1454</v>
      </c>
      <c r="CC29" t="s">
        <v>1454</v>
      </c>
      <c r="CE29" t="s">
        <v>1454</v>
      </c>
      <c r="CF29" t="s">
        <v>1454</v>
      </c>
      <c r="CG29" t="s">
        <v>1454</v>
      </c>
      <c r="CI29" t="s">
        <v>1454</v>
      </c>
      <c r="CJ29" t="s">
        <v>1454</v>
      </c>
      <c r="CK29" t="s">
        <v>1454</v>
      </c>
      <c r="CM29" t="s">
        <v>1454</v>
      </c>
      <c r="CN29" t="s">
        <v>1454</v>
      </c>
      <c r="CO29" t="s">
        <v>1454</v>
      </c>
      <c r="CQ29" t="s">
        <v>1454</v>
      </c>
      <c r="CR29" t="s">
        <v>1454</v>
      </c>
      <c r="CS29" t="s">
        <v>1454</v>
      </c>
      <c r="CU29" t="s">
        <v>1454</v>
      </c>
      <c r="CV29" t="s">
        <v>1454</v>
      </c>
      <c r="CW29" t="s">
        <v>1454</v>
      </c>
      <c r="CY29" t="s">
        <v>1454</v>
      </c>
      <c r="CZ29" t="s">
        <v>1454</v>
      </c>
      <c r="DA29" t="s">
        <v>1454</v>
      </c>
      <c r="DC29" t="s">
        <v>1454</v>
      </c>
      <c r="DD29" t="s">
        <v>1454</v>
      </c>
      <c r="DE29" t="s">
        <v>1454</v>
      </c>
      <c r="DG29" t="s">
        <v>1454</v>
      </c>
      <c r="DH29" t="s">
        <v>1454</v>
      </c>
      <c r="DI29" t="s">
        <v>1454</v>
      </c>
      <c r="DK29" t="s">
        <v>1454</v>
      </c>
      <c r="DL29" t="s">
        <v>1454</v>
      </c>
      <c r="DM29" t="s">
        <v>1454</v>
      </c>
      <c r="DO29" t="s">
        <v>1454</v>
      </c>
      <c r="DP29" t="s">
        <v>1454</v>
      </c>
      <c r="DQ29" t="s">
        <v>1454</v>
      </c>
      <c r="DS29" t="s">
        <v>1454</v>
      </c>
      <c r="DT29" t="s">
        <v>1454</v>
      </c>
      <c r="DU29" t="s">
        <v>1454</v>
      </c>
      <c r="DW29" t="s">
        <v>1454</v>
      </c>
      <c r="DX29" t="s">
        <v>1454</v>
      </c>
      <c r="DY29" t="s">
        <v>1454</v>
      </c>
      <c r="EA29" t="s">
        <v>1454</v>
      </c>
      <c r="EB29" t="s">
        <v>1454</v>
      </c>
      <c r="EC29" t="s">
        <v>1454</v>
      </c>
      <c r="EE29" t="s">
        <v>1454</v>
      </c>
      <c r="EF29" t="s">
        <v>1454</v>
      </c>
      <c r="EG29" t="s">
        <v>1454</v>
      </c>
      <c r="EI29" t="s">
        <v>1454</v>
      </c>
      <c r="EJ29" t="s">
        <v>1454</v>
      </c>
      <c r="EK29" t="s">
        <v>1454</v>
      </c>
      <c r="EM29" t="s">
        <v>1454</v>
      </c>
      <c r="EN29" t="s">
        <v>1454</v>
      </c>
      <c r="EO29" t="s">
        <v>1454</v>
      </c>
      <c r="EQ29" t="s">
        <v>1454</v>
      </c>
      <c r="ER29" t="s">
        <v>1454</v>
      </c>
      <c r="ES29" t="s">
        <v>1454</v>
      </c>
      <c r="EU29" t="s">
        <v>1454</v>
      </c>
      <c r="EV29" t="s">
        <v>1454</v>
      </c>
      <c r="EW29" t="s">
        <v>1454</v>
      </c>
      <c r="EY29" t="s">
        <v>1454</v>
      </c>
      <c r="EZ29" t="s">
        <v>1454</v>
      </c>
      <c r="FA29" t="s">
        <v>1454</v>
      </c>
      <c r="FC29" t="s">
        <v>1454</v>
      </c>
      <c r="FD29" t="s">
        <v>1454</v>
      </c>
      <c r="FE29" t="s">
        <v>1454</v>
      </c>
      <c r="FG29" t="s">
        <v>1454</v>
      </c>
      <c r="FH29" t="s">
        <v>1454</v>
      </c>
      <c r="FI29" t="s">
        <v>1454</v>
      </c>
      <c r="FK29" t="s">
        <v>1454</v>
      </c>
      <c r="FL29" t="s">
        <v>1454</v>
      </c>
      <c r="FM29" t="s">
        <v>1454</v>
      </c>
      <c r="FO29" t="s">
        <v>1454</v>
      </c>
      <c r="FP29" t="s">
        <v>1454</v>
      </c>
      <c r="FQ29" t="s">
        <v>1454</v>
      </c>
      <c r="FS29" t="s">
        <v>1454</v>
      </c>
      <c r="FT29" t="s">
        <v>1454</v>
      </c>
      <c r="FU29" t="s">
        <v>1454</v>
      </c>
      <c r="FW29" t="s">
        <v>1454</v>
      </c>
      <c r="FX29" t="s">
        <v>1454</v>
      </c>
      <c r="FY29" t="s">
        <v>1454</v>
      </c>
      <c r="GA29" t="s">
        <v>1454</v>
      </c>
      <c r="GB29" t="s">
        <v>1454</v>
      </c>
      <c r="GC29" t="s">
        <v>1454</v>
      </c>
      <c r="GE29" t="s">
        <v>1454</v>
      </c>
      <c r="GF29" t="s">
        <v>1454</v>
      </c>
      <c r="GG29" t="s">
        <v>1454</v>
      </c>
      <c r="GI29" t="s">
        <v>1454</v>
      </c>
      <c r="GJ29" t="s">
        <v>1454</v>
      </c>
      <c r="GK29" t="s">
        <v>1454</v>
      </c>
      <c r="GM29" t="s">
        <v>1454</v>
      </c>
      <c r="GN29" t="s">
        <v>1454</v>
      </c>
      <c r="GO29" t="s">
        <v>1454</v>
      </c>
      <c r="GQ29" t="s">
        <v>1487</v>
      </c>
      <c r="GR29" t="s">
        <v>1454</v>
      </c>
      <c r="GS29" t="s">
        <v>1454</v>
      </c>
    </row>
    <row r="30" spans="2:201" x14ac:dyDescent="0.25">
      <c r="B30" t="s">
        <v>380</v>
      </c>
      <c r="C30" t="s">
        <v>1454</v>
      </c>
      <c r="D30" t="s">
        <v>1454</v>
      </c>
      <c r="E30" t="s">
        <v>1454</v>
      </c>
      <c r="G30" t="s">
        <v>1454</v>
      </c>
      <c r="H30" t="s">
        <v>1454</v>
      </c>
      <c r="I30" t="s">
        <v>1454</v>
      </c>
      <c r="K30" t="s">
        <v>1454</v>
      </c>
      <c r="L30" t="s">
        <v>1454</v>
      </c>
      <c r="M30" t="s">
        <v>1454</v>
      </c>
      <c r="O30" t="s">
        <v>1454</v>
      </c>
      <c r="P30" t="s">
        <v>605</v>
      </c>
      <c r="Q30" t="s">
        <v>1454</v>
      </c>
      <c r="S30" t="s">
        <v>606</v>
      </c>
      <c r="T30" t="s">
        <v>1454</v>
      </c>
      <c r="U30" t="s">
        <v>1454</v>
      </c>
      <c r="W30" t="s">
        <v>607</v>
      </c>
      <c r="X30" t="s">
        <v>1454</v>
      </c>
      <c r="Y30" t="s">
        <v>1454</v>
      </c>
      <c r="AA30" t="s">
        <v>608</v>
      </c>
      <c r="AB30" t="s">
        <v>1454</v>
      </c>
      <c r="AC30" t="s">
        <v>1454</v>
      </c>
      <c r="AE30" t="s">
        <v>609</v>
      </c>
      <c r="AF30" t="s">
        <v>1454</v>
      </c>
      <c r="AG30" t="s">
        <v>1454</v>
      </c>
      <c r="AI30" t="s">
        <v>1454</v>
      </c>
      <c r="AJ30" t="s">
        <v>1454</v>
      </c>
      <c r="AK30" t="s">
        <v>1454</v>
      </c>
      <c r="AM30" t="s">
        <v>1454</v>
      </c>
      <c r="AN30" t="s">
        <v>1454</v>
      </c>
      <c r="AO30" t="s">
        <v>1454</v>
      </c>
      <c r="AQ30" t="s">
        <v>1454</v>
      </c>
      <c r="AR30" t="s">
        <v>1454</v>
      </c>
      <c r="AS30" t="s">
        <v>1454</v>
      </c>
      <c r="AU30" t="s">
        <v>1454</v>
      </c>
      <c r="AV30" t="s">
        <v>1454</v>
      </c>
      <c r="AW30" t="s">
        <v>1454</v>
      </c>
      <c r="AY30" t="s">
        <v>1454</v>
      </c>
      <c r="AZ30" t="s">
        <v>1454</v>
      </c>
      <c r="BA30" t="s">
        <v>1454</v>
      </c>
      <c r="BC30" t="s">
        <v>1454</v>
      </c>
      <c r="BD30" t="s">
        <v>1454</v>
      </c>
      <c r="BE30" t="s">
        <v>1454</v>
      </c>
      <c r="BG30" t="s">
        <v>1454</v>
      </c>
      <c r="BH30" t="s">
        <v>1454</v>
      </c>
      <c r="BI30" t="s">
        <v>1454</v>
      </c>
      <c r="BK30" t="s">
        <v>1454</v>
      </c>
      <c r="BL30" t="s">
        <v>1454</v>
      </c>
      <c r="BM30" t="s">
        <v>1454</v>
      </c>
      <c r="BO30" t="s">
        <v>1454</v>
      </c>
      <c r="BP30" t="s">
        <v>1454</v>
      </c>
      <c r="BQ30" t="s">
        <v>1454</v>
      </c>
      <c r="BS30" t="s">
        <v>1454</v>
      </c>
      <c r="BT30" t="s">
        <v>1454</v>
      </c>
      <c r="BU30" t="s">
        <v>1454</v>
      </c>
      <c r="BW30" t="s">
        <v>1454</v>
      </c>
      <c r="BX30" t="s">
        <v>1454</v>
      </c>
      <c r="BY30" t="s">
        <v>1454</v>
      </c>
      <c r="CA30" t="s">
        <v>1454</v>
      </c>
      <c r="CB30" t="s">
        <v>1454</v>
      </c>
      <c r="CC30" t="s">
        <v>1454</v>
      </c>
      <c r="CE30" t="s">
        <v>1454</v>
      </c>
      <c r="CF30" t="s">
        <v>1454</v>
      </c>
      <c r="CG30" t="s">
        <v>1454</v>
      </c>
      <c r="CI30" t="s">
        <v>1454</v>
      </c>
      <c r="CJ30" t="s">
        <v>1454</v>
      </c>
      <c r="CK30" t="s">
        <v>1454</v>
      </c>
      <c r="CM30" t="s">
        <v>1454</v>
      </c>
      <c r="CN30" t="s">
        <v>1454</v>
      </c>
      <c r="CO30" t="s">
        <v>1454</v>
      </c>
      <c r="CQ30" t="s">
        <v>1454</v>
      </c>
      <c r="CR30" t="s">
        <v>1454</v>
      </c>
      <c r="CS30" t="s">
        <v>1454</v>
      </c>
      <c r="CU30" t="s">
        <v>626</v>
      </c>
      <c r="CV30" t="s">
        <v>1454</v>
      </c>
      <c r="CW30" t="s">
        <v>1454</v>
      </c>
      <c r="CY30" t="s">
        <v>1454</v>
      </c>
      <c r="CZ30" t="s">
        <v>1454</v>
      </c>
      <c r="DA30" t="s">
        <v>1454</v>
      </c>
      <c r="DC30" t="s">
        <v>1454</v>
      </c>
      <c r="DD30" t="s">
        <v>1454</v>
      </c>
      <c r="DE30" t="s">
        <v>1454</v>
      </c>
      <c r="DG30" t="s">
        <v>1454</v>
      </c>
      <c r="DH30" t="s">
        <v>1454</v>
      </c>
      <c r="DI30" t="s">
        <v>1454</v>
      </c>
      <c r="DK30" t="s">
        <v>1454</v>
      </c>
      <c r="DL30" t="s">
        <v>1454</v>
      </c>
      <c r="DM30" t="s">
        <v>1454</v>
      </c>
      <c r="DO30" t="s">
        <v>1454</v>
      </c>
      <c r="DP30" t="s">
        <v>1454</v>
      </c>
      <c r="DQ30" t="s">
        <v>1454</v>
      </c>
      <c r="DS30" t="s">
        <v>1454</v>
      </c>
      <c r="DT30" t="s">
        <v>1454</v>
      </c>
      <c r="DU30" t="s">
        <v>1454</v>
      </c>
      <c r="DW30" t="s">
        <v>1454</v>
      </c>
      <c r="DX30" t="s">
        <v>1454</v>
      </c>
      <c r="DY30" t="s">
        <v>1454</v>
      </c>
      <c r="EA30" t="s">
        <v>1454</v>
      </c>
      <c r="EB30" t="s">
        <v>1454</v>
      </c>
      <c r="EC30" t="s">
        <v>1454</v>
      </c>
      <c r="EE30" t="s">
        <v>1454</v>
      </c>
      <c r="EF30" t="s">
        <v>1454</v>
      </c>
      <c r="EG30" t="s">
        <v>1454</v>
      </c>
      <c r="EI30" t="s">
        <v>636</v>
      </c>
      <c r="EJ30" t="s">
        <v>1454</v>
      </c>
      <c r="EK30" t="s">
        <v>1454</v>
      </c>
      <c r="EM30" t="s">
        <v>1454</v>
      </c>
      <c r="EN30" t="s">
        <v>1454</v>
      </c>
      <c r="EO30" t="s">
        <v>1454</v>
      </c>
      <c r="EQ30" t="s">
        <v>1454</v>
      </c>
      <c r="ER30" t="s">
        <v>1454</v>
      </c>
      <c r="ES30" t="s">
        <v>1454</v>
      </c>
      <c r="EU30" t="s">
        <v>1454</v>
      </c>
      <c r="EV30" t="s">
        <v>1454</v>
      </c>
      <c r="EW30" t="s">
        <v>1454</v>
      </c>
      <c r="EY30" t="s">
        <v>640</v>
      </c>
      <c r="EZ30" t="s">
        <v>1454</v>
      </c>
      <c r="FA30" t="s">
        <v>1454</v>
      </c>
      <c r="FC30" t="s">
        <v>641</v>
      </c>
      <c r="FD30" t="s">
        <v>1454</v>
      </c>
      <c r="FE30" t="s">
        <v>641</v>
      </c>
      <c r="FG30" t="s">
        <v>1454</v>
      </c>
      <c r="FH30" t="s">
        <v>1454</v>
      </c>
      <c r="FI30" t="s">
        <v>1454</v>
      </c>
      <c r="FK30" t="s">
        <v>1454</v>
      </c>
      <c r="FL30" t="s">
        <v>1454</v>
      </c>
      <c r="FM30" t="s">
        <v>1454</v>
      </c>
      <c r="FO30" t="s">
        <v>1454</v>
      </c>
      <c r="FP30" t="s">
        <v>1454</v>
      </c>
      <c r="FQ30" t="s">
        <v>1454</v>
      </c>
      <c r="FS30" t="s">
        <v>1454</v>
      </c>
      <c r="FT30" t="s">
        <v>1454</v>
      </c>
      <c r="FU30" t="s">
        <v>1454</v>
      </c>
      <c r="FW30" t="s">
        <v>1454</v>
      </c>
      <c r="FX30" t="s">
        <v>1454</v>
      </c>
      <c r="FY30" t="s">
        <v>1454</v>
      </c>
      <c r="GA30" t="s">
        <v>1454</v>
      </c>
      <c r="GB30" t="s">
        <v>1454</v>
      </c>
      <c r="GC30" t="s">
        <v>1454</v>
      </c>
      <c r="GE30" t="s">
        <v>1454</v>
      </c>
      <c r="GF30" t="s">
        <v>1454</v>
      </c>
      <c r="GG30" t="s">
        <v>1454</v>
      </c>
      <c r="GI30" t="s">
        <v>1454</v>
      </c>
      <c r="GJ30" t="s">
        <v>1454</v>
      </c>
      <c r="GK30" t="s">
        <v>1454</v>
      </c>
      <c r="GM30" t="s">
        <v>1454</v>
      </c>
      <c r="GN30" t="s">
        <v>1454</v>
      </c>
      <c r="GO30" t="s">
        <v>1454</v>
      </c>
      <c r="GQ30" t="s">
        <v>1488</v>
      </c>
      <c r="GR30" t="s">
        <v>1489</v>
      </c>
      <c r="GS30" t="s">
        <v>1490</v>
      </c>
    </row>
    <row r="31" spans="2:201" s="11" customFormat="1" x14ac:dyDescent="0.25">
      <c r="B31" t="s">
        <v>381</v>
      </c>
      <c r="C31" t="s">
        <v>1454</v>
      </c>
      <c r="D31" t="s">
        <v>1454</v>
      </c>
      <c r="E31" t="s">
        <v>1454</v>
      </c>
      <c r="F31"/>
      <c r="G31" t="s">
        <v>1454</v>
      </c>
      <c r="H31" t="s">
        <v>1454</v>
      </c>
      <c r="I31" t="s">
        <v>604</v>
      </c>
      <c r="J31"/>
      <c r="K31" t="s">
        <v>1454</v>
      </c>
      <c r="L31" t="s">
        <v>1454</v>
      </c>
      <c r="M31" t="s">
        <v>1454</v>
      </c>
      <c r="N31"/>
      <c r="O31" t="s">
        <v>1454</v>
      </c>
      <c r="P31" t="s">
        <v>605</v>
      </c>
      <c r="Q31" t="s">
        <v>1454</v>
      </c>
      <c r="R31"/>
      <c r="S31" t="s">
        <v>606</v>
      </c>
      <c r="T31" t="s">
        <v>1454</v>
      </c>
      <c r="U31" t="s">
        <v>1454</v>
      </c>
      <c r="V31"/>
      <c r="W31" t="s">
        <v>1454</v>
      </c>
      <c r="X31" t="s">
        <v>1454</v>
      </c>
      <c r="Y31" t="s">
        <v>1454</v>
      </c>
      <c r="Z31"/>
      <c r="AA31" t="s">
        <v>1454</v>
      </c>
      <c r="AB31" t="s">
        <v>1454</v>
      </c>
      <c r="AC31" t="s">
        <v>1454</v>
      </c>
      <c r="AD31"/>
      <c r="AE31" t="s">
        <v>1454</v>
      </c>
      <c r="AF31" t="s">
        <v>1454</v>
      </c>
      <c r="AG31" t="s">
        <v>1454</v>
      </c>
      <c r="AH31"/>
      <c r="AI31" t="s">
        <v>1454</v>
      </c>
      <c r="AJ31" t="s">
        <v>1454</v>
      </c>
      <c r="AK31" t="s">
        <v>1454</v>
      </c>
      <c r="AL31"/>
      <c r="AM31" t="s">
        <v>1454</v>
      </c>
      <c r="AN31" t="s">
        <v>1454</v>
      </c>
      <c r="AO31" t="s">
        <v>1454</v>
      </c>
      <c r="AP31"/>
      <c r="AQ31" t="s">
        <v>1454</v>
      </c>
      <c r="AR31" t="s">
        <v>1454</v>
      </c>
      <c r="AS31" t="s">
        <v>1454</v>
      </c>
      <c r="AT31"/>
      <c r="AU31" t="s">
        <v>1454</v>
      </c>
      <c r="AV31" t="s">
        <v>1454</v>
      </c>
      <c r="AW31" t="s">
        <v>1454</v>
      </c>
      <c r="AX31"/>
      <c r="AY31" t="s">
        <v>1454</v>
      </c>
      <c r="AZ31" t="s">
        <v>1454</v>
      </c>
      <c r="BA31" t="s">
        <v>1454</v>
      </c>
      <c r="BB31"/>
      <c r="BC31" t="s">
        <v>1454</v>
      </c>
      <c r="BD31" t="s">
        <v>1454</v>
      </c>
      <c r="BE31" t="s">
        <v>1454</v>
      </c>
      <c r="BF31"/>
      <c r="BG31" t="s">
        <v>1454</v>
      </c>
      <c r="BH31" t="s">
        <v>1454</v>
      </c>
      <c r="BI31" t="s">
        <v>1454</v>
      </c>
      <c r="BJ31"/>
      <c r="BK31" t="s">
        <v>617</v>
      </c>
      <c r="BL31" t="s">
        <v>1454</v>
      </c>
      <c r="BM31" t="s">
        <v>1454</v>
      </c>
      <c r="BN31"/>
      <c r="BO31" t="s">
        <v>1454</v>
      </c>
      <c r="BP31" t="s">
        <v>1454</v>
      </c>
      <c r="BQ31" t="s">
        <v>1454</v>
      </c>
      <c r="BR31"/>
      <c r="BS31" t="s">
        <v>1454</v>
      </c>
      <c r="BT31" t="s">
        <v>1454</v>
      </c>
      <c r="BU31" t="s">
        <v>1454</v>
      </c>
      <c r="BV31"/>
      <c r="BW31" t="s">
        <v>1454</v>
      </c>
      <c r="BX31" t="s">
        <v>1454</v>
      </c>
      <c r="BY31" t="s">
        <v>1454</v>
      </c>
      <c r="BZ31"/>
      <c r="CA31" t="s">
        <v>1454</v>
      </c>
      <c r="CB31" t="s">
        <v>1454</v>
      </c>
      <c r="CC31" t="s">
        <v>1454</v>
      </c>
      <c r="CD31"/>
      <c r="CE31" t="s">
        <v>622</v>
      </c>
      <c r="CF31" t="s">
        <v>1454</v>
      </c>
      <c r="CG31" t="s">
        <v>1454</v>
      </c>
      <c r="CH31"/>
      <c r="CI31" t="s">
        <v>1454</v>
      </c>
      <c r="CJ31" t="s">
        <v>1454</v>
      </c>
      <c r="CK31" t="s">
        <v>1454</v>
      </c>
      <c r="CL31"/>
      <c r="CM31" t="s">
        <v>1454</v>
      </c>
      <c r="CN31" t="s">
        <v>1454</v>
      </c>
      <c r="CO31" t="s">
        <v>1454</v>
      </c>
      <c r="CP31"/>
      <c r="CQ31" t="s">
        <v>1454</v>
      </c>
      <c r="CR31" t="s">
        <v>1454</v>
      </c>
      <c r="CS31" t="s">
        <v>1454</v>
      </c>
      <c r="CT31"/>
      <c r="CU31" t="s">
        <v>1454</v>
      </c>
      <c r="CV31" t="s">
        <v>1454</v>
      </c>
      <c r="CW31" t="s">
        <v>1454</v>
      </c>
      <c r="CX31"/>
      <c r="CY31" t="s">
        <v>1454</v>
      </c>
      <c r="CZ31" t="s">
        <v>1454</v>
      </c>
      <c r="DA31" t="s">
        <v>1454</v>
      </c>
      <c r="DB31"/>
      <c r="DC31" t="s">
        <v>1454</v>
      </c>
      <c r="DD31" t="s">
        <v>1454</v>
      </c>
      <c r="DE31" t="s">
        <v>1454</v>
      </c>
      <c r="DF31"/>
      <c r="DG31" t="s">
        <v>1454</v>
      </c>
      <c r="DH31" t="s">
        <v>1454</v>
      </c>
      <c r="DI31" t="s">
        <v>1454</v>
      </c>
      <c r="DJ31"/>
      <c r="DK31" t="s">
        <v>1454</v>
      </c>
      <c r="DL31" t="s">
        <v>1454</v>
      </c>
      <c r="DM31" t="s">
        <v>1454</v>
      </c>
      <c r="DN31"/>
      <c r="DO31" t="s">
        <v>1454</v>
      </c>
      <c r="DP31" t="s">
        <v>1454</v>
      </c>
      <c r="DQ31" t="s">
        <v>1454</v>
      </c>
      <c r="DR31"/>
      <c r="DS31" t="s">
        <v>1454</v>
      </c>
      <c r="DT31" t="s">
        <v>1454</v>
      </c>
      <c r="DU31" t="s">
        <v>1454</v>
      </c>
      <c r="DV31"/>
      <c r="DW31" t="s">
        <v>1454</v>
      </c>
      <c r="DX31" t="s">
        <v>1454</v>
      </c>
      <c r="DY31" t="s">
        <v>1454</v>
      </c>
      <c r="DZ31"/>
      <c r="EA31" t="s">
        <v>1454</v>
      </c>
      <c r="EB31" t="s">
        <v>1454</v>
      </c>
      <c r="EC31" t="s">
        <v>1454</v>
      </c>
      <c r="ED31"/>
      <c r="EE31" t="s">
        <v>1454</v>
      </c>
      <c r="EF31" t="s">
        <v>1454</v>
      </c>
      <c r="EG31" t="s">
        <v>1454</v>
      </c>
      <c r="EH31"/>
      <c r="EI31" t="s">
        <v>636</v>
      </c>
      <c r="EJ31" t="s">
        <v>1454</v>
      </c>
      <c r="EK31" t="s">
        <v>636</v>
      </c>
      <c r="EL31"/>
      <c r="EM31" t="s">
        <v>1454</v>
      </c>
      <c r="EN31" t="s">
        <v>1454</v>
      </c>
      <c r="EO31" t="s">
        <v>1454</v>
      </c>
      <c r="EP31"/>
      <c r="EQ31" t="s">
        <v>1454</v>
      </c>
      <c r="ER31" t="s">
        <v>1454</v>
      </c>
      <c r="ES31" t="s">
        <v>1454</v>
      </c>
      <c r="ET31"/>
      <c r="EU31" t="s">
        <v>1454</v>
      </c>
      <c r="EV31" t="s">
        <v>1454</v>
      </c>
      <c r="EW31" t="s">
        <v>1454</v>
      </c>
      <c r="EX31"/>
      <c r="EY31" t="s">
        <v>640</v>
      </c>
      <c r="EZ31" t="s">
        <v>1454</v>
      </c>
      <c r="FA31" t="s">
        <v>1454</v>
      </c>
      <c r="FB31"/>
      <c r="FC31" t="s">
        <v>641</v>
      </c>
      <c r="FD31" t="s">
        <v>1454</v>
      </c>
      <c r="FE31" t="s">
        <v>1454</v>
      </c>
      <c r="FF31"/>
      <c r="FG31" t="s">
        <v>1454</v>
      </c>
      <c r="FH31" t="s">
        <v>1454</v>
      </c>
      <c r="FI31" t="s">
        <v>1454</v>
      </c>
      <c r="FJ31"/>
      <c r="FK31" t="s">
        <v>1454</v>
      </c>
      <c r="FL31" t="s">
        <v>1454</v>
      </c>
      <c r="FM31" t="s">
        <v>1454</v>
      </c>
      <c r="FN31"/>
      <c r="FO31" t="s">
        <v>1454</v>
      </c>
      <c r="FP31" t="s">
        <v>1454</v>
      </c>
      <c r="FQ31" t="s">
        <v>1454</v>
      </c>
      <c r="FR31"/>
      <c r="FS31" t="s">
        <v>1454</v>
      </c>
      <c r="FT31" t="s">
        <v>1454</v>
      </c>
      <c r="FU31" t="s">
        <v>1454</v>
      </c>
      <c r="FV31"/>
      <c r="FW31" t="s">
        <v>1454</v>
      </c>
      <c r="FX31" t="s">
        <v>1454</v>
      </c>
      <c r="FY31" t="s">
        <v>1454</v>
      </c>
      <c r="FZ31"/>
      <c r="GA31" t="s">
        <v>1454</v>
      </c>
      <c r="GB31" t="s">
        <v>1454</v>
      </c>
      <c r="GC31" t="s">
        <v>1454</v>
      </c>
      <c r="GD31"/>
      <c r="GE31" t="s">
        <v>647</v>
      </c>
      <c r="GF31" t="s">
        <v>1454</v>
      </c>
      <c r="GG31" t="s">
        <v>1454</v>
      </c>
      <c r="GH31"/>
      <c r="GI31" t="s">
        <v>1454</v>
      </c>
      <c r="GJ31" t="s">
        <v>1454</v>
      </c>
      <c r="GK31" t="s">
        <v>1454</v>
      </c>
      <c r="GL31"/>
      <c r="GM31" t="s">
        <v>1454</v>
      </c>
      <c r="GN31" t="s">
        <v>1454</v>
      </c>
      <c r="GO31" t="s">
        <v>1454</v>
      </c>
      <c r="GP31"/>
      <c r="GQ31" t="s">
        <v>1491</v>
      </c>
      <c r="GR31" t="s">
        <v>1489</v>
      </c>
      <c r="GS31" t="s">
        <v>1492</v>
      </c>
    </row>
    <row r="32" spans="2:201" x14ac:dyDescent="0.25">
      <c r="B32" t="s">
        <v>382</v>
      </c>
      <c r="C32" t="s">
        <v>1454</v>
      </c>
      <c r="D32" t="s">
        <v>1454</v>
      </c>
      <c r="E32" t="s">
        <v>1454</v>
      </c>
      <c r="G32" t="s">
        <v>1454</v>
      </c>
      <c r="H32" t="s">
        <v>1454</v>
      </c>
      <c r="I32" t="s">
        <v>1454</v>
      </c>
      <c r="K32" t="s">
        <v>1454</v>
      </c>
      <c r="L32" t="s">
        <v>1454</v>
      </c>
      <c r="M32" t="s">
        <v>1454</v>
      </c>
      <c r="O32" t="s">
        <v>1454</v>
      </c>
      <c r="P32" t="s">
        <v>1454</v>
      </c>
      <c r="Q32" t="s">
        <v>1454</v>
      </c>
      <c r="S32" t="s">
        <v>1454</v>
      </c>
      <c r="T32" t="s">
        <v>1454</v>
      </c>
      <c r="U32" t="s">
        <v>1454</v>
      </c>
      <c r="W32" t="s">
        <v>1454</v>
      </c>
      <c r="X32" t="s">
        <v>1454</v>
      </c>
      <c r="Y32" t="s">
        <v>1454</v>
      </c>
      <c r="AA32" t="s">
        <v>1454</v>
      </c>
      <c r="AB32" t="s">
        <v>1454</v>
      </c>
      <c r="AC32" t="s">
        <v>1454</v>
      </c>
      <c r="AE32" t="s">
        <v>1454</v>
      </c>
      <c r="AF32" t="s">
        <v>609</v>
      </c>
      <c r="AG32" t="s">
        <v>1454</v>
      </c>
      <c r="AI32" t="s">
        <v>610</v>
      </c>
      <c r="AJ32" t="s">
        <v>1454</v>
      </c>
      <c r="AK32" t="s">
        <v>1454</v>
      </c>
      <c r="AM32" t="s">
        <v>611</v>
      </c>
      <c r="AN32" t="s">
        <v>1454</v>
      </c>
      <c r="AO32" t="s">
        <v>1454</v>
      </c>
      <c r="AQ32" t="s">
        <v>612</v>
      </c>
      <c r="AR32" t="s">
        <v>1454</v>
      </c>
      <c r="AS32" t="s">
        <v>1454</v>
      </c>
      <c r="AU32" t="s">
        <v>613</v>
      </c>
      <c r="AV32" t="s">
        <v>1454</v>
      </c>
      <c r="AW32" t="s">
        <v>613</v>
      </c>
      <c r="AY32" t="s">
        <v>614</v>
      </c>
      <c r="AZ32" t="s">
        <v>1454</v>
      </c>
      <c r="BA32" t="s">
        <v>1454</v>
      </c>
      <c r="BC32" t="s">
        <v>1454</v>
      </c>
      <c r="BD32" t="s">
        <v>1454</v>
      </c>
      <c r="BE32" t="s">
        <v>1454</v>
      </c>
      <c r="BG32" t="s">
        <v>1454</v>
      </c>
      <c r="BH32" t="s">
        <v>1454</v>
      </c>
      <c r="BI32" t="s">
        <v>1454</v>
      </c>
      <c r="BK32" t="s">
        <v>1454</v>
      </c>
      <c r="BL32" t="s">
        <v>1454</v>
      </c>
      <c r="BM32" t="s">
        <v>1454</v>
      </c>
      <c r="BO32" t="s">
        <v>1454</v>
      </c>
      <c r="BP32" t="s">
        <v>1454</v>
      </c>
      <c r="BQ32" t="s">
        <v>1454</v>
      </c>
      <c r="BS32" t="s">
        <v>1454</v>
      </c>
      <c r="BT32" t="s">
        <v>1454</v>
      </c>
      <c r="BU32" t="s">
        <v>1454</v>
      </c>
      <c r="BW32" t="s">
        <v>1454</v>
      </c>
      <c r="BX32" t="s">
        <v>1454</v>
      </c>
      <c r="BY32" t="s">
        <v>1454</v>
      </c>
      <c r="CA32" t="s">
        <v>1454</v>
      </c>
      <c r="CB32" t="s">
        <v>1454</v>
      </c>
      <c r="CC32" t="s">
        <v>1454</v>
      </c>
      <c r="CE32" t="s">
        <v>622</v>
      </c>
      <c r="CF32" t="s">
        <v>1454</v>
      </c>
      <c r="CG32" t="s">
        <v>1454</v>
      </c>
      <c r="CI32" t="s">
        <v>1454</v>
      </c>
      <c r="CJ32" t="s">
        <v>1454</v>
      </c>
      <c r="CK32" t="s">
        <v>1454</v>
      </c>
      <c r="CM32" t="s">
        <v>1454</v>
      </c>
      <c r="CN32" t="s">
        <v>1454</v>
      </c>
      <c r="CO32" t="s">
        <v>1454</v>
      </c>
      <c r="CQ32" t="s">
        <v>1454</v>
      </c>
      <c r="CR32" t="s">
        <v>1454</v>
      </c>
      <c r="CS32" t="s">
        <v>625</v>
      </c>
      <c r="CU32" t="s">
        <v>1454</v>
      </c>
      <c r="CV32" t="s">
        <v>1454</v>
      </c>
      <c r="CW32" t="s">
        <v>1454</v>
      </c>
      <c r="CY32" t="s">
        <v>1454</v>
      </c>
      <c r="CZ32" t="s">
        <v>1454</v>
      </c>
      <c r="DA32" t="s">
        <v>1454</v>
      </c>
      <c r="DC32" t="s">
        <v>1454</v>
      </c>
      <c r="DD32" t="s">
        <v>1454</v>
      </c>
      <c r="DE32" t="s">
        <v>1454</v>
      </c>
      <c r="DG32" t="s">
        <v>1454</v>
      </c>
      <c r="DH32" t="s">
        <v>1454</v>
      </c>
      <c r="DI32" t="s">
        <v>1454</v>
      </c>
      <c r="DK32" t="s">
        <v>1454</v>
      </c>
      <c r="DL32" t="s">
        <v>1454</v>
      </c>
      <c r="DM32" t="s">
        <v>1454</v>
      </c>
      <c r="DO32" t="s">
        <v>1454</v>
      </c>
      <c r="DP32" t="s">
        <v>1454</v>
      </c>
      <c r="DQ32" t="s">
        <v>1454</v>
      </c>
      <c r="DS32" t="s">
        <v>1454</v>
      </c>
      <c r="DT32" t="s">
        <v>1454</v>
      </c>
      <c r="DU32" t="s">
        <v>1454</v>
      </c>
      <c r="DW32" t="s">
        <v>1454</v>
      </c>
      <c r="DX32" t="s">
        <v>1454</v>
      </c>
      <c r="DY32" t="s">
        <v>1454</v>
      </c>
      <c r="EA32" t="s">
        <v>1454</v>
      </c>
      <c r="EB32" t="s">
        <v>1454</v>
      </c>
      <c r="EC32" t="s">
        <v>1454</v>
      </c>
      <c r="EE32" t="s">
        <v>1454</v>
      </c>
      <c r="EF32" t="s">
        <v>1454</v>
      </c>
      <c r="EG32" t="s">
        <v>1454</v>
      </c>
      <c r="EI32" t="s">
        <v>1454</v>
      </c>
      <c r="EJ32" t="s">
        <v>1454</v>
      </c>
      <c r="EK32" t="s">
        <v>1454</v>
      </c>
      <c r="EM32" t="s">
        <v>1454</v>
      </c>
      <c r="EN32" t="s">
        <v>1454</v>
      </c>
      <c r="EO32" t="s">
        <v>1454</v>
      </c>
      <c r="EQ32" t="s">
        <v>1454</v>
      </c>
      <c r="ER32" t="s">
        <v>1454</v>
      </c>
      <c r="ES32" t="s">
        <v>1454</v>
      </c>
      <c r="EU32" t="s">
        <v>1454</v>
      </c>
      <c r="EV32" t="s">
        <v>1454</v>
      </c>
      <c r="EW32" t="s">
        <v>1454</v>
      </c>
      <c r="EY32" t="s">
        <v>1454</v>
      </c>
      <c r="EZ32" t="s">
        <v>1454</v>
      </c>
      <c r="FA32" t="s">
        <v>1454</v>
      </c>
      <c r="FC32" t="s">
        <v>1454</v>
      </c>
      <c r="FD32" t="s">
        <v>1454</v>
      </c>
      <c r="FE32" t="s">
        <v>1454</v>
      </c>
      <c r="FG32" t="s">
        <v>642</v>
      </c>
      <c r="FH32" t="s">
        <v>1454</v>
      </c>
      <c r="FI32" t="s">
        <v>642</v>
      </c>
      <c r="FK32" t="s">
        <v>1454</v>
      </c>
      <c r="FL32" t="s">
        <v>1454</v>
      </c>
      <c r="FM32" t="s">
        <v>1454</v>
      </c>
      <c r="FO32" t="s">
        <v>1454</v>
      </c>
      <c r="FP32" t="s">
        <v>1454</v>
      </c>
      <c r="FQ32" t="s">
        <v>1454</v>
      </c>
      <c r="FS32" t="s">
        <v>1454</v>
      </c>
      <c r="FT32" t="s">
        <v>1454</v>
      </c>
      <c r="FU32" t="s">
        <v>1454</v>
      </c>
      <c r="FW32" t="s">
        <v>1454</v>
      </c>
      <c r="FX32" t="s">
        <v>1454</v>
      </c>
      <c r="FY32" t="s">
        <v>1454</v>
      </c>
      <c r="GA32" t="s">
        <v>1454</v>
      </c>
      <c r="GB32" t="s">
        <v>1454</v>
      </c>
      <c r="GC32" t="s">
        <v>1454</v>
      </c>
      <c r="GE32" t="s">
        <v>1454</v>
      </c>
      <c r="GF32" t="s">
        <v>1454</v>
      </c>
      <c r="GG32" t="s">
        <v>1454</v>
      </c>
      <c r="GI32" t="s">
        <v>1454</v>
      </c>
      <c r="GJ32" t="s">
        <v>1454</v>
      </c>
      <c r="GK32" t="s">
        <v>1454</v>
      </c>
      <c r="GM32" t="s">
        <v>1454</v>
      </c>
      <c r="GN32" t="s">
        <v>1454</v>
      </c>
      <c r="GO32" t="s">
        <v>1454</v>
      </c>
      <c r="GQ32" t="s">
        <v>1493</v>
      </c>
      <c r="GR32" t="s">
        <v>1494</v>
      </c>
      <c r="GS32" t="s">
        <v>1495</v>
      </c>
    </row>
    <row r="33" spans="2:201" x14ac:dyDescent="0.25">
      <c r="B33" t="s">
        <v>383</v>
      </c>
      <c r="C33" t="s">
        <v>1454</v>
      </c>
      <c r="D33" t="s">
        <v>1454</v>
      </c>
      <c r="E33" t="s">
        <v>1454</v>
      </c>
      <c r="G33" t="s">
        <v>1454</v>
      </c>
      <c r="H33" t="s">
        <v>1454</v>
      </c>
      <c r="I33" t="s">
        <v>1454</v>
      </c>
      <c r="K33" t="s">
        <v>1454</v>
      </c>
      <c r="L33" t="s">
        <v>1454</v>
      </c>
      <c r="M33" t="s">
        <v>1454</v>
      </c>
      <c r="O33" t="s">
        <v>1454</v>
      </c>
      <c r="P33" t="s">
        <v>1454</v>
      </c>
      <c r="Q33" t="s">
        <v>1454</v>
      </c>
      <c r="S33" t="s">
        <v>1454</v>
      </c>
      <c r="T33" t="s">
        <v>1454</v>
      </c>
      <c r="U33" t="s">
        <v>1454</v>
      </c>
      <c r="W33" t="s">
        <v>1454</v>
      </c>
      <c r="X33" t="s">
        <v>1454</v>
      </c>
      <c r="Y33" t="s">
        <v>1454</v>
      </c>
      <c r="AA33" t="s">
        <v>1454</v>
      </c>
      <c r="AB33" t="s">
        <v>1454</v>
      </c>
      <c r="AC33" t="s">
        <v>1454</v>
      </c>
      <c r="AE33" t="s">
        <v>1454</v>
      </c>
      <c r="AF33" t="s">
        <v>1454</v>
      </c>
      <c r="AG33" t="s">
        <v>1454</v>
      </c>
      <c r="AI33" t="s">
        <v>1454</v>
      </c>
      <c r="AJ33" t="s">
        <v>1454</v>
      </c>
      <c r="AK33" t="s">
        <v>1454</v>
      </c>
      <c r="AM33" t="s">
        <v>1454</v>
      </c>
      <c r="AN33" t="s">
        <v>1454</v>
      </c>
      <c r="AO33" t="s">
        <v>1454</v>
      </c>
      <c r="AQ33" t="s">
        <v>1454</v>
      </c>
      <c r="AR33" t="s">
        <v>1454</v>
      </c>
      <c r="AS33" t="s">
        <v>1454</v>
      </c>
      <c r="AU33" t="s">
        <v>1454</v>
      </c>
      <c r="AV33" t="s">
        <v>1454</v>
      </c>
      <c r="AW33" t="s">
        <v>1454</v>
      </c>
      <c r="AY33" t="s">
        <v>1454</v>
      </c>
      <c r="AZ33" t="s">
        <v>614</v>
      </c>
      <c r="BA33" t="s">
        <v>1454</v>
      </c>
      <c r="BC33" t="s">
        <v>615</v>
      </c>
      <c r="BD33" t="s">
        <v>1454</v>
      </c>
      <c r="BE33" t="s">
        <v>1454</v>
      </c>
      <c r="BG33" t="s">
        <v>616</v>
      </c>
      <c r="BH33" t="s">
        <v>1454</v>
      </c>
      <c r="BI33" t="s">
        <v>1454</v>
      </c>
      <c r="BK33" t="s">
        <v>1454</v>
      </c>
      <c r="BL33" t="s">
        <v>1454</v>
      </c>
      <c r="BM33" t="s">
        <v>1454</v>
      </c>
      <c r="BO33" t="s">
        <v>1454</v>
      </c>
      <c r="BP33" t="s">
        <v>1454</v>
      </c>
      <c r="BQ33" t="s">
        <v>1454</v>
      </c>
      <c r="BS33" t="s">
        <v>1454</v>
      </c>
      <c r="BT33" t="s">
        <v>1454</v>
      </c>
      <c r="BU33" t="s">
        <v>1454</v>
      </c>
      <c r="BW33" t="s">
        <v>1454</v>
      </c>
      <c r="BX33" t="s">
        <v>1454</v>
      </c>
      <c r="BY33" t="s">
        <v>1454</v>
      </c>
      <c r="CA33" t="s">
        <v>1454</v>
      </c>
      <c r="CB33" t="s">
        <v>1454</v>
      </c>
      <c r="CC33" t="s">
        <v>1454</v>
      </c>
      <c r="CE33" t="s">
        <v>622</v>
      </c>
      <c r="CF33" t="s">
        <v>1454</v>
      </c>
      <c r="CG33" t="s">
        <v>1454</v>
      </c>
      <c r="CI33" t="s">
        <v>1454</v>
      </c>
      <c r="CJ33" t="s">
        <v>1454</v>
      </c>
      <c r="CK33" t="s">
        <v>1454</v>
      </c>
      <c r="CM33" t="s">
        <v>1454</v>
      </c>
      <c r="CN33" t="s">
        <v>1454</v>
      </c>
      <c r="CO33" t="s">
        <v>1454</v>
      </c>
      <c r="CQ33" t="s">
        <v>1454</v>
      </c>
      <c r="CR33" t="s">
        <v>1454</v>
      </c>
      <c r="CS33" t="s">
        <v>625</v>
      </c>
      <c r="CU33" t="s">
        <v>1454</v>
      </c>
      <c r="CV33" t="s">
        <v>1454</v>
      </c>
      <c r="CW33" t="s">
        <v>1454</v>
      </c>
      <c r="CY33" t="s">
        <v>1454</v>
      </c>
      <c r="CZ33" t="s">
        <v>1454</v>
      </c>
      <c r="DA33" t="s">
        <v>1454</v>
      </c>
      <c r="DC33" t="s">
        <v>1454</v>
      </c>
      <c r="DD33" t="s">
        <v>1454</v>
      </c>
      <c r="DE33" t="s">
        <v>1454</v>
      </c>
      <c r="DG33" t="s">
        <v>1454</v>
      </c>
      <c r="DH33" t="s">
        <v>1454</v>
      </c>
      <c r="DI33" t="s">
        <v>1454</v>
      </c>
      <c r="DK33" t="s">
        <v>1454</v>
      </c>
      <c r="DL33" t="s">
        <v>1454</v>
      </c>
      <c r="DM33" t="s">
        <v>1454</v>
      </c>
      <c r="DO33" t="s">
        <v>1454</v>
      </c>
      <c r="DP33" t="s">
        <v>1454</v>
      </c>
      <c r="DQ33" t="s">
        <v>1454</v>
      </c>
      <c r="DS33" t="s">
        <v>1454</v>
      </c>
      <c r="DT33" t="s">
        <v>1454</v>
      </c>
      <c r="DU33" t="s">
        <v>1454</v>
      </c>
      <c r="DW33" t="s">
        <v>1454</v>
      </c>
      <c r="DX33" t="s">
        <v>1454</v>
      </c>
      <c r="DY33" t="s">
        <v>1454</v>
      </c>
      <c r="EA33" t="s">
        <v>1454</v>
      </c>
      <c r="EB33" t="s">
        <v>1454</v>
      </c>
      <c r="EC33" t="s">
        <v>1454</v>
      </c>
      <c r="EE33" t="s">
        <v>1454</v>
      </c>
      <c r="EF33" t="s">
        <v>1454</v>
      </c>
      <c r="EG33" t="s">
        <v>1454</v>
      </c>
      <c r="EI33" t="s">
        <v>1454</v>
      </c>
      <c r="EJ33" t="s">
        <v>1454</v>
      </c>
      <c r="EK33" t="s">
        <v>1454</v>
      </c>
      <c r="EM33" t="s">
        <v>1454</v>
      </c>
      <c r="EN33" t="s">
        <v>1454</v>
      </c>
      <c r="EO33" t="s">
        <v>1454</v>
      </c>
      <c r="EQ33" t="s">
        <v>1454</v>
      </c>
      <c r="ER33" t="s">
        <v>1454</v>
      </c>
      <c r="ES33" t="s">
        <v>1454</v>
      </c>
      <c r="EU33" t="s">
        <v>1454</v>
      </c>
      <c r="EV33" t="s">
        <v>1454</v>
      </c>
      <c r="EW33" t="s">
        <v>1454</v>
      </c>
      <c r="EY33" t="s">
        <v>1454</v>
      </c>
      <c r="EZ33" t="s">
        <v>1454</v>
      </c>
      <c r="FA33" t="s">
        <v>1454</v>
      </c>
      <c r="FC33" t="s">
        <v>1454</v>
      </c>
      <c r="FD33" t="s">
        <v>1454</v>
      </c>
      <c r="FE33" t="s">
        <v>1454</v>
      </c>
      <c r="FG33" t="s">
        <v>1454</v>
      </c>
      <c r="FH33" t="s">
        <v>1454</v>
      </c>
      <c r="FI33" t="s">
        <v>1454</v>
      </c>
      <c r="FK33" t="s">
        <v>643</v>
      </c>
      <c r="FL33" t="s">
        <v>1454</v>
      </c>
      <c r="FM33" t="s">
        <v>643</v>
      </c>
      <c r="FO33" t="s">
        <v>1454</v>
      </c>
      <c r="FP33" t="s">
        <v>1454</v>
      </c>
      <c r="FQ33" t="s">
        <v>1454</v>
      </c>
      <c r="FS33" t="s">
        <v>1454</v>
      </c>
      <c r="FT33" t="s">
        <v>1454</v>
      </c>
      <c r="FU33" t="s">
        <v>1454</v>
      </c>
      <c r="FW33" t="s">
        <v>1454</v>
      </c>
      <c r="FX33" t="s">
        <v>1454</v>
      </c>
      <c r="FY33" t="s">
        <v>1454</v>
      </c>
      <c r="GA33" t="s">
        <v>1454</v>
      </c>
      <c r="GB33" t="s">
        <v>1454</v>
      </c>
      <c r="GC33" t="s">
        <v>1454</v>
      </c>
      <c r="GE33" t="s">
        <v>1454</v>
      </c>
      <c r="GF33" t="s">
        <v>1454</v>
      </c>
      <c r="GG33" t="s">
        <v>1454</v>
      </c>
      <c r="GI33" t="s">
        <v>1454</v>
      </c>
      <c r="GJ33" t="s">
        <v>1454</v>
      </c>
      <c r="GK33" t="s">
        <v>1454</v>
      </c>
      <c r="GM33" t="s">
        <v>1454</v>
      </c>
      <c r="GN33" t="s">
        <v>1454</v>
      </c>
      <c r="GO33" t="s">
        <v>1454</v>
      </c>
      <c r="GQ33" t="s">
        <v>1496</v>
      </c>
      <c r="GR33" t="s">
        <v>1497</v>
      </c>
      <c r="GS33" t="s">
        <v>1498</v>
      </c>
    </row>
    <row r="34" spans="2:201" x14ac:dyDescent="0.25">
      <c r="B34" t="s">
        <v>384</v>
      </c>
      <c r="C34" t="s">
        <v>1454</v>
      </c>
      <c r="D34" t="s">
        <v>1454</v>
      </c>
      <c r="E34" t="s">
        <v>1454</v>
      </c>
      <c r="G34" t="s">
        <v>1454</v>
      </c>
      <c r="H34" t="s">
        <v>1454</v>
      </c>
      <c r="I34" t="s">
        <v>1454</v>
      </c>
      <c r="K34" t="s">
        <v>1454</v>
      </c>
      <c r="L34" t="s">
        <v>1454</v>
      </c>
      <c r="M34" t="s">
        <v>1454</v>
      </c>
      <c r="O34" t="s">
        <v>605</v>
      </c>
      <c r="P34" t="s">
        <v>1454</v>
      </c>
      <c r="Q34" t="s">
        <v>1454</v>
      </c>
      <c r="S34" t="s">
        <v>1454</v>
      </c>
      <c r="T34" t="s">
        <v>1454</v>
      </c>
      <c r="U34" t="s">
        <v>1454</v>
      </c>
      <c r="W34" t="s">
        <v>1454</v>
      </c>
      <c r="X34" t="s">
        <v>1454</v>
      </c>
      <c r="Y34" t="s">
        <v>1454</v>
      </c>
      <c r="AA34" t="s">
        <v>1454</v>
      </c>
      <c r="AB34" t="s">
        <v>1454</v>
      </c>
      <c r="AC34" t="s">
        <v>1454</v>
      </c>
      <c r="AE34" t="s">
        <v>1454</v>
      </c>
      <c r="AF34" t="s">
        <v>1454</v>
      </c>
      <c r="AG34" t="s">
        <v>1454</v>
      </c>
      <c r="AI34" t="s">
        <v>1454</v>
      </c>
      <c r="AJ34" t="s">
        <v>1454</v>
      </c>
      <c r="AK34" t="s">
        <v>1454</v>
      </c>
      <c r="AM34" t="s">
        <v>1454</v>
      </c>
      <c r="AN34" t="s">
        <v>1454</v>
      </c>
      <c r="AO34" t="s">
        <v>1454</v>
      </c>
      <c r="AQ34" t="s">
        <v>1454</v>
      </c>
      <c r="AR34" t="s">
        <v>1454</v>
      </c>
      <c r="AS34" t="s">
        <v>1454</v>
      </c>
      <c r="AU34" t="s">
        <v>1454</v>
      </c>
      <c r="AV34" t="s">
        <v>1454</v>
      </c>
      <c r="AW34" t="s">
        <v>1454</v>
      </c>
      <c r="AY34" t="s">
        <v>1454</v>
      </c>
      <c r="AZ34" t="s">
        <v>1454</v>
      </c>
      <c r="BA34" t="s">
        <v>1454</v>
      </c>
      <c r="BC34" t="s">
        <v>615</v>
      </c>
      <c r="BD34" t="s">
        <v>1454</v>
      </c>
      <c r="BE34" t="s">
        <v>1454</v>
      </c>
      <c r="BG34" t="s">
        <v>1454</v>
      </c>
      <c r="BH34" t="s">
        <v>1454</v>
      </c>
      <c r="BI34" t="s">
        <v>1454</v>
      </c>
      <c r="BK34" t="s">
        <v>1454</v>
      </c>
      <c r="BL34" t="s">
        <v>617</v>
      </c>
      <c r="BM34" t="s">
        <v>1454</v>
      </c>
      <c r="BO34" t="s">
        <v>618</v>
      </c>
      <c r="BP34" t="s">
        <v>1454</v>
      </c>
      <c r="BQ34" t="s">
        <v>1454</v>
      </c>
      <c r="BS34" t="s">
        <v>1454</v>
      </c>
      <c r="BT34" t="s">
        <v>1454</v>
      </c>
      <c r="BU34" t="s">
        <v>1454</v>
      </c>
      <c r="BW34" t="s">
        <v>1454</v>
      </c>
      <c r="BX34" t="s">
        <v>1454</v>
      </c>
      <c r="BY34" t="s">
        <v>1454</v>
      </c>
      <c r="CA34" t="s">
        <v>1454</v>
      </c>
      <c r="CB34" t="s">
        <v>1454</v>
      </c>
      <c r="CC34" t="s">
        <v>1454</v>
      </c>
      <c r="CE34" t="s">
        <v>622</v>
      </c>
      <c r="CF34" t="s">
        <v>1454</v>
      </c>
      <c r="CG34" t="s">
        <v>1454</v>
      </c>
      <c r="CI34" t="s">
        <v>1454</v>
      </c>
      <c r="CJ34" t="s">
        <v>1454</v>
      </c>
      <c r="CK34" t="s">
        <v>1454</v>
      </c>
      <c r="CM34" t="s">
        <v>1454</v>
      </c>
      <c r="CN34" t="s">
        <v>1454</v>
      </c>
      <c r="CO34" t="s">
        <v>1454</v>
      </c>
      <c r="CQ34" t="s">
        <v>1454</v>
      </c>
      <c r="CR34" t="s">
        <v>1454</v>
      </c>
      <c r="CS34" t="s">
        <v>625</v>
      </c>
      <c r="CU34" t="s">
        <v>626</v>
      </c>
      <c r="CV34" t="s">
        <v>1454</v>
      </c>
      <c r="CW34" t="s">
        <v>1454</v>
      </c>
      <c r="CY34" t="s">
        <v>1454</v>
      </c>
      <c r="CZ34" t="s">
        <v>1454</v>
      </c>
      <c r="DA34" t="s">
        <v>1454</v>
      </c>
      <c r="DC34" t="s">
        <v>1454</v>
      </c>
      <c r="DD34" t="s">
        <v>1454</v>
      </c>
      <c r="DE34" t="s">
        <v>1454</v>
      </c>
      <c r="DG34" t="s">
        <v>1454</v>
      </c>
      <c r="DH34" t="s">
        <v>1454</v>
      </c>
      <c r="DI34" t="s">
        <v>1454</v>
      </c>
      <c r="DK34" t="s">
        <v>630</v>
      </c>
      <c r="DL34" t="s">
        <v>1454</v>
      </c>
      <c r="DM34" t="s">
        <v>630</v>
      </c>
      <c r="DO34" t="s">
        <v>1454</v>
      </c>
      <c r="DP34" t="s">
        <v>1454</v>
      </c>
      <c r="DQ34" t="s">
        <v>1454</v>
      </c>
      <c r="DS34" t="s">
        <v>1454</v>
      </c>
      <c r="DT34" t="s">
        <v>1454</v>
      </c>
      <c r="DU34" t="s">
        <v>1454</v>
      </c>
      <c r="DW34" t="s">
        <v>1454</v>
      </c>
      <c r="DX34" t="s">
        <v>1454</v>
      </c>
      <c r="DY34" t="s">
        <v>1454</v>
      </c>
      <c r="EA34" t="s">
        <v>1454</v>
      </c>
      <c r="EB34" t="s">
        <v>1454</v>
      </c>
      <c r="EC34" t="s">
        <v>1454</v>
      </c>
      <c r="EE34" t="s">
        <v>1454</v>
      </c>
      <c r="EF34" t="s">
        <v>1454</v>
      </c>
      <c r="EG34" t="s">
        <v>1454</v>
      </c>
      <c r="EI34" t="s">
        <v>1454</v>
      </c>
      <c r="EJ34" t="s">
        <v>1454</v>
      </c>
      <c r="EK34" t="s">
        <v>636</v>
      </c>
      <c r="EM34" t="s">
        <v>1454</v>
      </c>
      <c r="EN34" t="s">
        <v>1454</v>
      </c>
      <c r="EO34" t="s">
        <v>1454</v>
      </c>
      <c r="EQ34" t="s">
        <v>1454</v>
      </c>
      <c r="ER34" t="s">
        <v>1454</v>
      </c>
      <c r="ES34" t="s">
        <v>1454</v>
      </c>
      <c r="EU34" t="s">
        <v>1454</v>
      </c>
      <c r="EV34" t="s">
        <v>1454</v>
      </c>
      <c r="EW34" t="s">
        <v>1454</v>
      </c>
      <c r="EY34" t="s">
        <v>1454</v>
      </c>
      <c r="EZ34" t="s">
        <v>1454</v>
      </c>
      <c r="FA34" t="s">
        <v>1454</v>
      </c>
      <c r="FC34" t="s">
        <v>1454</v>
      </c>
      <c r="FD34" t="s">
        <v>1454</v>
      </c>
      <c r="FE34" t="s">
        <v>1454</v>
      </c>
      <c r="FG34" t="s">
        <v>1454</v>
      </c>
      <c r="FH34" t="s">
        <v>1454</v>
      </c>
      <c r="FI34" t="s">
        <v>1454</v>
      </c>
      <c r="FK34" t="s">
        <v>1454</v>
      </c>
      <c r="FL34" t="s">
        <v>1454</v>
      </c>
      <c r="FM34" t="s">
        <v>1454</v>
      </c>
      <c r="FO34" t="s">
        <v>602</v>
      </c>
      <c r="FP34" t="s">
        <v>1454</v>
      </c>
      <c r="FQ34" t="s">
        <v>602</v>
      </c>
      <c r="FS34" t="s">
        <v>1454</v>
      </c>
      <c r="FT34" t="s">
        <v>1454</v>
      </c>
      <c r="FU34" t="s">
        <v>1454</v>
      </c>
      <c r="FW34" t="s">
        <v>1454</v>
      </c>
      <c r="FX34" t="s">
        <v>1454</v>
      </c>
      <c r="FY34" t="s">
        <v>1454</v>
      </c>
      <c r="GA34" t="s">
        <v>1454</v>
      </c>
      <c r="GB34" t="s">
        <v>1454</v>
      </c>
      <c r="GC34" t="s">
        <v>1454</v>
      </c>
      <c r="GE34" t="s">
        <v>1454</v>
      </c>
      <c r="GF34" t="s">
        <v>1454</v>
      </c>
      <c r="GG34" t="s">
        <v>1454</v>
      </c>
      <c r="GI34" t="s">
        <v>1454</v>
      </c>
      <c r="GJ34" t="s">
        <v>1454</v>
      </c>
      <c r="GK34" t="s">
        <v>1454</v>
      </c>
      <c r="GM34" t="s">
        <v>1454</v>
      </c>
      <c r="GN34" t="s">
        <v>1454</v>
      </c>
      <c r="GO34" t="s">
        <v>1454</v>
      </c>
      <c r="GQ34" t="s">
        <v>1499</v>
      </c>
      <c r="GR34" t="s">
        <v>1500</v>
      </c>
      <c r="GS34" t="s">
        <v>1501</v>
      </c>
    </row>
    <row r="35" spans="2:201" s="11" customFormat="1" x14ac:dyDescent="0.25">
      <c r="B35" t="s">
        <v>385</v>
      </c>
      <c r="C35" t="s">
        <v>1454</v>
      </c>
      <c r="D35" t="s">
        <v>1454</v>
      </c>
      <c r="E35" t="s">
        <v>1454</v>
      </c>
      <c r="F35"/>
      <c r="G35" t="s">
        <v>1454</v>
      </c>
      <c r="H35" t="s">
        <v>1454</v>
      </c>
      <c r="I35" t="s">
        <v>1454</v>
      </c>
      <c r="J35"/>
      <c r="K35" t="s">
        <v>1454</v>
      </c>
      <c r="L35" t="s">
        <v>1454</v>
      </c>
      <c r="M35" t="s">
        <v>1454</v>
      </c>
      <c r="N35"/>
      <c r="O35" t="s">
        <v>1454</v>
      </c>
      <c r="P35" t="s">
        <v>1454</v>
      </c>
      <c r="Q35" t="s">
        <v>1454</v>
      </c>
      <c r="R35"/>
      <c r="S35" t="s">
        <v>1454</v>
      </c>
      <c r="T35" t="s">
        <v>1454</v>
      </c>
      <c r="U35" t="s">
        <v>1454</v>
      </c>
      <c r="V35"/>
      <c r="W35" t="s">
        <v>1454</v>
      </c>
      <c r="X35" t="s">
        <v>1454</v>
      </c>
      <c r="Y35" t="s">
        <v>1454</v>
      </c>
      <c r="Z35"/>
      <c r="AA35" t="s">
        <v>1454</v>
      </c>
      <c r="AB35" t="s">
        <v>1454</v>
      </c>
      <c r="AC35" t="s">
        <v>1454</v>
      </c>
      <c r="AD35"/>
      <c r="AE35" t="s">
        <v>1454</v>
      </c>
      <c r="AF35" t="s">
        <v>1454</v>
      </c>
      <c r="AG35" t="s">
        <v>1454</v>
      </c>
      <c r="AH35"/>
      <c r="AI35" t="s">
        <v>1454</v>
      </c>
      <c r="AJ35" t="s">
        <v>1454</v>
      </c>
      <c r="AK35" t="s">
        <v>1454</v>
      </c>
      <c r="AL35"/>
      <c r="AM35" t="s">
        <v>1454</v>
      </c>
      <c r="AN35" t="s">
        <v>1454</v>
      </c>
      <c r="AO35" t="s">
        <v>1454</v>
      </c>
      <c r="AP35"/>
      <c r="AQ35" t="s">
        <v>1454</v>
      </c>
      <c r="AR35" t="s">
        <v>1454</v>
      </c>
      <c r="AS35" t="s">
        <v>1454</v>
      </c>
      <c r="AT35"/>
      <c r="AU35" t="s">
        <v>1454</v>
      </c>
      <c r="AV35" t="s">
        <v>1454</v>
      </c>
      <c r="AW35" t="s">
        <v>1454</v>
      </c>
      <c r="AX35"/>
      <c r="AY35" t="s">
        <v>1454</v>
      </c>
      <c r="AZ35" t="s">
        <v>1454</v>
      </c>
      <c r="BA35" t="s">
        <v>1454</v>
      </c>
      <c r="BB35"/>
      <c r="BC35" t="s">
        <v>1454</v>
      </c>
      <c r="BD35" t="s">
        <v>1454</v>
      </c>
      <c r="BE35" t="s">
        <v>1454</v>
      </c>
      <c r="BF35"/>
      <c r="BG35" t="s">
        <v>616</v>
      </c>
      <c r="BH35" t="s">
        <v>1454</v>
      </c>
      <c r="BI35" t="s">
        <v>1454</v>
      </c>
      <c r="BJ35"/>
      <c r="BK35" t="s">
        <v>1454</v>
      </c>
      <c r="BL35" t="s">
        <v>1454</v>
      </c>
      <c r="BM35" t="s">
        <v>1454</v>
      </c>
      <c r="BN35"/>
      <c r="BO35" t="s">
        <v>1454</v>
      </c>
      <c r="BP35" t="s">
        <v>618</v>
      </c>
      <c r="BQ35" t="s">
        <v>1454</v>
      </c>
      <c r="BR35"/>
      <c r="BS35" t="s">
        <v>619</v>
      </c>
      <c r="BT35" t="s">
        <v>1454</v>
      </c>
      <c r="BU35" t="s">
        <v>1454</v>
      </c>
      <c r="BV35"/>
      <c r="BW35" t="s">
        <v>620</v>
      </c>
      <c r="BX35" t="s">
        <v>1454</v>
      </c>
      <c r="BY35" t="s">
        <v>1454</v>
      </c>
      <c r="BZ35"/>
      <c r="CA35" t="s">
        <v>1454</v>
      </c>
      <c r="CB35" t="s">
        <v>1454</v>
      </c>
      <c r="CC35" t="s">
        <v>1454</v>
      </c>
      <c r="CD35"/>
      <c r="CE35" t="s">
        <v>622</v>
      </c>
      <c r="CF35" t="s">
        <v>1454</v>
      </c>
      <c r="CG35" t="s">
        <v>1454</v>
      </c>
      <c r="CH35"/>
      <c r="CI35" t="s">
        <v>1454</v>
      </c>
      <c r="CJ35" t="s">
        <v>1454</v>
      </c>
      <c r="CK35" t="s">
        <v>1454</v>
      </c>
      <c r="CL35"/>
      <c r="CM35" t="s">
        <v>1454</v>
      </c>
      <c r="CN35" t="s">
        <v>1454</v>
      </c>
      <c r="CO35" t="s">
        <v>1454</v>
      </c>
      <c r="CP35"/>
      <c r="CQ35" t="s">
        <v>625</v>
      </c>
      <c r="CR35" t="s">
        <v>1454</v>
      </c>
      <c r="CS35" t="s">
        <v>625</v>
      </c>
      <c r="CT35"/>
      <c r="CU35" t="s">
        <v>626</v>
      </c>
      <c r="CV35" t="s">
        <v>1454</v>
      </c>
      <c r="CW35" t="s">
        <v>1454</v>
      </c>
      <c r="CX35"/>
      <c r="CY35" t="s">
        <v>627</v>
      </c>
      <c r="CZ35" t="s">
        <v>1454</v>
      </c>
      <c r="DA35" t="s">
        <v>1454</v>
      </c>
      <c r="DB35"/>
      <c r="DC35" t="s">
        <v>1454</v>
      </c>
      <c r="DD35" t="s">
        <v>1454</v>
      </c>
      <c r="DE35" t="s">
        <v>1454</v>
      </c>
      <c r="DF35"/>
      <c r="DG35" t="s">
        <v>1454</v>
      </c>
      <c r="DH35" t="s">
        <v>1454</v>
      </c>
      <c r="DI35" t="s">
        <v>1454</v>
      </c>
      <c r="DJ35"/>
      <c r="DK35" t="s">
        <v>1454</v>
      </c>
      <c r="DL35" t="s">
        <v>1454</v>
      </c>
      <c r="DM35" t="s">
        <v>1454</v>
      </c>
      <c r="DN35"/>
      <c r="DO35" t="s">
        <v>631</v>
      </c>
      <c r="DP35" t="s">
        <v>1454</v>
      </c>
      <c r="DQ35" t="s">
        <v>631</v>
      </c>
      <c r="DR35"/>
      <c r="DS35" t="s">
        <v>632</v>
      </c>
      <c r="DT35" t="s">
        <v>1454</v>
      </c>
      <c r="DU35" t="s">
        <v>632</v>
      </c>
      <c r="DV35"/>
      <c r="DW35" t="s">
        <v>633</v>
      </c>
      <c r="DX35" t="s">
        <v>1454</v>
      </c>
      <c r="DY35" t="s">
        <v>633</v>
      </c>
      <c r="DZ35"/>
      <c r="EA35" t="s">
        <v>634</v>
      </c>
      <c r="EB35" t="s">
        <v>1454</v>
      </c>
      <c r="EC35" t="s">
        <v>1454</v>
      </c>
      <c r="ED35"/>
      <c r="EE35" t="s">
        <v>1454</v>
      </c>
      <c r="EF35" t="s">
        <v>1454</v>
      </c>
      <c r="EG35" t="s">
        <v>1454</v>
      </c>
      <c r="EH35"/>
      <c r="EI35" t="s">
        <v>1454</v>
      </c>
      <c r="EJ35" t="s">
        <v>1454</v>
      </c>
      <c r="EK35" t="s">
        <v>1454</v>
      </c>
      <c r="EL35"/>
      <c r="EM35" t="s">
        <v>1454</v>
      </c>
      <c r="EN35" t="s">
        <v>1454</v>
      </c>
      <c r="EO35" t="s">
        <v>1454</v>
      </c>
      <c r="EP35"/>
      <c r="EQ35" t="s">
        <v>1454</v>
      </c>
      <c r="ER35" t="s">
        <v>1454</v>
      </c>
      <c r="ES35" t="s">
        <v>1454</v>
      </c>
      <c r="ET35"/>
      <c r="EU35" t="s">
        <v>1454</v>
      </c>
      <c r="EV35" t="s">
        <v>1454</v>
      </c>
      <c r="EW35" t="s">
        <v>1454</v>
      </c>
      <c r="EX35"/>
      <c r="EY35" t="s">
        <v>1454</v>
      </c>
      <c r="EZ35" t="s">
        <v>1454</v>
      </c>
      <c r="FA35" t="s">
        <v>1454</v>
      </c>
      <c r="FB35"/>
      <c r="FC35" t="s">
        <v>1454</v>
      </c>
      <c r="FD35" t="s">
        <v>1454</v>
      </c>
      <c r="FE35" t="s">
        <v>1454</v>
      </c>
      <c r="FF35"/>
      <c r="FG35" t="s">
        <v>1454</v>
      </c>
      <c r="FH35" t="s">
        <v>1454</v>
      </c>
      <c r="FI35" t="s">
        <v>1454</v>
      </c>
      <c r="FJ35"/>
      <c r="FK35" t="s">
        <v>1454</v>
      </c>
      <c r="FL35" t="s">
        <v>1454</v>
      </c>
      <c r="FM35" t="s">
        <v>1454</v>
      </c>
      <c r="FN35"/>
      <c r="FO35" t="s">
        <v>1454</v>
      </c>
      <c r="FP35" t="s">
        <v>1454</v>
      </c>
      <c r="FQ35" t="s">
        <v>1454</v>
      </c>
      <c r="FR35"/>
      <c r="FS35" t="s">
        <v>644</v>
      </c>
      <c r="FT35" t="s">
        <v>1454</v>
      </c>
      <c r="FU35" t="s">
        <v>644</v>
      </c>
      <c r="FV35"/>
      <c r="FW35" t="s">
        <v>645</v>
      </c>
      <c r="FX35" t="s">
        <v>1454</v>
      </c>
      <c r="FY35" t="s">
        <v>1454</v>
      </c>
      <c r="FZ35"/>
      <c r="GA35" t="s">
        <v>1454</v>
      </c>
      <c r="GB35" t="s">
        <v>1454</v>
      </c>
      <c r="GC35" t="s">
        <v>1454</v>
      </c>
      <c r="GD35"/>
      <c r="GE35" t="s">
        <v>1454</v>
      </c>
      <c r="GF35" t="s">
        <v>1454</v>
      </c>
      <c r="GG35" t="s">
        <v>1454</v>
      </c>
      <c r="GH35"/>
      <c r="GI35" t="s">
        <v>648</v>
      </c>
      <c r="GJ35" t="s">
        <v>1454</v>
      </c>
      <c r="GK35" t="s">
        <v>648</v>
      </c>
      <c r="GL35"/>
      <c r="GM35" t="s">
        <v>1454</v>
      </c>
      <c r="GN35" t="s">
        <v>1454</v>
      </c>
      <c r="GO35" t="s">
        <v>1454</v>
      </c>
      <c r="GP35"/>
      <c r="GQ35" t="s">
        <v>1502</v>
      </c>
      <c r="GR35" t="s">
        <v>1503</v>
      </c>
      <c r="GS35" t="s">
        <v>1504</v>
      </c>
    </row>
    <row r="36" spans="2:201" x14ac:dyDescent="0.25">
      <c r="B36" t="s">
        <v>386</v>
      </c>
      <c r="C36" t="s">
        <v>1454</v>
      </c>
      <c r="D36" t="s">
        <v>1454</v>
      </c>
      <c r="E36" t="s">
        <v>1454</v>
      </c>
      <c r="G36" t="s">
        <v>604</v>
      </c>
      <c r="H36" t="s">
        <v>1454</v>
      </c>
      <c r="I36" t="s">
        <v>604</v>
      </c>
      <c r="K36" t="s">
        <v>1454</v>
      </c>
      <c r="L36" t="s">
        <v>1454</v>
      </c>
      <c r="M36" t="s">
        <v>1454</v>
      </c>
      <c r="O36" t="s">
        <v>1454</v>
      </c>
      <c r="P36" t="s">
        <v>1454</v>
      </c>
      <c r="Q36" t="s">
        <v>1454</v>
      </c>
      <c r="S36" t="s">
        <v>1454</v>
      </c>
      <c r="T36" t="s">
        <v>1454</v>
      </c>
      <c r="U36" t="s">
        <v>1454</v>
      </c>
      <c r="W36" t="s">
        <v>1454</v>
      </c>
      <c r="X36" t="s">
        <v>1454</v>
      </c>
      <c r="Y36" t="s">
        <v>1454</v>
      </c>
      <c r="AA36" t="s">
        <v>1454</v>
      </c>
      <c r="AB36" t="s">
        <v>1454</v>
      </c>
      <c r="AC36" t="s">
        <v>1454</v>
      </c>
      <c r="AE36" t="s">
        <v>1454</v>
      </c>
      <c r="AF36" t="s">
        <v>1454</v>
      </c>
      <c r="AG36" t="s">
        <v>1454</v>
      </c>
      <c r="AI36" t="s">
        <v>1454</v>
      </c>
      <c r="AJ36" t="s">
        <v>1454</v>
      </c>
      <c r="AK36" t="s">
        <v>1454</v>
      </c>
      <c r="AM36" t="s">
        <v>1454</v>
      </c>
      <c r="AN36" t="s">
        <v>1454</v>
      </c>
      <c r="AO36" t="s">
        <v>1454</v>
      </c>
      <c r="AQ36" t="s">
        <v>1454</v>
      </c>
      <c r="AR36" t="s">
        <v>1454</v>
      </c>
      <c r="AS36" t="s">
        <v>1454</v>
      </c>
      <c r="AU36" t="s">
        <v>1454</v>
      </c>
      <c r="AV36" t="s">
        <v>1454</v>
      </c>
      <c r="AW36" t="s">
        <v>1454</v>
      </c>
      <c r="AY36" t="s">
        <v>1454</v>
      </c>
      <c r="AZ36" t="s">
        <v>1454</v>
      </c>
      <c r="BA36" t="s">
        <v>1454</v>
      </c>
      <c r="BC36" t="s">
        <v>1454</v>
      </c>
      <c r="BD36" t="s">
        <v>1454</v>
      </c>
      <c r="BE36" t="s">
        <v>1454</v>
      </c>
      <c r="BG36" t="s">
        <v>1454</v>
      </c>
      <c r="BH36" t="s">
        <v>1454</v>
      </c>
      <c r="BI36" t="s">
        <v>1454</v>
      </c>
      <c r="BK36" t="s">
        <v>1454</v>
      </c>
      <c r="BL36" t="s">
        <v>1454</v>
      </c>
      <c r="BM36" t="s">
        <v>1454</v>
      </c>
      <c r="BO36" t="s">
        <v>1454</v>
      </c>
      <c r="BP36" t="s">
        <v>1454</v>
      </c>
      <c r="BQ36" t="s">
        <v>1454</v>
      </c>
      <c r="BS36" t="s">
        <v>1454</v>
      </c>
      <c r="BT36" t="s">
        <v>1454</v>
      </c>
      <c r="BU36" t="s">
        <v>1454</v>
      </c>
      <c r="BW36" t="s">
        <v>1454</v>
      </c>
      <c r="BX36" t="s">
        <v>620</v>
      </c>
      <c r="BY36" t="s">
        <v>1454</v>
      </c>
      <c r="CA36" t="s">
        <v>1454</v>
      </c>
      <c r="CB36" t="s">
        <v>1454</v>
      </c>
      <c r="CC36" t="s">
        <v>1454</v>
      </c>
      <c r="CE36" t="s">
        <v>1454</v>
      </c>
      <c r="CF36" t="s">
        <v>1454</v>
      </c>
      <c r="CG36" t="s">
        <v>1454</v>
      </c>
      <c r="CI36" t="s">
        <v>1454</v>
      </c>
      <c r="CJ36" t="s">
        <v>1454</v>
      </c>
      <c r="CK36" t="s">
        <v>1454</v>
      </c>
      <c r="CM36" t="s">
        <v>1454</v>
      </c>
      <c r="CN36" t="s">
        <v>1454</v>
      </c>
      <c r="CO36" t="s">
        <v>1454</v>
      </c>
      <c r="CQ36" t="s">
        <v>1454</v>
      </c>
      <c r="CR36" t="s">
        <v>1454</v>
      </c>
      <c r="CS36" t="s">
        <v>1454</v>
      </c>
      <c r="CU36" t="s">
        <v>1454</v>
      </c>
      <c r="CV36" t="s">
        <v>1454</v>
      </c>
      <c r="CW36" t="s">
        <v>1454</v>
      </c>
      <c r="CY36" t="s">
        <v>627</v>
      </c>
      <c r="CZ36" t="s">
        <v>1454</v>
      </c>
      <c r="DA36" t="s">
        <v>1454</v>
      </c>
      <c r="DC36" t="s">
        <v>1454</v>
      </c>
      <c r="DD36" t="s">
        <v>1454</v>
      </c>
      <c r="DE36" t="s">
        <v>1454</v>
      </c>
      <c r="DG36" t="s">
        <v>1454</v>
      </c>
      <c r="DH36" t="s">
        <v>1454</v>
      </c>
      <c r="DI36" t="s">
        <v>1454</v>
      </c>
      <c r="DK36" t="s">
        <v>1454</v>
      </c>
      <c r="DL36" t="s">
        <v>1454</v>
      </c>
      <c r="DM36" t="s">
        <v>1454</v>
      </c>
      <c r="DO36" t="s">
        <v>1454</v>
      </c>
      <c r="DP36" t="s">
        <v>1454</v>
      </c>
      <c r="DQ36" t="s">
        <v>1454</v>
      </c>
      <c r="DS36" t="s">
        <v>1454</v>
      </c>
      <c r="DT36" t="s">
        <v>1454</v>
      </c>
      <c r="DU36" t="s">
        <v>1454</v>
      </c>
      <c r="DW36" t="s">
        <v>1454</v>
      </c>
      <c r="DX36" t="s">
        <v>1454</v>
      </c>
      <c r="DY36" t="s">
        <v>1454</v>
      </c>
      <c r="EA36" t="s">
        <v>634</v>
      </c>
      <c r="EB36" t="s">
        <v>1454</v>
      </c>
      <c r="EC36" t="s">
        <v>634</v>
      </c>
      <c r="EE36" t="s">
        <v>1454</v>
      </c>
      <c r="EF36" t="s">
        <v>1454</v>
      </c>
      <c r="EG36" t="s">
        <v>1454</v>
      </c>
      <c r="EI36" t="s">
        <v>636</v>
      </c>
      <c r="EJ36" t="s">
        <v>1454</v>
      </c>
      <c r="EK36" t="s">
        <v>636</v>
      </c>
      <c r="EM36" t="s">
        <v>637</v>
      </c>
      <c r="EN36" t="s">
        <v>1454</v>
      </c>
      <c r="EO36" t="s">
        <v>637</v>
      </c>
      <c r="EQ36" t="s">
        <v>1454</v>
      </c>
      <c r="ER36" t="s">
        <v>1454</v>
      </c>
      <c r="ES36" t="s">
        <v>1454</v>
      </c>
      <c r="EU36" t="s">
        <v>1454</v>
      </c>
      <c r="EV36" t="s">
        <v>1454</v>
      </c>
      <c r="EW36" t="s">
        <v>1454</v>
      </c>
      <c r="EY36" t="s">
        <v>1454</v>
      </c>
      <c r="EZ36" t="s">
        <v>1454</v>
      </c>
      <c r="FA36" t="s">
        <v>1454</v>
      </c>
      <c r="FC36" t="s">
        <v>1454</v>
      </c>
      <c r="FD36" t="s">
        <v>1454</v>
      </c>
      <c r="FE36" t="s">
        <v>1454</v>
      </c>
      <c r="FG36" t="s">
        <v>1454</v>
      </c>
      <c r="FH36" t="s">
        <v>1454</v>
      </c>
      <c r="FI36" t="s">
        <v>1454</v>
      </c>
      <c r="FK36" t="s">
        <v>1454</v>
      </c>
      <c r="FL36" t="s">
        <v>1454</v>
      </c>
      <c r="FM36" t="s">
        <v>1454</v>
      </c>
      <c r="FO36" t="s">
        <v>1454</v>
      </c>
      <c r="FP36" t="s">
        <v>1454</v>
      </c>
      <c r="FQ36" t="s">
        <v>1454</v>
      </c>
      <c r="FS36" t="s">
        <v>1454</v>
      </c>
      <c r="FT36" t="s">
        <v>1454</v>
      </c>
      <c r="FU36" t="s">
        <v>1454</v>
      </c>
      <c r="FW36" t="s">
        <v>645</v>
      </c>
      <c r="FX36" t="s">
        <v>1454</v>
      </c>
      <c r="FY36" t="s">
        <v>645</v>
      </c>
      <c r="GA36" t="s">
        <v>1454</v>
      </c>
      <c r="GB36" t="s">
        <v>1454</v>
      </c>
      <c r="GC36" t="s">
        <v>1454</v>
      </c>
      <c r="GE36" t="s">
        <v>1454</v>
      </c>
      <c r="GF36" t="s">
        <v>1454</v>
      </c>
      <c r="GG36" t="s">
        <v>1454</v>
      </c>
      <c r="GI36" t="s">
        <v>648</v>
      </c>
      <c r="GJ36" t="s">
        <v>1454</v>
      </c>
      <c r="GK36" t="s">
        <v>648</v>
      </c>
      <c r="GM36" t="s">
        <v>1454</v>
      </c>
      <c r="GN36" t="s">
        <v>1454</v>
      </c>
      <c r="GO36" t="s">
        <v>1454</v>
      </c>
      <c r="GQ36" t="s">
        <v>1505</v>
      </c>
      <c r="GR36" t="s">
        <v>1506</v>
      </c>
      <c r="GS36" t="s">
        <v>1507</v>
      </c>
    </row>
    <row r="37" spans="2:201" x14ac:dyDescent="0.25">
      <c r="B37" t="s">
        <v>387</v>
      </c>
      <c r="C37" t="s">
        <v>1454</v>
      </c>
      <c r="D37" t="s">
        <v>1454</v>
      </c>
      <c r="E37" t="s">
        <v>1454</v>
      </c>
      <c r="G37" t="s">
        <v>1454</v>
      </c>
      <c r="H37" t="s">
        <v>1454</v>
      </c>
      <c r="I37" t="s">
        <v>604</v>
      </c>
      <c r="K37" t="s">
        <v>1454</v>
      </c>
      <c r="L37" t="s">
        <v>1454</v>
      </c>
      <c r="M37" t="s">
        <v>1454</v>
      </c>
      <c r="O37" t="s">
        <v>1454</v>
      </c>
      <c r="P37" t="s">
        <v>1454</v>
      </c>
      <c r="Q37" t="s">
        <v>1454</v>
      </c>
      <c r="S37" t="s">
        <v>1454</v>
      </c>
      <c r="T37" t="s">
        <v>1454</v>
      </c>
      <c r="U37" t="s">
        <v>1454</v>
      </c>
      <c r="W37" t="s">
        <v>1454</v>
      </c>
      <c r="X37" t="s">
        <v>1454</v>
      </c>
      <c r="Y37" t="s">
        <v>1454</v>
      </c>
      <c r="AA37" t="s">
        <v>1454</v>
      </c>
      <c r="AB37" t="s">
        <v>1454</v>
      </c>
      <c r="AC37" t="s">
        <v>1454</v>
      </c>
      <c r="AE37" t="s">
        <v>1454</v>
      </c>
      <c r="AF37" t="s">
        <v>1454</v>
      </c>
      <c r="AG37" t="s">
        <v>1454</v>
      </c>
      <c r="AI37" t="s">
        <v>1454</v>
      </c>
      <c r="AJ37" t="s">
        <v>1454</v>
      </c>
      <c r="AK37" t="s">
        <v>1454</v>
      </c>
      <c r="AM37" t="s">
        <v>1454</v>
      </c>
      <c r="AN37" t="s">
        <v>1454</v>
      </c>
      <c r="AO37" t="s">
        <v>1454</v>
      </c>
      <c r="AQ37" t="s">
        <v>1454</v>
      </c>
      <c r="AR37" t="s">
        <v>1454</v>
      </c>
      <c r="AS37" t="s">
        <v>1454</v>
      </c>
      <c r="AU37" t="s">
        <v>1454</v>
      </c>
      <c r="AV37" t="s">
        <v>1454</v>
      </c>
      <c r="AW37" t="s">
        <v>1454</v>
      </c>
      <c r="AY37" t="s">
        <v>614</v>
      </c>
      <c r="AZ37" t="s">
        <v>1454</v>
      </c>
      <c r="BA37" t="s">
        <v>1454</v>
      </c>
      <c r="BC37" t="s">
        <v>1454</v>
      </c>
      <c r="BD37" t="s">
        <v>1454</v>
      </c>
      <c r="BE37" t="s">
        <v>1454</v>
      </c>
      <c r="BG37" t="s">
        <v>1454</v>
      </c>
      <c r="BH37" t="s">
        <v>1454</v>
      </c>
      <c r="BI37" t="s">
        <v>1454</v>
      </c>
      <c r="BK37" t="s">
        <v>617</v>
      </c>
      <c r="BL37" t="s">
        <v>1454</v>
      </c>
      <c r="BM37" t="s">
        <v>617</v>
      </c>
      <c r="BO37" t="s">
        <v>1454</v>
      </c>
      <c r="BP37" t="s">
        <v>1454</v>
      </c>
      <c r="BQ37" t="s">
        <v>1454</v>
      </c>
      <c r="BS37" t="s">
        <v>1454</v>
      </c>
      <c r="BT37" t="s">
        <v>1454</v>
      </c>
      <c r="BU37" t="s">
        <v>1454</v>
      </c>
      <c r="BW37" t="s">
        <v>1454</v>
      </c>
      <c r="BX37" t="s">
        <v>1454</v>
      </c>
      <c r="BY37" t="s">
        <v>1454</v>
      </c>
      <c r="CA37" t="s">
        <v>1454</v>
      </c>
      <c r="CB37" t="s">
        <v>621</v>
      </c>
      <c r="CC37" t="s">
        <v>1454</v>
      </c>
      <c r="CE37" t="s">
        <v>622</v>
      </c>
      <c r="CF37" t="s">
        <v>1454</v>
      </c>
      <c r="CG37" t="s">
        <v>1454</v>
      </c>
      <c r="CI37" t="s">
        <v>623</v>
      </c>
      <c r="CJ37" t="s">
        <v>1454</v>
      </c>
      <c r="CK37" t="s">
        <v>1454</v>
      </c>
      <c r="CM37" t="s">
        <v>624</v>
      </c>
      <c r="CN37" t="s">
        <v>1454</v>
      </c>
      <c r="CO37" t="s">
        <v>1454</v>
      </c>
      <c r="CQ37" t="s">
        <v>625</v>
      </c>
      <c r="CR37" t="s">
        <v>1454</v>
      </c>
      <c r="CS37" t="s">
        <v>1454</v>
      </c>
      <c r="CU37" t="s">
        <v>1454</v>
      </c>
      <c r="CV37" t="s">
        <v>1454</v>
      </c>
      <c r="CW37" t="s">
        <v>1454</v>
      </c>
      <c r="CY37" t="s">
        <v>627</v>
      </c>
      <c r="CZ37" t="s">
        <v>1454</v>
      </c>
      <c r="DA37" t="s">
        <v>1454</v>
      </c>
      <c r="DC37" t="s">
        <v>1454</v>
      </c>
      <c r="DD37" t="s">
        <v>1454</v>
      </c>
      <c r="DE37" t="s">
        <v>1454</v>
      </c>
      <c r="DG37" t="s">
        <v>1454</v>
      </c>
      <c r="DH37" t="s">
        <v>1454</v>
      </c>
      <c r="DI37" t="s">
        <v>1454</v>
      </c>
      <c r="DK37" t="s">
        <v>1454</v>
      </c>
      <c r="DL37" t="s">
        <v>1454</v>
      </c>
      <c r="DM37" t="s">
        <v>1454</v>
      </c>
      <c r="DO37" t="s">
        <v>1454</v>
      </c>
      <c r="DP37" t="s">
        <v>1454</v>
      </c>
      <c r="DQ37" t="s">
        <v>1454</v>
      </c>
      <c r="DS37" t="s">
        <v>1454</v>
      </c>
      <c r="DT37" t="s">
        <v>1454</v>
      </c>
      <c r="DU37" t="s">
        <v>1454</v>
      </c>
      <c r="DW37" t="s">
        <v>1454</v>
      </c>
      <c r="DX37" t="s">
        <v>1454</v>
      </c>
      <c r="DY37" t="s">
        <v>1454</v>
      </c>
      <c r="EA37" t="s">
        <v>1454</v>
      </c>
      <c r="EB37" t="s">
        <v>1454</v>
      </c>
      <c r="EC37" t="s">
        <v>1454</v>
      </c>
      <c r="EE37" t="s">
        <v>635</v>
      </c>
      <c r="EF37" t="s">
        <v>1454</v>
      </c>
      <c r="EG37" t="s">
        <v>1454</v>
      </c>
      <c r="EI37" t="s">
        <v>636</v>
      </c>
      <c r="EJ37" t="s">
        <v>1454</v>
      </c>
      <c r="EK37" t="s">
        <v>636</v>
      </c>
      <c r="EM37" t="s">
        <v>637</v>
      </c>
      <c r="EN37" t="s">
        <v>1454</v>
      </c>
      <c r="EO37" t="s">
        <v>1454</v>
      </c>
      <c r="EQ37" t="s">
        <v>1454</v>
      </c>
      <c r="ER37" t="s">
        <v>1454</v>
      </c>
      <c r="ES37" t="s">
        <v>1454</v>
      </c>
      <c r="EU37" t="s">
        <v>1454</v>
      </c>
      <c r="EV37" t="s">
        <v>1454</v>
      </c>
      <c r="EW37" t="s">
        <v>1454</v>
      </c>
      <c r="EY37" t="s">
        <v>1454</v>
      </c>
      <c r="EZ37" t="s">
        <v>1454</v>
      </c>
      <c r="FA37" t="s">
        <v>1454</v>
      </c>
      <c r="FC37" t="s">
        <v>1454</v>
      </c>
      <c r="FD37" t="s">
        <v>1454</v>
      </c>
      <c r="FE37" t="s">
        <v>1454</v>
      </c>
      <c r="FG37" t="s">
        <v>1454</v>
      </c>
      <c r="FH37" t="s">
        <v>1454</v>
      </c>
      <c r="FI37" t="s">
        <v>1454</v>
      </c>
      <c r="FK37" t="s">
        <v>1454</v>
      </c>
      <c r="FL37" t="s">
        <v>1454</v>
      </c>
      <c r="FM37" t="s">
        <v>1454</v>
      </c>
      <c r="FO37" t="s">
        <v>1454</v>
      </c>
      <c r="FP37" t="s">
        <v>1454</v>
      </c>
      <c r="FQ37" t="s">
        <v>1454</v>
      </c>
      <c r="FS37" t="s">
        <v>1454</v>
      </c>
      <c r="FT37" t="s">
        <v>1454</v>
      </c>
      <c r="FU37" t="s">
        <v>1454</v>
      </c>
      <c r="FW37" t="s">
        <v>1454</v>
      </c>
      <c r="FX37" t="s">
        <v>1454</v>
      </c>
      <c r="FY37" t="s">
        <v>1454</v>
      </c>
      <c r="GA37" t="s">
        <v>646</v>
      </c>
      <c r="GB37" t="s">
        <v>1454</v>
      </c>
      <c r="GC37" t="s">
        <v>1454</v>
      </c>
      <c r="GE37" t="s">
        <v>647</v>
      </c>
      <c r="GF37" t="s">
        <v>1454</v>
      </c>
      <c r="GG37" t="s">
        <v>647</v>
      </c>
      <c r="GI37" t="s">
        <v>1454</v>
      </c>
      <c r="GJ37" t="s">
        <v>1454</v>
      </c>
      <c r="GK37" t="s">
        <v>1454</v>
      </c>
      <c r="GM37" t="s">
        <v>1454</v>
      </c>
      <c r="GN37" t="s">
        <v>1454</v>
      </c>
      <c r="GO37" t="s">
        <v>1454</v>
      </c>
      <c r="GQ37" t="s">
        <v>1508</v>
      </c>
      <c r="GR37" t="s">
        <v>1509</v>
      </c>
      <c r="GS37" t="s">
        <v>1510</v>
      </c>
    </row>
    <row r="38" spans="2:201" ht="16.5" customHeight="1" x14ac:dyDescent="0.25">
      <c r="B38" t="s">
        <v>388</v>
      </c>
      <c r="C38" t="s">
        <v>1454</v>
      </c>
      <c r="D38" t="s">
        <v>1454</v>
      </c>
      <c r="E38" t="s">
        <v>1454</v>
      </c>
      <c r="G38" t="s">
        <v>1454</v>
      </c>
      <c r="H38" t="s">
        <v>1454</v>
      </c>
      <c r="I38" t="s">
        <v>1454</v>
      </c>
      <c r="K38" t="s">
        <v>1454</v>
      </c>
      <c r="L38" t="s">
        <v>1454</v>
      </c>
      <c r="M38" t="s">
        <v>1454</v>
      </c>
      <c r="O38" t="s">
        <v>1454</v>
      </c>
      <c r="P38" t="s">
        <v>1454</v>
      </c>
      <c r="Q38" t="s">
        <v>1454</v>
      </c>
      <c r="S38" t="s">
        <v>1454</v>
      </c>
      <c r="T38" t="s">
        <v>1454</v>
      </c>
      <c r="U38" t="s">
        <v>1454</v>
      </c>
      <c r="W38" t="s">
        <v>1454</v>
      </c>
      <c r="X38" t="s">
        <v>1454</v>
      </c>
      <c r="Y38" t="s">
        <v>1454</v>
      </c>
      <c r="AA38" t="s">
        <v>1454</v>
      </c>
      <c r="AB38" t="s">
        <v>1454</v>
      </c>
      <c r="AC38" t="s">
        <v>1454</v>
      </c>
      <c r="AE38" t="s">
        <v>1454</v>
      </c>
      <c r="AF38" t="s">
        <v>1454</v>
      </c>
      <c r="AG38" t="s">
        <v>1454</v>
      </c>
      <c r="AI38" t="s">
        <v>1454</v>
      </c>
      <c r="AJ38" t="s">
        <v>1454</v>
      </c>
      <c r="AK38" t="s">
        <v>1454</v>
      </c>
      <c r="AM38" t="s">
        <v>1454</v>
      </c>
      <c r="AN38" t="s">
        <v>1454</v>
      </c>
      <c r="AO38" t="s">
        <v>1454</v>
      </c>
      <c r="AQ38" t="s">
        <v>1454</v>
      </c>
      <c r="AR38" t="s">
        <v>1454</v>
      </c>
      <c r="AS38" t="s">
        <v>1454</v>
      </c>
      <c r="AU38" t="s">
        <v>1454</v>
      </c>
      <c r="AV38" t="s">
        <v>1454</v>
      </c>
      <c r="AW38" t="s">
        <v>1454</v>
      </c>
      <c r="AY38" t="s">
        <v>1454</v>
      </c>
      <c r="AZ38" t="s">
        <v>1454</v>
      </c>
      <c r="BA38" t="s">
        <v>1454</v>
      </c>
      <c r="BC38" t="s">
        <v>1454</v>
      </c>
      <c r="BD38" t="s">
        <v>1454</v>
      </c>
      <c r="BE38" t="s">
        <v>1454</v>
      </c>
      <c r="BG38" t="s">
        <v>1454</v>
      </c>
      <c r="BH38" t="s">
        <v>1454</v>
      </c>
      <c r="BI38" t="s">
        <v>1454</v>
      </c>
      <c r="BK38" t="s">
        <v>1454</v>
      </c>
      <c r="BL38" t="s">
        <v>1454</v>
      </c>
      <c r="BM38" t="s">
        <v>1454</v>
      </c>
      <c r="BO38" t="s">
        <v>1454</v>
      </c>
      <c r="BP38" t="s">
        <v>1454</v>
      </c>
      <c r="BQ38" t="s">
        <v>1454</v>
      </c>
      <c r="BS38" t="s">
        <v>1454</v>
      </c>
      <c r="BT38" t="s">
        <v>1454</v>
      </c>
      <c r="BU38" t="s">
        <v>1454</v>
      </c>
      <c r="BW38" t="s">
        <v>1454</v>
      </c>
      <c r="BX38" t="s">
        <v>1454</v>
      </c>
      <c r="BY38" t="s">
        <v>1454</v>
      </c>
      <c r="CA38" t="s">
        <v>1454</v>
      </c>
      <c r="CB38" t="s">
        <v>1454</v>
      </c>
      <c r="CC38" t="s">
        <v>1454</v>
      </c>
      <c r="CE38" t="s">
        <v>1454</v>
      </c>
      <c r="CF38" t="s">
        <v>1454</v>
      </c>
      <c r="CG38" t="s">
        <v>1454</v>
      </c>
      <c r="CI38" t="s">
        <v>1454</v>
      </c>
      <c r="CJ38" t="s">
        <v>1454</v>
      </c>
      <c r="CK38" t="s">
        <v>1454</v>
      </c>
      <c r="CM38" t="s">
        <v>1454</v>
      </c>
      <c r="CN38" t="s">
        <v>1454</v>
      </c>
      <c r="CO38" t="s">
        <v>1454</v>
      </c>
      <c r="CQ38" t="s">
        <v>1454</v>
      </c>
      <c r="CR38" t="s">
        <v>1454</v>
      </c>
      <c r="CS38" t="s">
        <v>625</v>
      </c>
      <c r="CU38" t="s">
        <v>1454</v>
      </c>
      <c r="CV38" t="s">
        <v>626</v>
      </c>
      <c r="CW38" t="s">
        <v>1454</v>
      </c>
      <c r="CY38" t="s">
        <v>1454</v>
      </c>
      <c r="CZ38" t="s">
        <v>1454</v>
      </c>
      <c r="DA38" t="s">
        <v>1454</v>
      </c>
      <c r="DC38" t="s">
        <v>1454</v>
      </c>
      <c r="DD38" t="s">
        <v>1454</v>
      </c>
      <c r="DE38" t="s">
        <v>1454</v>
      </c>
      <c r="DG38" t="s">
        <v>1454</v>
      </c>
      <c r="DH38" t="s">
        <v>1454</v>
      </c>
      <c r="DI38" t="s">
        <v>1454</v>
      </c>
      <c r="DK38" t="s">
        <v>1454</v>
      </c>
      <c r="DL38" t="s">
        <v>1454</v>
      </c>
      <c r="DM38" t="s">
        <v>1454</v>
      </c>
      <c r="DO38" t="s">
        <v>631</v>
      </c>
      <c r="DP38" t="s">
        <v>1454</v>
      </c>
      <c r="DQ38" t="s">
        <v>1454</v>
      </c>
      <c r="DS38" t="s">
        <v>1454</v>
      </c>
      <c r="DT38" t="s">
        <v>1454</v>
      </c>
      <c r="DU38" t="s">
        <v>1454</v>
      </c>
      <c r="DW38" t="s">
        <v>1454</v>
      </c>
      <c r="DX38" t="s">
        <v>1454</v>
      </c>
      <c r="DY38" t="s">
        <v>1454</v>
      </c>
      <c r="EA38" t="s">
        <v>1454</v>
      </c>
      <c r="EB38" t="s">
        <v>1454</v>
      </c>
      <c r="EC38" t="s">
        <v>1454</v>
      </c>
      <c r="EE38" t="s">
        <v>1454</v>
      </c>
      <c r="EF38" t="s">
        <v>1454</v>
      </c>
      <c r="EG38" t="s">
        <v>1454</v>
      </c>
      <c r="EI38" t="s">
        <v>636</v>
      </c>
      <c r="EJ38" t="s">
        <v>1454</v>
      </c>
      <c r="EK38" t="s">
        <v>636</v>
      </c>
      <c r="EM38" t="s">
        <v>1454</v>
      </c>
      <c r="EN38" t="s">
        <v>1454</v>
      </c>
      <c r="EO38" t="s">
        <v>1454</v>
      </c>
      <c r="EQ38" t="s">
        <v>1454</v>
      </c>
      <c r="ER38" t="s">
        <v>1454</v>
      </c>
      <c r="ES38" t="s">
        <v>1454</v>
      </c>
      <c r="EU38" t="s">
        <v>1454</v>
      </c>
      <c r="EV38" t="s">
        <v>1454</v>
      </c>
      <c r="EW38" t="s">
        <v>1454</v>
      </c>
      <c r="EY38" t="s">
        <v>1454</v>
      </c>
      <c r="EZ38" t="s">
        <v>1454</v>
      </c>
      <c r="FA38" t="s">
        <v>1454</v>
      </c>
      <c r="FC38" t="s">
        <v>1454</v>
      </c>
      <c r="FD38" t="s">
        <v>1454</v>
      </c>
      <c r="FE38" t="s">
        <v>1454</v>
      </c>
      <c r="FG38" t="s">
        <v>1454</v>
      </c>
      <c r="FH38" t="s">
        <v>1454</v>
      </c>
      <c r="FI38" t="s">
        <v>1454</v>
      </c>
      <c r="FK38" t="s">
        <v>1454</v>
      </c>
      <c r="FL38" t="s">
        <v>1454</v>
      </c>
      <c r="FM38" t="s">
        <v>1454</v>
      </c>
      <c r="FO38" t="s">
        <v>1454</v>
      </c>
      <c r="FP38" t="s">
        <v>1454</v>
      </c>
      <c r="FQ38" t="s">
        <v>1454</v>
      </c>
      <c r="FS38" t="s">
        <v>1454</v>
      </c>
      <c r="FT38" t="s">
        <v>1454</v>
      </c>
      <c r="FU38" t="s">
        <v>1454</v>
      </c>
      <c r="FW38" t="s">
        <v>1454</v>
      </c>
      <c r="FX38" t="s">
        <v>1454</v>
      </c>
      <c r="FY38" t="s">
        <v>1454</v>
      </c>
      <c r="GA38" t="s">
        <v>1454</v>
      </c>
      <c r="GB38" t="s">
        <v>1454</v>
      </c>
      <c r="GC38" t="s">
        <v>1454</v>
      </c>
      <c r="GE38" t="s">
        <v>647</v>
      </c>
      <c r="GF38" t="s">
        <v>1454</v>
      </c>
      <c r="GG38" t="s">
        <v>647</v>
      </c>
      <c r="GI38" t="s">
        <v>1454</v>
      </c>
      <c r="GJ38" t="s">
        <v>1454</v>
      </c>
      <c r="GK38" t="s">
        <v>1454</v>
      </c>
      <c r="GM38" t="s">
        <v>1454</v>
      </c>
      <c r="GN38" t="s">
        <v>1454</v>
      </c>
      <c r="GO38" t="s">
        <v>1454</v>
      </c>
      <c r="GQ38" t="s">
        <v>1511</v>
      </c>
      <c r="GR38" t="s">
        <v>1463</v>
      </c>
      <c r="GS38" t="s">
        <v>1512</v>
      </c>
    </row>
    <row r="39" spans="2:201" s="11" customFormat="1" x14ac:dyDescent="0.25">
      <c r="B39" t="s">
        <v>389</v>
      </c>
      <c r="C39" t="s">
        <v>1454</v>
      </c>
      <c r="D39" t="s">
        <v>1454</v>
      </c>
      <c r="E39" t="s">
        <v>1454</v>
      </c>
      <c r="F39"/>
      <c r="G39" t="s">
        <v>604</v>
      </c>
      <c r="H39" t="s">
        <v>1454</v>
      </c>
      <c r="I39" t="s">
        <v>604</v>
      </c>
      <c r="J39"/>
      <c r="K39" t="s">
        <v>1454</v>
      </c>
      <c r="L39" t="s">
        <v>1454</v>
      </c>
      <c r="M39" t="s">
        <v>1454</v>
      </c>
      <c r="N39"/>
      <c r="O39" t="s">
        <v>1454</v>
      </c>
      <c r="P39" t="s">
        <v>1454</v>
      </c>
      <c r="Q39" t="s">
        <v>1454</v>
      </c>
      <c r="R39"/>
      <c r="S39" t="s">
        <v>606</v>
      </c>
      <c r="T39" t="s">
        <v>1454</v>
      </c>
      <c r="U39" t="s">
        <v>1454</v>
      </c>
      <c r="V39"/>
      <c r="W39" t="s">
        <v>1454</v>
      </c>
      <c r="X39" t="s">
        <v>1454</v>
      </c>
      <c r="Y39" t="s">
        <v>1454</v>
      </c>
      <c r="Z39"/>
      <c r="AA39" t="s">
        <v>1454</v>
      </c>
      <c r="AB39" t="s">
        <v>1454</v>
      </c>
      <c r="AC39" t="s">
        <v>1454</v>
      </c>
      <c r="AD39"/>
      <c r="AE39" t="s">
        <v>1454</v>
      </c>
      <c r="AF39" t="s">
        <v>1454</v>
      </c>
      <c r="AG39" t="s">
        <v>1454</v>
      </c>
      <c r="AH39"/>
      <c r="AI39" t="s">
        <v>1454</v>
      </c>
      <c r="AJ39" t="s">
        <v>1454</v>
      </c>
      <c r="AK39" t="s">
        <v>1454</v>
      </c>
      <c r="AL39"/>
      <c r="AM39" t="s">
        <v>1454</v>
      </c>
      <c r="AN39" t="s">
        <v>1454</v>
      </c>
      <c r="AO39" t="s">
        <v>1454</v>
      </c>
      <c r="AP39"/>
      <c r="AQ39" t="s">
        <v>1454</v>
      </c>
      <c r="AR39" t="s">
        <v>1454</v>
      </c>
      <c r="AS39" t="s">
        <v>1454</v>
      </c>
      <c r="AT39"/>
      <c r="AU39" t="s">
        <v>1454</v>
      </c>
      <c r="AV39" t="s">
        <v>1454</v>
      </c>
      <c r="AW39" t="s">
        <v>1454</v>
      </c>
      <c r="AX39"/>
      <c r="AY39" t="s">
        <v>1454</v>
      </c>
      <c r="AZ39" t="s">
        <v>1454</v>
      </c>
      <c r="BA39" t="s">
        <v>1454</v>
      </c>
      <c r="BB39"/>
      <c r="BC39" t="s">
        <v>1454</v>
      </c>
      <c r="BD39" t="s">
        <v>1454</v>
      </c>
      <c r="BE39" t="s">
        <v>1454</v>
      </c>
      <c r="BF39"/>
      <c r="BG39" t="s">
        <v>1454</v>
      </c>
      <c r="BH39" t="s">
        <v>1454</v>
      </c>
      <c r="BI39" t="s">
        <v>1454</v>
      </c>
      <c r="BJ39"/>
      <c r="BK39" t="s">
        <v>617</v>
      </c>
      <c r="BL39" t="s">
        <v>1454</v>
      </c>
      <c r="BM39" t="s">
        <v>1454</v>
      </c>
      <c r="BN39"/>
      <c r="BO39" t="s">
        <v>1454</v>
      </c>
      <c r="BP39" t="s">
        <v>1454</v>
      </c>
      <c r="BQ39" t="s">
        <v>1454</v>
      </c>
      <c r="BR39"/>
      <c r="BS39" t="s">
        <v>1454</v>
      </c>
      <c r="BT39" t="s">
        <v>1454</v>
      </c>
      <c r="BU39" t="s">
        <v>1454</v>
      </c>
      <c r="BV39"/>
      <c r="BW39" t="s">
        <v>620</v>
      </c>
      <c r="BX39" t="s">
        <v>1454</v>
      </c>
      <c r="BY39" t="s">
        <v>620</v>
      </c>
      <c r="BZ39"/>
      <c r="CA39" t="s">
        <v>1454</v>
      </c>
      <c r="CB39" t="s">
        <v>1454</v>
      </c>
      <c r="CC39" t="s">
        <v>1454</v>
      </c>
      <c r="CD39"/>
      <c r="CE39" t="s">
        <v>1454</v>
      </c>
      <c r="CF39" t="s">
        <v>1454</v>
      </c>
      <c r="CG39" t="s">
        <v>1454</v>
      </c>
      <c r="CH39"/>
      <c r="CI39" t="s">
        <v>1454</v>
      </c>
      <c r="CJ39" t="s">
        <v>1454</v>
      </c>
      <c r="CK39" t="s">
        <v>1454</v>
      </c>
      <c r="CL39"/>
      <c r="CM39" t="s">
        <v>1454</v>
      </c>
      <c r="CN39" t="s">
        <v>1454</v>
      </c>
      <c r="CO39" t="s">
        <v>1454</v>
      </c>
      <c r="CP39"/>
      <c r="CQ39" t="s">
        <v>1454</v>
      </c>
      <c r="CR39" t="s">
        <v>1454</v>
      </c>
      <c r="CS39" t="s">
        <v>1454</v>
      </c>
      <c r="CT39"/>
      <c r="CU39" t="s">
        <v>1454</v>
      </c>
      <c r="CV39" t="s">
        <v>1454</v>
      </c>
      <c r="CW39" t="s">
        <v>1454</v>
      </c>
      <c r="CX39"/>
      <c r="CY39" t="s">
        <v>1454</v>
      </c>
      <c r="CZ39" t="s">
        <v>627</v>
      </c>
      <c r="DA39" t="s">
        <v>1454</v>
      </c>
      <c r="DB39"/>
      <c r="DC39" t="s">
        <v>1454</v>
      </c>
      <c r="DD39" t="s">
        <v>1454</v>
      </c>
      <c r="DE39" t="s">
        <v>1454</v>
      </c>
      <c r="DF39"/>
      <c r="DG39" t="s">
        <v>1454</v>
      </c>
      <c r="DH39" t="s">
        <v>1454</v>
      </c>
      <c r="DI39" t="s">
        <v>1454</v>
      </c>
      <c r="DJ39"/>
      <c r="DK39" t="s">
        <v>1454</v>
      </c>
      <c r="DL39" t="s">
        <v>1454</v>
      </c>
      <c r="DM39" t="s">
        <v>1454</v>
      </c>
      <c r="DN39"/>
      <c r="DO39" t="s">
        <v>1454</v>
      </c>
      <c r="DP39" t="s">
        <v>1454</v>
      </c>
      <c r="DQ39" t="s">
        <v>1454</v>
      </c>
      <c r="DR39"/>
      <c r="DS39" t="s">
        <v>1454</v>
      </c>
      <c r="DT39" t="s">
        <v>1454</v>
      </c>
      <c r="DU39" t="s">
        <v>1454</v>
      </c>
      <c r="DV39"/>
      <c r="DW39" t="s">
        <v>1454</v>
      </c>
      <c r="DX39" t="s">
        <v>1454</v>
      </c>
      <c r="DY39" t="s">
        <v>1454</v>
      </c>
      <c r="DZ39"/>
      <c r="EA39" t="s">
        <v>634</v>
      </c>
      <c r="EB39" t="s">
        <v>1454</v>
      </c>
      <c r="EC39" t="s">
        <v>634</v>
      </c>
      <c r="ED39"/>
      <c r="EE39" t="s">
        <v>1454</v>
      </c>
      <c r="EF39" t="s">
        <v>1454</v>
      </c>
      <c r="EG39" t="s">
        <v>1454</v>
      </c>
      <c r="EH39"/>
      <c r="EI39" t="s">
        <v>1454</v>
      </c>
      <c r="EJ39" t="s">
        <v>1454</v>
      </c>
      <c r="EK39" t="s">
        <v>1454</v>
      </c>
      <c r="EL39"/>
      <c r="EM39" t="s">
        <v>637</v>
      </c>
      <c r="EN39" t="s">
        <v>1454</v>
      </c>
      <c r="EO39" t="s">
        <v>637</v>
      </c>
      <c r="EP39"/>
      <c r="EQ39" t="s">
        <v>1454</v>
      </c>
      <c r="ER39" t="s">
        <v>1454</v>
      </c>
      <c r="ES39" t="s">
        <v>1454</v>
      </c>
      <c r="ET39"/>
      <c r="EU39" t="s">
        <v>1454</v>
      </c>
      <c r="EV39" t="s">
        <v>1454</v>
      </c>
      <c r="EW39" t="s">
        <v>1454</v>
      </c>
      <c r="EX39"/>
      <c r="EY39" t="s">
        <v>1454</v>
      </c>
      <c r="EZ39" t="s">
        <v>1454</v>
      </c>
      <c r="FA39" t="s">
        <v>1454</v>
      </c>
      <c r="FB39"/>
      <c r="FC39" t="s">
        <v>1454</v>
      </c>
      <c r="FD39" t="s">
        <v>1454</v>
      </c>
      <c r="FE39" t="s">
        <v>1454</v>
      </c>
      <c r="FF39"/>
      <c r="FG39" t="s">
        <v>1454</v>
      </c>
      <c r="FH39" t="s">
        <v>1454</v>
      </c>
      <c r="FI39" t="s">
        <v>1454</v>
      </c>
      <c r="FJ39"/>
      <c r="FK39" t="s">
        <v>1454</v>
      </c>
      <c r="FL39" t="s">
        <v>1454</v>
      </c>
      <c r="FM39" t="s">
        <v>1454</v>
      </c>
      <c r="FN39"/>
      <c r="FO39" t="s">
        <v>1454</v>
      </c>
      <c r="FP39" t="s">
        <v>1454</v>
      </c>
      <c r="FQ39" t="s">
        <v>1454</v>
      </c>
      <c r="FR39"/>
      <c r="FS39" t="s">
        <v>1454</v>
      </c>
      <c r="FT39" t="s">
        <v>1454</v>
      </c>
      <c r="FU39" t="s">
        <v>1454</v>
      </c>
      <c r="FV39"/>
      <c r="FW39" t="s">
        <v>645</v>
      </c>
      <c r="FX39" t="s">
        <v>1454</v>
      </c>
      <c r="FY39" t="s">
        <v>645</v>
      </c>
      <c r="FZ39"/>
      <c r="GA39" t="s">
        <v>1454</v>
      </c>
      <c r="GB39" t="s">
        <v>1454</v>
      </c>
      <c r="GC39" t="s">
        <v>1454</v>
      </c>
      <c r="GD39"/>
      <c r="GE39" t="s">
        <v>1454</v>
      </c>
      <c r="GF39" t="s">
        <v>1454</v>
      </c>
      <c r="GG39" t="s">
        <v>1454</v>
      </c>
      <c r="GH39"/>
      <c r="GI39" t="s">
        <v>648</v>
      </c>
      <c r="GJ39" t="s">
        <v>1454</v>
      </c>
      <c r="GK39" t="s">
        <v>648</v>
      </c>
      <c r="GL39"/>
      <c r="GM39" t="s">
        <v>1454</v>
      </c>
      <c r="GN39" t="s">
        <v>1454</v>
      </c>
      <c r="GO39" t="s">
        <v>1454</v>
      </c>
      <c r="GP39"/>
      <c r="GQ39" t="s">
        <v>1513</v>
      </c>
      <c r="GR39" t="s">
        <v>1514</v>
      </c>
      <c r="GS39" t="s">
        <v>1515</v>
      </c>
    </row>
    <row r="40" spans="2:201" x14ac:dyDescent="0.25">
      <c r="B40" t="s">
        <v>390</v>
      </c>
      <c r="C40" t="s">
        <v>1454</v>
      </c>
      <c r="D40" t="s">
        <v>1454</v>
      </c>
      <c r="E40" t="s">
        <v>1454</v>
      </c>
      <c r="G40" t="s">
        <v>1454</v>
      </c>
      <c r="H40" t="s">
        <v>1454</v>
      </c>
      <c r="I40" t="s">
        <v>1454</v>
      </c>
      <c r="K40" t="s">
        <v>1454</v>
      </c>
      <c r="L40" t="s">
        <v>1454</v>
      </c>
      <c r="M40" t="s">
        <v>1454</v>
      </c>
      <c r="O40" t="s">
        <v>1454</v>
      </c>
      <c r="P40" t="s">
        <v>1454</v>
      </c>
      <c r="Q40" t="s">
        <v>1454</v>
      </c>
      <c r="S40" t="s">
        <v>1454</v>
      </c>
      <c r="T40" t="s">
        <v>1454</v>
      </c>
      <c r="U40" t="s">
        <v>1454</v>
      </c>
      <c r="W40" t="s">
        <v>1454</v>
      </c>
      <c r="X40" t="s">
        <v>1454</v>
      </c>
      <c r="Y40" t="s">
        <v>1454</v>
      </c>
      <c r="AA40" t="s">
        <v>1454</v>
      </c>
      <c r="AB40" t="s">
        <v>1454</v>
      </c>
      <c r="AC40" t="s">
        <v>1454</v>
      </c>
      <c r="AE40" t="s">
        <v>1454</v>
      </c>
      <c r="AF40" t="s">
        <v>1454</v>
      </c>
      <c r="AG40" t="s">
        <v>1454</v>
      </c>
      <c r="AI40" t="s">
        <v>1454</v>
      </c>
      <c r="AJ40" t="s">
        <v>1454</v>
      </c>
      <c r="AK40" t="s">
        <v>1454</v>
      </c>
      <c r="AM40" t="s">
        <v>1454</v>
      </c>
      <c r="AN40" t="s">
        <v>1454</v>
      </c>
      <c r="AO40" t="s">
        <v>1454</v>
      </c>
      <c r="AQ40" t="s">
        <v>1454</v>
      </c>
      <c r="AR40" t="s">
        <v>1454</v>
      </c>
      <c r="AS40" t="s">
        <v>1454</v>
      </c>
      <c r="AU40" t="s">
        <v>1454</v>
      </c>
      <c r="AV40" t="s">
        <v>1454</v>
      </c>
      <c r="AW40" t="s">
        <v>1454</v>
      </c>
      <c r="AY40" t="s">
        <v>1454</v>
      </c>
      <c r="AZ40" t="s">
        <v>1454</v>
      </c>
      <c r="BA40" t="s">
        <v>1454</v>
      </c>
      <c r="BC40" t="s">
        <v>1454</v>
      </c>
      <c r="BD40" t="s">
        <v>1454</v>
      </c>
      <c r="BE40" t="s">
        <v>1454</v>
      </c>
      <c r="BG40" t="s">
        <v>1454</v>
      </c>
      <c r="BH40" t="s">
        <v>1454</v>
      </c>
      <c r="BI40" t="s">
        <v>1454</v>
      </c>
      <c r="BK40" t="s">
        <v>1454</v>
      </c>
      <c r="BL40" t="s">
        <v>1454</v>
      </c>
      <c r="BM40" t="s">
        <v>1454</v>
      </c>
      <c r="BO40" t="s">
        <v>1454</v>
      </c>
      <c r="BP40" t="s">
        <v>1454</v>
      </c>
      <c r="BQ40" t="s">
        <v>1454</v>
      </c>
      <c r="BS40" t="s">
        <v>1454</v>
      </c>
      <c r="BT40" t="s">
        <v>1454</v>
      </c>
      <c r="BU40" t="s">
        <v>1454</v>
      </c>
      <c r="BW40" t="s">
        <v>1454</v>
      </c>
      <c r="BX40" t="s">
        <v>1454</v>
      </c>
      <c r="BY40" t="s">
        <v>1454</v>
      </c>
      <c r="CA40" t="s">
        <v>1454</v>
      </c>
      <c r="CB40" t="s">
        <v>1454</v>
      </c>
      <c r="CC40" t="s">
        <v>1454</v>
      </c>
      <c r="CE40" t="s">
        <v>1454</v>
      </c>
      <c r="CF40" t="s">
        <v>1454</v>
      </c>
      <c r="CG40" t="s">
        <v>1454</v>
      </c>
      <c r="CI40" t="s">
        <v>1454</v>
      </c>
      <c r="CJ40" t="s">
        <v>1454</v>
      </c>
      <c r="CK40" t="s">
        <v>1454</v>
      </c>
      <c r="CM40" t="s">
        <v>1454</v>
      </c>
      <c r="CN40" t="s">
        <v>1454</v>
      </c>
      <c r="CO40" t="s">
        <v>1454</v>
      </c>
      <c r="CQ40" t="s">
        <v>1454</v>
      </c>
      <c r="CR40" t="s">
        <v>1454</v>
      </c>
      <c r="CS40" t="s">
        <v>1454</v>
      </c>
      <c r="CU40" t="s">
        <v>1454</v>
      </c>
      <c r="CV40" t="s">
        <v>1454</v>
      </c>
      <c r="CW40" t="s">
        <v>1454</v>
      </c>
      <c r="CY40" t="s">
        <v>1454</v>
      </c>
      <c r="CZ40" t="s">
        <v>1454</v>
      </c>
      <c r="DA40" t="s">
        <v>1454</v>
      </c>
      <c r="DC40" t="s">
        <v>1454</v>
      </c>
      <c r="DD40" t="s">
        <v>1454</v>
      </c>
      <c r="DE40" t="s">
        <v>1454</v>
      </c>
      <c r="DG40" t="s">
        <v>1454</v>
      </c>
      <c r="DH40" t="s">
        <v>1454</v>
      </c>
      <c r="DI40" t="s">
        <v>1454</v>
      </c>
      <c r="DK40" t="s">
        <v>1454</v>
      </c>
      <c r="DL40" t="s">
        <v>1454</v>
      </c>
      <c r="DM40" t="s">
        <v>1454</v>
      </c>
      <c r="DO40" t="s">
        <v>1454</v>
      </c>
      <c r="DP40" t="s">
        <v>1454</v>
      </c>
      <c r="DQ40" t="s">
        <v>1454</v>
      </c>
      <c r="DS40" t="s">
        <v>1454</v>
      </c>
      <c r="DT40" t="s">
        <v>1454</v>
      </c>
      <c r="DU40" t="s">
        <v>1454</v>
      </c>
      <c r="DW40" t="s">
        <v>1454</v>
      </c>
      <c r="DX40" t="s">
        <v>1454</v>
      </c>
      <c r="DY40" t="s">
        <v>1454</v>
      </c>
      <c r="EA40" t="s">
        <v>1454</v>
      </c>
      <c r="EB40" t="s">
        <v>1454</v>
      </c>
      <c r="EC40" t="s">
        <v>1454</v>
      </c>
      <c r="EE40" t="s">
        <v>1454</v>
      </c>
      <c r="EF40" t="s">
        <v>1454</v>
      </c>
      <c r="EG40" t="s">
        <v>1454</v>
      </c>
      <c r="EI40" t="s">
        <v>1454</v>
      </c>
      <c r="EJ40" t="s">
        <v>1454</v>
      </c>
      <c r="EK40" t="s">
        <v>1454</v>
      </c>
      <c r="EM40" t="s">
        <v>637</v>
      </c>
      <c r="EN40" t="s">
        <v>1454</v>
      </c>
      <c r="EO40" t="s">
        <v>1454</v>
      </c>
      <c r="EQ40" t="s">
        <v>1454</v>
      </c>
      <c r="ER40" t="s">
        <v>1454</v>
      </c>
      <c r="ES40" t="s">
        <v>1454</v>
      </c>
      <c r="EU40" t="s">
        <v>639</v>
      </c>
      <c r="EV40" t="s">
        <v>1454</v>
      </c>
      <c r="EW40" t="s">
        <v>1454</v>
      </c>
      <c r="EY40" t="s">
        <v>1454</v>
      </c>
      <c r="EZ40" t="s">
        <v>1454</v>
      </c>
      <c r="FA40" t="s">
        <v>1454</v>
      </c>
      <c r="FC40" t="s">
        <v>641</v>
      </c>
      <c r="FD40" t="s">
        <v>1454</v>
      </c>
      <c r="FE40" t="s">
        <v>1454</v>
      </c>
      <c r="FG40" t="s">
        <v>1454</v>
      </c>
      <c r="FH40" t="s">
        <v>1454</v>
      </c>
      <c r="FI40" t="s">
        <v>1454</v>
      </c>
      <c r="FK40" t="s">
        <v>1454</v>
      </c>
      <c r="FL40" t="s">
        <v>1454</v>
      </c>
      <c r="FM40" t="s">
        <v>1454</v>
      </c>
      <c r="FO40" t="s">
        <v>1454</v>
      </c>
      <c r="FP40" t="s">
        <v>1454</v>
      </c>
      <c r="FQ40" t="s">
        <v>1454</v>
      </c>
      <c r="FS40" t="s">
        <v>1454</v>
      </c>
      <c r="FT40" t="s">
        <v>1454</v>
      </c>
      <c r="FU40" t="s">
        <v>1454</v>
      </c>
      <c r="FW40" t="s">
        <v>1454</v>
      </c>
      <c r="FX40" t="s">
        <v>1454</v>
      </c>
      <c r="FY40" t="s">
        <v>1454</v>
      </c>
      <c r="GA40" t="s">
        <v>1454</v>
      </c>
      <c r="GB40" t="s">
        <v>1454</v>
      </c>
      <c r="GC40" t="s">
        <v>1454</v>
      </c>
      <c r="GE40" t="s">
        <v>647</v>
      </c>
      <c r="GF40" t="s">
        <v>1454</v>
      </c>
      <c r="GG40" t="s">
        <v>1454</v>
      </c>
      <c r="GI40" t="s">
        <v>1454</v>
      </c>
      <c r="GJ40" t="s">
        <v>1454</v>
      </c>
      <c r="GK40" t="s">
        <v>1454</v>
      </c>
      <c r="GM40" t="s">
        <v>1454</v>
      </c>
      <c r="GN40" t="s">
        <v>1454</v>
      </c>
      <c r="GO40" t="s">
        <v>1454</v>
      </c>
      <c r="GQ40" t="s">
        <v>1516</v>
      </c>
      <c r="GR40" t="s">
        <v>1454</v>
      </c>
      <c r="GS40" t="s">
        <v>1454</v>
      </c>
    </row>
    <row r="41" spans="2:201" x14ac:dyDescent="0.25">
      <c r="B41" t="s">
        <v>391</v>
      </c>
      <c r="C41" t="s">
        <v>1454</v>
      </c>
      <c r="D41" t="s">
        <v>1454</v>
      </c>
      <c r="E41" t="s">
        <v>1454</v>
      </c>
      <c r="G41" t="s">
        <v>1454</v>
      </c>
      <c r="H41" t="s">
        <v>1454</v>
      </c>
      <c r="I41" t="s">
        <v>1454</v>
      </c>
      <c r="K41" t="s">
        <v>1454</v>
      </c>
      <c r="L41" t="s">
        <v>1454</v>
      </c>
      <c r="M41" t="s">
        <v>1454</v>
      </c>
      <c r="O41" t="s">
        <v>1454</v>
      </c>
      <c r="P41" t="s">
        <v>1454</v>
      </c>
      <c r="Q41" t="s">
        <v>1454</v>
      </c>
      <c r="S41" t="s">
        <v>1454</v>
      </c>
      <c r="T41" t="s">
        <v>1454</v>
      </c>
      <c r="U41" t="s">
        <v>1454</v>
      </c>
      <c r="W41" t="s">
        <v>1454</v>
      </c>
      <c r="X41" t="s">
        <v>1454</v>
      </c>
      <c r="Y41" t="s">
        <v>1454</v>
      </c>
      <c r="AA41" t="s">
        <v>1454</v>
      </c>
      <c r="AB41" t="s">
        <v>1454</v>
      </c>
      <c r="AC41" t="s">
        <v>1454</v>
      </c>
      <c r="AE41" t="s">
        <v>1454</v>
      </c>
      <c r="AF41" t="s">
        <v>1454</v>
      </c>
      <c r="AG41" t="s">
        <v>1454</v>
      </c>
      <c r="AI41" t="s">
        <v>1454</v>
      </c>
      <c r="AJ41" t="s">
        <v>1454</v>
      </c>
      <c r="AK41" t="s">
        <v>1454</v>
      </c>
      <c r="AM41" t="s">
        <v>1454</v>
      </c>
      <c r="AN41" t="s">
        <v>1454</v>
      </c>
      <c r="AO41" t="s">
        <v>1454</v>
      </c>
      <c r="AQ41" t="s">
        <v>1454</v>
      </c>
      <c r="AR41" t="s">
        <v>1454</v>
      </c>
      <c r="AS41" t="s">
        <v>1454</v>
      </c>
      <c r="AU41" t="s">
        <v>1454</v>
      </c>
      <c r="AV41" t="s">
        <v>1454</v>
      </c>
      <c r="AW41" t="s">
        <v>1454</v>
      </c>
      <c r="AY41" t="s">
        <v>1454</v>
      </c>
      <c r="AZ41" t="s">
        <v>1454</v>
      </c>
      <c r="BA41" t="s">
        <v>1454</v>
      </c>
      <c r="BC41" t="s">
        <v>1454</v>
      </c>
      <c r="BD41" t="s">
        <v>1454</v>
      </c>
      <c r="BE41" t="s">
        <v>1454</v>
      </c>
      <c r="BG41" t="s">
        <v>1454</v>
      </c>
      <c r="BH41" t="s">
        <v>1454</v>
      </c>
      <c r="BI41" t="s">
        <v>1454</v>
      </c>
      <c r="BK41" t="s">
        <v>1454</v>
      </c>
      <c r="BL41" t="s">
        <v>1454</v>
      </c>
      <c r="BM41" t="s">
        <v>1454</v>
      </c>
      <c r="BO41" t="s">
        <v>1454</v>
      </c>
      <c r="BP41" t="s">
        <v>1454</v>
      </c>
      <c r="BQ41" t="s">
        <v>1454</v>
      </c>
      <c r="BS41" t="s">
        <v>1454</v>
      </c>
      <c r="BT41" t="s">
        <v>1454</v>
      </c>
      <c r="BU41" t="s">
        <v>1454</v>
      </c>
      <c r="BW41" t="s">
        <v>1454</v>
      </c>
      <c r="BX41" t="s">
        <v>1454</v>
      </c>
      <c r="BY41" t="s">
        <v>1454</v>
      </c>
      <c r="CA41" t="s">
        <v>1454</v>
      </c>
      <c r="CB41" t="s">
        <v>1454</v>
      </c>
      <c r="CC41" t="s">
        <v>1454</v>
      </c>
      <c r="CE41" t="s">
        <v>1454</v>
      </c>
      <c r="CF41" t="s">
        <v>1454</v>
      </c>
      <c r="CG41" t="s">
        <v>1454</v>
      </c>
      <c r="CI41" t="s">
        <v>1454</v>
      </c>
      <c r="CJ41" t="s">
        <v>1454</v>
      </c>
      <c r="CK41" t="s">
        <v>1454</v>
      </c>
      <c r="CM41" t="s">
        <v>1454</v>
      </c>
      <c r="CN41" t="s">
        <v>1454</v>
      </c>
      <c r="CO41" t="s">
        <v>1454</v>
      </c>
      <c r="CQ41" t="s">
        <v>1454</v>
      </c>
      <c r="CR41" t="s">
        <v>1454</v>
      </c>
      <c r="CS41" t="s">
        <v>1454</v>
      </c>
      <c r="CU41" t="s">
        <v>1454</v>
      </c>
      <c r="CV41" t="s">
        <v>1454</v>
      </c>
      <c r="CW41" t="s">
        <v>1454</v>
      </c>
      <c r="CY41" t="s">
        <v>1454</v>
      </c>
      <c r="CZ41" t="s">
        <v>1454</v>
      </c>
      <c r="DA41" t="s">
        <v>1454</v>
      </c>
      <c r="DC41" t="s">
        <v>1454</v>
      </c>
      <c r="DD41" t="s">
        <v>1454</v>
      </c>
      <c r="DE41" t="s">
        <v>1454</v>
      </c>
      <c r="DG41" t="s">
        <v>1454</v>
      </c>
      <c r="DH41" t="s">
        <v>1454</v>
      </c>
      <c r="DI41" t="s">
        <v>1454</v>
      </c>
      <c r="DK41" t="s">
        <v>1454</v>
      </c>
      <c r="DL41" t="s">
        <v>1454</v>
      </c>
      <c r="DM41" t="s">
        <v>1454</v>
      </c>
      <c r="DO41" t="s">
        <v>1454</v>
      </c>
      <c r="DP41" t="s">
        <v>1454</v>
      </c>
      <c r="DQ41" t="s">
        <v>1454</v>
      </c>
      <c r="DS41" t="s">
        <v>1454</v>
      </c>
      <c r="DT41" t="s">
        <v>1454</v>
      </c>
      <c r="DU41" t="s">
        <v>1454</v>
      </c>
      <c r="DW41" t="s">
        <v>1454</v>
      </c>
      <c r="DX41" t="s">
        <v>1454</v>
      </c>
      <c r="DY41" t="s">
        <v>1454</v>
      </c>
      <c r="EA41" t="s">
        <v>1454</v>
      </c>
      <c r="EB41" t="s">
        <v>1454</v>
      </c>
      <c r="EC41" t="s">
        <v>1454</v>
      </c>
      <c r="EE41" t="s">
        <v>1454</v>
      </c>
      <c r="EF41" t="s">
        <v>1454</v>
      </c>
      <c r="EG41" t="s">
        <v>1454</v>
      </c>
      <c r="EI41" t="s">
        <v>636</v>
      </c>
      <c r="EJ41" t="s">
        <v>1454</v>
      </c>
      <c r="EK41" t="s">
        <v>1454</v>
      </c>
      <c r="EM41" t="s">
        <v>1454</v>
      </c>
      <c r="EN41" t="s">
        <v>1454</v>
      </c>
      <c r="EO41" t="s">
        <v>1454</v>
      </c>
      <c r="EQ41" t="s">
        <v>1454</v>
      </c>
      <c r="ER41" t="s">
        <v>1454</v>
      </c>
      <c r="ES41" t="s">
        <v>1454</v>
      </c>
      <c r="EU41" t="s">
        <v>639</v>
      </c>
      <c r="EV41" t="s">
        <v>1454</v>
      </c>
      <c r="EW41" t="s">
        <v>1454</v>
      </c>
      <c r="EY41" t="s">
        <v>1454</v>
      </c>
      <c r="EZ41" t="s">
        <v>1454</v>
      </c>
      <c r="FA41" t="s">
        <v>1454</v>
      </c>
      <c r="FC41" t="s">
        <v>641</v>
      </c>
      <c r="FD41" t="s">
        <v>1454</v>
      </c>
      <c r="FE41" t="s">
        <v>1454</v>
      </c>
      <c r="FG41" t="s">
        <v>1454</v>
      </c>
      <c r="FH41" t="s">
        <v>1454</v>
      </c>
      <c r="FI41" t="s">
        <v>1454</v>
      </c>
      <c r="FK41" t="s">
        <v>1454</v>
      </c>
      <c r="FL41" t="s">
        <v>1454</v>
      </c>
      <c r="FM41" t="s">
        <v>1454</v>
      </c>
      <c r="FO41" t="s">
        <v>1454</v>
      </c>
      <c r="FP41" t="s">
        <v>1454</v>
      </c>
      <c r="FQ41" t="s">
        <v>1454</v>
      </c>
      <c r="FS41" t="s">
        <v>1454</v>
      </c>
      <c r="FT41" t="s">
        <v>1454</v>
      </c>
      <c r="FU41" t="s">
        <v>1454</v>
      </c>
      <c r="FW41" t="s">
        <v>1454</v>
      </c>
      <c r="FX41" t="s">
        <v>1454</v>
      </c>
      <c r="FY41" t="s">
        <v>1454</v>
      </c>
      <c r="GA41" t="s">
        <v>1454</v>
      </c>
      <c r="GB41" t="s">
        <v>1454</v>
      </c>
      <c r="GC41" t="s">
        <v>1454</v>
      </c>
      <c r="GE41" t="s">
        <v>1454</v>
      </c>
      <c r="GF41" t="s">
        <v>1454</v>
      </c>
      <c r="GG41" t="s">
        <v>1454</v>
      </c>
      <c r="GI41" t="s">
        <v>1454</v>
      </c>
      <c r="GJ41" t="s">
        <v>1454</v>
      </c>
      <c r="GK41" t="s">
        <v>1454</v>
      </c>
      <c r="GM41" t="s">
        <v>1454</v>
      </c>
      <c r="GN41" t="s">
        <v>1454</v>
      </c>
      <c r="GO41" t="s">
        <v>1454</v>
      </c>
      <c r="GQ41" t="s">
        <v>1517</v>
      </c>
      <c r="GR41" t="s">
        <v>1454</v>
      </c>
      <c r="GS41" t="s">
        <v>1454</v>
      </c>
    </row>
    <row r="42" spans="2:201" x14ac:dyDescent="0.25">
      <c r="B42" t="s">
        <v>430</v>
      </c>
      <c r="C42" t="s">
        <v>1454</v>
      </c>
      <c r="D42" t="s">
        <v>1454</v>
      </c>
      <c r="E42" t="s">
        <v>1454</v>
      </c>
      <c r="G42" t="s">
        <v>1454</v>
      </c>
      <c r="H42" t="s">
        <v>1454</v>
      </c>
      <c r="I42" t="s">
        <v>1454</v>
      </c>
      <c r="K42" t="s">
        <v>1454</v>
      </c>
      <c r="L42" t="s">
        <v>1454</v>
      </c>
      <c r="M42" t="s">
        <v>1454</v>
      </c>
      <c r="O42" t="s">
        <v>1454</v>
      </c>
      <c r="P42" t="s">
        <v>1454</v>
      </c>
      <c r="Q42" t="s">
        <v>1454</v>
      </c>
      <c r="S42" t="s">
        <v>1454</v>
      </c>
      <c r="T42" t="s">
        <v>1454</v>
      </c>
      <c r="U42" t="s">
        <v>1454</v>
      </c>
      <c r="W42" t="s">
        <v>1454</v>
      </c>
      <c r="X42" t="s">
        <v>1454</v>
      </c>
      <c r="Y42" t="s">
        <v>1454</v>
      </c>
      <c r="AA42" t="s">
        <v>1454</v>
      </c>
      <c r="AB42" t="s">
        <v>608</v>
      </c>
      <c r="AC42" t="s">
        <v>1454</v>
      </c>
      <c r="AE42" t="s">
        <v>1454</v>
      </c>
      <c r="AF42" t="s">
        <v>1454</v>
      </c>
      <c r="AG42" t="s">
        <v>1454</v>
      </c>
      <c r="AI42" t="s">
        <v>610</v>
      </c>
      <c r="AJ42" t="s">
        <v>1454</v>
      </c>
      <c r="AK42" t="s">
        <v>1454</v>
      </c>
      <c r="AM42" t="s">
        <v>611</v>
      </c>
      <c r="AN42" t="s">
        <v>1454</v>
      </c>
      <c r="AO42" t="s">
        <v>1454</v>
      </c>
      <c r="AQ42" t="s">
        <v>612</v>
      </c>
      <c r="AR42" t="s">
        <v>1454</v>
      </c>
      <c r="AS42" t="s">
        <v>1454</v>
      </c>
      <c r="AU42" t="s">
        <v>613</v>
      </c>
      <c r="AV42" t="s">
        <v>1454</v>
      </c>
      <c r="AW42" t="s">
        <v>1454</v>
      </c>
      <c r="AY42" t="s">
        <v>1454</v>
      </c>
      <c r="AZ42" t="s">
        <v>1454</v>
      </c>
      <c r="BA42" t="s">
        <v>1454</v>
      </c>
      <c r="BC42" t="s">
        <v>615</v>
      </c>
      <c r="BD42" t="s">
        <v>1454</v>
      </c>
      <c r="BE42" t="s">
        <v>1454</v>
      </c>
      <c r="BG42" t="s">
        <v>616</v>
      </c>
      <c r="BH42" t="s">
        <v>1454</v>
      </c>
      <c r="BI42" t="s">
        <v>1454</v>
      </c>
      <c r="BK42" t="s">
        <v>617</v>
      </c>
      <c r="BL42" t="s">
        <v>1454</v>
      </c>
      <c r="BM42" t="s">
        <v>617</v>
      </c>
      <c r="BO42" t="s">
        <v>618</v>
      </c>
      <c r="BP42" t="s">
        <v>1454</v>
      </c>
      <c r="BQ42" t="s">
        <v>1454</v>
      </c>
      <c r="BS42" t="s">
        <v>619</v>
      </c>
      <c r="BT42" t="s">
        <v>1454</v>
      </c>
      <c r="BU42" t="s">
        <v>1454</v>
      </c>
      <c r="BW42" t="s">
        <v>1454</v>
      </c>
      <c r="BX42" t="s">
        <v>1454</v>
      </c>
      <c r="BY42" t="s">
        <v>1454</v>
      </c>
      <c r="CA42" t="s">
        <v>1454</v>
      </c>
      <c r="CB42" t="s">
        <v>1454</v>
      </c>
      <c r="CC42" t="s">
        <v>1454</v>
      </c>
      <c r="CE42" t="s">
        <v>622</v>
      </c>
      <c r="CF42" t="s">
        <v>1454</v>
      </c>
      <c r="CG42" t="s">
        <v>1454</v>
      </c>
      <c r="CI42" t="s">
        <v>1454</v>
      </c>
      <c r="CJ42" t="s">
        <v>1454</v>
      </c>
      <c r="CK42" t="s">
        <v>1454</v>
      </c>
      <c r="CM42" t="s">
        <v>624</v>
      </c>
      <c r="CN42" t="s">
        <v>1454</v>
      </c>
      <c r="CO42" t="s">
        <v>1454</v>
      </c>
      <c r="CQ42" t="s">
        <v>1454</v>
      </c>
      <c r="CR42" t="s">
        <v>1454</v>
      </c>
      <c r="CS42" t="s">
        <v>625</v>
      </c>
      <c r="CU42" t="s">
        <v>626</v>
      </c>
      <c r="CV42" t="s">
        <v>1454</v>
      </c>
      <c r="CW42" t="s">
        <v>1454</v>
      </c>
      <c r="CY42" t="s">
        <v>1454</v>
      </c>
      <c r="CZ42" t="s">
        <v>1454</v>
      </c>
      <c r="DA42" t="s">
        <v>1454</v>
      </c>
      <c r="DC42" t="s">
        <v>1454</v>
      </c>
      <c r="DD42" t="s">
        <v>1454</v>
      </c>
      <c r="DE42" t="s">
        <v>1454</v>
      </c>
      <c r="DG42" t="s">
        <v>1454</v>
      </c>
      <c r="DH42" t="s">
        <v>1454</v>
      </c>
      <c r="DI42" t="s">
        <v>1454</v>
      </c>
      <c r="DK42" t="s">
        <v>1454</v>
      </c>
      <c r="DL42" t="s">
        <v>1454</v>
      </c>
      <c r="DM42" t="s">
        <v>630</v>
      </c>
      <c r="DO42" t="s">
        <v>1454</v>
      </c>
      <c r="DP42" t="s">
        <v>1454</v>
      </c>
      <c r="DQ42" t="s">
        <v>1454</v>
      </c>
      <c r="DS42" t="s">
        <v>1454</v>
      </c>
      <c r="DT42" t="s">
        <v>1454</v>
      </c>
      <c r="DU42" t="s">
        <v>1454</v>
      </c>
      <c r="DW42" t="s">
        <v>1454</v>
      </c>
      <c r="DX42" t="s">
        <v>1454</v>
      </c>
      <c r="DY42" t="s">
        <v>1454</v>
      </c>
      <c r="EA42" t="s">
        <v>1454</v>
      </c>
      <c r="EB42" t="s">
        <v>1454</v>
      </c>
      <c r="EC42" t="s">
        <v>1454</v>
      </c>
      <c r="EE42" t="s">
        <v>1454</v>
      </c>
      <c r="EF42" t="s">
        <v>1454</v>
      </c>
      <c r="EG42" t="s">
        <v>1454</v>
      </c>
      <c r="EI42" t="s">
        <v>1454</v>
      </c>
      <c r="EJ42" t="s">
        <v>1454</v>
      </c>
      <c r="EK42" t="s">
        <v>636</v>
      </c>
      <c r="EM42" t="s">
        <v>1454</v>
      </c>
      <c r="EN42" t="s">
        <v>1454</v>
      </c>
      <c r="EO42" t="s">
        <v>1454</v>
      </c>
      <c r="EQ42" t="s">
        <v>1454</v>
      </c>
      <c r="ER42" t="s">
        <v>1454</v>
      </c>
      <c r="ES42" t="s">
        <v>1454</v>
      </c>
      <c r="EU42" t="s">
        <v>639</v>
      </c>
      <c r="EV42" t="s">
        <v>1454</v>
      </c>
      <c r="EW42" t="s">
        <v>1454</v>
      </c>
      <c r="EY42" t="s">
        <v>640</v>
      </c>
      <c r="EZ42" t="s">
        <v>1454</v>
      </c>
      <c r="FA42" t="s">
        <v>1454</v>
      </c>
      <c r="FC42" t="s">
        <v>641</v>
      </c>
      <c r="FD42" t="s">
        <v>1454</v>
      </c>
      <c r="FE42" t="s">
        <v>641</v>
      </c>
      <c r="FG42" t="s">
        <v>642</v>
      </c>
      <c r="FH42" t="s">
        <v>1454</v>
      </c>
      <c r="FI42" t="s">
        <v>1454</v>
      </c>
      <c r="FK42" t="s">
        <v>1454</v>
      </c>
      <c r="FL42" t="s">
        <v>1454</v>
      </c>
      <c r="FM42" t="s">
        <v>1454</v>
      </c>
      <c r="FO42" t="s">
        <v>1454</v>
      </c>
      <c r="FP42" t="s">
        <v>1454</v>
      </c>
      <c r="FQ42" t="s">
        <v>1454</v>
      </c>
      <c r="FS42" t="s">
        <v>1454</v>
      </c>
      <c r="FT42" t="s">
        <v>1454</v>
      </c>
      <c r="FU42" t="s">
        <v>1454</v>
      </c>
      <c r="FW42" t="s">
        <v>1454</v>
      </c>
      <c r="FX42" t="s">
        <v>1454</v>
      </c>
      <c r="FY42" t="s">
        <v>1454</v>
      </c>
      <c r="GA42" t="s">
        <v>1454</v>
      </c>
      <c r="GB42" t="s">
        <v>1454</v>
      </c>
      <c r="GC42" t="s">
        <v>1454</v>
      </c>
      <c r="GE42" t="s">
        <v>1454</v>
      </c>
      <c r="GF42" t="s">
        <v>1454</v>
      </c>
      <c r="GG42" t="s">
        <v>1454</v>
      </c>
      <c r="GI42" t="s">
        <v>1454</v>
      </c>
      <c r="GJ42" t="s">
        <v>1454</v>
      </c>
      <c r="GK42" t="s">
        <v>1454</v>
      </c>
      <c r="GM42" t="s">
        <v>1454</v>
      </c>
      <c r="GN42" t="s">
        <v>1454</v>
      </c>
      <c r="GO42" t="s">
        <v>1454</v>
      </c>
      <c r="GQ42" t="s">
        <v>1518</v>
      </c>
      <c r="GR42" t="s">
        <v>1519</v>
      </c>
      <c r="GS42" t="s">
        <v>1520</v>
      </c>
    </row>
    <row r="43" spans="2:201" s="11" customFormat="1" x14ac:dyDescent="0.25">
      <c r="B43" t="s">
        <v>431</v>
      </c>
      <c r="C43" t="s">
        <v>1454</v>
      </c>
      <c r="D43" t="s">
        <v>1454</v>
      </c>
      <c r="E43" t="s">
        <v>1454</v>
      </c>
      <c r="F43"/>
      <c r="G43" t="s">
        <v>1454</v>
      </c>
      <c r="H43" t="s">
        <v>1454</v>
      </c>
      <c r="I43" t="s">
        <v>1454</v>
      </c>
      <c r="J43"/>
      <c r="K43" t="s">
        <v>1454</v>
      </c>
      <c r="L43" t="s">
        <v>1454</v>
      </c>
      <c r="M43" t="s">
        <v>1454</v>
      </c>
      <c r="N43"/>
      <c r="O43" t="s">
        <v>1454</v>
      </c>
      <c r="P43" t="s">
        <v>1454</v>
      </c>
      <c r="Q43" t="s">
        <v>1454</v>
      </c>
      <c r="R43"/>
      <c r="S43" t="s">
        <v>1454</v>
      </c>
      <c r="T43" t="s">
        <v>1454</v>
      </c>
      <c r="U43" t="s">
        <v>1454</v>
      </c>
      <c r="V43"/>
      <c r="W43" t="s">
        <v>1454</v>
      </c>
      <c r="X43" t="s">
        <v>1454</v>
      </c>
      <c r="Y43" t="s">
        <v>1454</v>
      </c>
      <c r="Z43"/>
      <c r="AA43" t="s">
        <v>1454</v>
      </c>
      <c r="AB43" t="s">
        <v>1454</v>
      </c>
      <c r="AC43" t="s">
        <v>1454</v>
      </c>
      <c r="AD43"/>
      <c r="AE43" t="s">
        <v>1454</v>
      </c>
      <c r="AF43" t="s">
        <v>1454</v>
      </c>
      <c r="AG43" t="s">
        <v>1454</v>
      </c>
      <c r="AH43"/>
      <c r="AI43" t="s">
        <v>1454</v>
      </c>
      <c r="AJ43" t="s">
        <v>1454</v>
      </c>
      <c r="AK43" t="s">
        <v>610</v>
      </c>
      <c r="AL43"/>
      <c r="AM43" t="s">
        <v>1454</v>
      </c>
      <c r="AN43" t="s">
        <v>1454</v>
      </c>
      <c r="AO43" t="s">
        <v>1454</v>
      </c>
      <c r="AP43"/>
      <c r="AQ43" t="s">
        <v>1454</v>
      </c>
      <c r="AR43" t="s">
        <v>1454</v>
      </c>
      <c r="AS43" t="s">
        <v>1454</v>
      </c>
      <c r="AT43"/>
      <c r="AU43" t="s">
        <v>1454</v>
      </c>
      <c r="AV43" t="s">
        <v>613</v>
      </c>
      <c r="AW43" t="s">
        <v>1454</v>
      </c>
      <c r="AX43"/>
      <c r="AY43" t="s">
        <v>1454</v>
      </c>
      <c r="AZ43" t="s">
        <v>1454</v>
      </c>
      <c r="BA43" t="s">
        <v>1454</v>
      </c>
      <c r="BB43"/>
      <c r="BC43" t="s">
        <v>1454</v>
      </c>
      <c r="BD43" t="s">
        <v>1454</v>
      </c>
      <c r="BE43" t="s">
        <v>1454</v>
      </c>
      <c r="BF43"/>
      <c r="BG43" t="s">
        <v>1454</v>
      </c>
      <c r="BH43" t="s">
        <v>1454</v>
      </c>
      <c r="BI43" t="s">
        <v>1454</v>
      </c>
      <c r="BJ43"/>
      <c r="BK43" t="s">
        <v>1454</v>
      </c>
      <c r="BL43" t="s">
        <v>1454</v>
      </c>
      <c r="BM43" t="s">
        <v>1454</v>
      </c>
      <c r="BN43"/>
      <c r="BO43" t="s">
        <v>1454</v>
      </c>
      <c r="BP43" t="s">
        <v>1454</v>
      </c>
      <c r="BQ43" t="s">
        <v>1454</v>
      </c>
      <c r="BR43"/>
      <c r="BS43" t="s">
        <v>1454</v>
      </c>
      <c r="BT43" t="s">
        <v>1454</v>
      </c>
      <c r="BU43" t="s">
        <v>1454</v>
      </c>
      <c r="BV43"/>
      <c r="BW43" t="s">
        <v>1454</v>
      </c>
      <c r="BX43" t="s">
        <v>1454</v>
      </c>
      <c r="BY43" t="s">
        <v>1454</v>
      </c>
      <c r="BZ43"/>
      <c r="CA43" t="s">
        <v>1454</v>
      </c>
      <c r="CB43" t="s">
        <v>1454</v>
      </c>
      <c r="CC43" t="s">
        <v>1454</v>
      </c>
      <c r="CD43"/>
      <c r="CE43" t="s">
        <v>622</v>
      </c>
      <c r="CF43" t="s">
        <v>1454</v>
      </c>
      <c r="CG43" t="s">
        <v>1454</v>
      </c>
      <c r="CH43"/>
      <c r="CI43" t="s">
        <v>1454</v>
      </c>
      <c r="CJ43" t="s">
        <v>1454</v>
      </c>
      <c r="CK43" t="s">
        <v>1454</v>
      </c>
      <c r="CL43"/>
      <c r="CM43" t="s">
        <v>624</v>
      </c>
      <c r="CN43" t="s">
        <v>1454</v>
      </c>
      <c r="CO43" t="s">
        <v>1454</v>
      </c>
      <c r="CP43"/>
      <c r="CQ43" t="s">
        <v>1454</v>
      </c>
      <c r="CR43" t="s">
        <v>1454</v>
      </c>
      <c r="CS43" t="s">
        <v>625</v>
      </c>
      <c r="CT43"/>
      <c r="CU43" t="s">
        <v>1454</v>
      </c>
      <c r="CV43" t="s">
        <v>1454</v>
      </c>
      <c r="CW43" t="s">
        <v>1454</v>
      </c>
      <c r="CX43"/>
      <c r="CY43" t="s">
        <v>1454</v>
      </c>
      <c r="CZ43" t="s">
        <v>1454</v>
      </c>
      <c r="DA43" t="s">
        <v>1454</v>
      </c>
      <c r="DB43"/>
      <c r="DC43" t="s">
        <v>1454</v>
      </c>
      <c r="DD43" t="s">
        <v>1454</v>
      </c>
      <c r="DE43" t="s">
        <v>1454</v>
      </c>
      <c r="DF43"/>
      <c r="DG43" t="s">
        <v>1454</v>
      </c>
      <c r="DH43" t="s">
        <v>1454</v>
      </c>
      <c r="DI43" t="s">
        <v>1454</v>
      </c>
      <c r="DJ43"/>
      <c r="DK43" t="s">
        <v>1454</v>
      </c>
      <c r="DL43" t="s">
        <v>1454</v>
      </c>
      <c r="DM43" t="s">
        <v>630</v>
      </c>
      <c r="DN43"/>
      <c r="DO43" t="s">
        <v>1454</v>
      </c>
      <c r="DP43" t="s">
        <v>1454</v>
      </c>
      <c r="DQ43" t="s">
        <v>1454</v>
      </c>
      <c r="DR43"/>
      <c r="DS43" t="s">
        <v>1454</v>
      </c>
      <c r="DT43" t="s">
        <v>1454</v>
      </c>
      <c r="DU43" t="s">
        <v>1454</v>
      </c>
      <c r="DV43"/>
      <c r="DW43" t="s">
        <v>1454</v>
      </c>
      <c r="DX43" t="s">
        <v>1454</v>
      </c>
      <c r="DY43" t="s">
        <v>633</v>
      </c>
      <c r="DZ43"/>
      <c r="EA43" t="s">
        <v>1454</v>
      </c>
      <c r="EB43" t="s">
        <v>1454</v>
      </c>
      <c r="EC43" t="s">
        <v>1454</v>
      </c>
      <c r="ED43"/>
      <c r="EE43" t="s">
        <v>1454</v>
      </c>
      <c r="EF43" t="s">
        <v>1454</v>
      </c>
      <c r="EG43" t="s">
        <v>1454</v>
      </c>
      <c r="EH43"/>
      <c r="EI43" t="s">
        <v>1454</v>
      </c>
      <c r="EJ43" t="s">
        <v>1454</v>
      </c>
      <c r="EK43" t="s">
        <v>636</v>
      </c>
      <c r="EL43"/>
      <c r="EM43" t="s">
        <v>1454</v>
      </c>
      <c r="EN43" t="s">
        <v>1454</v>
      </c>
      <c r="EO43" t="s">
        <v>1454</v>
      </c>
      <c r="EP43"/>
      <c r="EQ43" t="s">
        <v>1454</v>
      </c>
      <c r="ER43" t="s">
        <v>1454</v>
      </c>
      <c r="ES43" t="s">
        <v>1454</v>
      </c>
      <c r="ET43"/>
      <c r="EU43" t="s">
        <v>639</v>
      </c>
      <c r="EV43" t="s">
        <v>1454</v>
      </c>
      <c r="EW43" t="s">
        <v>1454</v>
      </c>
      <c r="EX43"/>
      <c r="EY43" t="s">
        <v>1454</v>
      </c>
      <c r="EZ43" t="s">
        <v>1454</v>
      </c>
      <c r="FA43" t="s">
        <v>1454</v>
      </c>
      <c r="FB43"/>
      <c r="FC43" t="s">
        <v>1454</v>
      </c>
      <c r="FD43" t="s">
        <v>1454</v>
      </c>
      <c r="FE43" t="s">
        <v>641</v>
      </c>
      <c r="FF43"/>
      <c r="FG43" t="s">
        <v>642</v>
      </c>
      <c r="FH43" t="s">
        <v>1454</v>
      </c>
      <c r="FI43" t="s">
        <v>642</v>
      </c>
      <c r="FJ43"/>
      <c r="FK43" t="s">
        <v>1454</v>
      </c>
      <c r="FL43" t="s">
        <v>1454</v>
      </c>
      <c r="FM43" t="s">
        <v>1454</v>
      </c>
      <c r="FN43"/>
      <c r="FO43" t="s">
        <v>1454</v>
      </c>
      <c r="FP43" t="s">
        <v>1454</v>
      </c>
      <c r="FQ43" t="s">
        <v>1454</v>
      </c>
      <c r="FR43"/>
      <c r="FS43" t="s">
        <v>1454</v>
      </c>
      <c r="FT43" t="s">
        <v>1454</v>
      </c>
      <c r="FU43" t="s">
        <v>644</v>
      </c>
      <c r="FV43"/>
      <c r="FW43" t="s">
        <v>1454</v>
      </c>
      <c r="FX43" t="s">
        <v>1454</v>
      </c>
      <c r="FY43" t="s">
        <v>1454</v>
      </c>
      <c r="FZ43"/>
      <c r="GA43" t="s">
        <v>1454</v>
      </c>
      <c r="GB43" t="s">
        <v>1454</v>
      </c>
      <c r="GC43" t="s">
        <v>1454</v>
      </c>
      <c r="GD43"/>
      <c r="GE43" t="s">
        <v>647</v>
      </c>
      <c r="GF43" t="s">
        <v>1454</v>
      </c>
      <c r="GG43" t="s">
        <v>647</v>
      </c>
      <c r="GH43"/>
      <c r="GI43" t="s">
        <v>1454</v>
      </c>
      <c r="GJ43" t="s">
        <v>1454</v>
      </c>
      <c r="GK43" t="s">
        <v>1454</v>
      </c>
      <c r="GL43"/>
      <c r="GM43" t="s">
        <v>1454</v>
      </c>
      <c r="GN43" t="s">
        <v>1454</v>
      </c>
      <c r="GO43" t="s">
        <v>1454</v>
      </c>
      <c r="GP43"/>
      <c r="GQ43" t="s">
        <v>1521</v>
      </c>
      <c r="GR43" t="s">
        <v>1522</v>
      </c>
      <c r="GS43" t="s">
        <v>1523</v>
      </c>
    </row>
    <row r="44" spans="2:201" x14ac:dyDescent="0.25">
      <c r="B44" t="s">
        <v>432</v>
      </c>
      <c r="C44" t="s">
        <v>1454</v>
      </c>
      <c r="D44" t="s">
        <v>1454</v>
      </c>
      <c r="E44" t="s">
        <v>1454</v>
      </c>
      <c r="G44" t="s">
        <v>1454</v>
      </c>
      <c r="H44" t="s">
        <v>1454</v>
      </c>
      <c r="I44" t="s">
        <v>1454</v>
      </c>
      <c r="K44" t="s">
        <v>1454</v>
      </c>
      <c r="L44" t="s">
        <v>1454</v>
      </c>
      <c r="M44" t="s">
        <v>1454</v>
      </c>
      <c r="O44" t="s">
        <v>1454</v>
      </c>
      <c r="P44" t="s">
        <v>1454</v>
      </c>
      <c r="Q44" t="s">
        <v>1454</v>
      </c>
      <c r="S44" t="s">
        <v>1454</v>
      </c>
      <c r="T44" t="s">
        <v>1454</v>
      </c>
      <c r="U44" t="s">
        <v>1454</v>
      </c>
      <c r="W44" t="s">
        <v>1454</v>
      </c>
      <c r="X44" t="s">
        <v>1454</v>
      </c>
      <c r="Y44" t="s">
        <v>1454</v>
      </c>
      <c r="AA44" t="s">
        <v>1454</v>
      </c>
      <c r="AB44" t="s">
        <v>1454</v>
      </c>
      <c r="AC44" t="s">
        <v>1454</v>
      </c>
      <c r="AE44" t="s">
        <v>1454</v>
      </c>
      <c r="AF44" t="s">
        <v>1454</v>
      </c>
      <c r="AG44" t="s">
        <v>1454</v>
      </c>
      <c r="AI44" t="s">
        <v>1454</v>
      </c>
      <c r="AJ44" t="s">
        <v>1454</v>
      </c>
      <c r="AK44" t="s">
        <v>610</v>
      </c>
      <c r="AM44" t="s">
        <v>1454</v>
      </c>
      <c r="AN44" t="s">
        <v>1454</v>
      </c>
      <c r="AO44" t="s">
        <v>1454</v>
      </c>
      <c r="AQ44" t="s">
        <v>1454</v>
      </c>
      <c r="AR44" t="s">
        <v>1454</v>
      </c>
      <c r="AS44" t="s">
        <v>1454</v>
      </c>
      <c r="AU44" t="s">
        <v>1454</v>
      </c>
      <c r="AV44" t="s">
        <v>1454</v>
      </c>
      <c r="AW44" t="s">
        <v>613</v>
      </c>
      <c r="AY44" t="s">
        <v>1454</v>
      </c>
      <c r="AZ44" t="s">
        <v>1454</v>
      </c>
      <c r="BA44" t="s">
        <v>1454</v>
      </c>
      <c r="BC44" t="s">
        <v>1454</v>
      </c>
      <c r="BD44" t="s">
        <v>1454</v>
      </c>
      <c r="BE44" t="s">
        <v>1454</v>
      </c>
      <c r="BG44" t="s">
        <v>1454</v>
      </c>
      <c r="BH44" t="s">
        <v>616</v>
      </c>
      <c r="BI44" t="s">
        <v>1454</v>
      </c>
      <c r="BK44" t="s">
        <v>1454</v>
      </c>
      <c r="BL44" t="s">
        <v>1454</v>
      </c>
      <c r="BM44" t="s">
        <v>1454</v>
      </c>
      <c r="BO44" t="s">
        <v>1454</v>
      </c>
      <c r="BP44" t="s">
        <v>1454</v>
      </c>
      <c r="BQ44" t="s">
        <v>1454</v>
      </c>
      <c r="BS44" t="s">
        <v>1454</v>
      </c>
      <c r="BT44" t="s">
        <v>1454</v>
      </c>
      <c r="BU44" t="s">
        <v>1454</v>
      </c>
      <c r="BW44" t="s">
        <v>1454</v>
      </c>
      <c r="BX44" t="s">
        <v>1454</v>
      </c>
      <c r="BY44" t="s">
        <v>1454</v>
      </c>
      <c r="CA44" t="s">
        <v>1454</v>
      </c>
      <c r="CB44" t="s">
        <v>1454</v>
      </c>
      <c r="CC44" t="s">
        <v>1454</v>
      </c>
      <c r="CE44" t="s">
        <v>622</v>
      </c>
      <c r="CF44" t="s">
        <v>1454</v>
      </c>
      <c r="CG44" t="s">
        <v>1454</v>
      </c>
      <c r="CI44" t="s">
        <v>1454</v>
      </c>
      <c r="CJ44" t="s">
        <v>1454</v>
      </c>
      <c r="CK44" t="s">
        <v>1454</v>
      </c>
      <c r="CM44" t="s">
        <v>624</v>
      </c>
      <c r="CN44" t="s">
        <v>1454</v>
      </c>
      <c r="CO44" t="s">
        <v>1454</v>
      </c>
      <c r="CQ44" t="s">
        <v>625</v>
      </c>
      <c r="CR44" t="s">
        <v>1454</v>
      </c>
      <c r="CS44" t="s">
        <v>625</v>
      </c>
      <c r="CU44" t="s">
        <v>1454</v>
      </c>
      <c r="CV44" t="s">
        <v>1454</v>
      </c>
      <c r="CW44" t="s">
        <v>1454</v>
      </c>
      <c r="CY44" t="s">
        <v>1454</v>
      </c>
      <c r="CZ44" t="s">
        <v>1454</v>
      </c>
      <c r="DA44" t="s">
        <v>1454</v>
      </c>
      <c r="DC44" t="s">
        <v>1454</v>
      </c>
      <c r="DD44" t="s">
        <v>1454</v>
      </c>
      <c r="DE44" t="s">
        <v>1454</v>
      </c>
      <c r="DG44" t="s">
        <v>1454</v>
      </c>
      <c r="DH44" t="s">
        <v>1454</v>
      </c>
      <c r="DI44" t="s">
        <v>1454</v>
      </c>
      <c r="DK44" t="s">
        <v>1454</v>
      </c>
      <c r="DL44" t="s">
        <v>1454</v>
      </c>
      <c r="DM44" t="s">
        <v>630</v>
      </c>
      <c r="DO44" t="s">
        <v>631</v>
      </c>
      <c r="DP44" t="s">
        <v>1454</v>
      </c>
      <c r="DQ44" t="s">
        <v>631</v>
      </c>
      <c r="DS44" t="s">
        <v>1454</v>
      </c>
      <c r="DT44" t="s">
        <v>1454</v>
      </c>
      <c r="DU44" t="s">
        <v>1454</v>
      </c>
      <c r="DW44" t="s">
        <v>1454</v>
      </c>
      <c r="DX44" t="s">
        <v>1454</v>
      </c>
      <c r="DY44" t="s">
        <v>633</v>
      </c>
      <c r="EA44" t="s">
        <v>1454</v>
      </c>
      <c r="EB44" t="s">
        <v>1454</v>
      </c>
      <c r="EC44" t="s">
        <v>1454</v>
      </c>
      <c r="EE44" t="s">
        <v>1454</v>
      </c>
      <c r="EF44" t="s">
        <v>1454</v>
      </c>
      <c r="EG44" t="s">
        <v>1454</v>
      </c>
      <c r="EI44" t="s">
        <v>636</v>
      </c>
      <c r="EJ44" t="s">
        <v>1454</v>
      </c>
      <c r="EK44" t="s">
        <v>636</v>
      </c>
      <c r="EM44" t="s">
        <v>1454</v>
      </c>
      <c r="EN44" t="s">
        <v>1454</v>
      </c>
      <c r="EO44" t="s">
        <v>1454</v>
      </c>
      <c r="EQ44" t="s">
        <v>1454</v>
      </c>
      <c r="ER44" t="s">
        <v>1454</v>
      </c>
      <c r="ES44" t="s">
        <v>1454</v>
      </c>
      <c r="EU44" t="s">
        <v>639</v>
      </c>
      <c r="EV44" t="s">
        <v>1454</v>
      </c>
      <c r="EW44" t="s">
        <v>1454</v>
      </c>
      <c r="EY44" t="s">
        <v>1454</v>
      </c>
      <c r="EZ44" t="s">
        <v>1454</v>
      </c>
      <c r="FA44" t="s">
        <v>1454</v>
      </c>
      <c r="FC44" t="s">
        <v>1454</v>
      </c>
      <c r="FD44" t="s">
        <v>1454</v>
      </c>
      <c r="FE44" t="s">
        <v>641</v>
      </c>
      <c r="FG44" t="s">
        <v>1454</v>
      </c>
      <c r="FH44" t="s">
        <v>1454</v>
      </c>
      <c r="FI44" t="s">
        <v>642</v>
      </c>
      <c r="FK44" t="s">
        <v>643</v>
      </c>
      <c r="FL44" t="s">
        <v>1454</v>
      </c>
      <c r="FM44" t="s">
        <v>643</v>
      </c>
      <c r="FO44" t="s">
        <v>1454</v>
      </c>
      <c r="FP44" t="s">
        <v>1454</v>
      </c>
      <c r="FQ44" t="s">
        <v>1454</v>
      </c>
      <c r="FS44" t="s">
        <v>1454</v>
      </c>
      <c r="FT44" t="s">
        <v>1454</v>
      </c>
      <c r="FU44" t="s">
        <v>644</v>
      </c>
      <c r="FW44" t="s">
        <v>1454</v>
      </c>
      <c r="FX44" t="s">
        <v>1454</v>
      </c>
      <c r="FY44" t="s">
        <v>1454</v>
      </c>
      <c r="GA44" t="s">
        <v>1454</v>
      </c>
      <c r="GB44" t="s">
        <v>1454</v>
      </c>
      <c r="GC44" t="s">
        <v>1454</v>
      </c>
      <c r="GE44" t="s">
        <v>1454</v>
      </c>
      <c r="GF44" t="s">
        <v>1454</v>
      </c>
      <c r="GG44" t="s">
        <v>647</v>
      </c>
      <c r="GI44" t="s">
        <v>1454</v>
      </c>
      <c r="GJ44" t="s">
        <v>1454</v>
      </c>
      <c r="GK44" t="s">
        <v>1454</v>
      </c>
      <c r="GM44" t="s">
        <v>1454</v>
      </c>
      <c r="GN44" t="s">
        <v>1454</v>
      </c>
      <c r="GO44" t="s">
        <v>1454</v>
      </c>
      <c r="GQ44" t="s">
        <v>1524</v>
      </c>
      <c r="GR44" t="s">
        <v>1484</v>
      </c>
      <c r="GS44" t="s">
        <v>1525</v>
      </c>
    </row>
    <row r="45" spans="2:201" x14ac:dyDescent="0.25">
      <c r="B45" t="s">
        <v>433</v>
      </c>
      <c r="C45" t="s">
        <v>1454</v>
      </c>
      <c r="D45" t="s">
        <v>1454</v>
      </c>
      <c r="E45" t="s">
        <v>1454</v>
      </c>
      <c r="G45" t="s">
        <v>1454</v>
      </c>
      <c r="H45" t="s">
        <v>1454</v>
      </c>
      <c r="I45" t="s">
        <v>1454</v>
      </c>
      <c r="K45" t="s">
        <v>1454</v>
      </c>
      <c r="L45" t="s">
        <v>1454</v>
      </c>
      <c r="M45" t="s">
        <v>1454</v>
      </c>
      <c r="O45" t="s">
        <v>1454</v>
      </c>
      <c r="P45" t="s">
        <v>1454</v>
      </c>
      <c r="Q45" t="s">
        <v>1454</v>
      </c>
      <c r="S45" t="s">
        <v>1454</v>
      </c>
      <c r="T45" t="s">
        <v>1454</v>
      </c>
      <c r="U45" t="s">
        <v>1454</v>
      </c>
      <c r="W45" t="s">
        <v>1454</v>
      </c>
      <c r="X45" t="s">
        <v>1454</v>
      </c>
      <c r="Y45" t="s">
        <v>1454</v>
      </c>
      <c r="AA45" t="s">
        <v>1454</v>
      </c>
      <c r="AB45" t="s">
        <v>1454</v>
      </c>
      <c r="AC45" t="s">
        <v>1454</v>
      </c>
      <c r="AE45" t="s">
        <v>1454</v>
      </c>
      <c r="AF45" t="s">
        <v>1454</v>
      </c>
      <c r="AG45" t="s">
        <v>1454</v>
      </c>
      <c r="AI45" t="s">
        <v>1454</v>
      </c>
      <c r="AJ45" t="s">
        <v>1454</v>
      </c>
      <c r="AK45" t="s">
        <v>1454</v>
      </c>
      <c r="AM45" t="s">
        <v>1454</v>
      </c>
      <c r="AN45" t="s">
        <v>1454</v>
      </c>
      <c r="AO45" t="s">
        <v>1454</v>
      </c>
      <c r="AQ45" t="s">
        <v>1454</v>
      </c>
      <c r="AR45" t="s">
        <v>1454</v>
      </c>
      <c r="AS45" t="s">
        <v>1454</v>
      </c>
      <c r="AU45" t="s">
        <v>1454</v>
      </c>
      <c r="AV45" t="s">
        <v>1454</v>
      </c>
      <c r="AW45" t="s">
        <v>1454</v>
      </c>
      <c r="AY45" t="s">
        <v>1454</v>
      </c>
      <c r="AZ45" t="s">
        <v>1454</v>
      </c>
      <c r="BA45" t="s">
        <v>1454</v>
      </c>
      <c r="BC45" t="s">
        <v>1454</v>
      </c>
      <c r="BD45" t="s">
        <v>1454</v>
      </c>
      <c r="BE45" t="s">
        <v>1454</v>
      </c>
      <c r="BG45" t="s">
        <v>1454</v>
      </c>
      <c r="BH45" t="s">
        <v>1454</v>
      </c>
      <c r="BI45" t="s">
        <v>1454</v>
      </c>
      <c r="BK45" t="s">
        <v>1454</v>
      </c>
      <c r="BL45" t="s">
        <v>1454</v>
      </c>
      <c r="BM45" t="s">
        <v>1454</v>
      </c>
      <c r="BO45" t="s">
        <v>1454</v>
      </c>
      <c r="BP45" t="s">
        <v>1454</v>
      </c>
      <c r="BQ45" t="s">
        <v>1454</v>
      </c>
      <c r="BS45" t="s">
        <v>1454</v>
      </c>
      <c r="BT45" t="s">
        <v>1454</v>
      </c>
      <c r="BU45" t="s">
        <v>1454</v>
      </c>
      <c r="BW45" t="s">
        <v>1454</v>
      </c>
      <c r="BX45" t="s">
        <v>1454</v>
      </c>
      <c r="BY45" t="s">
        <v>1454</v>
      </c>
      <c r="CA45" t="s">
        <v>1454</v>
      </c>
      <c r="CB45" t="s">
        <v>1454</v>
      </c>
      <c r="CC45" t="s">
        <v>1454</v>
      </c>
      <c r="CE45" t="s">
        <v>1454</v>
      </c>
      <c r="CF45" t="s">
        <v>1454</v>
      </c>
      <c r="CG45" t="s">
        <v>1454</v>
      </c>
      <c r="CI45" t="s">
        <v>1454</v>
      </c>
      <c r="CJ45" t="s">
        <v>1454</v>
      </c>
      <c r="CK45" t="s">
        <v>1454</v>
      </c>
      <c r="CM45" t="s">
        <v>1454</v>
      </c>
      <c r="CN45" t="s">
        <v>1454</v>
      </c>
      <c r="CO45" t="s">
        <v>1454</v>
      </c>
      <c r="CQ45" t="s">
        <v>1454</v>
      </c>
      <c r="CR45" t="s">
        <v>1454</v>
      </c>
      <c r="CS45" t="s">
        <v>1454</v>
      </c>
      <c r="CU45" t="s">
        <v>1454</v>
      </c>
      <c r="CV45" t="s">
        <v>1454</v>
      </c>
      <c r="CW45" t="s">
        <v>1454</v>
      </c>
      <c r="CY45" t="s">
        <v>1454</v>
      </c>
      <c r="CZ45" t="s">
        <v>1454</v>
      </c>
      <c r="DA45" t="s">
        <v>1454</v>
      </c>
      <c r="DC45" t="s">
        <v>1454</v>
      </c>
      <c r="DD45" t="s">
        <v>1454</v>
      </c>
      <c r="DE45" t="s">
        <v>1454</v>
      </c>
      <c r="DG45" t="s">
        <v>1454</v>
      </c>
      <c r="DH45" t="s">
        <v>1454</v>
      </c>
      <c r="DI45" t="s">
        <v>1454</v>
      </c>
      <c r="DK45" t="s">
        <v>1454</v>
      </c>
      <c r="DL45" t="s">
        <v>1454</v>
      </c>
      <c r="DM45" t="s">
        <v>1454</v>
      </c>
      <c r="DO45" t="s">
        <v>1454</v>
      </c>
      <c r="DP45" t="s">
        <v>1454</v>
      </c>
      <c r="DQ45" t="s">
        <v>1454</v>
      </c>
      <c r="DS45" t="s">
        <v>1454</v>
      </c>
      <c r="DT45" t="s">
        <v>1454</v>
      </c>
      <c r="DU45" t="s">
        <v>1454</v>
      </c>
      <c r="DW45" t="s">
        <v>1454</v>
      </c>
      <c r="DX45" t="s">
        <v>1454</v>
      </c>
      <c r="DY45" t="s">
        <v>1454</v>
      </c>
      <c r="EA45" t="s">
        <v>1454</v>
      </c>
      <c r="EB45" t="s">
        <v>1454</v>
      </c>
      <c r="EC45" t="s">
        <v>1454</v>
      </c>
      <c r="EE45" t="s">
        <v>1454</v>
      </c>
      <c r="EF45" t="s">
        <v>1454</v>
      </c>
      <c r="EG45" t="s">
        <v>1454</v>
      </c>
      <c r="EI45" t="s">
        <v>1454</v>
      </c>
      <c r="EJ45" t="s">
        <v>1454</v>
      </c>
      <c r="EK45" t="s">
        <v>1454</v>
      </c>
      <c r="EM45" t="s">
        <v>1454</v>
      </c>
      <c r="EN45" t="s">
        <v>1454</v>
      </c>
      <c r="EO45" t="s">
        <v>1454</v>
      </c>
      <c r="EQ45" t="s">
        <v>1454</v>
      </c>
      <c r="ER45" t="s">
        <v>1454</v>
      </c>
      <c r="ES45" t="s">
        <v>1454</v>
      </c>
      <c r="EU45" t="s">
        <v>1454</v>
      </c>
      <c r="EV45" t="s">
        <v>1454</v>
      </c>
      <c r="EW45" t="s">
        <v>1454</v>
      </c>
      <c r="EY45" t="s">
        <v>1454</v>
      </c>
      <c r="EZ45" t="s">
        <v>1454</v>
      </c>
      <c r="FA45" t="s">
        <v>1454</v>
      </c>
      <c r="FC45" t="s">
        <v>641</v>
      </c>
      <c r="FD45" t="s">
        <v>1454</v>
      </c>
      <c r="FE45" t="s">
        <v>641</v>
      </c>
      <c r="FG45" t="s">
        <v>642</v>
      </c>
      <c r="FH45" t="s">
        <v>1454</v>
      </c>
      <c r="FI45" t="s">
        <v>642</v>
      </c>
      <c r="FK45" t="s">
        <v>643</v>
      </c>
      <c r="FL45" t="s">
        <v>1454</v>
      </c>
      <c r="FM45" t="s">
        <v>643</v>
      </c>
      <c r="FO45" t="s">
        <v>1454</v>
      </c>
      <c r="FP45" t="s">
        <v>1454</v>
      </c>
      <c r="FQ45" t="s">
        <v>1454</v>
      </c>
      <c r="FS45" t="s">
        <v>1454</v>
      </c>
      <c r="FT45" t="s">
        <v>1454</v>
      </c>
      <c r="FU45" t="s">
        <v>1454</v>
      </c>
      <c r="FW45" t="s">
        <v>1454</v>
      </c>
      <c r="FX45" t="s">
        <v>1454</v>
      </c>
      <c r="FY45" t="s">
        <v>1454</v>
      </c>
      <c r="GA45" t="s">
        <v>1454</v>
      </c>
      <c r="GB45" t="s">
        <v>1454</v>
      </c>
      <c r="GC45" t="s">
        <v>1454</v>
      </c>
      <c r="GE45" t="s">
        <v>1454</v>
      </c>
      <c r="GF45" t="s">
        <v>1454</v>
      </c>
      <c r="GG45" t="s">
        <v>1454</v>
      </c>
      <c r="GI45" t="s">
        <v>1454</v>
      </c>
      <c r="GJ45" t="s">
        <v>1454</v>
      </c>
      <c r="GK45" t="s">
        <v>1454</v>
      </c>
      <c r="GM45" t="s">
        <v>1454</v>
      </c>
      <c r="GN45" t="s">
        <v>1454</v>
      </c>
      <c r="GO45" t="s">
        <v>1454</v>
      </c>
      <c r="GQ45" t="s">
        <v>1526</v>
      </c>
      <c r="GR45" t="s">
        <v>1454</v>
      </c>
      <c r="GS45" t="s">
        <v>1526</v>
      </c>
    </row>
    <row r="46" spans="2:201" x14ac:dyDescent="0.25">
      <c r="B46" t="s">
        <v>434</v>
      </c>
      <c r="C46" t="s">
        <v>1454</v>
      </c>
      <c r="D46" t="s">
        <v>1454</v>
      </c>
      <c r="E46" t="s">
        <v>1454</v>
      </c>
      <c r="G46" t="s">
        <v>1454</v>
      </c>
      <c r="H46" t="s">
        <v>1454</v>
      </c>
      <c r="I46" t="s">
        <v>1454</v>
      </c>
      <c r="K46" t="s">
        <v>1454</v>
      </c>
      <c r="L46" t="s">
        <v>1454</v>
      </c>
      <c r="M46" t="s">
        <v>1454</v>
      </c>
      <c r="O46" t="s">
        <v>605</v>
      </c>
      <c r="P46" t="s">
        <v>1454</v>
      </c>
      <c r="Q46" t="s">
        <v>1454</v>
      </c>
      <c r="S46" t="s">
        <v>1454</v>
      </c>
      <c r="T46" t="s">
        <v>1454</v>
      </c>
      <c r="U46" t="s">
        <v>1454</v>
      </c>
      <c r="W46" t="s">
        <v>1454</v>
      </c>
      <c r="X46" t="s">
        <v>1454</v>
      </c>
      <c r="Y46" t="s">
        <v>1454</v>
      </c>
      <c r="AA46" t="s">
        <v>1454</v>
      </c>
      <c r="AB46" t="s">
        <v>1454</v>
      </c>
      <c r="AC46" t="s">
        <v>1454</v>
      </c>
      <c r="AE46" t="s">
        <v>1454</v>
      </c>
      <c r="AF46" t="s">
        <v>1454</v>
      </c>
      <c r="AG46" t="s">
        <v>1454</v>
      </c>
      <c r="AI46" t="s">
        <v>1454</v>
      </c>
      <c r="AJ46" t="s">
        <v>1454</v>
      </c>
      <c r="AK46" t="s">
        <v>1454</v>
      </c>
      <c r="AM46" t="s">
        <v>1454</v>
      </c>
      <c r="AN46" t="s">
        <v>1454</v>
      </c>
      <c r="AO46" t="s">
        <v>1454</v>
      </c>
      <c r="AQ46" t="s">
        <v>1454</v>
      </c>
      <c r="AR46" t="s">
        <v>1454</v>
      </c>
      <c r="AS46" t="s">
        <v>1454</v>
      </c>
      <c r="AU46" t="s">
        <v>1454</v>
      </c>
      <c r="AV46" t="s">
        <v>1454</v>
      </c>
      <c r="AW46" t="s">
        <v>1454</v>
      </c>
      <c r="AY46" t="s">
        <v>1454</v>
      </c>
      <c r="AZ46" t="s">
        <v>1454</v>
      </c>
      <c r="BA46" t="s">
        <v>1454</v>
      </c>
      <c r="BC46" t="s">
        <v>1454</v>
      </c>
      <c r="BD46" t="s">
        <v>1454</v>
      </c>
      <c r="BE46" t="s">
        <v>1454</v>
      </c>
      <c r="BG46" t="s">
        <v>1454</v>
      </c>
      <c r="BH46" t="s">
        <v>1454</v>
      </c>
      <c r="BI46" t="s">
        <v>1454</v>
      </c>
      <c r="BK46" t="s">
        <v>1454</v>
      </c>
      <c r="BL46" t="s">
        <v>1454</v>
      </c>
      <c r="BM46" t="s">
        <v>1454</v>
      </c>
      <c r="BO46" t="s">
        <v>1454</v>
      </c>
      <c r="BP46" t="s">
        <v>1454</v>
      </c>
      <c r="BQ46" t="s">
        <v>1454</v>
      </c>
      <c r="BS46" t="s">
        <v>1454</v>
      </c>
      <c r="BT46" t="s">
        <v>1454</v>
      </c>
      <c r="BU46" t="s">
        <v>1454</v>
      </c>
      <c r="BW46" t="s">
        <v>1454</v>
      </c>
      <c r="BX46" t="s">
        <v>1454</v>
      </c>
      <c r="BY46" t="s">
        <v>1454</v>
      </c>
      <c r="CA46" t="s">
        <v>1454</v>
      </c>
      <c r="CB46" t="s">
        <v>1454</v>
      </c>
      <c r="CC46" t="s">
        <v>1454</v>
      </c>
      <c r="CE46" t="s">
        <v>1454</v>
      </c>
      <c r="CF46" t="s">
        <v>1454</v>
      </c>
      <c r="CG46" t="s">
        <v>1454</v>
      </c>
      <c r="CI46" t="s">
        <v>1454</v>
      </c>
      <c r="CJ46" t="s">
        <v>1454</v>
      </c>
      <c r="CK46" t="s">
        <v>1454</v>
      </c>
      <c r="CM46" t="s">
        <v>1454</v>
      </c>
      <c r="CN46" t="s">
        <v>1454</v>
      </c>
      <c r="CO46" t="s">
        <v>1454</v>
      </c>
      <c r="CQ46" t="s">
        <v>1454</v>
      </c>
      <c r="CR46" t="s">
        <v>1454</v>
      </c>
      <c r="CS46" t="s">
        <v>1454</v>
      </c>
      <c r="CU46" t="s">
        <v>1454</v>
      </c>
      <c r="CV46" t="s">
        <v>1454</v>
      </c>
      <c r="CW46" t="s">
        <v>1454</v>
      </c>
      <c r="CY46" t="s">
        <v>1454</v>
      </c>
      <c r="CZ46" t="s">
        <v>1454</v>
      </c>
      <c r="DA46" t="s">
        <v>1454</v>
      </c>
      <c r="DC46" t="s">
        <v>1454</v>
      </c>
      <c r="DD46" t="s">
        <v>1454</v>
      </c>
      <c r="DE46" t="s">
        <v>1454</v>
      </c>
      <c r="DG46" t="s">
        <v>1454</v>
      </c>
      <c r="DH46" t="s">
        <v>1454</v>
      </c>
      <c r="DI46" t="s">
        <v>1454</v>
      </c>
      <c r="DK46" t="s">
        <v>1454</v>
      </c>
      <c r="DL46" t="s">
        <v>1454</v>
      </c>
      <c r="DM46" t="s">
        <v>1454</v>
      </c>
      <c r="DO46" t="s">
        <v>1454</v>
      </c>
      <c r="DP46" t="s">
        <v>1454</v>
      </c>
      <c r="DQ46" t="s">
        <v>1454</v>
      </c>
      <c r="DS46" t="s">
        <v>1454</v>
      </c>
      <c r="DT46" t="s">
        <v>1454</v>
      </c>
      <c r="DU46" t="s">
        <v>1454</v>
      </c>
      <c r="DW46" t="s">
        <v>1454</v>
      </c>
      <c r="DX46" t="s">
        <v>1454</v>
      </c>
      <c r="DY46" t="s">
        <v>1454</v>
      </c>
      <c r="EA46" t="s">
        <v>1454</v>
      </c>
      <c r="EB46" t="s">
        <v>1454</v>
      </c>
      <c r="EC46" t="s">
        <v>1454</v>
      </c>
      <c r="EE46" t="s">
        <v>1454</v>
      </c>
      <c r="EF46" t="s">
        <v>1454</v>
      </c>
      <c r="EG46" t="s">
        <v>1454</v>
      </c>
      <c r="EI46" t="s">
        <v>1454</v>
      </c>
      <c r="EJ46" t="s">
        <v>1454</v>
      </c>
      <c r="EK46" t="s">
        <v>1454</v>
      </c>
      <c r="EM46" t="s">
        <v>1454</v>
      </c>
      <c r="EN46" t="s">
        <v>1454</v>
      </c>
      <c r="EO46" t="s">
        <v>1454</v>
      </c>
      <c r="EQ46" t="s">
        <v>1454</v>
      </c>
      <c r="ER46" t="s">
        <v>1454</v>
      </c>
      <c r="ES46" t="s">
        <v>1454</v>
      </c>
      <c r="EU46" t="s">
        <v>1454</v>
      </c>
      <c r="EV46" t="s">
        <v>1454</v>
      </c>
      <c r="EW46" t="s">
        <v>1454</v>
      </c>
      <c r="EY46" t="s">
        <v>1454</v>
      </c>
      <c r="EZ46" t="s">
        <v>1454</v>
      </c>
      <c r="FA46" t="s">
        <v>1454</v>
      </c>
      <c r="FC46" t="s">
        <v>1454</v>
      </c>
      <c r="FD46" t="s">
        <v>1454</v>
      </c>
      <c r="FE46" t="s">
        <v>1454</v>
      </c>
      <c r="FG46" t="s">
        <v>1454</v>
      </c>
      <c r="FH46" t="s">
        <v>1454</v>
      </c>
      <c r="FI46" t="s">
        <v>1454</v>
      </c>
      <c r="FK46" t="s">
        <v>1454</v>
      </c>
      <c r="FL46" t="s">
        <v>1454</v>
      </c>
      <c r="FM46" t="s">
        <v>1454</v>
      </c>
      <c r="FO46" t="s">
        <v>1454</v>
      </c>
      <c r="FP46" t="s">
        <v>1454</v>
      </c>
      <c r="FQ46" t="s">
        <v>1454</v>
      </c>
      <c r="FS46" t="s">
        <v>1454</v>
      </c>
      <c r="FT46" t="s">
        <v>1454</v>
      </c>
      <c r="FU46" t="s">
        <v>1454</v>
      </c>
      <c r="FW46" t="s">
        <v>1454</v>
      </c>
      <c r="FX46" t="s">
        <v>1454</v>
      </c>
      <c r="FY46" t="s">
        <v>1454</v>
      </c>
      <c r="GA46" t="s">
        <v>1454</v>
      </c>
      <c r="GB46" t="s">
        <v>1454</v>
      </c>
      <c r="GC46" t="s">
        <v>1454</v>
      </c>
      <c r="GE46" t="s">
        <v>1454</v>
      </c>
      <c r="GF46" t="s">
        <v>1454</v>
      </c>
      <c r="GG46" t="s">
        <v>1454</v>
      </c>
      <c r="GI46" t="s">
        <v>1454</v>
      </c>
      <c r="GJ46" t="s">
        <v>1454</v>
      </c>
      <c r="GK46" t="s">
        <v>1454</v>
      </c>
      <c r="GM46" t="s">
        <v>1454</v>
      </c>
      <c r="GN46" t="s">
        <v>1454</v>
      </c>
      <c r="GO46" t="s">
        <v>1454</v>
      </c>
      <c r="GQ46" t="s">
        <v>1489</v>
      </c>
      <c r="GR46" t="s">
        <v>1454</v>
      </c>
      <c r="GS46" t="s">
        <v>1454</v>
      </c>
    </row>
    <row r="47" spans="2:201" s="11" customFormat="1" x14ac:dyDescent="0.25">
      <c r="B47" t="s">
        <v>435</v>
      </c>
      <c r="C47" t="s">
        <v>1454</v>
      </c>
      <c r="D47" t="s">
        <v>1454</v>
      </c>
      <c r="E47" t="s">
        <v>1454</v>
      </c>
      <c r="F47"/>
      <c r="G47" t="s">
        <v>1454</v>
      </c>
      <c r="H47" t="s">
        <v>1454</v>
      </c>
      <c r="I47" t="s">
        <v>1454</v>
      </c>
      <c r="J47"/>
      <c r="K47" t="s">
        <v>1454</v>
      </c>
      <c r="L47" t="s">
        <v>1454</v>
      </c>
      <c r="M47" t="s">
        <v>1454</v>
      </c>
      <c r="N47"/>
      <c r="O47" t="s">
        <v>605</v>
      </c>
      <c r="P47" t="s">
        <v>1454</v>
      </c>
      <c r="Q47" t="s">
        <v>1454</v>
      </c>
      <c r="R47"/>
      <c r="S47" t="s">
        <v>1454</v>
      </c>
      <c r="T47" t="s">
        <v>1454</v>
      </c>
      <c r="U47" t="s">
        <v>1454</v>
      </c>
      <c r="V47"/>
      <c r="W47" t="s">
        <v>1454</v>
      </c>
      <c r="X47" t="s">
        <v>1454</v>
      </c>
      <c r="Y47" t="s">
        <v>1454</v>
      </c>
      <c r="Z47"/>
      <c r="AA47" t="s">
        <v>1454</v>
      </c>
      <c r="AB47" t="s">
        <v>1454</v>
      </c>
      <c r="AC47" t="s">
        <v>1454</v>
      </c>
      <c r="AD47"/>
      <c r="AE47" t="s">
        <v>609</v>
      </c>
      <c r="AF47" t="s">
        <v>1454</v>
      </c>
      <c r="AG47" t="s">
        <v>1454</v>
      </c>
      <c r="AH47"/>
      <c r="AI47" t="s">
        <v>1454</v>
      </c>
      <c r="AJ47" t="s">
        <v>1454</v>
      </c>
      <c r="AK47" t="s">
        <v>1454</v>
      </c>
      <c r="AL47"/>
      <c r="AM47" t="s">
        <v>1454</v>
      </c>
      <c r="AN47" t="s">
        <v>1454</v>
      </c>
      <c r="AO47" t="s">
        <v>1454</v>
      </c>
      <c r="AP47"/>
      <c r="AQ47" t="s">
        <v>1454</v>
      </c>
      <c r="AR47" t="s">
        <v>1454</v>
      </c>
      <c r="AS47" t="s">
        <v>1454</v>
      </c>
      <c r="AT47"/>
      <c r="AU47" t="s">
        <v>1454</v>
      </c>
      <c r="AV47" t="s">
        <v>1454</v>
      </c>
      <c r="AW47" t="s">
        <v>1454</v>
      </c>
      <c r="AX47"/>
      <c r="AY47" t="s">
        <v>1454</v>
      </c>
      <c r="AZ47" t="s">
        <v>1454</v>
      </c>
      <c r="BA47" t="s">
        <v>1454</v>
      </c>
      <c r="BB47"/>
      <c r="BC47" t="s">
        <v>1454</v>
      </c>
      <c r="BD47" t="s">
        <v>1454</v>
      </c>
      <c r="BE47" t="s">
        <v>1454</v>
      </c>
      <c r="BF47"/>
      <c r="BG47" t="s">
        <v>1454</v>
      </c>
      <c r="BH47" t="s">
        <v>1454</v>
      </c>
      <c r="BI47" t="s">
        <v>1454</v>
      </c>
      <c r="BJ47"/>
      <c r="BK47" t="s">
        <v>1454</v>
      </c>
      <c r="BL47" t="s">
        <v>1454</v>
      </c>
      <c r="BM47" t="s">
        <v>1454</v>
      </c>
      <c r="BN47"/>
      <c r="BO47" t="s">
        <v>1454</v>
      </c>
      <c r="BP47" t="s">
        <v>1454</v>
      </c>
      <c r="BQ47" t="s">
        <v>1454</v>
      </c>
      <c r="BR47"/>
      <c r="BS47" t="s">
        <v>1454</v>
      </c>
      <c r="BT47" t="s">
        <v>1454</v>
      </c>
      <c r="BU47" t="s">
        <v>1454</v>
      </c>
      <c r="BV47"/>
      <c r="BW47" t="s">
        <v>1454</v>
      </c>
      <c r="BX47" t="s">
        <v>1454</v>
      </c>
      <c r="BY47" t="s">
        <v>1454</v>
      </c>
      <c r="BZ47"/>
      <c r="CA47" t="s">
        <v>1454</v>
      </c>
      <c r="CB47" t="s">
        <v>1454</v>
      </c>
      <c r="CC47" t="s">
        <v>1454</v>
      </c>
      <c r="CD47"/>
      <c r="CE47" t="s">
        <v>1454</v>
      </c>
      <c r="CF47" t="s">
        <v>1454</v>
      </c>
      <c r="CG47" t="s">
        <v>1454</v>
      </c>
      <c r="CH47"/>
      <c r="CI47" t="s">
        <v>1454</v>
      </c>
      <c r="CJ47" t="s">
        <v>1454</v>
      </c>
      <c r="CK47" t="s">
        <v>1454</v>
      </c>
      <c r="CL47"/>
      <c r="CM47" t="s">
        <v>1454</v>
      </c>
      <c r="CN47" t="s">
        <v>1454</v>
      </c>
      <c r="CO47" t="s">
        <v>1454</v>
      </c>
      <c r="CP47"/>
      <c r="CQ47" t="s">
        <v>1454</v>
      </c>
      <c r="CR47" t="s">
        <v>1454</v>
      </c>
      <c r="CS47" t="s">
        <v>1454</v>
      </c>
      <c r="CT47"/>
      <c r="CU47" t="s">
        <v>1454</v>
      </c>
      <c r="CV47" t="s">
        <v>1454</v>
      </c>
      <c r="CW47" t="s">
        <v>1454</v>
      </c>
      <c r="CX47"/>
      <c r="CY47" t="s">
        <v>1454</v>
      </c>
      <c r="CZ47" t="s">
        <v>1454</v>
      </c>
      <c r="DA47" t="s">
        <v>1454</v>
      </c>
      <c r="DB47"/>
      <c r="DC47" t="s">
        <v>1454</v>
      </c>
      <c r="DD47" t="s">
        <v>1454</v>
      </c>
      <c r="DE47" t="s">
        <v>1454</v>
      </c>
      <c r="DF47"/>
      <c r="DG47" t="s">
        <v>1454</v>
      </c>
      <c r="DH47" t="s">
        <v>1454</v>
      </c>
      <c r="DI47" t="s">
        <v>1454</v>
      </c>
      <c r="DJ47"/>
      <c r="DK47" t="s">
        <v>1454</v>
      </c>
      <c r="DL47" t="s">
        <v>1454</v>
      </c>
      <c r="DM47" t="s">
        <v>1454</v>
      </c>
      <c r="DN47"/>
      <c r="DO47" t="s">
        <v>1454</v>
      </c>
      <c r="DP47" t="s">
        <v>1454</v>
      </c>
      <c r="DQ47" t="s">
        <v>1454</v>
      </c>
      <c r="DR47"/>
      <c r="DS47" t="s">
        <v>1454</v>
      </c>
      <c r="DT47" t="s">
        <v>1454</v>
      </c>
      <c r="DU47" t="s">
        <v>1454</v>
      </c>
      <c r="DV47"/>
      <c r="DW47" t="s">
        <v>1454</v>
      </c>
      <c r="DX47" t="s">
        <v>1454</v>
      </c>
      <c r="DY47" t="s">
        <v>1454</v>
      </c>
      <c r="DZ47"/>
      <c r="EA47" t="s">
        <v>1454</v>
      </c>
      <c r="EB47" t="s">
        <v>1454</v>
      </c>
      <c r="EC47" t="s">
        <v>1454</v>
      </c>
      <c r="ED47"/>
      <c r="EE47" t="s">
        <v>1454</v>
      </c>
      <c r="EF47" t="s">
        <v>1454</v>
      </c>
      <c r="EG47" t="s">
        <v>1454</v>
      </c>
      <c r="EH47"/>
      <c r="EI47" t="s">
        <v>1454</v>
      </c>
      <c r="EJ47" t="s">
        <v>1454</v>
      </c>
      <c r="EK47" t="s">
        <v>1454</v>
      </c>
      <c r="EL47"/>
      <c r="EM47" t="s">
        <v>1454</v>
      </c>
      <c r="EN47" t="s">
        <v>1454</v>
      </c>
      <c r="EO47" t="s">
        <v>1454</v>
      </c>
      <c r="EP47"/>
      <c r="EQ47" t="s">
        <v>1454</v>
      </c>
      <c r="ER47" t="s">
        <v>1454</v>
      </c>
      <c r="ES47" t="s">
        <v>1454</v>
      </c>
      <c r="ET47"/>
      <c r="EU47" t="s">
        <v>1454</v>
      </c>
      <c r="EV47" t="s">
        <v>1454</v>
      </c>
      <c r="EW47" t="s">
        <v>1454</v>
      </c>
      <c r="EX47"/>
      <c r="EY47" t="s">
        <v>1454</v>
      </c>
      <c r="EZ47" t="s">
        <v>1454</v>
      </c>
      <c r="FA47" t="s">
        <v>1454</v>
      </c>
      <c r="FB47"/>
      <c r="FC47" t="s">
        <v>1454</v>
      </c>
      <c r="FD47" t="s">
        <v>1454</v>
      </c>
      <c r="FE47" t="s">
        <v>1454</v>
      </c>
      <c r="FF47"/>
      <c r="FG47" t="s">
        <v>1454</v>
      </c>
      <c r="FH47" t="s">
        <v>1454</v>
      </c>
      <c r="FI47" t="s">
        <v>1454</v>
      </c>
      <c r="FJ47"/>
      <c r="FK47" t="s">
        <v>1454</v>
      </c>
      <c r="FL47" t="s">
        <v>1454</v>
      </c>
      <c r="FM47" t="s">
        <v>1454</v>
      </c>
      <c r="FN47"/>
      <c r="FO47" t="s">
        <v>1454</v>
      </c>
      <c r="FP47" t="s">
        <v>1454</v>
      </c>
      <c r="FQ47" t="s">
        <v>1454</v>
      </c>
      <c r="FR47"/>
      <c r="FS47" t="s">
        <v>1454</v>
      </c>
      <c r="FT47" t="s">
        <v>1454</v>
      </c>
      <c r="FU47" t="s">
        <v>1454</v>
      </c>
      <c r="FV47"/>
      <c r="FW47" t="s">
        <v>1454</v>
      </c>
      <c r="FX47" t="s">
        <v>1454</v>
      </c>
      <c r="FY47" t="s">
        <v>1454</v>
      </c>
      <c r="FZ47"/>
      <c r="GA47" t="s">
        <v>1454</v>
      </c>
      <c r="GB47" t="s">
        <v>1454</v>
      </c>
      <c r="GC47" t="s">
        <v>1454</v>
      </c>
      <c r="GD47"/>
      <c r="GE47" t="s">
        <v>1454</v>
      </c>
      <c r="GF47" t="s">
        <v>1454</v>
      </c>
      <c r="GG47" t="s">
        <v>1454</v>
      </c>
      <c r="GH47"/>
      <c r="GI47" t="s">
        <v>1454</v>
      </c>
      <c r="GJ47" t="s">
        <v>1454</v>
      </c>
      <c r="GK47" t="s">
        <v>1454</v>
      </c>
      <c r="GL47"/>
      <c r="GM47" t="s">
        <v>1454</v>
      </c>
      <c r="GN47" t="s">
        <v>1454</v>
      </c>
      <c r="GO47" t="s">
        <v>1454</v>
      </c>
      <c r="GP47"/>
      <c r="GQ47" t="s">
        <v>1527</v>
      </c>
      <c r="GR47" t="s">
        <v>1454</v>
      </c>
      <c r="GS47" t="s">
        <v>1454</v>
      </c>
    </row>
    <row r="48" spans="2:201" x14ac:dyDescent="0.25">
      <c r="B48" t="s">
        <v>574</v>
      </c>
      <c r="C48" t="s">
        <v>1454</v>
      </c>
      <c r="D48" t="s">
        <v>1454</v>
      </c>
      <c r="E48" t="s">
        <v>1454</v>
      </c>
      <c r="G48" t="s">
        <v>1454</v>
      </c>
      <c r="H48" t="s">
        <v>1454</v>
      </c>
      <c r="I48" t="s">
        <v>1454</v>
      </c>
      <c r="K48" t="s">
        <v>1454</v>
      </c>
      <c r="L48" t="s">
        <v>1454</v>
      </c>
      <c r="M48" t="s">
        <v>1454</v>
      </c>
      <c r="O48" t="s">
        <v>1454</v>
      </c>
      <c r="P48" t="s">
        <v>1454</v>
      </c>
      <c r="Q48" t="s">
        <v>1454</v>
      </c>
      <c r="S48" t="s">
        <v>1454</v>
      </c>
      <c r="T48" t="s">
        <v>1454</v>
      </c>
      <c r="U48" t="s">
        <v>1454</v>
      </c>
      <c r="W48" t="s">
        <v>1454</v>
      </c>
      <c r="X48" t="s">
        <v>1454</v>
      </c>
      <c r="Y48" t="s">
        <v>1454</v>
      </c>
      <c r="AA48" t="s">
        <v>1454</v>
      </c>
      <c r="AB48" t="s">
        <v>1454</v>
      </c>
      <c r="AC48" t="s">
        <v>1454</v>
      </c>
      <c r="AE48" t="s">
        <v>1454</v>
      </c>
      <c r="AF48" t="s">
        <v>1454</v>
      </c>
      <c r="AG48" t="s">
        <v>1454</v>
      </c>
      <c r="AI48" t="s">
        <v>1454</v>
      </c>
      <c r="AJ48" t="s">
        <v>1454</v>
      </c>
      <c r="AK48" t="s">
        <v>1454</v>
      </c>
      <c r="AM48" t="s">
        <v>1454</v>
      </c>
      <c r="AN48" t="s">
        <v>1454</v>
      </c>
      <c r="AO48" t="s">
        <v>1454</v>
      </c>
      <c r="AQ48" t="s">
        <v>1454</v>
      </c>
      <c r="AR48" t="s">
        <v>1454</v>
      </c>
      <c r="AS48" t="s">
        <v>1454</v>
      </c>
      <c r="AU48" t="s">
        <v>1454</v>
      </c>
      <c r="AV48" t="s">
        <v>1454</v>
      </c>
      <c r="AW48" t="s">
        <v>1454</v>
      </c>
      <c r="AY48" t="s">
        <v>1454</v>
      </c>
      <c r="AZ48" t="s">
        <v>1454</v>
      </c>
      <c r="BA48" t="s">
        <v>1454</v>
      </c>
      <c r="BC48" t="s">
        <v>1454</v>
      </c>
      <c r="BD48" t="s">
        <v>1454</v>
      </c>
      <c r="BE48" t="s">
        <v>1454</v>
      </c>
      <c r="BG48" t="s">
        <v>1454</v>
      </c>
      <c r="BH48" t="s">
        <v>1454</v>
      </c>
      <c r="BI48" t="s">
        <v>1454</v>
      </c>
      <c r="BK48" t="s">
        <v>1454</v>
      </c>
      <c r="BL48" t="s">
        <v>1454</v>
      </c>
      <c r="BM48" t="s">
        <v>1454</v>
      </c>
      <c r="BO48" t="s">
        <v>1454</v>
      </c>
      <c r="BP48" t="s">
        <v>1454</v>
      </c>
      <c r="BQ48" t="s">
        <v>1454</v>
      </c>
      <c r="BS48" t="s">
        <v>1454</v>
      </c>
      <c r="BT48" t="s">
        <v>1454</v>
      </c>
      <c r="BU48" t="s">
        <v>1454</v>
      </c>
      <c r="BW48" t="s">
        <v>1454</v>
      </c>
      <c r="BX48" t="s">
        <v>1454</v>
      </c>
      <c r="BY48" t="s">
        <v>1454</v>
      </c>
      <c r="CA48" t="s">
        <v>621</v>
      </c>
      <c r="CB48" t="s">
        <v>1454</v>
      </c>
      <c r="CC48" t="s">
        <v>1454</v>
      </c>
      <c r="CE48" t="s">
        <v>1454</v>
      </c>
      <c r="CF48" t="s">
        <v>1454</v>
      </c>
      <c r="CG48" t="s">
        <v>1454</v>
      </c>
      <c r="CI48" t="s">
        <v>1454</v>
      </c>
      <c r="CJ48" t="s">
        <v>1454</v>
      </c>
      <c r="CK48" t="s">
        <v>1454</v>
      </c>
      <c r="CM48" t="s">
        <v>1454</v>
      </c>
      <c r="CN48" t="s">
        <v>1454</v>
      </c>
      <c r="CO48" t="s">
        <v>1454</v>
      </c>
      <c r="CQ48" t="s">
        <v>1454</v>
      </c>
      <c r="CR48" t="s">
        <v>1454</v>
      </c>
      <c r="CS48" t="s">
        <v>1454</v>
      </c>
      <c r="CU48" t="s">
        <v>1454</v>
      </c>
      <c r="CV48" t="s">
        <v>1454</v>
      </c>
      <c r="CW48" t="s">
        <v>1454</v>
      </c>
      <c r="CY48" t="s">
        <v>1454</v>
      </c>
      <c r="CZ48" t="s">
        <v>1454</v>
      </c>
      <c r="DA48" t="s">
        <v>1454</v>
      </c>
      <c r="DC48" t="s">
        <v>628</v>
      </c>
      <c r="DD48" t="s">
        <v>1454</v>
      </c>
      <c r="DE48" t="s">
        <v>628</v>
      </c>
      <c r="DG48" t="s">
        <v>629</v>
      </c>
      <c r="DH48" t="s">
        <v>1454</v>
      </c>
      <c r="DI48" t="s">
        <v>629</v>
      </c>
      <c r="DK48" t="s">
        <v>1454</v>
      </c>
      <c r="DL48" t="s">
        <v>1454</v>
      </c>
      <c r="DM48" t="s">
        <v>1454</v>
      </c>
      <c r="DO48" t="s">
        <v>1454</v>
      </c>
      <c r="DP48" t="s">
        <v>1454</v>
      </c>
      <c r="DQ48" t="s">
        <v>1454</v>
      </c>
      <c r="DS48" t="s">
        <v>1454</v>
      </c>
      <c r="DT48" t="s">
        <v>1454</v>
      </c>
      <c r="DU48" t="s">
        <v>1454</v>
      </c>
      <c r="DW48" t="s">
        <v>1454</v>
      </c>
      <c r="DX48" t="s">
        <v>1454</v>
      </c>
      <c r="DY48" t="s">
        <v>1454</v>
      </c>
      <c r="EA48" t="s">
        <v>1454</v>
      </c>
      <c r="EB48" t="s">
        <v>1454</v>
      </c>
      <c r="EC48" t="s">
        <v>1454</v>
      </c>
      <c r="EE48" t="s">
        <v>1454</v>
      </c>
      <c r="EF48" t="s">
        <v>1454</v>
      </c>
      <c r="EG48" t="s">
        <v>1454</v>
      </c>
      <c r="EI48" t="s">
        <v>1454</v>
      </c>
      <c r="EJ48" t="s">
        <v>1454</v>
      </c>
      <c r="EK48" t="s">
        <v>1454</v>
      </c>
      <c r="EM48" t="s">
        <v>1454</v>
      </c>
      <c r="EN48" t="s">
        <v>1454</v>
      </c>
      <c r="EO48" t="s">
        <v>1454</v>
      </c>
      <c r="EQ48" t="s">
        <v>638</v>
      </c>
      <c r="ER48" t="s">
        <v>1454</v>
      </c>
      <c r="ES48" t="s">
        <v>638</v>
      </c>
      <c r="EU48" t="s">
        <v>1454</v>
      </c>
      <c r="EV48" t="s">
        <v>1454</v>
      </c>
      <c r="EW48" t="s">
        <v>639</v>
      </c>
      <c r="EY48" t="s">
        <v>1454</v>
      </c>
      <c r="EZ48" t="s">
        <v>1454</v>
      </c>
      <c r="FA48" t="s">
        <v>1454</v>
      </c>
      <c r="FC48" t="s">
        <v>1454</v>
      </c>
      <c r="FD48" t="s">
        <v>1454</v>
      </c>
      <c r="FE48" t="s">
        <v>1454</v>
      </c>
      <c r="FG48" t="s">
        <v>1454</v>
      </c>
      <c r="FH48" t="s">
        <v>1454</v>
      </c>
      <c r="FI48" t="s">
        <v>1454</v>
      </c>
      <c r="FK48" t="s">
        <v>1454</v>
      </c>
      <c r="FL48" t="s">
        <v>1454</v>
      </c>
      <c r="FM48" t="s">
        <v>1454</v>
      </c>
      <c r="FO48" t="s">
        <v>1454</v>
      </c>
      <c r="FP48" t="s">
        <v>1454</v>
      </c>
      <c r="FQ48" t="s">
        <v>1454</v>
      </c>
      <c r="FS48" t="s">
        <v>1454</v>
      </c>
      <c r="FT48" t="s">
        <v>1454</v>
      </c>
      <c r="FU48" t="s">
        <v>1454</v>
      </c>
      <c r="FW48" t="s">
        <v>1454</v>
      </c>
      <c r="FX48" t="s">
        <v>1454</v>
      </c>
      <c r="FY48" t="s">
        <v>1454</v>
      </c>
      <c r="GA48" t="s">
        <v>1454</v>
      </c>
      <c r="GB48" t="s">
        <v>1454</v>
      </c>
      <c r="GC48" t="s">
        <v>646</v>
      </c>
      <c r="GE48" t="s">
        <v>1454</v>
      </c>
      <c r="GF48" t="s">
        <v>1454</v>
      </c>
      <c r="GG48" t="s">
        <v>1454</v>
      </c>
      <c r="GI48" t="s">
        <v>1454</v>
      </c>
      <c r="GJ48" t="s">
        <v>1454</v>
      </c>
      <c r="GK48" t="s">
        <v>1454</v>
      </c>
      <c r="GM48" t="s">
        <v>649</v>
      </c>
      <c r="GN48" t="s">
        <v>1454</v>
      </c>
      <c r="GO48" t="s">
        <v>1454</v>
      </c>
      <c r="GQ48" t="s">
        <v>1528</v>
      </c>
      <c r="GR48" t="s">
        <v>1454</v>
      </c>
      <c r="GS48" t="s">
        <v>1529</v>
      </c>
    </row>
    <row r="49" spans="2:201" x14ac:dyDescent="0.25">
      <c r="B49" t="s">
        <v>436</v>
      </c>
      <c r="C49" t="s">
        <v>1454</v>
      </c>
      <c r="D49" t="s">
        <v>1454</v>
      </c>
      <c r="E49" t="s">
        <v>1454</v>
      </c>
      <c r="G49" t="s">
        <v>1454</v>
      </c>
      <c r="H49" t="s">
        <v>1454</v>
      </c>
      <c r="I49" t="s">
        <v>1454</v>
      </c>
      <c r="K49" t="s">
        <v>1454</v>
      </c>
      <c r="L49" t="s">
        <v>1454</v>
      </c>
      <c r="M49" t="s">
        <v>1454</v>
      </c>
      <c r="O49" t="s">
        <v>1454</v>
      </c>
      <c r="P49" t="s">
        <v>1454</v>
      </c>
      <c r="Q49" t="s">
        <v>1454</v>
      </c>
      <c r="S49" t="s">
        <v>1454</v>
      </c>
      <c r="T49" t="s">
        <v>1454</v>
      </c>
      <c r="U49" t="s">
        <v>1454</v>
      </c>
      <c r="W49" t="s">
        <v>1454</v>
      </c>
      <c r="X49" t="s">
        <v>1454</v>
      </c>
      <c r="Y49" t="s">
        <v>1454</v>
      </c>
      <c r="AA49" t="s">
        <v>1454</v>
      </c>
      <c r="AB49" t="s">
        <v>1454</v>
      </c>
      <c r="AC49" t="s">
        <v>1454</v>
      </c>
      <c r="AE49" t="s">
        <v>1454</v>
      </c>
      <c r="AF49" t="s">
        <v>1454</v>
      </c>
      <c r="AG49" t="s">
        <v>1454</v>
      </c>
      <c r="AI49" t="s">
        <v>1454</v>
      </c>
      <c r="AJ49" t="s">
        <v>610</v>
      </c>
      <c r="AK49" t="s">
        <v>1454</v>
      </c>
      <c r="AM49" t="s">
        <v>611</v>
      </c>
      <c r="AN49" t="s">
        <v>1454</v>
      </c>
      <c r="AO49" t="s">
        <v>611</v>
      </c>
      <c r="AQ49" t="s">
        <v>612</v>
      </c>
      <c r="AR49" t="s">
        <v>1454</v>
      </c>
      <c r="AS49" t="s">
        <v>612</v>
      </c>
      <c r="AU49" t="s">
        <v>613</v>
      </c>
      <c r="AV49" t="s">
        <v>1454</v>
      </c>
      <c r="AW49" t="s">
        <v>613</v>
      </c>
      <c r="AY49" t="s">
        <v>1454</v>
      </c>
      <c r="AZ49" t="s">
        <v>1454</v>
      </c>
      <c r="BA49" t="s">
        <v>1454</v>
      </c>
      <c r="BC49" t="s">
        <v>1454</v>
      </c>
      <c r="BD49" t="s">
        <v>1454</v>
      </c>
      <c r="BE49" t="s">
        <v>1454</v>
      </c>
      <c r="BG49" t="s">
        <v>1454</v>
      </c>
      <c r="BH49" t="s">
        <v>1454</v>
      </c>
      <c r="BI49" t="s">
        <v>1454</v>
      </c>
      <c r="BK49" t="s">
        <v>1454</v>
      </c>
      <c r="BL49" t="s">
        <v>1454</v>
      </c>
      <c r="BM49" t="s">
        <v>1454</v>
      </c>
      <c r="BO49" t="s">
        <v>1454</v>
      </c>
      <c r="BP49" t="s">
        <v>1454</v>
      </c>
      <c r="BQ49" t="s">
        <v>1454</v>
      </c>
      <c r="BS49" t="s">
        <v>619</v>
      </c>
      <c r="BT49" t="s">
        <v>1454</v>
      </c>
      <c r="BU49" t="s">
        <v>619</v>
      </c>
      <c r="BW49" t="s">
        <v>1454</v>
      </c>
      <c r="BX49" t="s">
        <v>1454</v>
      </c>
      <c r="BY49" t="s">
        <v>1454</v>
      </c>
      <c r="CA49" t="s">
        <v>1454</v>
      </c>
      <c r="CB49" t="s">
        <v>1454</v>
      </c>
      <c r="CC49" t="s">
        <v>1454</v>
      </c>
      <c r="CE49" t="s">
        <v>1454</v>
      </c>
      <c r="CF49" t="s">
        <v>1454</v>
      </c>
      <c r="CG49" t="s">
        <v>1454</v>
      </c>
      <c r="CI49" t="s">
        <v>1454</v>
      </c>
      <c r="CJ49" t="s">
        <v>1454</v>
      </c>
      <c r="CK49" t="s">
        <v>1454</v>
      </c>
      <c r="CM49" t="s">
        <v>1454</v>
      </c>
      <c r="CN49" t="s">
        <v>1454</v>
      </c>
      <c r="CO49" t="s">
        <v>1454</v>
      </c>
      <c r="CQ49" t="s">
        <v>1454</v>
      </c>
      <c r="CR49" t="s">
        <v>1454</v>
      </c>
      <c r="CS49" t="s">
        <v>1454</v>
      </c>
      <c r="CU49" t="s">
        <v>1454</v>
      </c>
      <c r="CV49" t="s">
        <v>1454</v>
      </c>
      <c r="CW49" t="s">
        <v>1454</v>
      </c>
      <c r="CY49" t="s">
        <v>1454</v>
      </c>
      <c r="CZ49" t="s">
        <v>1454</v>
      </c>
      <c r="DA49" t="s">
        <v>1454</v>
      </c>
      <c r="DC49" t="s">
        <v>1454</v>
      </c>
      <c r="DD49" t="s">
        <v>1454</v>
      </c>
      <c r="DE49" t="s">
        <v>1454</v>
      </c>
      <c r="DG49" t="s">
        <v>1454</v>
      </c>
      <c r="DH49" t="s">
        <v>1454</v>
      </c>
      <c r="DI49" t="s">
        <v>1454</v>
      </c>
      <c r="DK49" t="s">
        <v>1454</v>
      </c>
      <c r="DL49" t="s">
        <v>1454</v>
      </c>
      <c r="DM49" t="s">
        <v>1454</v>
      </c>
      <c r="DO49" t="s">
        <v>1454</v>
      </c>
      <c r="DP49" t="s">
        <v>1454</v>
      </c>
      <c r="DQ49" t="s">
        <v>1454</v>
      </c>
      <c r="DS49" t="s">
        <v>1454</v>
      </c>
      <c r="DT49" t="s">
        <v>1454</v>
      </c>
      <c r="DU49" t="s">
        <v>1454</v>
      </c>
      <c r="DW49" t="s">
        <v>1454</v>
      </c>
      <c r="DX49" t="s">
        <v>1454</v>
      </c>
      <c r="DY49" t="s">
        <v>1454</v>
      </c>
      <c r="EA49" t="s">
        <v>1454</v>
      </c>
      <c r="EB49" t="s">
        <v>1454</v>
      </c>
      <c r="EC49" t="s">
        <v>1454</v>
      </c>
      <c r="EE49" t="s">
        <v>1454</v>
      </c>
      <c r="EF49" t="s">
        <v>1454</v>
      </c>
      <c r="EG49" t="s">
        <v>1454</v>
      </c>
      <c r="EI49" t="s">
        <v>1454</v>
      </c>
      <c r="EJ49" t="s">
        <v>1454</v>
      </c>
      <c r="EK49" t="s">
        <v>1454</v>
      </c>
      <c r="EM49" t="s">
        <v>1454</v>
      </c>
      <c r="EN49" t="s">
        <v>1454</v>
      </c>
      <c r="EO49" t="s">
        <v>1454</v>
      </c>
      <c r="EQ49" t="s">
        <v>1454</v>
      </c>
      <c r="ER49" t="s">
        <v>1454</v>
      </c>
      <c r="ES49" t="s">
        <v>1454</v>
      </c>
      <c r="EU49" t="s">
        <v>1454</v>
      </c>
      <c r="EV49" t="s">
        <v>1454</v>
      </c>
      <c r="EW49" t="s">
        <v>1454</v>
      </c>
      <c r="EY49" t="s">
        <v>1454</v>
      </c>
      <c r="EZ49" t="s">
        <v>1454</v>
      </c>
      <c r="FA49" t="s">
        <v>1454</v>
      </c>
      <c r="FC49" t="s">
        <v>1454</v>
      </c>
      <c r="FD49" t="s">
        <v>1454</v>
      </c>
      <c r="FE49" t="s">
        <v>1454</v>
      </c>
      <c r="FG49" t="s">
        <v>1454</v>
      </c>
      <c r="FH49" t="s">
        <v>1454</v>
      </c>
      <c r="FI49" t="s">
        <v>1454</v>
      </c>
      <c r="FK49" t="s">
        <v>1454</v>
      </c>
      <c r="FL49" t="s">
        <v>1454</v>
      </c>
      <c r="FM49" t="s">
        <v>1454</v>
      </c>
      <c r="FO49" t="s">
        <v>1454</v>
      </c>
      <c r="FP49" t="s">
        <v>1454</v>
      </c>
      <c r="FQ49" t="s">
        <v>1454</v>
      </c>
      <c r="FS49" t="s">
        <v>1454</v>
      </c>
      <c r="FT49" t="s">
        <v>1454</v>
      </c>
      <c r="FU49" t="s">
        <v>1454</v>
      </c>
      <c r="FW49" t="s">
        <v>1454</v>
      </c>
      <c r="FX49" t="s">
        <v>1454</v>
      </c>
      <c r="FY49" t="s">
        <v>1454</v>
      </c>
      <c r="GA49" t="s">
        <v>1454</v>
      </c>
      <c r="GB49" t="s">
        <v>1454</v>
      </c>
      <c r="GC49" t="s">
        <v>1454</v>
      </c>
      <c r="GE49" t="s">
        <v>1454</v>
      </c>
      <c r="GF49" t="s">
        <v>1454</v>
      </c>
      <c r="GG49" t="s">
        <v>1454</v>
      </c>
      <c r="GI49" t="s">
        <v>1454</v>
      </c>
      <c r="GJ49" t="s">
        <v>1454</v>
      </c>
      <c r="GK49" t="s">
        <v>1454</v>
      </c>
      <c r="GM49" t="s">
        <v>1454</v>
      </c>
      <c r="GN49" t="s">
        <v>1454</v>
      </c>
      <c r="GO49" t="s">
        <v>1454</v>
      </c>
      <c r="GQ49" t="s">
        <v>1530</v>
      </c>
      <c r="GR49" t="s">
        <v>1531</v>
      </c>
      <c r="GS49" t="s">
        <v>1530</v>
      </c>
    </row>
    <row r="50" spans="2:201" x14ac:dyDescent="0.25">
      <c r="B50" t="s">
        <v>437</v>
      </c>
      <c r="C50" t="s">
        <v>1454</v>
      </c>
      <c r="D50" t="s">
        <v>1454</v>
      </c>
      <c r="E50" t="s">
        <v>1454</v>
      </c>
      <c r="G50" t="s">
        <v>1454</v>
      </c>
      <c r="H50" t="s">
        <v>1454</v>
      </c>
      <c r="I50" t="s">
        <v>1454</v>
      </c>
      <c r="K50" t="s">
        <v>1454</v>
      </c>
      <c r="L50" t="s">
        <v>1454</v>
      </c>
      <c r="M50" t="s">
        <v>1454</v>
      </c>
      <c r="O50" t="s">
        <v>1454</v>
      </c>
      <c r="P50" t="s">
        <v>1454</v>
      </c>
      <c r="Q50" t="s">
        <v>1454</v>
      </c>
      <c r="S50" t="s">
        <v>1454</v>
      </c>
      <c r="T50" t="s">
        <v>1454</v>
      </c>
      <c r="U50" t="s">
        <v>1454</v>
      </c>
      <c r="W50" t="s">
        <v>1454</v>
      </c>
      <c r="X50" t="s">
        <v>1454</v>
      </c>
      <c r="Y50" t="s">
        <v>1454</v>
      </c>
      <c r="AA50" t="s">
        <v>1454</v>
      </c>
      <c r="AB50" t="s">
        <v>1454</v>
      </c>
      <c r="AC50" t="s">
        <v>1454</v>
      </c>
      <c r="AE50" t="s">
        <v>1454</v>
      </c>
      <c r="AF50" t="s">
        <v>1454</v>
      </c>
      <c r="AG50" t="s">
        <v>1454</v>
      </c>
      <c r="AI50" t="s">
        <v>1454</v>
      </c>
      <c r="AJ50" t="s">
        <v>610</v>
      </c>
      <c r="AK50" t="s">
        <v>1454</v>
      </c>
      <c r="AM50" t="s">
        <v>611</v>
      </c>
      <c r="AN50" t="s">
        <v>1454</v>
      </c>
      <c r="AO50" t="s">
        <v>611</v>
      </c>
      <c r="AQ50" t="s">
        <v>612</v>
      </c>
      <c r="AR50" t="s">
        <v>1454</v>
      </c>
      <c r="AS50" t="s">
        <v>1454</v>
      </c>
      <c r="AU50" t="s">
        <v>613</v>
      </c>
      <c r="AV50" t="s">
        <v>1454</v>
      </c>
      <c r="AW50" t="s">
        <v>1454</v>
      </c>
      <c r="AY50" t="s">
        <v>1454</v>
      </c>
      <c r="AZ50" t="s">
        <v>1454</v>
      </c>
      <c r="BA50" t="s">
        <v>1454</v>
      </c>
      <c r="BC50" t="s">
        <v>1454</v>
      </c>
      <c r="BD50" t="s">
        <v>1454</v>
      </c>
      <c r="BE50" t="s">
        <v>1454</v>
      </c>
      <c r="BG50" t="s">
        <v>1454</v>
      </c>
      <c r="BH50" t="s">
        <v>1454</v>
      </c>
      <c r="BI50" t="s">
        <v>1454</v>
      </c>
      <c r="BK50" t="s">
        <v>1454</v>
      </c>
      <c r="BL50" t="s">
        <v>1454</v>
      </c>
      <c r="BM50" t="s">
        <v>1454</v>
      </c>
      <c r="BO50" t="s">
        <v>1454</v>
      </c>
      <c r="BP50" t="s">
        <v>1454</v>
      </c>
      <c r="BQ50" t="s">
        <v>1454</v>
      </c>
      <c r="BS50" t="s">
        <v>619</v>
      </c>
      <c r="BT50" t="s">
        <v>1454</v>
      </c>
      <c r="BU50" t="s">
        <v>1454</v>
      </c>
      <c r="BW50" t="s">
        <v>1454</v>
      </c>
      <c r="BX50" t="s">
        <v>1454</v>
      </c>
      <c r="BY50" t="s">
        <v>1454</v>
      </c>
      <c r="CA50" t="s">
        <v>1454</v>
      </c>
      <c r="CB50" t="s">
        <v>1454</v>
      </c>
      <c r="CC50" t="s">
        <v>1454</v>
      </c>
      <c r="CE50" t="s">
        <v>1454</v>
      </c>
      <c r="CF50" t="s">
        <v>1454</v>
      </c>
      <c r="CG50" t="s">
        <v>1454</v>
      </c>
      <c r="CI50" t="s">
        <v>1454</v>
      </c>
      <c r="CJ50" t="s">
        <v>1454</v>
      </c>
      <c r="CK50" t="s">
        <v>1454</v>
      </c>
      <c r="CM50" t="s">
        <v>1454</v>
      </c>
      <c r="CN50" t="s">
        <v>1454</v>
      </c>
      <c r="CO50" t="s">
        <v>1454</v>
      </c>
      <c r="CQ50" t="s">
        <v>1454</v>
      </c>
      <c r="CR50" t="s">
        <v>1454</v>
      </c>
      <c r="CS50" t="s">
        <v>1454</v>
      </c>
      <c r="CU50" t="s">
        <v>1454</v>
      </c>
      <c r="CV50" t="s">
        <v>1454</v>
      </c>
      <c r="CW50" t="s">
        <v>1454</v>
      </c>
      <c r="CY50" t="s">
        <v>1454</v>
      </c>
      <c r="CZ50" t="s">
        <v>1454</v>
      </c>
      <c r="DA50" t="s">
        <v>1454</v>
      </c>
      <c r="DC50" t="s">
        <v>1454</v>
      </c>
      <c r="DD50" t="s">
        <v>1454</v>
      </c>
      <c r="DE50" t="s">
        <v>628</v>
      </c>
      <c r="DG50" t="s">
        <v>1454</v>
      </c>
      <c r="DH50" t="s">
        <v>1454</v>
      </c>
      <c r="DI50" t="s">
        <v>1454</v>
      </c>
      <c r="DK50" t="s">
        <v>1454</v>
      </c>
      <c r="DL50" t="s">
        <v>1454</v>
      </c>
      <c r="DM50" t="s">
        <v>1454</v>
      </c>
      <c r="DO50" t="s">
        <v>1454</v>
      </c>
      <c r="DP50" t="s">
        <v>1454</v>
      </c>
      <c r="DQ50" t="s">
        <v>1454</v>
      </c>
      <c r="DS50" t="s">
        <v>1454</v>
      </c>
      <c r="DT50" t="s">
        <v>1454</v>
      </c>
      <c r="DU50" t="s">
        <v>1454</v>
      </c>
      <c r="DW50" t="s">
        <v>1454</v>
      </c>
      <c r="DX50" t="s">
        <v>1454</v>
      </c>
      <c r="DY50" t="s">
        <v>1454</v>
      </c>
      <c r="EA50" t="s">
        <v>1454</v>
      </c>
      <c r="EB50" t="s">
        <v>1454</v>
      </c>
      <c r="EC50" t="s">
        <v>1454</v>
      </c>
      <c r="EE50" t="s">
        <v>1454</v>
      </c>
      <c r="EF50" t="s">
        <v>1454</v>
      </c>
      <c r="EG50" t="s">
        <v>1454</v>
      </c>
      <c r="EI50" t="s">
        <v>1454</v>
      </c>
      <c r="EJ50" t="s">
        <v>1454</v>
      </c>
      <c r="EK50" t="s">
        <v>1454</v>
      </c>
      <c r="EM50" t="s">
        <v>1454</v>
      </c>
      <c r="EN50" t="s">
        <v>1454</v>
      </c>
      <c r="EO50" t="s">
        <v>1454</v>
      </c>
      <c r="EQ50" t="s">
        <v>1454</v>
      </c>
      <c r="ER50" t="s">
        <v>1454</v>
      </c>
      <c r="ES50" t="s">
        <v>1454</v>
      </c>
      <c r="EU50" t="s">
        <v>1454</v>
      </c>
      <c r="EV50" t="s">
        <v>1454</v>
      </c>
      <c r="EW50" t="s">
        <v>1454</v>
      </c>
      <c r="EY50" t="s">
        <v>1454</v>
      </c>
      <c r="EZ50" t="s">
        <v>1454</v>
      </c>
      <c r="FA50" t="s">
        <v>1454</v>
      </c>
      <c r="FC50" t="s">
        <v>1454</v>
      </c>
      <c r="FD50" t="s">
        <v>1454</v>
      </c>
      <c r="FE50" t="s">
        <v>1454</v>
      </c>
      <c r="FG50" t="s">
        <v>1454</v>
      </c>
      <c r="FH50" t="s">
        <v>1454</v>
      </c>
      <c r="FI50" t="s">
        <v>1454</v>
      </c>
      <c r="FK50" t="s">
        <v>1454</v>
      </c>
      <c r="FL50" t="s">
        <v>1454</v>
      </c>
      <c r="FM50" t="s">
        <v>1454</v>
      </c>
      <c r="FO50" t="s">
        <v>1454</v>
      </c>
      <c r="FP50" t="s">
        <v>1454</v>
      </c>
      <c r="FQ50" t="s">
        <v>1454</v>
      </c>
      <c r="FS50" t="s">
        <v>1454</v>
      </c>
      <c r="FT50" t="s">
        <v>1454</v>
      </c>
      <c r="FU50" t="s">
        <v>1454</v>
      </c>
      <c r="FW50" t="s">
        <v>1454</v>
      </c>
      <c r="FX50" t="s">
        <v>1454</v>
      </c>
      <c r="FY50" t="s">
        <v>1454</v>
      </c>
      <c r="GA50" t="s">
        <v>1454</v>
      </c>
      <c r="GB50" t="s">
        <v>1454</v>
      </c>
      <c r="GC50" t="s">
        <v>1454</v>
      </c>
      <c r="GE50" t="s">
        <v>1454</v>
      </c>
      <c r="GF50" t="s">
        <v>1454</v>
      </c>
      <c r="GG50" t="s">
        <v>1454</v>
      </c>
      <c r="GI50" t="s">
        <v>1454</v>
      </c>
      <c r="GJ50" t="s">
        <v>1454</v>
      </c>
      <c r="GK50" t="s">
        <v>1454</v>
      </c>
      <c r="GM50" t="s">
        <v>1454</v>
      </c>
      <c r="GN50" t="s">
        <v>1454</v>
      </c>
      <c r="GO50" t="s">
        <v>1454</v>
      </c>
      <c r="GQ50" t="s">
        <v>1530</v>
      </c>
      <c r="GR50" t="s">
        <v>1531</v>
      </c>
      <c r="GS50" t="s">
        <v>1532</v>
      </c>
    </row>
    <row r="51" spans="2:201" s="11" customFormat="1" x14ac:dyDescent="0.25">
      <c r="B51" t="s">
        <v>397</v>
      </c>
      <c r="C51" t="s">
        <v>1454</v>
      </c>
      <c r="D51" t="s">
        <v>603</v>
      </c>
      <c r="E51" t="s">
        <v>1454</v>
      </c>
      <c r="F51"/>
      <c r="G51" t="s">
        <v>1454</v>
      </c>
      <c r="H51" t="s">
        <v>1454</v>
      </c>
      <c r="I51" t="s">
        <v>604</v>
      </c>
      <c r="J51"/>
      <c r="K51" t="s">
        <v>1454</v>
      </c>
      <c r="L51" t="s">
        <v>1454</v>
      </c>
      <c r="M51" t="s">
        <v>1454</v>
      </c>
      <c r="N51"/>
      <c r="O51" t="s">
        <v>1454</v>
      </c>
      <c r="P51" t="s">
        <v>1454</v>
      </c>
      <c r="Q51" t="s">
        <v>1454</v>
      </c>
      <c r="R51"/>
      <c r="S51" t="s">
        <v>606</v>
      </c>
      <c r="T51" t="s">
        <v>1454</v>
      </c>
      <c r="U51" t="s">
        <v>1454</v>
      </c>
      <c r="V51"/>
      <c r="W51" t="s">
        <v>607</v>
      </c>
      <c r="X51" t="s">
        <v>1454</v>
      </c>
      <c r="Y51" t="s">
        <v>607</v>
      </c>
      <c r="Z51"/>
      <c r="AA51" t="s">
        <v>1454</v>
      </c>
      <c r="AB51" t="s">
        <v>1454</v>
      </c>
      <c r="AC51" t="s">
        <v>608</v>
      </c>
      <c r="AD51"/>
      <c r="AE51" t="s">
        <v>1454</v>
      </c>
      <c r="AF51" t="s">
        <v>1454</v>
      </c>
      <c r="AG51" t="s">
        <v>1454</v>
      </c>
      <c r="AH51"/>
      <c r="AI51" t="s">
        <v>1454</v>
      </c>
      <c r="AJ51" t="s">
        <v>1454</v>
      </c>
      <c r="AK51" t="s">
        <v>1454</v>
      </c>
      <c r="AL51"/>
      <c r="AM51" t="s">
        <v>611</v>
      </c>
      <c r="AN51" t="s">
        <v>1454</v>
      </c>
      <c r="AO51" t="s">
        <v>611</v>
      </c>
      <c r="AP51"/>
      <c r="AQ51" t="s">
        <v>612</v>
      </c>
      <c r="AR51" t="s">
        <v>1454</v>
      </c>
      <c r="AS51" t="s">
        <v>612</v>
      </c>
      <c r="AT51"/>
      <c r="AU51" t="s">
        <v>613</v>
      </c>
      <c r="AV51" t="s">
        <v>1454</v>
      </c>
      <c r="AW51" t="s">
        <v>613</v>
      </c>
      <c r="AX51"/>
      <c r="AY51" t="s">
        <v>1454</v>
      </c>
      <c r="AZ51" t="s">
        <v>1454</v>
      </c>
      <c r="BA51" t="s">
        <v>1454</v>
      </c>
      <c r="BB51"/>
      <c r="BC51" t="s">
        <v>1454</v>
      </c>
      <c r="BD51" t="s">
        <v>1454</v>
      </c>
      <c r="BE51" t="s">
        <v>615</v>
      </c>
      <c r="BF51"/>
      <c r="BG51" t="s">
        <v>1454</v>
      </c>
      <c r="BH51" t="s">
        <v>1454</v>
      </c>
      <c r="BI51" t="s">
        <v>1454</v>
      </c>
      <c r="BJ51"/>
      <c r="BK51" t="s">
        <v>617</v>
      </c>
      <c r="BL51" t="s">
        <v>1454</v>
      </c>
      <c r="BM51" t="s">
        <v>1454</v>
      </c>
      <c r="BN51"/>
      <c r="BO51" t="s">
        <v>1454</v>
      </c>
      <c r="BP51" t="s">
        <v>1454</v>
      </c>
      <c r="BQ51" t="s">
        <v>618</v>
      </c>
      <c r="BR51"/>
      <c r="BS51" t="s">
        <v>619</v>
      </c>
      <c r="BT51" t="s">
        <v>1454</v>
      </c>
      <c r="BU51" t="s">
        <v>619</v>
      </c>
      <c r="BV51"/>
      <c r="BW51" t="s">
        <v>1454</v>
      </c>
      <c r="BX51" t="s">
        <v>1454</v>
      </c>
      <c r="BY51" t="s">
        <v>1454</v>
      </c>
      <c r="BZ51"/>
      <c r="CA51" t="s">
        <v>1454</v>
      </c>
      <c r="CB51" t="s">
        <v>1454</v>
      </c>
      <c r="CC51" t="s">
        <v>1454</v>
      </c>
      <c r="CD51"/>
      <c r="CE51" t="s">
        <v>622</v>
      </c>
      <c r="CF51" t="s">
        <v>1454</v>
      </c>
      <c r="CG51" t="s">
        <v>622</v>
      </c>
      <c r="CH51"/>
      <c r="CI51" t="s">
        <v>623</v>
      </c>
      <c r="CJ51" t="s">
        <v>1454</v>
      </c>
      <c r="CK51" t="s">
        <v>623</v>
      </c>
      <c r="CL51"/>
      <c r="CM51" t="s">
        <v>624</v>
      </c>
      <c r="CN51" t="s">
        <v>1454</v>
      </c>
      <c r="CO51" t="s">
        <v>1454</v>
      </c>
      <c r="CP51"/>
      <c r="CQ51" t="s">
        <v>1454</v>
      </c>
      <c r="CR51" t="s">
        <v>1454</v>
      </c>
      <c r="CS51" t="s">
        <v>625</v>
      </c>
      <c r="CT51"/>
      <c r="CU51" t="s">
        <v>1454</v>
      </c>
      <c r="CV51" t="s">
        <v>1454</v>
      </c>
      <c r="CW51" t="s">
        <v>1454</v>
      </c>
      <c r="CX51"/>
      <c r="CY51" t="s">
        <v>627</v>
      </c>
      <c r="CZ51" t="s">
        <v>1454</v>
      </c>
      <c r="DA51" t="s">
        <v>1454</v>
      </c>
      <c r="DB51"/>
      <c r="DC51" t="s">
        <v>1454</v>
      </c>
      <c r="DD51" t="s">
        <v>1454</v>
      </c>
      <c r="DE51" t="s">
        <v>628</v>
      </c>
      <c r="DF51"/>
      <c r="DG51" t="s">
        <v>1454</v>
      </c>
      <c r="DH51" t="s">
        <v>1454</v>
      </c>
      <c r="DI51" t="s">
        <v>1454</v>
      </c>
      <c r="DJ51"/>
      <c r="DK51" t="s">
        <v>1454</v>
      </c>
      <c r="DL51" t="s">
        <v>1454</v>
      </c>
      <c r="DM51" t="s">
        <v>1454</v>
      </c>
      <c r="DN51"/>
      <c r="DO51" t="s">
        <v>1454</v>
      </c>
      <c r="DP51" t="s">
        <v>1454</v>
      </c>
      <c r="DQ51" t="s">
        <v>1454</v>
      </c>
      <c r="DR51"/>
      <c r="DS51" t="s">
        <v>1454</v>
      </c>
      <c r="DT51" t="s">
        <v>1454</v>
      </c>
      <c r="DU51" t="s">
        <v>1454</v>
      </c>
      <c r="DV51"/>
      <c r="DW51" t="s">
        <v>1454</v>
      </c>
      <c r="DX51" t="s">
        <v>1454</v>
      </c>
      <c r="DY51" t="s">
        <v>1454</v>
      </c>
      <c r="DZ51"/>
      <c r="EA51" t="s">
        <v>1454</v>
      </c>
      <c r="EB51" t="s">
        <v>1454</v>
      </c>
      <c r="EC51" t="s">
        <v>1454</v>
      </c>
      <c r="ED51"/>
      <c r="EE51" t="s">
        <v>1454</v>
      </c>
      <c r="EF51" t="s">
        <v>1454</v>
      </c>
      <c r="EG51" t="s">
        <v>1454</v>
      </c>
      <c r="EH51"/>
      <c r="EI51" t="s">
        <v>1454</v>
      </c>
      <c r="EJ51" t="s">
        <v>1454</v>
      </c>
      <c r="EK51" t="s">
        <v>1454</v>
      </c>
      <c r="EL51"/>
      <c r="EM51" t="s">
        <v>1454</v>
      </c>
      <c r="EN51" t="s">
        <v>1454</v>
      </c>
      <c r="EO51" t="s">
        <v>1454</v>
      </c>
      <c r="EP51"/>
      <c r="EQ51" t="s">
        <v>638</v>
      </c>
      <c r="ER51" t="s">
        <v>1454</v>
      </c>
      <c r="ES51" t="s">
        <v>1454</v>
      </c>
      <c r="ET51"/>
      <c r="EU51" t="s">
        <v>1454</v>
      </c>
      <c r="EV51" t="s">
        <v>1454</v>
      </c>
      <c r="EW51" t="s">
        <v>1454</v>
      </c>
      <c r="EX51"/>
      <c r="EY51" t="s">
        <v>1454</v>
      </c>
      <c r="EZ51" t="s">
        <v>1454</v>
      </c>
      <c r="FA51" t="s">
        <v>1454</v>
      </c>
      <c r="FB51"/>
      <c r="FC51" t="s">
        <v>1454</v>
      </c>
      <c r="FD51" t="s">
        <v>1454</v>
      </c>
      <c r="FE51" t="s">
        <v>1454</v>
      </c>
      <c r="FF51"/>
      <c r="FG51" t="s">
        <v>1454</v>
      </c>
      <c r="FH51" t="s">
        <v>1454</v>
      </c>
      <c r="FI51" t="s">
        <v>642</v>
      </c>
      <c r="FJ51"/>
      <c r="FK51" t="s">
        <v>1454</v>
      </c>
      <c r="FL51" t="s">
        <v>1454</v>
      </c>
      <c r="FM51" t="s">
        <v>643</v>
      </c>
      <c r="FN51"/>
      <c r="FO51" t="s">
        <v>1454</v>
      </c>
      <c r="FP51" t="s">
        <v>1454</v>
      </c>
      <c r="FQ51" t="s">
        <v>1454</v>
      </c>
      <c r="FR51"/>
      <c r="FS51" t="s">
        <v>1454</v>
      </c>
      <c r="FT51" t="s">
        <v>1454</v>
      </c>
      <c r="FU51" t="s">
        <v>644</v>
      </c>
      <c r="FV51"/>
      <c r="FW51" t="s">
        <v>1454</v>
      </c>
      <c r="FX51" t="s">
        <v>1454</v>
      </c>
      <c r="FY51" t="s">
        <v>1454</v>
      </c>
      <c r="FZ51"/>
      <c r="GA51" t="s">
        <v>1454</v>
      </c>
      <c r="GB51" t="s">
        <v>1454</v>
      </c>
      <c r="GC51" t="s">
        <v>646</v>
      </c>
      <c r="GD51"/>
      <c r="GE51" t="s">
        <v>647</v>
      </c>
      <c r="GF51" t="s">
        <v>1454</v>
      </c>
      <c r="GG51" t="s">
        <v>1454</v>
      </c>
      <c r="GH51"/>
      <c r="GI51" t="s">
        <v>1454</v>
      </c>
      <c r="GJ51" t="s">
        <v>1454</v>
      </c>
      <c r="GK51" t="s">
        <v>1454</v>
      </c>
      <c r="GL51"/>
      <c r="GM51" t="s">
        <v>649</v>
      </c>
      <c r="GN51" t="s">
        <v>1454</v>
      </c>
      <c r="GO51" t="s">
        <v>1454</v>
      </c>
      <c r="GP51"/>
      <c r="GQ51" t="s">
        <v>1533</v>
      </c>
      <c r="GR51" t="s">
        <v>1470</v>
      </c>
      <c r="GS51" t="s">
        <v>1534</v>
      </c>
    </row>
    <row r="52" spans="2:201" x14ac:dyDescent="0.25">
      <c r="B52" t="s">
        <v>438</v>
      </c>
      <c r="C52" t="s">
        <v>1454</v>
      </c>
      <c r="D52" t="s">
        <v>1454</v>
      </c>
      <c r="E52" t="s">
        <v>1454</v>
      </c>
      <c r="G52" t="s">
        <v>1454</v>
      </c>
      <c r="H52" t="s">
        <v>1454</v>
      </c>
      <c r="I52" t="s">
        <v>1454</v>
      </c>
      <c r="K52" t="s">
        <v>1454</v>
      </c>
      <c r="L52" t="s">
        <v>1454</v>
      </c>
      <c r="M52" t="s">
        <v>1454</v>
      </c>
      <c r="O52" t="s">
        <v>1454</v>
      </c>
      <c r="P52" t="s">
        <v>1454</v>
      </c>
      <c r="Q52" t="s">
        <v>1454</v>
      </c>
      <c r="S52" t="s">
        <v>1454</v>
      </c>
      <c r="T52" t="s">
        <v>1454</v>
      </c>
      <c r="U52" t="s">
        <v>1454</v>
      </c>
      <c r="W52" t="s">
        <v>1454</v>
      </c>
      <c r="X52" t="s">
        <v>1454</v>
      </c>
      <c r="Y52" t="s">
        <v>1454</v>
      </c>
      <c r="AA52" t="s">
        <v>1454</v>
      </c>
      <c r="AB52" t="s">
        <v>1454</v>
      </c>
      <c r="AC52" t="s">
        <v>1454</v>
      </c>
      <c r="AE52" t="s">
        <v>1454</v>
      </c>
      <c r="AF52" t="s">
        <v>1454</v>
      </c>
      <c r="AG52" t="s">
        <v>1454</v>
      </c>
      <c r="AI52" t="s">
        <v>1454</v>
      </c>
      <c r="AJ52" t="s">
        <v>1454</v>
      </c>
      <c r="AK52" t="s">
        <v>1454</v>
      </c>
      <c r="AM52" t="s">
        <v>1454</v>
      </c>
      <c r="AN52" t="s">
        <v>1454</v>
      </c>
      <c r="AO52" t="s">
        <v>1454</v>
      </c>
      <c r="AQ52" t="s">
        <v>1454</v>
      </c>
      <c r="AR52" t="s">
        <v>612</v>
      </c>
      <c r="AS52" t="s">
        <v>1454</v>
      </c>
      <c r="AU52" t="s">
        <v>613</v>
      </c>
      <c r="AV52" t="s">
        <v>1454</v>
      </c>
      <c r="AW52" t="s">
        <v>1454</v>
      </c>
      <c r="AY52" t="s">
        <v>1454</v>
      </c>
      <c r="AZ52" t="s">
        <v>1454</v>
      </c>
      <c r="BA52" t="s">
        <v>1454</v>
      </c>
      <c r="BC52" t="s">
        <v>1454</v>
      </c>
      <c r="BD52" t="s">
        <v>615</v>
      </c>
      <c r="BE52" t="s">
        <v>1454</v>
      </c>
      <c r="BG52" t="s">
        <v>616</v>
      </c>
      <c r="BH52" t="s">
        <v>1454</v>
      </c>
      <c r="BI52" t="s">
        <v>1454</v>
      </c>
      <c r="BK52" t="s">
        <v>1454</v>
      </c>
      <c r="BL52" t="s">
        <v>1454</v>
      </c>
      <c r="BM52" t="s">
        <v>1454</v>
      </c>
      <c r="BO52" t="s">
        <v>1454</v>
      </c>
      <c r="BP52" t="s">
        <v>1454</v>
      </c>
      <c r="BQ52" t="s">
        <v>1454</v>
      </c>
      <c r="BS52" t="s">
        <v>1454</v>
      </c>
      <c r="BT52" t="s">
        <v>619</v>
      </c>
      <c r="BU52" t="s">
        <v>1454</v>
      </c>
      <c r="BW52" t="s">
        <v>1454</v>
      </c>
      <c r="BX52" t="s">
        <v>1454</v>
      </c>
      <c r="BY52" t="s">
        <v>1454</v>
      </c>
      <c r="CA52" t="s">
        <v>1454</v>
      </c>
      <c r="CB52" t="s">
        <v>1454</v>
      </c>
      <c r="CC52" t="s">
        <v>1454</v>
      </c>
      <c r="CE52" t="s">
        <v>1454</v>
      </c>
      <c r="CF52" t="s">
        <v>1454</v>
      </c>
      <c r="CG52" t="s">
        <v>1454</v>
      </c>
      <c r="CI52" t="s">
        <v>1454</v>
      </c>
      <c r="CJ52" t="s">
        <v>1454</v>
      </c>
      <c r="CK52" t="s">
        <v>1454</v>
      </c>
      <c r="CM52" t="s">
        <v>624</v>
      </c>
      <c r="CN52" t="s">
        <v>1454</v>
      </c>
      <c r="CO52" t="s">
        <v>1454</v>
      </c>
      <c r="CQ52" t="s">
        <v>1454</v>
      </c>
      <c r="CR52" t="s">
        <v>1454</v>
      </c>
      <c r="CS52" t="s">
        <v>1454</v>
      </c>
      <c r="CU52" t="s">
        <v>1454</v>
      </c>
      <c r="CV52" t="s">
        <v>1454</v>
      </c>
      <c r="CW52" t="s">
        <v>1454</v>
      </c>
      <c r="CY52" t="s">
        <v>1454</v>
      </c>
      <c r="CZ52" t="s">
        <v>1454</v>
      </c>
      <c r="DA52" t="s">
        <v>1454</v>
      </c>
      <c r="DC52" t="s">
        <v>1454</v>
      </c>
      <c r="DD52" t="s">
        <v>1454</v>
      </c>
      <c r="DE52" t="s">
        <v>1454</v>
      </c>
      <c r="DG52" t="s">
        <v>1454</v>
      </c>
      <c r="DH52" t="s">
        <v>1454</v>
      </c>
      <c r="DI52" t="s">
        <v>1454</v>
      </c>
      <c r="DK52" t="s">
        <v>1454</v>
      </c>
      <c r="DL52" t="s">
        <v>1454</v>
      </c>
      <c r="DM52" t="s">
        <v>1454</v>
      </c>
      <c r="DO52" t="s">
        <v>1454</v>
      </c>
      <c r="DP52" t="s">
        <v>1454</v>
      </c>
      <c r="DQ52" t="s">
        <v>1454</v>
      </c>
      <c r="DS52" t="s">
        <v>1454</v>
      </c>
      <c r="DT52" t="s">
        <v>1454</v>
      </c>
      <c r="DU52" t="s">
        <v>1454</v>
      </c>
      <c r="DW52" t="s">
        <v>1454</v>
      </c>
      <c r="DX52" t="s">
        <v>1454</v>
      </c>
      <c r="DY52" t="s">
        <v>1454</v>
      </c>
      <c r="EA52" t="s">
        <v>1454</v>
      </c>
      <c r="EB52" t="s">
        <v>1454</v>
      </c>
      <c r="EC52" t="s">
        <v>1454</v>
      </c>
      <c r="EE52" t="s">
        <v>1454</v>
      </c>
      <c r="EF52" t="s">
        <v>1454</v>
      </c>
      <c r="EG52" t="s">
        <v>1454</v>
      </c>
      <c r="EI52" t="s">
        <v>1454</v>
      </c>
      <c r="EJ52" t="s">
        <v>1454</v>
      </c>
      <c r="EK52" t="s">
        <v>1454</v>
      </c>
      <c r="EM52" t="s">
        <v>1454</v>
      </c>
      <c r="EN52" t="s">
        <v>1454</v>
      </c>
      <c r="EO52" t="s">
        <v>1454</v>
      </c>
      <c r="EQ52" t="s">
        <v>638</v>
      </c>
      <c r="ER52" t="s">
        <v>1454</v>
      </c>
      <c r="ES52" t="s">
        <v>1454</v>
      </c>
      <c r="EU52" t="s">
        <v>639</v>
      </c>
      <c r="EV52" t="s">
        <v>1454</v>
      </c>
      <c r="EW52" t="s">
        <v>1454</v>
      </c>
      <c r="EY52" t="s">
        <v>1454</v>
      </c>
      <c r="EZ52" t="s">
        <v>1454</v>
      </c>
      <c r="FA52" t="s">
        <v>1454</v>
      </c>
      <c r="FC52" t="s">
        <v>1454</v>
      </c>
      <c r="FD52" t="s">
        <v>1454</v>
      </c>
      <c r="FE52" t="s">
        <v>1454</v>
      </c>
      <c r="FG52" t="s">
        <v>1454</v>
      </c>
      <c r="FH52" t="s">
        <v>1454</v>
      </c>
      <c r="FI52" t="s">
        <v>642</v>
      </c>
      <c r="FK52" t="s">
        <v>1454</v>
      </c>
      <c r="FL52" t="s">
        <v>1454</v>
      </c>
      <c r="FM52" t="s">
        <v>643</v>
      </c>
      <c r="FO52" t="s">
        <v>1454</v>
      </c>
      <c r="FP52" t="s">
        <v>1454</v>
      </c>
      <c r="FQ52" t="s">
        <v>1454</v>
      </c>
      <c r="FS52" t="s">
        <v>1454</v>
      </c>
      <c r="FT52" t="s">
        <v>1454</v>
      </c>
      <c r="FU52" t="s">
        <v>1454</v>
      </c>
      <c r="FW52" t="s">
        <v>1454</v>
      </c>
      <c r="FX52" t="s">
        <v>1454</v>
      </c>
      <c r="FY52" t="s">
        <v>1454</v>
      </c>
      <c r="GA52" t="s">
        <v>1454</v>
      </c>
      <c r="GB52" t="s">
        <v>1454</v>
      </c>
      <c r="GC52" t="s">
        <v>1454</v>
      </c>
      <c r="GE52" t="s">
        <v>1454</v>
      </c>
      <c r="GF52" t="s">
        <v>1454</v>
      </c>
      <c r="GG52" t="s">
        <v>1454</v>
      </c>
      <c r="GI52" t="s">
        <v>1454</v>
      </c>
      <c r="GJ52" t="s">
        <v>1454</v>
      </c>
      <c r="GK52" t="s">
        <v>1454</v>
      </c>
      <c r="GM52" t="s">
        <v>649</v>
      </c>
      <c r="GN52" t="s">
        <v>1454</v>
      </c>
      <c r="GO52" t="s">
        <v>1454</v>
      </c>
      <c r="GQ52" t="s">
        <v>1535</v>
      </c>
      <c r="GR52" t="s">
        <v>1536</v>
      </c>
      <c r="GS52" t="s">
        <v>1537</v>
      </c>
    </row>
    <row r="53" spans="2:201" x14ac:dyDescent="0.25">
      <c r="B53" t="s">
        <v>439</v>
      </c>
      <c r="C53" t="s">
        <v>1454</v>
      </c>
      <c r="D53" t="s">
        <v>1454</v>
      </c>
      <c r="E53" t="s">
        <v>1454</v>
      </c>
      <c r="G53" t="s">
        <v>604</v>
      </c>
      <c r="H53" t="s">
        <v>1454</v>
      </c>
      <c r="I53" t="s">
        <v>1454</v>
      </c>
      <c r="K53" t="s">
        <v>1454</v>
      </c>
      <c r="L53" t="s">
        <v>1454</v>
      </c>
      <c r="M53" t="s">
        <v>1454</v>
      </c>
      <c r="O53" t="s">
        <v>1454</v>
      </c>
      <c r="P53" t="s">
        <v>1454</v>
      </c>
      <c r="Q53" t="s">
        <v>1454</v>
      </c>
      <c r="S53" t="s">
        <v>1454</v>
      </c>
      <c r="T53" t="s">
        <v>1454</v>
      </c>
      <c r="U53" t="s">
        <v>1454</v>
      </c>
      <c r="W53" t="s">
        <v>1454</v>
      </c>
      <c r="X53" t="s">
        <v>1454</v>
      </c>
      <c r="Y53" t="s">
        <v>1454</v>
      </c>
      <c r="AA53" t="s">
        <v>1454</v>
      </c>
      <c r="AB53" t="s">
        <v>1454</v>
      </c>
      <c r="AC53" t="s">
        <v>1454</v>
      </c>
      <c r="AE53" t="s">
        <v>1454</v>
      </c>
      <c r="AF53" t="s">
        <v>1454</v>
      </c>
      <c r="AG53" t="s">
        <v>1454</v>
      </c>
      <c r="AI53" t="s">
        <v>1454</v>
      </c>
      <c r="AJ53" t="s">
        <v>1454</v>
      </c>
      <c r="AK53" t="s">
        <v>1454</v>
      </c>
      <c r="AM53" t="s">
        <v>1454</v>
      </c>
      <c r="AN53" t="s">
        <v>1454</v>
      </c>
      <c r="AO53" t="s">
        <v>1454</v>
      </c>
      <c r="AQ53" t="s">
        <v>1454</v>
      </c>
      <c r="AR53" t="s">
        <v>1454</v>
      </c>
      <c r="AS53" t="s">
        <v>1454</v>
      </c>
      <c r="AU53" t="s">
        <v>1454</v>
      </c>
      <c r="AV53" t="s">
        <v>1454</v>
      </c>
      <c r="AW53" t="s">
        <v>1454</v>
      </c>
      <c r="AY53" t="s">
        <v>1454</v>
      </c>
      <c r="AZ53" t="s">
        <v>1454</v>
      </c>
      <c r="BA53" t="s">
        <v>1454</v>
      </c>
      <c r="BC53" t="s">
        <v>1454</v>
      </c>
      <c r="BD53" t="s">
        <v>1454</v>
      </c>
      <c r="BE53" t="s">
        <v>1454</v>
      </c>
      <c r="BG53" t="s">
        <v>1454</v>
      </c>
      <c r="BH53" t="s">
        <v>1454</v>
      </c>
      <c r="BI53" t="s">
        <v>1454</v>
      </c>
      <c r="BK53" t="s">
        <v>1454</v>
      </c>
      <c r="BL53" t="s">
        <v>1454</v>
      </c>
      <c r="BM53" t="s">
        <v>1454</v>
      </c>
      <c r="BO53" t="s">
        <v>1454</v>
      </c>
      <c r="BP53" t="s">
        <v>1454</v>
      </c>
      <c r="BQ53" t="s">
        <v>1454</v>
      </c>
      <c r="BS53" t="s">
        <v>1454</v>
      </c>
      <c r="BT53" t="s">
        <v>1454</v>
      </c>
      <c r="BU53" t="s">
        <v>1454</v>
      </c>
      <c r="BW53" t="s">
        <v>1454</v>
      </c>
      <c r="BX53" t="s">
        <v>1454</v>
      </c>
      <c r="BY53" t="s">
        <v>1454</v>
      </c>
      <c r="CA53" t="s">
        <v>1454</v>
      </c>
      <c r="CB53" t="s">
        <v>1454</v>
      </c>
      <c r="CC53" t="s">
        <v>1454</v>
      </c>
      <c r="CE53" t="s">
        <v>1454</v>
      </c>
      <c r="CF53" t="s">
        <v>1454</v>
      </c>
      <c r="CG53" t="s">
        <v>1454</v>
      </c>
      <c r="CI53" t="s">
        <v>1454</v>
      </c>
      <c r="CJ53" t="s">
        <v>1454</v>
      </c>
      <c r="CK53" t="s">
        <v>1454</v>
      </c>
      <c r="CM53" t="s">
        <v>1454</v>
      </c>
      <c r="CN53" t="s">
        <v>1454</v>
      </c>
      <c r="CO53" t="s">
        <v>1454</v>
      </c>
      <c r="CQ53" t="s">
        <v>1454</v>
      </c>
      <c r="CR53" t="s">
        <v>1454</v>
      </c>
      <c r="CS53" t="s">
        <v>1454</v>
      </c>
      <c r="CU53" t="s">
        <v>1454</v>
      </c>
      <c r="CV53" t="s">
        <v>1454</v>
      </c>
      <c r="CW53" t="s">
        <v>1454</v>
      </c>
      <c r="CY53" t="s">
        <v>627</v>
      </c>
      <c r="CZ53" t="s">
        <v>1454</v>
      </c>
      <c r="DA53" t="s">
        <v>1454</v>
      </c>
      <c r="DC53" t="s">
        <v>628</v>
      </c>
      <c r="DD53" t="s">
        <v>1454</v>
      </c>
      <c r="DE53" t="s">
        <v>1454</v>
      </c>
      <c r="DG53" t="s">
        <v>1454</v>
      </c>
      <c r="DH53" t="s">
        <v>1454</v>
      </c>
      <c r="DI53" t="s">
        <v>1454</v>
      </c>
      <c r="DK53" t="s">
        <v>1454</v>
      </c>
      <c r="DL53" t="s">
        <v>1454</v>
      </c>
      <c r="DM53" t="s">
        <v>1454</v>
      </c>
      <c r="DO53" t="s">
        <v>1454</v>
      </c>
      <c r="DP53" t="s">
        <v>1454</v>
      </c>
      <c r="DQ53" t="s">
        <v>1454</v>
      </c>
      <c r="DS53" t="s">
        <v>1454</v>
      </c>
      <c r="DT53" t="s">
        <v>1454</v>
      </c>
      <c r="DU53" t="s">
        <v>1454</v>
      </c>
      <c r="DW53" t="s">
        <v>1454</v>
      </c>
      <c r="DX53" t="s">
        <v>1454</v>
      </c>
      <c r="DY53" t="s">
        <v>1454</v>
      </c>
      <c r="EA53" t="s">
        <v>634</v>
      </c>
      <c r="EB53" t="s">
        <v>1454</v>
      </c>
      <c r="EC53" t="s">
        <v>1454</v>
      </c>
      <c r="EE53" t="s">
        <v>1454</v>
      </c>
      <c r="EF53" t="s">
        <v>1454</v>
      </c>
      <c r="EG53" t="s">
        <v>1454</v>
      </c>
      <c r="EI53" t="s">
        <v>1454</v>
      </c>
      <c r="EJ53" t="s">
        <v>1454</v>
      </c>
      <c r="EK53" t="s">
        <v>1454</v>
      </c>
      <c r="EM53" t="s">
        <v>637</v>
      </c>
      <c r="EN53" t="s">
        <v>1454</v>
      </c>
      <c r="EO53" t="s">
        <v>637</v>
      </c>
      <c r="EQ53" t="s">
        <v>1454</v>
      </c>
      <c r="ER53" t="s">
        <v>1454</v>
      </c>
      <c r="ES53" t="s">
        <v>1454</v>
      </c>
      <c r="EU53" t="s">
        <v>1454</v>
      </c>
      <c r="EV53" t="s">
        <v>1454</v>
      </c>
      <c r="EW53" t="s">
        <v>639</v>
      </c>
      <c r="EY53" t="s">
        <v>1454</v>
      </c>
      <c r="EZ53" t="s">
        <v>1454</v>
      </c>
      <c r="FA53" t="s">
        <v>1454</v>
      </c>
      <c r="FC53" t="s">
        <v>1454</v>
      </c>
      <c r="FD53" t="s">
        <v>1454</v>
      </c>
      <c r="FE53" t="s">
        <v>1454</v>
      </c>
      <c r="FG53" t="s">
        <v>1454</v>
      </c>
      <c r="FH53" t="s">
        <v>1454</v>
      </c>
      <c r="FI53" t="s">
        <v>1454</v>
      </c>
      <c r="FK53" t="s">
        <v>1454</v>
      </c>
      <c r="FL53" t="s">
        <v>1454</v>
      </c>
      <c r="FM53" t="s">
        <v>1454</v>
      </c>
      <c r="FO53" t="s">
        <v>1454</v>
      </c>
      <c r="FP53" t="s">
        <v>1454</v>
      </c>
      <c r="FQ53" t="s">
        <v>1454</v>
      </c>
      <c r="FS53" t="s">
        <v>1454</v>
      </c>
      <c r="FT53" t="s">
        <v>1454</v>
      </c>
      <c r="FU53" t="s">
        <v>1454</v>
      </c>
      <c r="FW53" t="s">
        <v>1454</v>
      </c>
      <c r="FX53" t="s">
        <v>1454</v>
      </c>
      <c r="FY53" t="s">
        <v>1454</v>
      </c>
      <c r="GA53" t="s">
        <v>1454</v>
      </c>
      <c r="GB53" t="s">
        <v>1454</v>
      </c>
      <c r="GC53" t="s">
        <v>1454</v>
      </c>
      <c r="GE53" t="s">
        <v>1454</v>
      </c>
      <c r="GF53" t="s">
        <v>1454</v>
      </c>
      <c r="GG53" t="s">
        <v>1454</v>
      </c>
      <c r="GI53" t="s">
        <v>1454</v>
      </c>
      <c r="GJ53" t="s">
        <v>1454</v>
      </c>
      <c r="GK53" t="s">
        <v>1454</v>
      </c>
      <c r="GM53" t="s">
        <v>649</v>
      </c>
      <c r="GN53" t="s">
        <v>1454</v>
      </c>
      <c r="GO53" t="s">
        <v>1454</v>
      </c>
      <c r="GQ53" t="s">
        <v>1538</v>
      </c>
      <c r="GR53" t="s">
        <v>1454</v>
      </c>
      <c r="GS53" t="s">
        <v>1539</v>
      </c>
    </row>
    <row r="54" spans="2:201" x14ac:dyDescent="0.25">
      <c r="B54" t="s">
        <v>440</v>
      </c>
      <c r="C54" t="s">
        <v>1454</v>
      </c>
      <c r="D54" t="s">
        <v>1454</v>
      </c>
      <c r="E54" t="s">
        <v>1454</v>
      </c>
      <c r="G54" t="s">
        <v>1454</v>
      </c>
      <c r="H54" t="s">
        <v>1454</v>
      </c>
      <c r="I54" t="s">
        <v>1454</v>
      </c>
      <c r="K54" t="s">
        <v>1454</v>
      </c>
      <c r="L54" t="s">
        <v>1454</v>
      </c>
      <c r="M54" t="s">
        <v>1454</v>
      </c>
      <c r="O54" t="s">
        <v>1454</v>
      </c>
      <c r="P54" t="s">
        <v>1454</v>
      </c>
      <c r="Q54" t="s">
        <v>1454</v>
      </c>
      <c r="S54" t="s">
        <v>1454</v>
      </c>
      <c r="T54" t="s">
        <v>1454</v>
      </c>
      <c r="U54" t="s">
        <v>1454</v>
      </c>
      <c r="W54" t="s">
        <v>1454</v>
      </c>
      <c r="X54" t="s">
        <v>1454</v>
      </c>
      <c r="Y54" t="s">
        <v>1454</v>
      </c>
      <c r="AA54" t="s">
        <v>1454</v>
      </c>
      <c r="AB54" t="s">
        <v>1454</v>
      </c>
      <c r="AC54" t="s">
        <v>1454</v>
      </c>
      <c r="AE54" t="s">
        <v>1454</v>
      </c>
      <c r="AF54" t="s">
        <v>1454</v>
      </c>
      <c r="AG54" t="s">
        <v>1454</v>
      </c>
      <c r="AI54" t="s">
        <v>1454</v>
      </c>
      <c r="AJ54" t="s">
        <v>1454</v>
      </c>
      <c r="AK54" t="s">
        <v>1454</v>
      </c>
      <c r="AM54" t="s">
        <v>1454</v>
      </c>
      <c r="AN54" t="s">
        <v>1454</v>
      </c>
      <c r="AO54" t="s">
        <v>1454</v>
      </c>
      <c r="AQ54" t="s">
        <v>1454</v>
      </c>
      <c r="AR54" t="s">
        <v>1454</v>
      </c>
      <c r="AS54" t="s">
        <v>1454</v>
      </c>
      <c r="AU54" t="s">
        <v>1454</v>
      </c>
      <c r="AV54" t="s">
        <v>1454</v>
      </c>
      <c r="AW54" t="s">
        <v>1454</v>
      </c>
      <c r="AY54" t="s">
        <v>1454</v>
      </c>
      <c r="AZ54" t="s">
        <v>1454</v>
      </c>
      <c r="BA54" t="s">
        <v>1454</v>
      </c>
      <c r="BC54" t="s">
        <v>1454</v>
      </c>
      <c r="BD54" t="s">
        <v>615</v>
      </c>
      <c r="BE54" t="s">
        <v>1454</v>
      </c>
      <c r="BG54" t="s">
        <v>616</v>
      </c>
      <c r="BH54" t="s">
        <v>1454</v>
      </c>
      <c r="BI54" t="s">
        <v>616</v>
      </c>
      <c r="BK54" t="s">
        <v>1454</v>
      </c>
      <c r="BL54" t="s">
        <v>1454</v>
      </c>
      <c r="BM54" t="s">
        <v>1454</v>
      </c>
      <c r="BO54" t="s">
        <v>1454</v>
      </c>
      <c r="BP54" t="s">
        <v>1454</v>
      </c>
      <c r="BQ54" t="s">
        <v>1454</v>
      </c>
      <c r="BS54" t="s">
        <v>619</v>
      </c>
      <c r="BT54" t="s">
        <v>1454</v>
      </c>
      <c r="BU54" t="s">
        <v>1454</v>
      </c>
      <c r="BW54" t="s">
        <v>1454</v>
      </c>
      <c r="BX54" t="s">
        <v>1454</v>
      </c>
      <c r="BY54" t="s">
        <v>1454</v>
      </c>
      <c r="CA54" t="s">
        <v>1454</v>
      </c>
      <c r="CB54" t="s">
        <v>1454</v>
      </c>
      <c r="CC54" t="s">
        <v>1454</v>
      </c>
      <c r="CE54" t="s">
        <v>622</v>
      </c>
      <c r="CF54" t="s">
        <v>1454</v>
      </c>
      <c r="CG54" t="s">
        <v>1454</v>
      </c>
      <c r="CI54" t="s">
        <v>1454</v>
      </c>
      <c r="CJ54" t="s">
        <v>1454</v>
      </c>
      <c r="CK54" t="s">
        <v>1454</v>
      </c>
      <c r="CM54" t="s">
        <v>624</v>
      </c>
      <c r="CN54" t="s">
        <v>1454</v>
      </c>
      <c r="CO54" t="s">
        <v>1454</v>
      </c>
      <c r="CQ54" t="s">
        <v>1454</v>
      </c>
      <c r="CR54" t="s">
        <v>1454</v>
      </c>
      <c r="CS54" t="s">
        <v>1454</v>
      </c>
      <c r="CU54" t="s">
        <v>1454</v>
      </c>
      <c r="CV54" t="s">
        <v>1454</v>
      </c>
      <c r="CW54" t="s">
        <v>1454</v>
      </c>
      <c r="CY54" t="s">
        <v>1454</v>
      </c>
      <c r="CZ54" t="s">
        <v>1454</v>
      </c>
      <c r="DA54" t="s">
        <v>1454</v>
      </c>
      <c r="DC54" t="s">
        <v>1454</v>
      </c>
      <c r="DD54" t="s">
        <v>1454</v>
      </c>
      <c r="DE54" t="s">
        <v>1454</v>
      </c>
      <c r="DG54" t="s">
        <v>1454</v>
      </c>
      <c r="DH54" t="s">
        <v>1454</v>
      </c>
      <c r="DI54" t="s">
        <v>1454</v>
      </c>
      <c r="DK54" t="s">
        <v>1454</v>
      </c>
      <c r="DL54" t="s">
        <v>1454</v>
      </c>
      <c r="DM54" t="s">
        <v>1454</v>
      </c>
      <c r="DO54" t="s">
        <v>1454</v>
      </c>
      <c r="DP54" t="s">
        <v>1454</v>
      </c>
      <c r="DQ54" t="s">
        <v>1454</v>
      </c>
      <c r="DS54" t="s">
        <v>1454</v>
      </c>
      <c r="DT54" t="s">
        <v>1454</v>
      </c>
      <c r="DU54" t="s">
        <v>1454</v>
      </c>
      <c r="DW54" t="s">
        <v>1454</v>
      </c>
      <c r="DX54" t="s">
        <v>1454</v>
      </c>
      <c r="DY54" t="s">
        <v>1454</v>
      </c>
      <c r="EA54" t="s">
        <v>1454</v>
      </c>
      <c r="EB54" t="s">
        <v>1454</v>
      </c>
      <c r="EC54" t="s">
        <v>1454</v>
      </c>
      <c r="EE54" t="s">
        <v>1454</v>
      </c>
      <c r="EF54" t="s">
        <v>1454</v>
      </c>
      <c r="EG54" t="s">
        <v>1454</v>
      </c>
      <c r="EI54" t="s">
        <v>1454</v>
      </c>
      <c r="EJ54" t="s">
        <v>1454</v>
      </c>
      <c r="EK54" t="s">
        <v>1454</v>
      </c>
      <c r="EM54" t="s">
        <v>1454</v>
      </c>
      <c r="EN54" t="s">
        <v>1454</v>
      </c>
      <c r="EO54" t="s">
        <v>1454</v>
      </c>
      <c r="EQ54" t="s">
        <v>1454</v>
      </c>
      <c r="ER54" t="s">
        <v>1454</v>
      </c>
      <c r="ES54" t="s">
        <v>1454</v>
      </c>
      <c r="EU54" t="s">
        <v>1454</v>
      </c>
      <c r="EV54" t="s">
        <v>1454</v>
      </c>
      <c r="EW54" t="s">
        <v>1454</v>
      </c>
      <c r="EY54" t="s">
        <v>1454</v>
      </c>
      <c r="EZ54" t="s">
        <v>1454</v>
      </c>
      <c r="FA54" t="s">
        <v>1454</v>
      </c>
      <c r="FC54" t="s">
        <v>1454</v>
      </c>
      <c r="FD54" t="s">
        <v>1454</v>
      </c>
      <c r="FE54" t="s">
        <v>1454</v>
      </c>
      <c r="FG54" t="s">
        <v>1454</v>
      </c>
      <c r="FH54" t="s">
        <v>1454</v>
      </c>
      <c r="FI54" t="s">
        <v>1454</v>
      </c>
      <c r="FK54" t="s">
        <v>1454</v>
      </c>
      <c r="FL54" t="s">
        <v>1454</v>
      </c>
      <c r="FM54" t="s">
        <v>643</v>
      </c>
      <c r="FO54" t="s">
        <v>1454</v>
      </c>
      <c r="FP54" t="s">
        <v>1454</v>
      </c>
      <c r="FQ54" t="s">
        <v>1454</v>
      </c>
      <c r="FS54" t="s">
        <v>1454</v>
      </c>
      <c r="FT54" t="s">
        <v>1454</v>
      </c>
      <c r="FU54" t="s">
        <v>1454</v>
      </c>
      <c r="FW54" t="s">
        <v>1454</v>
      </c>
      <c r="FX54" t="s">
        <v>1454</v>
      </c>
      <c r="FY54" t="s">
        <v>1454</v>
      </c>
      <c r="GA54" t="s">
        <v>1454</v>
      </c>
      <c r="GB54" t="s">
        <v>1454</v>
      </c>
      <c r="GC54" t="s">
        <v>1454</v>
      </c>
      <c r="GE54" t="s">
        <v>1454</v>
      </c>
      <c r="GF54" t="s">
        <v>1454</v>
      </c>
      <c r="GG54" t="s">
        <v>1454</v>
      </c>
      <c r="GI54" t="s">
        <v>1454</v>
      </c>
      <c r="GJ54" t="s">
        <v>1454</v>
      </c>
      <c r="GK54" t="s">
        <v>1454</v>
      </c>
      <c r="GM54" t="s">
        <v>1454</v>
      </c>
      <c r="GN54" t="s">
        <v>1454</v>
      </c>
      <c r="GO54" t="s">
        <v>1454</v>
      </c>
      <c r="GQ54" t="s">
        <v>1540</v>
      </c>
      <c r="GR54" t="s">
        <v>1541</v>
      </c>
      <c r="GS54" t="s">
        <v>1542</v>
      </c>
    </row>
    <row r="55" spans="2:201" s="11" customFormat="1" x14ac:dyDescent="0.25">
      <c r="B55" t="s">
        <v>441</v>
      </c>
      <c r="C55" t="s">
        <v>1454</v>
      </c>
      <c r="D55" t="s">
        <v>1454</v>
      </c>
      <c r="E55" t="s">
        <v>1454</v>
      </c>
      <c r="F55"/>
      <c r="G55" t="s">
        <v>1454</v>
      </c>
      <c r="H55" t="s">
        <v>1454</v>
      </c>
      <c r="I55" t="s">
        <v>1454</v>
      </c>
      <c r="J55"/>
      <c r="K55" t="s">
        <v>1454</v>
      </c>
      <c r="L55" t="s">
        <v>1454</v>
      </c>
      <c r="M55" t="s">
        <v>1454</v>
      </c>
      <c r="N55"/>
      <c r="O55" t="s">
        <v>1454</v>
      </c>
      <c r="P55" t="s">
        <v>1454</v>
      </c>
      <c r="Q55" t="s">
        <v>1454</v>
      </c>
      <c r="R55"/>
      <c r="S55" t="s">
        <v>1454</v>
      </c>
      <c r="T55" t="s">
        <v>1454</v>
      </c>
      <c r="U55" t="s">
        <v>1454</v>
      </c>
      <c r="V55"/>
      <c r="W55" t="s">
        <v>1454</v>
      </c>
      <c r="X55" t="s">
        <v>1454</v>
      </c>
      <c r="Y55" t="s">
        <v>1454</v>
      </c>
      <c r="Z55"/>
      <c r="AA55" t="s">
        <v>1454</v>
      </c>
      <c r="AB55" t="s">
        <v>1454</v>
      </c>
      <c r="AC55" t="s">
        <v>1454</v>
      </c>
      <c r="AD55"/>
      <c r="AE55" t="s">
        <v>1454</v>
      </c>
      <c r="AF55" t="s">
        <v>1454</v>
      </c>
      <c r="AG55" t="s">
        <v>1454</v>
      </c>
      <c r="AH55"/>
      <c r="AI55" t="s">
        <v>1454</v>
      </c>
      <c r="AJ55" t="s">
        <v>1454</v>
      </c>
      <c r="AK55" t="s">
        <v>1454</v>
      </c>
      <c r="AL55"/>
      <c r="AM55" t="s">
        <v>1454</v>
      </c>
      <c r="AN55" t="s">
        <v>1454</v>
      </c>
      <c r="AO55" t="s">
        <v>1454</v>
      </c>
      <c r="AP55"/>
      <c r="AQ55" t="s">
        <v>1454</v>
      </c>
      <c r="AR55" t="s">
        <v>1454</v>
      </c>
      <c r="AS55" t="s">
        <v>1454</v>
      </c>
      <c r="AT55"/>
      <c r="AU55" t="s">
        <v>1454</v>
      </c>
      <c r="AV55" t="s">
        <v>1454</v>
      </c>
      <c r="AW55" t="s">
        <v>1454</v>
      </c>
      <c r="AX55"/>
      <c r="AY55" t="s">
        <v>1454</v>
      </c>
      <c r="AZ55" t="s">
        <v>1454</v>
      </c>
      <c r="BA55" t="s">
        <v>1454</v>
      </c>
      <c r="BB55"/>
      <c r="BC55" t="s">
        <v>1454</v>
      </c>
      <c r="BD55" t="s">
        <v>1454</v>
      </c>
      <c r="BE55" t="s">
        <v>1454</v>
      </c>
      <c r="BF55"/>
      <c r="BG55" t="s">
        <v>1454</v>
      </c>
      <c r="BH55" t="s">
        <v>1454</v>
      </c>
      <c r="BI55" t="s">
        <v>1454</v>
      </c>
      <c r="BJ55"/>
      <c r="BK55" t="s">
        <v>1454</v>
      </c>
      <c r="BL55" t="s">
        <v>1454</v>
      </c>
      <c r="BM55" t="s">
        <v>1454</v>
      </c>
      <c r="BN55"/>
      <c r="BO55" t="s">
        <v>1454</v>
      </c>
      <c r="BP55" t="s">
        <v>1454</v>
      </c>
      <c r="BQ55" t="s">
        <v>1454</v>
      </c>
      <c r="BR55"/>
      <c r="BS55" t="s">
        <v>1454</v>
      </c>
      <c r="BT55" t="s">
        <v>1454</v>
      </c>
      <c r="BU55" t="s">
        <v>1454</v>
      </c>
      <c r="BV55"/>
      <c r="BW55" t="s">
        <v>1454</v>
      </c>
      <c r="BX55" t="s">
        <v>1454</v>
      </c>
      <c r="BY55" t="s">
        <v>1454</v>
      </c>
      <c r="BZ55"/>
      <c r="CA55" t="s">
        <v>1454</v>
      </c>
      <c r="CB55" t="s">
        <v>1454</v>
      </c>
      <c r="CC55" t="s">
        <v>1454</v>
      </c>
      <c r="CD55"/>
      <c r="CE55" t="s">
        <v>1454</v>
      </c>
      <c r="CF55" t="s">
        <v>1454</v>
      </c>
      <c r="CG55" t="s">
        <v>1454</v>
      </c>
      <c r="CH55"/>
      <c r="CI55" t="s">
        <v>1454</v>
      </c>
      <c r="CJ55" t="s">
        <v>1454</v>
      </c>
      <c r="CK55" t="s">
        <v>1454</v>
      </c>
      <c r="CL55"/>
      <c r="CM55" t="s">
        <v>624</v>
      </c>
      <c r="CN55" t="s">
        <v>1454</v>
      </c>
      <c r="CO55" t="s">
        <v>1454</v>
      </c>
      <c r="CP55"/>
      <c r="CQ55" t="s">
        <v>1454</v>
      </c>
      <c r="CR55" t="s">
        <v>1454</v>
      </c>
      <c r="CS55" t="s">
        <v>625</v>
      </c>
      <c r="CT55"/>
      <c r="CU55" t="s">
        <v>1454</v>
      </c>
      <c r="CV55" t="s">
        <v>1454</v>
      </c>
      <c r="CW55" t="s">
        <v>1454</v>
      </c>
      <c r="CX55"/>
      <c r="CY55" t="s">
        <v>1454</v>
      </c>
      <c r="CZ55" t="s">
        <v>1454</v>
      </c>
      <c r="DA55" t="s">
        <v>1454</v>
      </c>
      <c r="DB55"/>
      <c r="DC55" t="s">
        <v>1454</v>
      </c>
      <c r="DD55" t="s">
        <v>1454</v>
      </c>
      <c r="DE55" t="s">
        <v>1454</v>
      </c>
      <c r="DF55"/>
      <c r="DG55" t="s">
        <v>1454</v>
      </c>
      <c r="DH55" t="s">
        <v>1454</v>
      </c>
      <c r="DI55" t="s">
        <v>1454</v>
      </c>
      <c r="DJ55"/>
      <c r="DK55" t="s">
        <v>1454</v>
      </c>
      <c r="DL55" t="s">
        <v>1454</v>
      </c>
      <c r="DM55" t="s">
        <v>1454</v>
      </c>
      <c r="DN55"/>
      <c r="DO55" t="s">
        <v>1454</v>
      </c>
      <c r="DP55" t="s">
        <v>1454</v>
      </c>
      <c r="DQ55" t="s">
        <v>1454</v>
      </c>
      <c r="DR55"/>
      <c r="DS55" t="s">
        <v>1454</v>
      </c>
      <c r="DT55" t="s">
        <v>1454</v>
      </c>
      <c r="DU55" t="s">
        <v>1454</v>
      </c>
      <c r="DV55"/>
      <c r="DW55" t="s">
        <v>1454</v>
      </c>
      <c r="DX55" t="s">
        <v>1454</v>
      </c>
      <c r="DY55" t="s">
        <v>1454</v>
      </c>
      <c r="DZ55"/>
      <c r="EA55" t="s">
        <v>1454</v>
      </c>
      <c r="EB55" t="s">
        <v>1454</v>
      </c>
      <c r="EC55" t="s">
        <v>1454</v>
      </c>
      <c r="ED55"/>
      <c r="EE55" t="s">
        <v>1454</v>
      </c>
      <c r="EF55" t="s">
        <v>1454</v>
      </c>
      <c r="EG55" t="s">
        <v>1454</v>
      </c>
      <c r="EH55"/>
      <c r="EI55" t="s">
        <v>1454</v>
      </c>
      <c r="EJ55" t="s">
        <v>1454</v>
      </c>
      <c r="EK55" t="s">
        <v>1454</v>
      </c>
      <c r="EL55"/>
      <c r="EM55" t="s">
        <v>1454</v>
      </c>
      <c r="EN55" t="s">
        <v>1454</v>
      </c>
      <c r="EO55" t="s">
        <v>1454</v>
      </c>
      <c r="EP55"/>
      <c r="EQ55" t="s">
        <v>638</v>
      </c>
      <c r="ER55" t="s">
        <v>1454</v>
      </c>
      <c r="ES55" t="s">
        <v>638</v>
      </c>
      <c r="ET55"/>
      <c r="EU55" t="s">
        <v>1454</v>
      </c>
      <c r="EV55" t="s">
        <v>1454</v>
      </c>
      <c r="EW55" t="s">
        <v>1454</v>
      </c>
      <c r="EX55"/>
      <c r="EY55" t="s">
        <v>1454</v>
      </c>
      <c r="EZ55" t="s">
        <v>1454</v>
      </c>
      <c r="FA55" t="s">
        <v>1454</v>
      </c>
      <c r="FB55"/>
      <c r="FC55" t="s">
        <v>1454</v>
      </c>
      <c r="FD55" t="s">
        <v>1454</v>
      </c>
      <c r="FE55" t="s">
        <v>1454</v>
      </c>
      <c r="FF55"/>
      <c r="FG55" t="s">
        <v>1454</v>
      </c>
      <c r="FH55" t="s">
        <v>1454</v>
      </c>
      <c r="FI55" t="s">
        <v>1454</v>
      </c>
      <c r="FJ55"/>
      <c r="FK55" t="s">
        <v>1454</v>
      </c>
      <c r="FL55" t="s">
        <v>643</v>
      </c>
      <c r="FM55" t="s">
        <v>1454</v>
      </c>
      <c r="FN55"/>
      <c r="FO55" t="s">
        <v>1454</v>
      </c>
      <c r="FP55" t="s">
        <v>1454</v>
      </c>
      <c r="FQ55" t="s">
        <v>1454</v>
      </c>
      <c r="FR55"/>
      <c r="FS55" t="s">
        <v>1454</v>
      </c>
      <c r="FT55" t="s">
        <v>1454</v>
      </c>
      <c r="FU55" t="s">
        <v>1454</v>
      </c>
      <c r="FV55"/>
      <c r="FW55" t="s">
        <v>1454</v>
      </c>
      <c r="FX55" t="s">
        <v>1454</v>
      </c>
      <c r="FY55" t="s">
        <v>1454</v>
      </c>
      <c r="FZ55"/>
      <c r="GA55" t="s">
        <v>1454</v>
      </c>
      <c r="GB55" t="s">
        <v>1454</v>
      </c>
      <c r="GC55" t="s">
        <v>1454</v>
      </c>
      <c r="GD55"/>
      <c r="GE55" t="s">
        <v>1454</v>
      </c>
      <c r="GF55" t="s">
        <v>1454</v>
      </c>
      <c r="GG55" t="s">
        <v>1454</v>
      </c>
      <c r="GH55"/>
      <c r="GI55" t="s">
        <v>1454</v>
      </c>
      <c r="GJ55" t="s">
        <v>1454</v>
      </c>
      <c r="GK55" t="s">
        <v>1454</v>
      </c>
      <c r="GL55"/>
      <c r="GM55" t="s">
        <v>1454</v>
      </c>
      <c r="GN55" t="s">
        <v>1454</v>
      </c>
      <c r="GO55" t="s">
        <v>1454</v>
      </c>
      <c r="GP55"/>
      <c r="GQ55" t="s">
        <v>1543</v>
      </c>
      <c r="GR55" t="s">
        <v>1483</v>
      </c>
      <c r="GS55" t="s">
        <v>1544</v>
      </c>
    </row>
    <row r="56" spans="2:201" x14ac:dyDescent="0.25">
      <c r="B56" t="s">
        <v>442</v>
      </c>
      <c r="C56" t="s">
        <v>1454</v>
      </c>
      <c r="D56" t="s">
        <v>1454</v>
      </c>
      <c r="E56" t="s">
        <v>1454</v>
      </c>
      <c r="G56" t="s">
        <v>1454</v>
      </c>
      <c r="H56" t="s">
        <v>1454</v>
      </c>
      <c r="I56" t="s">
        <v>1454</v>
      </c>
      <c r="K56" t="s">
        <v>1454</v>
      </c>
      <c r="L56" t="s">
        <v>1454</v>
      </c>
      <c r="M56" t="s">
        <v>1454</v>
      </c>
      <c r="O56" t="s">
        <v>1454</v>
      </c>
      <c r="P56" t="s">
        <v>1454</v>
      </c>
      <c r="Q56" t="s">
        <v>1454</v>
      </c>
      <c r="S56" t="s">
        <v>1454</v>
      </c>
      <c r="T56" t="s">
        <v>1454</v>
      </c>
      <c r="U56" t="s">
        <v>1454</v>
      </c>
      <c r="W56" t="s">
        <v>1454</v>
      </c>
      <c r="X56" t="s">
        <v>1454</v>
      </c>
      <c r="Y56" t="s">
        <v>1454</v>
      </c>
      <c r="AA56" t="s">
        <v>1454</v>
      </c>
      <c r="AB56" t="s">
        <v>1454</v>
      </c>
      <c r="AC56" t="s">
        <v>1454</v>
      </c>
      <c r="AE56" t="s">
        <v>1454</v>
      </c>
      <c r="AF56" t="s">
        <v>1454</v>
      </c>
      <c r="AG56" t="s">
        <v>1454</v>
      </c>
      <c r="AI56" t="s">
        <v>1454</v>
      </c>
      <c r="AJ56" t="s">
        <v>1454</v>
      </c>
      <c r="AK56" t="s">
        <v>1454</v>
      </c>
      <c r="AM56" t="s">
        <v>1454</v>
      </c>
      <c r="AN56" t="s">
        <v>1454</v>
      </c>
      <c r="AO56" t="s">
        <v>1454</v>
      </c>
      <c r="AQ56" t="s">
        <v>1454</v>
      </c>
      <c r="AR56" t="s">
        <v>612</v>
      </c>
      <c r="AS56" t="s">
        <v>1454</v>
      </c>
      <c r="AU56" t="s">
        <v>613</v>
      </c>
      <c r="AV56" t="s">
        <v>1454</v>
      </c>
      <c r="AW56" t="s">
        <v>613</v>
      </c>
      <c r="AY56" t="s">
        <v>1454</v>
      </c>
      <c r="AZ56" t="s">
        <v>1454</v>
      </c>
      <c r="BA56" t="s">
        <v>1454</v>
      </c>
      <c r="BC56" t="s">
        <v>1454</v>
      </c>
      <c r="BD56" t="s">
        <v>1454</v>
      </c>
      <c r="BE56" t="s">
        <v>1454</v>
      </c>
      <c r="BG56" t="s">
        <v>1454</v>
      </c>
      <c r="BH56" t="s">
        <v>1454</v>
      </c>
      <c r="BI56" t="s">
        <v>1454</v>
      </c>
      <c r="BK56" t="s">
        <v>1454</v>
      </c>
      <c r="BL56" t="s">
        <v>1454</v>
      </c>
      <c r="BM56" t="s">
        <v>1454</v>
      </c>
      <c r="BO56" t="s">
        <v>1454</v>
      </c>
      <c r="BP56" t="s">
        <v>1454</v>
      </c>
      <c r="BQ56" t="s">
        <v>1454</v>
      </c>
      <c r="BS56" t="s">
        <v>1454</v>
      </c>
      <c r="BT56" t="s">
        <v>1454</v>
      </c>
      <c r="BU56" t="s">
        <v>1454</v>
      </c>
      <c r="BW56" t="s">
        <v>1454</v>
      </c>
      <c r="BX56" t="s">
        <v>1454</v>
      </c>
      <c r="BY56" t="s">
        <v>1454</v>
      </c>
      <c r="CA56" t="s">
        <v>1454</v>
      </c>
      <c r="CB56" t="s">
        <v>1454</v>
      </c>
      <c r="CC56" t="s">
        <v>1454</v>
      </c>
      <c r="CE56" t="s">
        <v>622</v>
      </c>
      <c r="CF56" t="s">
        <v>1454</v>
      </c>
      <c r="CG56" t="s">
        <v>1454</v>
      </c>
      <c r="CI56" t="s">
        <v>1454</v>
      </c>
      <c r="CJ56" t="s">
        <v>1454</v>
      </c>
      <c r="CK56" t="s">
        <v>1454</v>
      </c>
      <c r="CM56" t="s">
        <v>624</v>
      </c>
      <c r="CN56" t="s">
        <v>1454</v>
      </c>
      <c r="CO56" t="s">
        <v>1454</v>
      </c>
      <c r="CQ56" t="s">
        <v>1454</v>
      </c>
      <c r="CR56" t="s">
        <v>1454</v>
      </c>
      <c r="CS56" t="s">
        <v>1454</v>
      </c>
      <c r="CU56" t="s">
        <v>1454</v>
      </c>
      <c r="CV56" t="s">
        <v>1454</v>
      </c>
      <c r="CW56" t="s">
        <v>1454</v>
      </c>
      <c r="CY56" t="s">
        <v>1454</v>
      </c>
      <c r="CZ56" t="s">
        <v>1454</v>
      </c>
      <c r="DA56" t="s">
        <v>1454</v>
      </c>
      <c r="DC56" t="s">
        <v>1454</v>
      </c>
      <c r="DD56" t="s">
        <v>1454</v>
      </c>
      <c r="DE56" t="s">
        <v>1454</v>
      </c>
      <c r="DG56" t="s">
        <v>1454</v>
      </c>
      <c r="DH56" t="s">
        <v>1454</v>
      </c>
      <c r="DI56" t="s">
        <v>1454</v>
      </c>
      <c r="DK56" t="s">
        <v>1454</v>
      </c>
      <c r="DL56" t="s">
        <v>1454</v>
      </c>
      <c r="DM56" t="s">
        <v>1454</v>
      </c>
      <c r="DO56" t="s">
        <v>1454</v>
      </c>
      <c r="DP56" t="s">
        <v>1454</v>
      </c>
      <c r="DQ56" t="s">
        <v>1454</v>
      </c>
      <c r="DS56" t="s">
        <v>1454</v>
      </c>
      <c r="DT56" t="s">
        <v>1454</v>
      </c>
      <c r="DU56" t="s">
        <v>1454</v>
      </c>
      <c r="DW56" t="s">
        <v>1454</v>
      </c>
      <c r="DX56" t="s">
        <v>1454</v>
      </c>
      <c r="DY56" t="s">
        <v>1454</v>
      </c>
      <c r="EA56" t="s">
        <v>1454</v>
      </c>
      <c r="EB56" t="s">
        <v>1454</v>
      </c>
      <c r="EC56" t="s">
        <v>1454</v>
      </c>
      <c r="EE56" t="s">
        <v>1454</v>
      </c>
      <c r="EF56" t="s">
        <v>1454</v>
      </c>
      <c r="EG56" t="s">
        <v>1454</v>
      </c>
      <c r="EI56" t="s">
        <v>1454</v>
      </c>
      <c r="EJ56" t="s">
        <v>1454</v>
      </c>
      <c r="EK56" t="s">
        <v>1454</v>
      </c>
      <c r="EM56" t="s">
        <v>1454</v>
      </c>
      <c r="EN56" t="s">
        <v>1454</v>
      </c>
      <c r="EO56" t="s">
        <v>1454</v>
      </c>
      <c r="EQ56" t="s">
        <v>1454</v>
      </c>
      <c r="ER56" t="s">
        <v>1454</v>
      </c>
      <c r="ES56" t="s">
        <v>1454</v>
      </c>
      <c r="EU56" t="s">
        <v>1454</v>
      </c>
      <c r="EV56" t="s">
        <v>1454</v>
      </c>
      <c r="EW56" t="s">
        <v>1454</v>
      </c>
      <c r="EY56" t="s">
        <v>1454</v>
      </c>
      <c r="EZ56" t="s">
        <v>1454</v>
      </c>
      <c r="FA56" t="s">
        <v>1454</v>
      </c>
      <c r="FC56" t="s">
        <v>1454</v>
      </c>
      <c r="FD56" t="s">
        <v>1454</v>
      </c>
      <c r="FE56" t="s">
        <v>1454</v>
      </c>
      <c r="FG56" t="s">
        <v>1454</v>
      </c>
      <c r="FH56" t="s">
        <v>1454</v>
      </c>
      <c r="FI56" t="s">
        <v>1454</v>
      </c>
      <c r="FK56" t="s">
        <v>1454</v>
      </c>
      <c r="FL56" t="s">
        <v>1454</v>
      </c>
      <c r="FM56" t="s">
        <v>1454</v>
      </c>
      <c r="FO56" t="s">
        <v>1454</v>
      </c>
      <c r="FP56" t="s">
        <v>1454</v>
      </c>
      <c r="FQ56" t="s">
        <v>1454</v>
      </c>
      <c r="FS56" t="s">
        <v>1454</v>
      </c>
      <c r="FT56" t="s">
        <v>1454</v>
      </c>
      <c r="FU56" t="s">
        <v>1454</v>
      </c>
      <c r="FW56" t="s">
        <v>1454</v>
      </c>
      <c r="FX56" t="s">
        <v>1454</v>
      </c>
      <c r="FY56" t="s">
        <v>1454</v>
      </c>
      <c r="GA56" t="s">
        <v>1454</v>
      </c>
      <c r="GB56" t="s">
        <v>1454</v>
      </c>
      <c r="GC56" t="s">
        <v>1454</v>
      </c>
      <c r="GE56" t="s">
        <v>1454</v>
      </c>
      <c r="GF56" t="s">
        <v>1454</v>
      </c>
      <c r="GG56" t="s">
        <v>1454</v>
      </c>
      <c r="GI56" t="s">
        <v>1454</v>
      </c>
      <c r="GJ56" t="s">
        <v>1454</v>
      </c>
      <c r="GK56" t="s">
        <v>1454</v>
      </c>
      <c r="GM56" t="s">
        <v>1454</v>
      </c>
      <c r="GN56" t="s">
        <v>1454</v>
      </c>
      <c r="GO56" t="s">
        <v>1454</v>
      </c>
      <c r="GQ56" t="s">
        <v>1545</v>
      </c>
      <c r="GR56" t="s">
        <v>1546</v>
      </c>
      <c r="GS56" t="s">
        <v>1522</v>
      </c>
    </row>
    <row r="57" spans="2:201" x14ac:dyDescent="0.25">
      <c r="B57" t="s">
        <v>443</v>
      </c>
      <c r="C57" t="s">
        <v>1454</v>
      </c>
      <c r="D57" t="s">
        <v>1454</v>
      </c>
      <c r="E57" t="s">
        <v>1454</v>
      </c>
      <c r="G57" t="s">
        <v>604</v>
      </c>
      <c r="H57" t="s">
        <v>1454</v>
      </c>
      <c r="I57" t="s">
        <v>604</v>
      </c>
      <c r="K57" t="s">
        <v>1454</v>
      </c>
      <c r="L57" t="s">
        <v>1454</v>
      </c>
      <c r="M57" t="s">
        <v>1454</v>
      </c>
      <c r="O57" t="s">
        <v>1454</v>
      </c>
      <c r="P57" t="s">
        <v>1454</v>
      </c>
      <c r="Q57" t="s">
        <v>1454</v>
      </c>
      <c r="S57" t="s">
        <v>1454</v>
      </c>
      <c r="T57" t="s">
        <v>1454</v>
      </c>
      <c r="U57" t="s">
        <v>1454</v>
      </c>
      <c r="W57" t="s">
        <v>1454</v>
      </c>
      <c r="X57" t="s">
        <v>1454</v>
      </c>
      <c r="Y57" t="s">
        <v>1454</v>
      </c>
      <c r="AA57" t="s">
        <v>1454</v>
      </c>
      <c r="AB57" t="s">
        <v>1454</v>
      </c>
      <c r="AC57" t="s">
        <v>1454</v>
      </c>
      <c r="AE57" t="s">
        <v>1454</v>
      </c>
      <c r="AF57" t="s">
        <v>1454</v>
      </c>
      <c r="AG57" t="s">
        <v>1454</v>
      </c>
      <c r="AI57" t="s">
        <v>1454</v>
      </c>
      <c r="AJ57" t="s">
        <v>1454</v>
      </c>
      <c r="AK57" t="s">
        <v>1454</v>
      </c>
      <c r="AM57" t="s">
        <v>1454</v>
      </c>
      <c r="AN57" t="s">
        <v>1454</v>
      </c>
      <c r="AO57" t="s">
        <v>1454</v>
      </c>
      <c r="AQ57" t="s">
        <v>1454</v>
      </c>
      <c r="AR57" t="s">
        <v>1454</v>
      </c>
      <c r="AS57" t="s">
        <v>1454</v>
      </c>
      <c r="AU57" t="s">
        <v>1454</v>
      </c>
      <c r="AV57" t="s">
        <v>1454</v>
      </c>
      <c r="AW57" t="s">
        <v>1454</v>
      </c>
      <c r="AY57" t="s">
        <v>1454</v>
      </c>
      <c r="AZ57" t="s">
        <v>1454</v>
      </c>
      <c r="BA57" t="s">
        <v>1454</v>
      </c>
      <c r="BC57" t="s">
        <v>1454</v>
      </c>
      <c r="BD57" t="s">
        <v>1454</v>
      </c>
      <c r="BE57" t="s">
        <v>1454</v>
      </c>
      <c r="BG57" t="s">
        <v>1454</v>
      </c>
      <c r="BH57" t="s">
        <v>1454</v>
      </c>
      <c r="BI57" t="s">
        <v>1454</v>
      </c>
      <c r="BK57" t="s">
        <v>1454</v>
      </c>
      <c r="BL57" t="s">
        <v>1454</v>
      </c>
      <c r="BM57" t="s">
        <v>1454</v>
      </c>
      <c r="BO57" t="s">
        <v>1454</v>
      </c>
      <c r="BP57" t="s">
        <v>1454</v>
      </c>
      <c r="BQ57" t="s">
        <v>1454</v>
      </c>
      <c r="BS57" t="s">
        <v>1454</v>
      </c>
      <c r="BT57" t="s">
        <v>1454</v>
      </c>
      <c r="BU57" t="s">
        <v>1454</v>
      </c>
      <c r="BW57" t="s">
        <v>1454</v>
      </c>
      <c r="BX57" t="s">
        <v>1454</v>
      </c>
      <c r="BY57" t="s">
        <v>1454</v>
      </c>
      <c r="CA57" t="s">
        <v>1454</v>
      </c>
      <c r="CB57" t="s">
        <v>1454</v>
      </c>
      <c r="CC57" t="s">
        <v>1454</v>
      </c>
      <c r="CE57" t="s">
        <v>622</v>
      </c>
      <c r="CF57" t="s">
        <v>1454</v>
      </c>
      <c r="CG57" t="s">
        <v>622</v>
      </c>
      <c r="CI57" t="s">
        <v>1454</v>
      </c>
      <c r="CJ57" t="s">
        <v>1454</v>
      </c>
      <c r="CK57" t="s">
        <v>623</v>
      </c>
      <c r="CM57" t="s">
        <v>1454</v>
      </c>
      <c r="CN57" t="s">
        <v>1454</v>
      </c>
      <c r="CO57" t="s">
        <v>1454</v>
      </c>
      <c r="CQ57" t="s">
        <v>1454</v>
      </c>
      <c r="CR57" t="s">
        <v>1454</v>
      </c>
      <c r="CS57" t="s">
        <v>1454</v>
      </c>
      <c r="CU57" t="s">
        <v>1454</v>
      </c>
      <c r="CV57" t="s">
        <v>1454</v>
      </c>
      <c r="CW57" t="s">
        <v>1454</v>
      </c>
      <c r="CY57" t="s">
        <v>627</v>
      </c>
      <c r="CZ57" t="s">
        <v>1454</v>
      </c>
      <c r="DA57" t="s">
        <v>1454</v>
      </c>
      <c r="DC57" t="s">
        <v>1454</v>
      </c>
      <c r="DD57" t="s">
        <v>628</v>
      </c>
      <c r="DE57" t="s">
        <v>1454</v>
      </c>
      <c r="DG57" t="s">
        <v>1454</v>
      </c>
      <c r="DH57" t="s">
        <v>1454</v>
      </c>
      <c r="DI57" t="s">
        <v>1454</v>
      </c>
      <c r="DK57" t="s">
        <v>1454</v>
      </c>
      <c r="DL57" t="s">
        <v>1454</v>
      </c>
      <c r="DM57" t="s">
        <v>630</v>
      </c>
      <c r="DO57" t="s">
        <v>1454</v>
      </c>
      <c r="DP57" t="s">
        <v>1454</v>
      </c>
      <c r="DQ57" t="s">
        <v>1454</v>
      </c>
      <c r="DS57" t="s">
        <v>1454</v>
      </c>
      <c r="DT57" t="s">
        <v>1454</v>
      </c>
      <c r="DU57" t="s">
        <v>1454</v>
      </c>
      <c r="DW57" t="s">
        <v>633</v>
      </c>
      <c r="DX57" t="s">
        <v>1454</v>
      </c>
      <c r="DY57" t="s">
        <v>633</v>
      </c>
      <c r="EA57" t="s">
        <v>634</v>
      </c>
      <c r="EB57" t="s">
        <v>1454</v>
      </c>
      <c r="EC57" t="s">
        <v>634</v>
      </c>
      <c r="EE57" t="s">
        <v>1454</v>
      </c>
      <c r="EF57" t="s">
        <v>1454</v>
      </c>
      <c r="EG57" t="s">
        <v>635</v>
      </c>
      <c r="EI57" t="s">
        <v>1454</v>
      </c>
      <c r="EJ57" t="s">
        <v>1454</v>
      </c>
      <c r="EK57" t="s">
        <v>1454</v>
      </c>
      <c r="EM57" t="s">
        <v>637</v>
      </c>
      <c r="EN57" t="s">
        <v>1454</v>
      </c>
      <c r="EO57" t="s">
        <v>637</v>
      </c>
      <c r="EQ57" t="s">
        <v>638</v>
      </c>
      <c r="ER57" t="s">
        <v>1454</v>
      </c>
      <c r="ES57" t="s">
        <v>638</v>
      </c>
      <c r="EU57" t="s">
        <v>1454</v>
      </c>
      <c r="EV57" t="s">
        <v>1454</v>
      </c>
      <c r="EW57" t="s">
        <v>1454</v>
      </c>
      <c r="EY57" t="s">
        <v>1454</v>
      </c>
      <c r="EZ57" t="s">
        <v>1454</v>
      </c>
      <c r="FA57" t="s">
        <v>1454</v>
      </c>
      <c r="FC57" t="s">
        <v>1454</v>
      </c>
      <c r="FD57" t="s">
        <v>1454</v>
      </c>
      <c r="FE57" t="s">
        <v>1454</v>
      </c>
      <c r="FG57" t="s">
        <v>1454</v>
      </c>
      <c r="FH57" t="s">
        <v>1454</v>
      </c>
      <c r="FI57" t="s">
        <v>1454</v>
      </c>
      <c r="FK57" t="s">
        <v>1454</v>
      </c>
      <c r="FL57" t="s">
        <v>1454</v>
      </c>
      <c r="FM57" t="s">
        <v>1454</v>
      </c>
      <c r="FO57" t="s">
        <v>1454</v>
      </c>
      <c r="FP57" t="s">
        <v>1454</v>
      </c>
      <c r="FQ57" t="s">
        <v>602</v>
      </c>
      <c r="FS57" t="s">
        <v>644</v>
      </c>
      <c r="FT57" t="s">
        <v>1454</v>
      </c>
      <c r="FU57" t="s">
        <v>644</v>
      </c>
      <c r="FW57" t="s">
        <v>645</v>
      </c>
      <c r="FX57" t="s">
        <v>1454</v>
      </c>
      <c r="FY57" t="s">
        <v>645</v>
      </c>
      <c r="GA57" t="s">
        <v>646</v>
      </c>
      <c r="GB57" t="s">
        <v>1454</v>
      </c>
      <c r="GC57" t="s">
        <v>646</v>
      </c>
      <c r="GE57" t="s">
        <v>1454</v>
      </c>
      <c r="GF57" t="s">
        <v>1454</v>
      </c>
      <c r="GG57" t="s">
        <v>1454</v>
      </c>
      <c r="GI57" t="s">
        <v>648</v>
      </c>
      <c r="GJ57" t="s">
        <v>1454</v>
      </c>
      <c r="GK57" t="s">
        <v>648</v>
      </c>
      <c r="GM57" t="s">
        <v>649</v>
      </c>
      <c r="GN57" t="s">
        <v>1454</v>
      </c>
      <c r="GO57" t="s">
        <v>1454</v>
      </c>
      <c r="GQ57" t="s">
        <v>1547</v>
      </c>
      <c r="GR57" t="s">
        <v>1472</v>
      </c>
      <c r="GS57" t="s">
        <v>1548</v>
      </c>
    </row>
    <row r="58" spans="2:201" x14ac:dyDescent="0.25">
      <c r="B58" t="s">
        <v>444</v>
      </c>
      <c r="C58" t="s">
        <v>1454</v>
      </c>
      <c r="D58" t="s">
        <v>1454</v>
      </c>
      <c r="E58" t="s">
        <v>1454</v>
      </c>
      <c r="G58" t="s">
        <v>1454</v>
      </c>
      <c r="H58" t="s">
        <v>1454</v>
      </c>
      <c r="I58" t="s">
        <v>1454</v>
      </c>
      <c r="K58" t="s">
        <v>1454</v>
      </c>
      <c r="L58" t="s">
        <v>1454</v>
      </c>
      <c r="M58" t="s">
        <v>1454</v>
      </c>
      <c r="O58" t="s">
        <v>1454</v>
      </c>
      <c r="P58" t="s">
        <v>1454</v>
      </c>
      <c r="Q58" t="s">
        <v>1454</v>
      </c>
      <c r="S58" t="s">
        <v>606</v>
      </c>
      <c r="T58" t="s">
        <v>1454</v>
      </c>
      <c r="U58" t="s">
        <v>1454</v>
      </c>
      <c r="W58" t="s">
        <v>1454</v>
      </c>
      <c r="X58" t="s">
        <v>1454</v>
      </c>
      <c r="Y58" t="s">
        <v>1454</v>
      </c>
      <c r="AA58" t="s">
        <v>1454</v>
      </c>
      <c r="AB58" t="s">
        <v>1454</v>
      </c>
      <c r="AC58" t="s">
        <v>1454</v>
      </c>
      <c r="AE58" t="s">
        <v>1454</v>
      </c>
      <c r="AF58" t="s">
        <v>1454</v>
      </c>
      <c r="AG58" t="s">
        <v>1454</v>
      </c>
      <c r="AI58" t="s">
        <v>1454</v>
      </c>
      <c r="AJ58" t="s">
        <v>1454</v>
      </c>
      <c r="AK58" t="s">
        <v>1454</v>
      </c>
      <c r="AM58" t="s">
        <v>1454</v>
      </c>
      <c r="AN58" t="s">
        <v>1454</v>
      </c>
      <c r="AO58" t="s">
        <v>1454</v>
      </c>
      <c r="AQ58" t="s">
        <v>612</v>
      </c>
      <c r="AR58" t="s">
        <v>1454</v>
      </c>
      <c r="AS58" t="s">
        <v>612</v>
      </c>
      <c r="AU58" t="s">
        <v>613</v>
      </c>
      <c r="AV58" t="s">
        <v>1454</v>
      </c>
      <c r="AW58" t="s">
        <v>613</v>
      </c>
      <c r="AY58" t="s">
        <v>1454</v>
      </c>
      <c r="AZ58" t="s">
        <v>1454</v>
      </c>
      <c r="BA58" t="s">
        <v>1454</v>
      </c>
      <c r="BC58" t="s">
        <v>615</v>
      </c>
      <c r="BD58" t="s">
        <v>1454</v>
      </c>
      <c r="BE58" t="s">
        <v>615</v>
      </c>
      <c r="BG58" t="s">
        <v>1454</v>
      </c>
      <c r="BH58" t="s">
        <v>1454</v>
      </c>
      <c r="BI58" t="s">
        <v>1454</v>
      </c>
      <c r="BK58" t="s">
        <v>1454</v>
      </c>
      <c r="BL58" t="s">
        <v>1454</v>
      </c>
      <c r="BM58" t="s">
        <v>617</v>
      </c>
      <c r="BO58" t="s">
        <v>1454</v>
      </c>
      <c r="BP58" t="s">
        <v>1454</v>
      </c>
      <c r="BQ58" t="s">
        <v>1454</v>
      </c>
      <c r="BS58" t="s">
        <v>1454</v>
      </c>
      <c r="BT58" t="s">
        <v>1454</v>
      </c>
      <c r="BU58" t="s">
        <v>619</v>
      </c>
      <c r="BW58" t="s">
        <v>1454</v>
      </c>
      <c r="BX58" t="s">
        <v>1454</v>
      </c>
      <c r="BY58" t="s">
        <v>1454</v>
      </c>
      <c r="CA58" t="s">
        <v>1454</v>
      </c>
      <c r="CB58" t="s">
        <v>1454</v>
      </c>
      <c r="CC58" t="s">
        <v>1454</v>
      </c>
      <c r="CE58" t="s">
        <v>622</v>
      </c>
      <c r="CF58" t="s">
        <v>1454</v>
      </c>
      <c r="CG58" t="s">
        <v>622</v>
      </c>
      <c r="CI58" t="s">
        <v>1454</v>
      </c>
      <c r="CJ58" t="s">
        <v>1454</v>
      </c>
      <c r="CK58" t="s">
        <v>1454</v>
      </c>
      <c r="CM58" t="s">
        <v>1454</v>
      </c>
      <c r="CN58" t="s">
        <v>1454</v>
      </c>
      <c r="CO58" t="s">
        <v>1454</v>
      </c>
      <c r="CQ58" t="s">
        <v>625</v>
      </c>
      <c r="CR58" t="s">
        <v>1454</v>
      </c>
      <c r="CS58" t="s">
        <v>625</v>
      </c>
      <c r="CU58" t="s">
        <v>1454</v>
      </c>
      <c r="CV58" t="s">
        <v>1454</v>
      </c>
      <c r="CW58" t="s">
        <v>626</v>
      </c>
      <c r="CY58" t="s">
        <v>1454</v>
      </c>
      <c r="CZ58" t="s">
        <v>1454</v>
      </c>
      <c r="DA58" t="s">
        <v>1454</v>
      </c>
      <c r="DC58" t="s">
        <v>628</v>
      </c>
      <c r="DD58" t="s">
        <v>1454</v>
      </c>
      <c r="DE58" t="s">
        <v>628</v>
      </c>
      <c r="DG58" t="s">
        <v>629</v>
      </c>
      <c r="DH58" t="s">
        <v>629</v>
      </c>
      <c r="DI58" t="s">
        <v>1454</v>
      </c>
      <c r="DK58" t="s">
        <v>630</v>
      </c>
      <c r="DL58" t="s">
        <v>1454</v>
      </c>
      <c r="DM58" t="s">
        <v>630</v>
      </c>
      <c r="DO58" t="s">
        <v>1454</v>
      </c>
      <c r="DP58" t="s">
        <v>1454</v>
      </c>
      <c r="DQ58" t="s">
        <v>631</v>
      </c>
      <c r="DS58" t="s">
        <v>632</v>
      </c>
      <c r="DT58" t="s">
        <v>1454</v>
      </c>
      <c r="DU58" t="s">
        <v>632</v>
      </c>
      <c r="DW58" t="s">
        <v>633</v>
      </c>
      <c r="DX58" t="s">
        <v>1454</v>
      </c>
      <c r="DY58" t="s">
        <v>633</v>
      </c>
      <c r="EA58" t="s">
        <v>634</v>
      </c>
      <c r="EB58" t="s">
        <v>1454</v>
      </c>
      <c r="EC58" t="s">
        <v>634</v>
      </c>
      <c r="EE58" t="s">
        <v>635</v>
      </c>
      <c r="EF58" t="s">
        <v>1454</v>
      </c>
      <c r="EG58" t="s">
        <v>635</v>
      </c>
      <c r="EI58" t="s">
        <v>636</v>
      </c>
      <c r="EJ58" t="s">
        <v>1454</v>
      </c>
      <c r="EK58" t="s">
        <v>636</v>
      </c>
      <c r="EM58" t="s">
        <v>637</v>
      </c>
      <c r="EN58" t="s">
        <v>1454</v>
      </c>
      <c r="EO58" t="s">
        <v>637</v>
      </c>
      <c r="EQ58" t="s">
        <v>638</v>
      </c>
      <c r="ER58" t="s">
        <v>1454</v>
      </c>
      <c r="ES58" t="s">
        <v>638</v>
      </c>
      <c r="EU58" t="s">
        <v>1454</v>
      </c>
      <c r="EV58" t="s">
        <v>1454</v>
      </c>
      <c r="EW58" t="s">
        <v>1454</v>
      </c>
      <c r="EY58" t="s">
        <v>640</v>
      </c>
      <c r="EZ58" t="s">
        <v>1454</v>
      </c>
      <c r="FA58" t="s">
        <v>640</v>
      </c>
      <c r="FC58" t="s">
        <v>641</v>
      </c>
      <c r="FD58" t="s">
        <v>1454</v>
      </c>
      <c r="FE58" t="s">
        <v>641</v>
      </c>
      <c r="FG58" t="s">
        <v>642</v>
      </c>
      <c r="FH58" t="s">
        <v>1454</v>
      </c>
      <c r="FI58" t="s">
        <v>642</v>
      </c>
      <c r="FK58" t="s">
        <v>643</v>
      </c>
      <c r="FL58" t="s">
        <v>1454</v>
      </c>
      <c r="FM58" t="s">
        <v>643</v>
      </c>
      <c r="FO58" t="s">
        <v>602</v>
      </c>
      <c r="FP58" t="s">
        <v>1454</v>
      </c>
      <c r="FQ58" t="s">
        <v>602</v>
      </c>
      <c r="FS58" t="s">
        <v>644</v>
      </c>
      <c r="FT58" t="s">
        <v>1454</v>
      </c>
      <c r="FU58" t="s">
        <v>644</v>
      </c>
      <c r="FW58" t="s">
        <v>645</v>
      </c>
      <c r="FX58" t="s">
        <v>1454</v>
      </c>
      <c r="FY58" t="s">
        <v>645</v>
      </c>
      <c r="GA58" t="s">
        <v>646</v>
      </c>
      <c r="GB58" t="s">
        <v>1454</v>
      </c>
      <c r="GC58" t="s">
        <v>646</v>
      </c>
      <c r="GE58" t="s">
        <v>647</v>
      </c>
      <c r="GF58" t="s">
        <v>1454</v>
      </c>
      <c r="GG58" t="s">
        <v>647</v>
      </c>
      <c r="GI58" t="s">
        <v>648</v>
      </c>
      <c r="GJ58" t="s">
        <v>1454</v>
      </c>
      <c r="GK58" t="s">
        <v>648</v>
      </c>
      <c r="GM58" t="s">
        <v>649</v>
      </c>
      <c r="GN58" t="s">
        <v>1454</v>
      </c>
      <c r="GO58" t="s">
        <v>649</v>
      </c>
      <c r="GQ58" t="s">
        <v>1549</v>
      </c>
      <c r="GR58" t="s">
        <v>1550</v>
      </c>
      <c r="GS58" t="s">
        <v>1551</v>
      </c>
    </row>
    <row r="59" spans="2:201" s="11" customFormat="1" x14ac:dyDescent="0.25">
      <c r="B59" t="s">
        <v>445</v>
      </c>
      <c r="C59" t="s">
        <v>1454</v>
      </c>
      <c r="D59" t="s">
        <v>1454</v>
      </c>
      <c r="E59" t="s">
        <v>1454</v>
      </c>
      <c r="F59"/>
      <c r="G59" t="s">
        <v>1454</v>
      </c>
      <c r="H59" t="s">
        <v>1454</v>
      </c>
      <c r="I59" t="s">
        <v>1454</v>
      </c>
      <c r="J59"/>
      <c r="K59" t="s">
        <v>1454</v>
      </c>
      <c r="L59" t="s">
        <v>1454</v>
      </c>
      <c r="M59" t="s">
        <v>1454</v>
      </c>
      <c r="N59"/>
      <c r="O59" t="s">
        <v>1454</v>
      </c>
      <c r="P59" t="s">
        <v>1454</v>
      </c>
      <c r="Q59" t="s">
        <v>1454</v>
      </c>
      <c r="R59"/>
      <c r="S59" t="s">
        <v>1454</v>
      </c>
      <c r="T59" t="s">
        <v>1454</v>
      </c>
      <c r="U59" t="s">
        <v>1454</v>
      </c>
      <c r="V59"/>
      <c r="W59" t="s">
        <v>1454</v>
      </c>
      <c r="X59" t="s">
        <v>1454</v>
      </c>
      <c r="Y59" t="s">
        <v>1454</v>
      </c>
      <c r="Z59"/>
      <c r="AA59" t="s">
        <v>1454</v>
      </c>
      <c r="AB59" t="s">
        <v>1454</v>
      </c>
      <c r="AC59" t="s">
        <v>1454</v>
      </c>
      <c r="AD59"/>
      <c r="AE59" t="s">
        <v>1454</v>
      </c>
      <c r="AF59" t="s">
        <v>1454</v>
      </c>
      <c r="AG59" t="s">
        <v>1454</v>
      </c>
      <c r="AH59"/>
      <c r="AI59" t="s">
        <v>1454</v>
      </c>
      <c r="AJ59" t="s">
        <v>610</v>
      </c>
      <c r="AK59" t="s">
        <v>1454</v>
      </c>
      <c r="AL59"/>
      <c r="AM59" t="s">
        <v>611</v>
      </c>
      <c r="AN59" t="s">
        <v>1454</v>
      </c>
      <c r="AO59" t="s">
        <v>611</v>
      </c>
      <c r="AP59"/>
      <c r="AQ59" t="s">
        <v>612</v>
      </c>
      <c r="AR59" t="s">
        <v>1454</v>
      </c>
      <c r="AS59" t="s">
        <v>1454</v>
      </c>
      <c r="AT59"/>
      <c r="AU59" t="s">
        <v>613</v>
      </c>
      <c r="AV59" t="s">
        <v>1454</v>
      </c>
      <c r="AW59" t="s">
        <v>1454</v>
      </c>
      <c r="AX59"/>
      <c r="AY59" t="s">
        <v>1454</v>
      </c>
      <c r="AZ59" t="s">
        <v>1454</v>
      </c>
      <c r="BA59" t="s">
        <v>1454</v>
      </c>
      <c r="BB59"/>
      <c r="BC59" t="s">
        <v>1454</v>
      </c>
      <c r="BD59" t="s">
        <v>1454</v>
      </c>
      <c r="BE59" t="s">
        <v>1454</v>
      </c>
      <c r="BF59"/>
      <c r="BG59" t="s">
        <v>1454</v>
      </c>
      <c r="BH59" t="s">
        <v>1454</v>
      </c>
      <c r="BI59" t="s">
        <v>1454</v>
      </c>
      <c r="BJ59"/>
      <c r="BK59" t="s">
        <v>1454</v>
      </c>
      <c r="BL59" t="s">
        <v>1454</v>
      </c>
      <c r="BM59" t="s">
        <v>1454</v>
      </c>
      <c r="BN59"/>
      <c r="BO59" t="s">
        <v>1454</v>
      </c>
      <c r="BP59" t="s">
        <v>1454</v>
      </c>
      <c r="BQ59" t="s">
        <v>1454</v>
      </c>
      <c r="BR59"/>
      <c r="BS59" t="s">
        <v>1454</v>
      </c>
      <c r="BT59" t="s">
        <v>1454</v>
      </c>
      <c r="BU59" t="s">
        <v>1454</v>
      </c>
      <c r="BV59"/>
      <c r="BW59" t="s">
        <v>1454</v>
      </c>
      <c r="BX59" t="s">
        <v>1454</v>
      </c>
      <c r="BY59" t="s">
        <v>1454</v>
      </c>
      <c r="BZ59"/>
      <c r="CA59" t="s">
        <v>1454</v>
      </c>
      <c r="CB59" t="s">
        <v>1454</v>
      </c>
      <c r="CC59" t="s">
        <v>1454</v>
      </c>
      <c r="CD59"/>
      <c r="CE59" t="s">
        <v>1454</v>
      </c>
      <c r="CF59" t="s">
        <v>1454</v>
      </c>
      <c r="CG59" t="s">
        <v>1454</v>
      </c>
      <c r="CH59"/>
      <c r="CI59" t="s">
        <v>1454</v>
      </c>
      <c r="CJ59" t="s">
        <v>1454</v>
      </c>
      <c r="CK59" t="s">
        <v>1454</v>
      </c>
      <c r="CL59"/>
      <c r="CM59" t="s">
        <v>624</v>
      </c>
      <c r="CN59" t="s">
        <v>1454</v>
      </c>
      <c r="CO59" t="s">
        <v>1454</v>
      </c>
      <c r="CP59"/>
      <c r="CQ59" t="s">
        <v>1454</v>
      </c>
      <c r="CR59" t="s">
        <v>1454</v>
      </c>
      <c r="CS59" t="s">
        <v>1454</v>
      </c>
      <c r="CT59"/>
      <c r="CU59" t="s">
        <v>626</v>
      </c>
      <c r="CV59" t="s">
        <v>1454</v>
      </c>
      <c r="CW59" t="s">
        <v>626</v>
      </c>
      <c r="CX59"/>
      <c r="CY59" t="s">
        <v>1454</v>
      </c>
      <c r="CZ59" t="s">
        <v>1454</v>
      </c>
      <c r="DA59" t="s">
        <v>1454</v>
      </c>
      <c r="DB59"/>
      <c r="DC59" t="s">
        <v>628</v>
      </c>
      <c r="DD59" t="s">
        <v>1454</v>
      </c>
      <c r="DE59" t="s">
        <v>1454</v>
      </c>
      <c r="DF59"/>
      <c r="DG59" t="s">
        <v>1454</v>
      </c>
      <c r="DH59" t="s">
        <v>1454</v>
      </c>
      <c r="DI59" t="s">
        <v>1454</v>
      </c>
      <c r="DJ59"/>
      <c r="DK59" t="s">
        <v>1454</v>
      </c>
      <c r="DL59" t="s">
        <v>1454</v>
      </c>
      <c r="DM59" t="s">
        <v>1454</v>
      </c>
      <c r="DN59"/>
      <c r="DO59" t="s">
        <v>1454</v>
      </c>
      <c r="DP59" t="s">
        <v>1454</v>
      </c>
      <c r="DQ59" t="s">
        <v>1454</v>
      </c>
      <c r="DR59"/>
      <c r="DS59" t="s">
        <v>1454</v>
      </c>
      <c r="DT59" t="s">
        <v>1454</v>
      </c>
      <c r="DU59" t="s">
        <v>1454</v>
      </c>
      <c r="DV59"/>
      <c r="DW59" t="s">
        <v>1454</v>
      </c>
      <c r="DX59" t="s">
        <v>1454</v>
      </c>
      <c r="DY59" t="s">
        <v>1454</v>
      </c>
      <c r="DZ59"/>
      <c r="EA59" t="s">
        <v>1454</v>
      </c>
      <c r="EB59" t="s">
        <v>1454</v>
      </c>
      <c r="EC59" t="s">
        <v>1454</v>
      </c>
      <c r="ED59"/>
      <c r="EE59" t="s">
        <v>1454</v>
      </c>
      <c r="EF59" t="s">
        <v>1454</v>
      </c>
      <c r="EG59" t="s">
        <v>1454</v>
      </c>
      <c r="EH59"/>
      <c r="EI59" t="s">
        <v>1454</v>
      </c>
      <c r="EJ59" t="s">
        <v>1454</v>
      </c>
      <c r="EK59" t="s">
        <v>1454</v>
      </c>
      <c r="EL59"/>
      <c r="EM59" t="s">
        <v>1454</v>
      </c>
      <c r="EN59" t="s">
        <v>1454</v>
      </c>
      <c r="EO59" t="s">
        <v>1454</v>
      </c>
      <c r="EP59"/>
      <c r="EQ59" t="s">
        <v>638</v>
      </c>
      <c r="ER59" t="s">
        <v>1454</v>
      </c>
      <c r="ES59" t="s">
        <v>1454</v>
      </c>
      <c r="ET59"/>
      <c r="EU59" t="s">
        <v>1454</v>
      </c>
      <c r="EV59" t="s">
        <v>1454</v>
      </c>
      <c r="EW59" t="s">
        <v>1454</v>
      </c>
      <c r="EX59"/>
      <c r="EY59" t="s">
        <v>1454</v>
      </c>
      <c r="EZ59" t="s">
        <v>1454</v>
      </c>
      <c r="FA59" t="s">
        <v>1454</v>
      </c>
      <c r="FB59"/>
      <c r="FC59" t="s">
        <v>1454</v>
      </c>
      <c r="FD59" t="s">
        <v>1454</v>
      </c>
      <c r="FE59" t="s">
        <v>1454</v>
      </c>
      <c r="FF59"/>
      <c r="FG59" t="s">
        <v>1454</v>
      </c>
      <c r="FH59" t="s">
        <v>1454</v>
      </c>
      <c r="FI59" t="s">
        <v>1454</v>
      </c>
      <c r="FJ59"/>
      <c r="FK59" t="s">
        <v>1454</v>
      </c>
      <c r="FL59" t="s">
        <v>1454</v>
      </c>
      <c r="FM59" t="s">
        <v>1454</v>
      </c>
      <c r="FN59"/>
      <c r="FO59" t="s">
        <v>1454</v>
      </c>
      <c r="FP59" t="s">
        <v>1454</v>
      </c>
      <c r="FQ59" t="s">
        <v>1454</v>
      </c>
      <c r="FR59"/>
      <c r="FS59" t="s">
        <v>1454</v>
      </c>
      <c r="FT59" t="s">
        <v>1454</v>
      </c>
      <c r="FU59" t="s">
        <v>1454</v>
      </c>
      <c r="FV59"/>
      <c r="FW59" t="s">
        <v>1454</v>
      </c>
      <c r="FX59" t="s">
        <v>1454</v>
      </c>
      <c r="FY59" t="s">
        <v>1454</v>
      </c>
      <c r="FZ59"/>
      <c r="GA59" t="s">
        <v>1454</v>
      </c>
      <c r="GB59" t="s">
        <v>1454</v>
      </c>
      <c r="GC59" t="s">
        <v>1454</v>
      </c>
      <c r="GD59"/>
      <c r="GE59" t="s">
        <v>647</v>
      </c>
      <c r="GF59" t="s">
        <v>1454</v>
      </c>
      <c r="GG59" t="s">
        <v>1454</v>
      </c>
      <c r="GH59"/>
      <c r="GI59" t="s">
        <v>1454</v>
      </c>
      <c r="GJ59" t="s">
        <v>1454</v>
      </c>
      <c r="GK59" t="s">
        <v>1454</v>
      </c>
      <c r="GL59"/>
      <c r="GM59" t="s">
        <v>649</v>
      </c>
      <c r="GN59" t="s">
        <v>1454</v>
      </c>
      <c r="GO59" t="s">
        <v>1454</v>
      </c>
      <c r="GP59"/>
      <c r="GQ59" t="s">
        <v>1552</v>
      </c>
      <c r="GR59" t="s">
        <v>1531</v>
      </c>
      <c r="GS59" t="s">
        <v>1553</v>
      </c>
    </row>
    <row r="60" spans="2:201" x14ac:dyDescent="0.25">
      <c r="B60" t="s">
        <v>446</v>
      </c>
      <c r="C60" t="s">
        <v>1454</v>
      </c>
      <c r="D60" t="s">
        <v>1454</v>
      </c>
      <c r="E60" t="s">
        <v>1454</v>
      </c>
      <c r="G60" t="s">
        <v>1454</v>
      </c>
      <c r="H60" t="s">
        <v>1454</v>
      </c>
      <c r="I60" t="s">
        <v>1454</v>
      </c>
      <c r="K60" t="s">
        <v>1454</v>
      </c>
      <c r="L60" t="s">
        <v>1454</v>
      </c>
      <c r="M60" t="s">
        <v>1454</v>
      </c>
      <c r="O60" t="s">
        <v>1454</v>
      </c>
      <c r="P60" t="s">
        <v>1454</v>
      </c>
      <c r="Q60" t="s">
        <v>1454</v>
      </c>
      <c r="S60" t="s">
        <v>1454</v>
      </c>
      <c r="T60" t="s">
        <v>1454</v>
      </c>
      <c r="U60" t="s">
        <v>1454</v>
      </c>
      <c r="W60" t="s">
        <v>1454</v>
      </c>
      <c r="X60" t="s">
        <v>1454</v>
      </c>
      <c r="Y60" t="s">
        <v>1454</v>
      </c>
      <c r="AA60" t="s">
        <v>1454</v>
      </c>
      <c r="AB60" t="s">
        <v>1454</v>
      </c>
      <c r="AC60" t="s">
        <v>1454</v>
      </c>
      <c r="AE60" t="s">
        <v>1454</v>
      </c>
      <c r="AF60" t="s">
        <v>1454</v>
      </c>
      <c r="AG60" t="s">
        <v>1454</v>
      </c>
      <c r="AI60" t="s">
        <v>1454</v>
      </c>
      <c r="AJ60" t="s">
        <v>1454</v>
      </c>
      <c r="AK60" t="s">
        <v>1454</v>
      </c>
      <c r="AM60" t="s">
        <v>1454</v>
      </c>
      <c r="AN60" t="s">
        <v>1454</v>
      </c>
      <c r="AO60" t="s">
        <v>1454</v>
      </c>
      <c r="AQ60" t="s">
        <v>1454</v>
      </c>
      <c r="AR60" t="s">
        <v>1454</v>
      </c>
      <c r="AS60" t="s">
        <v>1454</v>
      </c>
      <c r="AU60" t="s">
        <v>1454</v>
      </c>
      <c r="AV60" t="s">
        <v>1454</v>
      </c>
      <c r="AW60" t="s">
        <v>1454</v>
      </c>
      <c r="AY60" t="s">
        <v>1454</v>
      </c>
      <c r="AZ60" t="s">
        <v>1454</v>
      </c>
      <c r="BA60" t="s">
        <v>1454</v>
      </c>
      <c r="BC60" t="s">
        <v>1454</v>
      </c>
      <c r="BD60" t="s">
        <v>1454</v>
      </c>
      <c r="BE60" t="s">
        <v>1454</v>
      </c>
      <c r="BG60" t="s">
        <v>1454</v>
      </c>
      <c r="BH60" t="s">
        <v>1454</v>
      </c>
      <c r="BI60" t="s">
        <v>1454</v>
      </c>
      <c r="BK60" t="s">
        <v>1454</v>
      </c>
      <c r="BL60" t="s">
        <v>1454</v>
      </c>
      <c r="BM60" t="s">
        <v>1454</v>
      </c>
      <c r="BO60" t="s">
        <v>1454</v>
      </c>
      <c r="BP60" t="s">
        <v>1454</v>
      </c>
      <c r="BQ60" t="s">
        <v>1454</v>
      </c>
      <c r="BS60" t="s">
        <v>1454</v>
      </c>
      <c r="BT60" t="s">
        <v>1454</v>
      </c>
      <c r="BU60" t="s">
        <v>1454</v>
      </c>
      <c r="BW60" t="s">
        <v>1454</v>
      </c>
      <c r="BX60" t="s">
        <v>1454</v>
      </c>
      <c r="BY60" t="s">
        <v>1454</v>
      </c>
      <c r="CA60" t="s">
        <v>1454</v>
      </c>
      <c r="CB60" t="s">
        <v>1454</v>
      </c>
      <c r="CC60" t="s">
        <v>1454</v>
      </c>
      <c r="CE60" t="s">
        <v>1454</v>
      </c>
      <c r="CF60" t="s">
        <v>1454</v>
      </c>
      <c r="CG60" t="s">
        <v>1454</v>
      </c>
      <c r="CI60" t="s">
        <v>1454</v>
      </c>
      <c r="CJ60" t="s">
        <v>1454</v>
      </c>
      <c r="CK60" t="s">
        <v>1454</v>
      </c>
      <c r="CM60" t="s">
        <v>1454</v>
      </c>
      <c r="CN60" t="s">
        <v>1454</v>
      </c>
      <c r="CO60" t="s">
        <v>1454</v>
      </c>
      <c r="CQ60" t="s">
        <v>1454</v>
      </c>
      <c r="CR60" t="s">
        <v>1454</v>
      </c>
      <c r="CS60" t="s">
        <v>1454</v>
      </c>
      <c r="CU60" t="s">
        <v>1454</v>
      </c>
      <c r="CV60" t="s">
        <v>1454</v>
      </c>
      <c r="CW60" t="s">
        <v>1454</v>
      </c>
      <c r="CY60" t="s">
        <v>1454</v>
      </c>
      <c r="CZ60" t="s">
        <v>1454</v>
      </c>
      <c r="DA60" t="s">
        <v>1454</v>
      </c>
      <c r="DC60" t="s">
        <v>1454</v>
      </c>
      <c r="DD60" t="s">
        <v>1454</v>
      </c>
      <c r="DE60" t="s">
        <v>1454</v>
      </c>
      <c r="DG60" t="s">
        <v>1454</v>
      </c>
      <c r="DH60" t="s">
        <v>1454</v>
      </c>
      <c r="DI60" t="s">
        <v>1454</v>
      </c>
      <c r="DK60" t="s">
        <v>1454</v>
      </c>
      <c r="DL60" t="s">
        <v>1454</v>
      </c>
      <c r="DM60" t="s">
        <v>1454</v>
      </c>
      <c r="DO60" t="s">
        <v>1454</v>
      </c>
      <c r="DP60" t="s">
        <v>631</v>
      </c>
      <c r="DQ60" t="s">
        <v>1454</v>
      </c>
      <c r="DS60" t="s">
        <v>1454</v>
      </c>
      <c r="DT60" t="s">
        <v>1454</v>
      </c>
      <c r="DU60" t="s">
        <v>1454</v>
      </c>
      <c r="DW60" t="s">
        <v>1454</v>
      </c>
      <c r="DX60" t="s">
        <v>1454</v>
      </c>
      <c r="DY60" t="s">
        <v>1454</v>
      </c>
      <c r="EA60" t="s">
        <v>1454</v>
      </c>
      <c r="EB60" t="s">
        <v>1454</v>
      </c>
      <c r="EC60" t="s">
        <v>1454</v>
      </c>
      <c r="EE60" t="s">
        <v>1454</v>
      </c>
      <c r="EF60" t="s">
        <v>1454</v>
      </c>
      <c r="EG60" t="s">
        <v>1454</v>
      </c>
      <c r="EI60" t="s">
        <v>1454</v>
      </c>
      <c r="EJ60" t="s">
        <v>1454</v>
      </c>
      <c r="EK60" t="s">
        <v>1454</v>
      </c>
      <c r="EM60" t="s">
        <v>1454</v>
      </c>
      <c r="EN60" t="s">
        <v>1454</v>
      </c>
      <c r="EO60" t="s">
        <v>1454</v>
      </c>
      <c r="EQ60" t="s">
        <v>1454</v>
      </c>
      <c r="ER60" t="s">
        <v>1454</v>
      </c>
      <c r="ES60" t="s">
        <v>1454</v>
      </c>
      <c r="EU60" t="s">
        <v>1454</v>
      </c>
      <c r="EV60" t="s">
        <v>1454</v>
      </c>
      <c r="EW60" t="s">
        <v>1454</v>
      </c>
      <c r="EY60" t="s">
        <v>1454</v>
      </c>
      <c r="EZ60" t="s">
        <v>1454</v>
      </c>
      <c r="FA60" t="s">
        <v>1454</v>
      </c>
      <c r="FC60" t="s">
        <v>1454</v>
      </c>
      <c r="FD60" t="s">
        <v>1454</v>
      </c>
      <c r="FE60" t="s">
        <v>1454</v>
      </c>
      <c r="FG60" t="s">
        <v>1454</v>
      </c>
      <c r="FH60" t="s">
        <v>1454</v>
      </c>
      <c r="FI60" t="s">
        <v>1454</v>
      </c>
      <c r="FK60" t="s">
        <v>1454</v>
      </c>
      <c r="FL60" t="s">
        <v>1454</v>
      </c>
      <c r="FM60" t="s">
        <v>1454</v>
      </c>
      <c r="FO60" t="s">
        <v>1454</v>
      </c>
      <c r="FP60" t="s">
        <v>1454</v>
      </c>
      <c r="FQ60" t="s">
        <v>1454</v>
      </c>
      <c r="FS60" t="s">
        <v>644</v>
      </c>
      <c r="FT60" t="s">
        <v>1454</v>
      </c>
      <c r="FU60" t="s">
        <v>644</v>
      </c>
      <c r="FW60" t="s">
        <v>1454</v>
      </c>
      <c r="FX60" t="s">
        <v>1454</v>
      </c>
      <c r="FY60" t="s">
        <v>1454</v>
      </c>
      <c r="GA60" t="s">
        <v>1454</v>
      </c>
      <c r="GB60" t="s">
        <v>1454</v>
      </c>
      <c r="GC60" t="s">
        <v>1454</v>
      </c>
      <c r="GE60" t="s">
        <v>1454</v>
      </c>
      <c r="GF60" t="s">
        <v>1454</v>
      </c>
      <c r="GG60" t="s">
        <v>1454</v>
      </c>
      <c r="GI60" t="s">
        <v>1454</v>
      </c>
      <c r="GJ60" t="s">
        <v>1454</v>
      </c>
      <c r="GK60" t="s">
        <v>1454</v>
      </c>
      <c r="GM60" t="s">
        <v>1454</v>
      </c>
      <c r="GN60" t="s">
        <v>1454</v>
      </c>
      <c r="GO60" t="s">
        <v>1454</v>
      </c>
      <c r="GQ60" t="s">
        <v>1554</v>
      </c>
      <c r="GR60" t="s">
        <v>1555</v>
      </c>
      <c r="GS60" t="s">
        <v>1554</v>
      </c>
    </row>
    <row r="61" spans="2:201" x14ac:dyDescent="0.25">
      <c r="B61" t="s">
        <v>447</v>
      </c>
      <c r="C61" t="s">
        <v>1454</v>
      </c>
      <c r="D61" t="s">
        <v>1454</v>
      </c>
      <c r="E61" t="s">
        <v>1454</v>
      </c>
      <c r="G61" t="s">
        <v>1454</v>
      </c>
      <c r="H61" t="s">
        <v>1454</v>
      </c>
      <c r="I61" t="s">
        <v>1454</v>
      </c>
      <c r="K61" t="s">
        <v>1454</v>
      </c>
      <c r="L61" t="s">
        <v>1454</v>
      </c>
      <c r="M61" t="s">
        <v>1454</v>
      </c>
      <c r="O61" t="s">
        <v>1454</v>
      </c>
      <c r="P61" t="s">
        <v>1454</v>
      </c>
      <c r="Q61" t="s">
        <v>1454</v>
      </c>
      <c r="S61" t="s">
        <v>1454</v>
      </c>
      <c r="T61" t="s">
        <v>1454</v>
      </c>
      <c r="U61" t="s">
        <v>1454</v>
      </c>
      <c r="W61" t="s">
        <v>1454</v>
      </c>
      <c r="X61" t="s">
        <v>1454</v>
      </c>
      <c r="Y61" t="s">
        <v>1454</v>
      </c>
      <c r="AA61" t="s">
        <v>1454</v>
      </c>
      <c r="AB61" t="s">
        <v>1454</v>
      </c>
      <c r="AC61" t="s">
        <v>1454</v>
      </c>
      <c r="AE61" t="s">
        <v>1454</v>
      </c>
      <c r="AF61" t="s">
        <v>1454</v>
      </c>
      <c r="AG61" t="s">
        <v>1454</v>
      </c>
      <c r="AI61" t="s">
        <v>1454</v>
      </c>
      <c r="AJ61" t="s">
        <v>1454</v>
      </c>
      <c r="AK61" t="s">
        <v>1454</v>
      </c>
      <c r="AM61" t="s">
        <v>1454</v>
      </c>
      <c r="AN61" t="s">
        <v>1454</v>
      </c>
      <c r="AO61" t="s">
        <v>1454</v>
      </c>
      <c r="AQ61" t="s">
        <v>1454</v>
      </c>
      <c r="AR61" t="s">
        <v>1454</v>
      </c>
      <c r="AS61" t="s">
        <v>1454</v>
      </c>
      <c r="AU61" t="s">
        <v>1454</v>
      </c>
      <c r="AV61" t="s">
        <v>613</v>
      </c>
      <c r="AW61" t="s">
        <v>1454</v>
      </c>
      <c r="AY61" t="s">
        <v>1454</v>
      </c>
      <c r="AZ61" t="s">
        <v>1454</v>
      </c>
      <c r="BA61" t="s">
        <v>1454</v>
      </c>
      <c r="BC61" t="s">
        <v>1454</v>
      </c>
      <c r="BD61" t="s">
        <v>1454</v>
      </c>
      <c r="BE61" t="s">
        <v>1454</v>
      </c>
      <c r="BG61" t="s">
        <v>1454</v>
      </c>
      <c r="BH61" t="s">
        <v>1454</v>
      </c>
      <c r="BI61" t="s">
        <v>1454</v>
      </c>
      <c r="BK61" t="s">
        <v>1454</v>
      </c>
      <c r="BL61" t="s">
        <v>1454</v>
      </c>
      <c r="BM61" t="s">
        <v>1454</v>
      </c>
      <c r="BO61" t="s">
        <v>1454</v>
      </c>
      <c r="BP61" t="s">
        <v>1454</v>
      </c>
      <c r="BQ61" t="s">
        <v>1454</v>
      </c>
      <c r="BS61" t="s">
        <v>1454</v>
      </c>
      <c r="BT61" t="s">
        <v>1454</v>
      </c>
      <c r="BU61" t="s">
        <v>1454</v>
      </c>
      <c r="BW61" t="s">
        <v>1454</v>
      </c>
      <c r="BX61" t="s">
        <v>1454</v>
      </c>
      <c r="BY61" t="s">
        <v>1454</v>
      </c>
      <c r="CA61" t="s">
        <v>1454</v>
      </c>
      <c r="CB61" t="s">
        <v>1454</v>
      </c>
      <c r="CC61" t="s">
        <v>1454</v>
      </c>
      <c r="CE61" t="s">
        <v>1454</v>
      </c>
      <c r="CF61" t="s">
        <v>1454</v>
      </c>
      <c r="CG61" t="s">
        <v>1454</v>
      </c>
      <c r="CI61" t="s">
        <v>1454</v>
      </c>
      <c r="CJ61" t="s">
        <v>1454</v>
      </c>
      <c r="CK61" t="s">
        <v>1454</v>
      </c>
      <c r="CM61" t="s">
        <v>1454</v>
      </c>
      <c r="CN61" t="s">
        <v>1454</v>
      </c>
      <c r="CO61" t="s">
        <v>1454</v>
      </c>
      <c r="CQ61" t="s">
        <v>1454</v>
      </c>
      <c r="CR61" t="s">
        <v>1454</v>
      </c>
      <c r="CS61" t="s">
        <v>1454</v>
      </c>
      <c r="CU61" t="s">
        <v>1454</v>
      </c>
      <c r="CV61" t="s">
        <v>1454</v>
      </c>
      <c r="CW61" t="s">
        <v>1454</v>
      </c>
      <c r="CY61" t="s">
        <v>1454</v>
      </c>
      <c r="CZ61" t="s">
        <v>1454</v>
      </c>
      <c r="DA61" t="s">
        <v>1454</v>
      </c>
      <c r="DC61" t="s">
        <v>1454</v>
      </c>
      <c r="DD61" t="s">
        <v>1454</v>
      </c>
      <c r="DE61" t="s">
        <v>1454</v>
      </c>
      <c r="DG61" t="s">
        <v>1454</v>
      </c>
      <c r="DH61" t="s">
        <v>1454</v>
      </c>
      <c r="DI61" t="s">
        <v>1454</v>
      </c>
      <c r="DK61" t="s">
        <v>1454</v>
      </c>
      <c r="DL61" t="s">
        <v>1454</v>
      </c>
      <c r="DM61" t="s">
        <v>1454</v>
      </c>
      <c r="DO61" t="s">
        <v>1454</v>
      </c>
      <c r="DP61" t="s">
        <v>1454</v>
      </c>
      <c r="DQ61" t="s">
        <v>1454</v>
      </c>
      <c r="DS61" t="s">
        <v>1454</v>
      </c>
      <c r="DT61" t="s">
        <v>1454</v>
      </c>
      <c r="DU61" t="s">
        <v>1454</v>
      </c>
      <c r="DW61" t="s">
        <v>1454</v>
      </c>
      <c r="DX61" t="s">
        <v>1454</v>
      </c>
      <c r="DY61" t="s">
        <v>1454</v>
      </c>
      <c r="EA61" t="s">
        <v>1454</v>
      </c>
      <c r="EB61" t="s">
        <v>1454</v>
      </c>
      <c r="EC61" t="s">
        <v>1454</v>
      </c>
      <c r="EE61" t="s">
        <v>1454</v>
      </c>
      <c r="EF61" t="s">
        <v>1454</v>
      </c>
      <c r="EG61" t="s">
        <v>1454</v>
      </c>
      <c r="EI61" t="s">
        <v>1454</v>
      </c>
      <c r="EJ61" t="s">
        <v>1454</v>
      </c>
      <c r="EK61" t="s">
        <v>1454</v>
      </c>
      <c r="EM61" t="s">
        <v>1454</v>
      </c>
      <c r="EN61" t="s">
        <v>1454</v>
      </c>
      <c r="EO61" t="s">
        <v>1454</v>
      </c>
      <c r="EQ61" t="s">
        <v>1454</v>
      </c>
      <c r="ER61" t="s">
        <v>1454</v>
      </c>
      <c r="ES61" t="s">
        <v>1454</v>
      </c>
      <c r="EU61" t="s">
        <v>1454</v>
      </c>
      <c r="EV61" t="s">
        <v>1454</v>
      </c>
      <c r="EW61" t="s">
        <v>1454</v>
      </c>
      <c r="EY61" t="s">
        <v>1454</v>
      </c>
      <c r="EZ61" t="s">
        <v>1454</v>
      </c>
      <c r="FA61" t="s">
        <v>1454</v>
      </c>
      <c r="FC61" t="s">
        <v>1454</v>
      </c>
      <c r="FD61" t="s">
        <v>1454</v>
      </c>
      <c r="FE61" t="s">
        <v>1454</v>
      </c>
      <c r="FG61" t="s">
        <v>642</v>
      </c>
      <c r="FH61" t="s">
        <v>1454</v>
      </c>
      <c r="FI61" t="s">
        <v>1454</v>
      </c>
      <c r="FK61" t="s">
        <v>1454</v>
      </c>
      <c r="FL61" t="s">
        <v>1454</v>
      </c>
      <c r="FM61" t="s">
        <v>1454</v>
      </c>
      <c r="FO61" t="s">
        <v>1454</v>
      </c>
      <c r="FP61" t="s">
        <v>1454</v>
      </c>
      <c r="FQ61" t="s">
        <v>1454</v>
      </c>
      <c r="FS61" t="s">
        <v>1454</v>
      </c>
      <c r="FT61" t="s">
        <v>1454</v>
      </c>
      <c r="FU61" t="s">
        <v>1454</v>
      </c>
      <c r="FW61" t="s">
        <v>1454</v>
      </c>
      <c r="FX61" t="s">
        <v>1454</v>
      </c>
      <c r="FY61" t="s">
        <v>1454</v>
      </c>
      <c r="GA61" t="s">
        <v>1454</v>
      </c>
      <c r="GB61" t="s">
        <v>1454</v>
      </c>
      <c r="GC61" t="s">
        <v>1454</v>
      </c>
      <c r="GE61" t="s">
        <v>1454</v>
      </c>
      <c r="GF61" t="s">
        <v>1454</v>
      </c>
      <c r="GG61" t="s">
        <v>1454</v>
      </c>
      <c r="GI61" t="s">
        <v>1454</v>
      </c>
      <c r="GJ61" t="s">
        <v>1454</v>
      </c>
      <c r="GK61" t="s">
        <v>1454</v>
      </c>
      <c r="GM61" t="s">
        <v>1454</v>
      </c>
      <c r="GN61" t="s">
        <v>1454</v>
      </c>
      <c r="GO61" t="s">
        <v>1454</v>
      </c>
      <c r="GQ61" t="s">
        <v>1556</v>
      </c>
      <c r="GR61" t="s">
        <v>1522</v>
      </c>
      <c r="GS61" t="s">
        <v>1454</v>
      </c>
    </row>
    <row r="62" spans="2:201" ht="16.5" customHeight="1" x14ac:dyDescent="0.25">
      <c r="B62" t="s">
        <v>448</v>
      </c>
      <c r="C62" t="s">
        <v>1454</v>
      </c>
      <c r="D62" t="s">
        <v>1454</v>
      </c>
      <c r="E62" t="s">
        <v>1454</v>
      </c>
      <c r="G62" t="s">
        <v>1454</v>
      </c>
      <c r="H62" t="s">
        <v>1454</v>
      </c>
      <c r="I62" t="s">
        <v>1454</v>
      </c>
      <c r="K62" t="s">
        <v>1454</v>
      </c>
      <c r="L62" t="s">
        <v>1454</v>
      </c>
      <c r="M62" t="s">
        <v>1454</v>
      </c>
      <c r="O62" t="s">
        <v>1454</v>
      </c>
      <c r="P62" t="s">
        <v>1454</v>
      </c>
      <c r="Q62" t="s">
        <v>1454</v>
      </c>
      <c r="S62" t="s">
        <v>1454</v>
      </c>
      <c r="T62" t="s">
        <v>1454</v>
      </c>
      <c r="U62" t="s">
        <v>1454</v>
      </c>
      <c r="W62" t="s">
        <v>1454</v>
      </c>
      <c r="X62" t="s">
        <v>1454</v>
      </c>
      <c r="Y62" t="s">
        <v>1454</v>
      </c>
      <c r="AA62" t="s">
        <v>1454</v>
      </c>
      <c r="AB62" t="s">
        <v>1454</v>
      </c>
      <c r="AC62" t="s">
        <v>1454</v>
      </c>
      <c r="AE62" t="s">
        <v>1454</v>
      </c>
      <c r="AF62" t="s">
        <v>1454</v>
      </c>
      <c r="AG62" t="s">
        <v>1454</v>
      </c>
      <c r="AI62" t="s">
        <v>1454</v>
      </c>
      <c r="AJ62" t="s">
        <v>1454</v>
      </c>
      <c r="AK62" t="s">
        <v>1454</v>
      </c>
      <c r="AM62" t="s">
        <v>1454</v>
      </c>
      <c r="AN62" t="s">
        <v>1454</v>
      </c>
      <c r="AO62" t="s">
        <v>1454</v>
      </c>
      <c r="AQ62" t="s">
        <v>1454</v>
      </c>
      <c r="AR62" t="s">
        <v>1454</v>
      </c>
      <c r="AS62" t="s">
        <v>1454</v>
      </c>
      <c r="AU62" t="s">
        <v>1454</v>
      </c>
      <c r="AV62" t="s">
        <v>1454</v>
      </c>
      <c r="AW62" t="s">
        <v>1454</v>
      </c>
      <c r="AY62" t="s">
        <v>1454</v>
      </c>
      <c r="AZ62" t="s">
        <v>1454</v>
      </c>
      <c r="BA62" t="s">
        <v>1454</v>
      </c>
      <c r="BC62" t="s">
        <v>1454</v>
      </c>
      <c r="BD62" t="s">
        <v>1454</v>
      </c>
      <c r="BE62" t="s">
        <v>1454</v>
      </c>
      <c r="BG62" t="s">
        <v>1454</v>
      </c>
      <c r="BH62" t="s">
        <v>1454</v>
      </c>
      <c r="BI62" t="s">
        <v>1454</v>
      </c>
      <c r="BK62" t="s">
        <v>1454</v>
      </c>
      <c r="BL62" t="s">
        <v>1454</v>
      </c>
      <c r="BM62" t="s">
        <v>1454</v>
      </c>
      <c r="BO62" t="s">
        <v>1454</v>
      </c>
      <c r="BP62" t="s">
        <v>1454</v>
      </c>
      <c r="BQ62" t="s">
        <v>1454</v>
      </c>
      <c r="BS62" t="s">
        <v>1454</v>
      </c>
      <c r="BT62" t="s">
        <v>1454</v>
      </c>
      <c r="BU62" t="s">
        <v>1454</v>
      </c>
      <c r="BW62" t="s">
        <v>1454</v>
      </c>
      <c r="BX62" t="s">
        <v>1454</v>
      </c>
      <c r="BY62" t="s">
        <v>1454</v>
      </c>
      <c r="CA62" t="s">
        <v>1454</v>
      </c>
      <c r="CB62" t="s">
        <v>1454</v>
      </c>
      <c r="CC62" t="s">
        <v>1454</v>
      </c>
      <c r="CE62" t="s">
        <v>1454</v>
      </c>
      <c r="CF62" t="s">
        <v>1454</v>
      </c>
      <c r="CG62" t="s">
        <v>1454</v>
      </c>
      <c r="CI62" t="s">
        <v>1454</v>
      </c>
      <c r="CJ62" t="s">
        <v>1454</v>
      </c>
      <c r="CK62" t="s">
        <v>1454</v>
      </c>
      <c r="CM62" t="s">
        <v>1454</v>
      </c>
      <c r="CN62" t="s">
        <v>1454</v>
      </c>
      <c r="CO62" t="s">
        <v>1454</v>
      </c>
      <c r="CQ62" t="s">
        <v>1454</v>
      </c>
      <c r="CR62" t="s">
        <v>1454</v>
      </c>
      <c r="CS62" t="s">
        <v>1454</v>
      </c>
      <c r="CU62" t="s">
        <v>1454</v>
      </c>
      <c r="CV62" t="s">
        <v>1454</v>
      </c>
      <c r="CW62" t="s">
        <v>1454</v>
      </c>
      <c r="CY62" t="s">
        <v>1454</v>
      </c>
      <c r="CZ62" t="s">
        <v>1454</v>
      </c>
      <c r="DA62" t="s">
        <v>1454</v>
      </c>
      <c r="DC62" t="s">
        <v>628</v>
      </c>
      <c r="DD62" t="s">
        <v>1454</v>
      </c>
      <c r="DE62" t="s">
        <v>1454</v>
      </c>
      <c r="DG62" t="s">
        <v>1454</v>
      </c>
      <c r="DH62" t="s">
        <v>1454</v>
      </c>
      <c r="DI62" t="s">
        <v>1454</v>
      </c>
      <c r="DK62" t="s">
        <v>1454</v>
      </c>
      <c r="DL62" t="s">
        <v>1454</v>
      </c>
      <c r="DM62" t="s">
        <v>1454</v>
      </c>
      <c r="DO62" t="s">
        <v>1454</v>
      </c>
      <c r="DP62" t="s">
        <v>1454</v>
      </c>
      <c r="DQ62" t="s">
        <v>1454</v>
      </c>
      <c r="DS62" t="s">
        <v>1454</v>
      </c>
      <c r="DT62" t="s">
        <v>1454</v>
      </c>
      <c r="DU62" t="s">
        <v>1454</v>
      </c>
      <c r="DW62" t="s">
        <v>1454</v>
      </c>
      <c r="DX62" t="s">
        <v>1454</v>
      </c>
      <c r="DY62" t="s">
        <v>1454</v>
      </c>
      <c r="EA62" t="s">
        <v>1454</v>
      </c>
      <c r="EB62" t="s">
        <v>634</v>
      </c>
      <c r="EC62" t="s">
        <v>1454</v>
      </c>
      <c r="EE62" t="s">
        <v>1454</v>
      </c>
      <c r="EF62" t="s">
        <v>1454</v>
      </c>
      <c r="EG62" t="s">
        <v>1454</v>
      </c>
      <c r="EI62" t="s">
        <v>1454</v>
      </c>
      <c r="EJ62" t="s">
        <v>1454</v>
      </c>
      <c r="EK62" t="s">
        <v>1454</v>
      </c>
      <c r="EM62" t="s">
        <v>1454</v>
      </c>
      <c r="EN62" t="s">
        <v>1454</v>
      </c>
      <c r="EO62" t="s">
        <v>1454</v>
      </c>
      <c r="EQ62" t="s">
        <v>1454</v>
      </c>
      <c r="ER62" t="s">
        <v>1454</v>
      </c>
      <c r="ES62" t="s">
        <v>1454</v>
      </c>
      <c r="EU62" t="s">
        <v>1454</v>
      </c>
      <c r="EV62" t="s">
        <v>1454</v>
      </c>
      <c r="EW62" t="s">
        <v>1454</v>
      </c>
      <c r="EY62" t="s">
        <v>1454</v>
      </c>
      <c r="EZ62" t="s">
        <v>1454</v>
      </c>
      <c r="FA62" t="s">
        <v>1454</v>
      </c>
      <c r="FC62" t="s">
        <v>1454</v>
      </c>
      <c r="FD62" t="s">
        <v>1454</v>
      </c>
      <c r="FE62" t="s">
        <v>1454</v>
      </c>
      <c r="FG62" t="s">
        <v>1454</v>
      </c>
      <c r="FH62" t="s">
        <v>1454</v>
      </c>
      <c r="FI62" t="s">
        <v>1454</v>
      </c>
      <c r="FK62" t="s">
        <v>1454</v>
      </c>
      <c r="FL62" t="s">
        <v>1454</v>
      </c>
      <c r="FM62" t="s">
        <v>1454</v>
      </c>
      <c r="FO62" t="s">
        <v>1454</v>
      </c>
      <c r="FP62" t="s">
        <v>1454</v>
      </c>
      <c r="FQ62" t="s">
        <v>1454</v>
      </c>
      <c r="FS62" t="s">
        <v>1454</v>
      </c>
      <c r="FT62" t="s">
        <v>1454</v>
      </c>
      <c r="FU62" t="s">
        <v>1454</v>
      </c>
      <c r="FW62" t="s">
        <v>645</v>
      </c>
      <c r="FX62" t="s">
        <v>1454</v>
      </c>
      <c r="FY62" t="s">
        <v>1454</v>
      </c>
      <c r="GA62" t="s">
        <v>1454</v>
      </c>
      <c r="GB62" t="s">
        <v>1454</v>
      </c>
      <c r="GC62" t="s">
        <v>1454</v>
      </c>
      <c r="GE62" t="s">
        <v>1454</v>
      </c>
      <c r="GF62" t="s">
        <v>1454</v>
      </c>
      <c r="GG62" t="s">
        <v>1454</v>
      </c>
      <c r="GI62" t="s">
        <v>648</v>
      </c>
      <c r="GJ62" t="s">
        <v>1454</v>
      </c>
      <c r="GK62" t="s">
        <v>1454</v>
      </c>
      <c r="GM62" t="s">
        <v>649</v>
      </c>
      <c r="GN62" t="s">
        <v>1454</v>
      </c>
      <c r="GO62" t="s">
        <v>1454</v>
      </c>
      <c r="GQ62" t="s">
        <v>1557</v>
      </c>
      <c r="GR62" t="s">
        <v>1558</v>
      </c>
      <c r="GS62" t="s">
        <v>1454</v>
      </c>
    </row>
    <row r="63" spans="2:201" s="11" customFormat="1" x14ac:dyDescent="0.25">
      <c r="B63" t="s">
        <v>449</v>
      </c>
      <c r="C63" t="s">
        <v>1454</v>
      </c>
      <c r="D63" t="s">
        <v>1454</v>
      </c>
      <c r="E63" t="s">
        <v>1454</v>
      </c>
      <c r="F63"/>
      <c r="G63" t="s">
        <v>1454</v>
      </c>
      <c r="H63" t="s">
        <v>1454</v>
      </c>
      <c r="I63" t="s">
        <v>1454</v>
      </c>
      <c r="J63"/>
      <c r="K63" t="s">
        <v>1454</v>
      </c>
      <c r="L63" t="s">
        <v>1454</v>
      </c>
      <c r="M63" t="s">
        <v>1454</v>
      </c>
      <c r="N63"/>
      <c r="O63" t="s">
        <v>1454</v>
      </c>
      <c r="P63" t="s">
        <v>1454</v>
      </c>
      <c r="Q63" t="s">
        <v>1454</v>
      </c>
      <c r="R63"/>
      <c r="S63" t="s">
        <v>1454</v>
      </c>
      <c r="T63" t="s">
        <v>1454</v>
      </c>
      <c r="U63" t="s">
        <v>1454</v>
      </c>
      <c r="V63"/>
      <c r="W63" t="s">
        <v>1454</v>
      </c>
      <c r="X63" t="s">
        <v>1454</v>
      </c>
      <c r="Y63" t="s">
        <v>1454</v>
      </c>
      <c r="Z63"/>
      <c r="AA63" t="s">
        <v>1454</v>
      </c>
      <c r="AB63" t="s">
        <v>1454</v>
      </c>
      <c r="AC63" t="s">
        <v>1454</v>
      </c>
      <c r="AD63"/>
      <c r="AE63" t="s">
        <v>1454</v>
      </c>
      <c r="AF63" t="s">
        <v>1454</v>
      </c>
      <c r="AG63" t="s">
        <v>1454</v>
      </c>
      <c r="AH63"/>
      <c r="AI63" t="s">
        <v>1454</v>
      </c>
      <c r="AJ63" t="s">
        <v>1454</v>
      </c>
      <c r="AK63" t="s">
        <v>1454</v>
      </c>
      <c r="AL63"/>
      <c r="AM63" t="s">
        <v>1454</v>
      </c>
      <c r="AN63" t="s">
        <v>1454</v>
      </c>
      <c r="AO63" t="s">
        <v>1454</v>
      </c>
      <c r="AP63"/>
      <c r="AQ63" t="s">
        <v>1454</v>
      </c>
      <c r="AR63" t="s">
        <v>1454</v>
      </c>
      <c r="AS63" t="s">
        <v>1454</v>
      </c>
      <c r="AT63"/>
      <c r="AU63" t="s">
        <v>1454</v>
      </c>
      <c r="AV63" t="s">
        <v>613</v>
      </c>
      <c r="AW63" t="s">
        <v>1454</v>
      </c>
      <c r="AX63"/>
      <c r="AY63" t="s">
        <v>1454</v>
      </c>
      <c r="AZ63" t="s">
        <v>1454</v>
      </c>
      <c r="BA63" t="s">
        <v>1454</v>
      </c>
      <c r="BB63"/>
      <c r="BC63" t="s">
        <v>615</v>
      </c>
      <c r="BD63" t="s">
        <v>1454</v>
      </c>
      <c r="BE63" t="s">
        <v>1454</v>
      </c>
      <c r="BF63"/>
      <c r="BG63" t="s">
        <v>616</v>
      </c>
      <c r="BH63" t="s">
        <v>1454</v>
      </c>
      <c r="BI63" t="s">
        <v>616</v>
      </c>
      <c r="BJ63"/>
      <c r="BK63" t="s">
        <v>1454</v>
      </c>
      <c r="BL63" t="s">
        <v>1454</v>
      </c>
      <c r="BM63" t="s">
        <v>1454</v>
      </c>
      <c r="BN63"/>
      <c r="BO63" t="s">
        <v>618</v>
      </c>
      <c r="BP63" t="s">
        <v>1454</v>
      </c>
      <c r="BQ63" t="s">
        <v>1454</v>
      </c>
      <c r="BR63"/>
      <c r="BS63" t="s">
        <v>1454</v>
      </c>
      <c r="BT63" t="s">
        <v>1454</v>
      </c>
      <c r="BU63" t="s">
        <v>1454</v>
      </c>
      <c r="BV63"/>
      <c r="BW63" t="s">
        <v>1454</v>
      </c>
      <c r="BX63" t="s">
        <v>1454</v>
      </c>
      <c r="BY63" t="s">
        <v>620</v>
      </c>
      <c r="BZ63"/>
      <c r="CA63" t="s">
        <v>1454</v>
      </c>
      <c r="CB63" t="s">
        <v>1454</v>
      </c>
      <c r="CC63" t="s">
        <v>1454</v>
      </c>
      <c r="CD63"/>
      <c r="CE63" t="s">
        <v>1454</v>
      </c>
      <c r="CF63" t="s">
        <v>1454</v>
      </c>
      <c r="CG63" t="s">
        <v>1454</v>
      </c>
      <c r="CH63"/>
      <c r="CI63" t="s">
        <v>1454</v>
      </c>
      <c r="CJ63" t="s">
        <v>1454</v>
      </c>
      <c r="CK63" t="s">
        <v>1454</v>
      </c>
      <c r="CL63"/>
      <c r="CM63" t="s">
        <v>1454</v>
      </c>
      <c r="CN63" t="s">
        <v>1454</v>
      </c>
      <c r="CO63" t="s">
        <v>1454</v>
      </c>
      <c r="CP63"/>
      <c r="CQ63" t="s">
        <v>625</v>
      </c>
      <c r="CR63" t="s">
        <v>1454</v>
      </c>
      <c r="CS63" t="s">
        <v>625</v>
      </c>
      <c r="CT63"/>
      <c r="CU63" t="s">
        <v>1454</v>
      </c>
      <c r="CV63" t="s">
        <v>1454</v>
      </c>
      <c r="CW63" t="s">
        <v>1454</v>
      </c>
      <c r="CX63"/>
      <c r="CY63" t="s">
        <v>627</v>
      </c>
      <c r="CZ63" t="s">
        <v>1454</v>
      </c>
      <c r="DA63" t="s">
        <v>1454</v>
      </c>
      <c r="DB63"/>
      <c r="DC63" t="s">
        <v>628</v>
      </c>
      <c r="DD63" t="s">
        <v>1454</v>
      </c>
      <c r="DE63" t="s">
        <v>1454</v>
      </c>
      <c r="DF63"/>
      <c r="DG63" t="s">
        <v>1454</v>
      </c>
      <c r="DH63" t="s">
        <v>1454</v>
      </c>
      <c r="DI63" t="s">
        <v>1454</v>
      </c>
      <c r="DJ63"/>
      <c r="DK63" t="s">
        <v>1454</v>
      </c>
      <c r="DL63" t="s">
        <v>1454</v>
      </c>
      <c r="DM63" t="s">
        <v>1454</v>
      </c>
      <c r="DN63"/>
      <c r="DO63" t="s">
        <v>631</v>
      </c>
      <c r="DP63" t="s">
        <v>1454</v>
      </c>
      <c r="DQ63" t="s">
        <v>631</v>
      </c>
      <c r="DR63"/>
      <c r="DS63" t="s">
        <v>632</v>
      </c>
      <c r="DT63" t="s">
        <v>1454</v>
      </c>
      <c r="DU63" t="s">
        <v>632</v>
      </c>
      <c r="DV63"/>
      <c r="DW63" t="s">
        <v>1454</v>
      </c>
      <c r="DX63" t="s">
        <v>1454</v>
      </c>
      <c r="DY63" t="s">
        <v>1454</v>
      </c>
      <c r="DZ63"/>
      <c r="EA63" t="s">
        <v>1454</v>
      </c>
      <c r="EB63" t="s">
        <v>1454</v>
      </c>
      <c r="EC63" t="s">
        <v>634</v>
      </c>
      <c r="ED63"/>
      <c r="EE63" t="s">
        <v>1454</v>
      </c>
      <c r="EF63" t="s">
        <v>1454</v>
      </c>
      <c r="EG63" t="s">
        <v>1454</v>
      </c>
      <c r="EH63"/>
      <c r="EI63" t="s">
        <v>636</v>
      </c>
      <c r="EJ63" t="s">
        <v>1454</v>
      </c>
      <c r="EK63" t="s">
        <v>1454</v>
      </c>
      <c r="EL63"/>
      <c r="EM63" t="s">
        <v>1454</v>
      </c>
      <c r="EN63" t="s">
        <v>1454</v>
      </c>
      <c r="EO63" t="s">
        <v>1454</v>
      </c>
      <c r="EP63"/>
      <c r="EQ63" t="s">
        <v>1454</v>
      </c>
      <c r="ER63" t="s">
        <v>1454</v>
      </c>
      <c r="ES63" t="s">
        <v>1454</v>
      </c>
      <c r="ET63"/>
      <c r="EU63" t="s">
        <v>1454</v>
      </c>
      <c r="EV63" t="s">
        <v>1454</v>
      </c>
      <c r="EW63" t="s">
        <v>1454</v>
      </c>
      <c r="EX63"/>
      <c r="EY63" t="s">
        <v>1454</v>
      </c>
      <c r="EZ63" t="s">
        <v>1454</v>
      </c>
      <c r="FA63" t="s">
        <v>1454</v>
      </c>
      <c r="FB63"/>
      <c r="FC63" t="s">
        <v>1454</v>
      </c>
      <c r="FD63" t="s">
        <v>1454</v>
      </c>
      <c r="FE63" t="s">
        <v>1454</v>
      </c>
      <c r="FF63"/>
      <c r="FG63" t="s">
        <v>642</v>
      </c>
      <c r="FH63" t="s">
        <v>1454</v>
      </c>
      <c r="FI63" t="s">
        <v>642</v>
      </c>
      <c r="FJ63"/>
      <c r="FK63" t="s">
        <v>1454</v>
      </c>
      <c r="FL63" t="s">
        <v>1454</v>
      </c>
      <c r="FM63" t="s">
        <v>1454</v>
      </c>
      <c r="FN63"/>
      <c r="FO63" t="s">
        <v>1454</v>
      </c>
      <c r="FP63" t="s">
        <v>1454</v>
      </c>
      <c r="FQ63" t="s">
        <v>1454</v>
      </c>
      <c r="FR63"/>
      <c r="FS63" t="s">
        <v>644</v>
      </c>
      <c r="FT63" t="s">
        <v>1454</v>
      </c>
      <c r="FU63" t="s">
        <v>1454</v>
      </c>
      <c r="FV63"/>
      <c r="FW63" t="s">
        <v>1454</v>
      </c>
      <c r="FX63" t="s">
        <v>1454</v>
      </c>
      <c r="FY63" t="s">
        <v>1454</v>
      </c>
      <c r="FZ63"/>
      <c r="GA63" t="s">
        <v>1454</v>
      </c>
      <c r="GB63" t="s">
        <v>1454</v>
      </c>
      <c r="GC63" t="s">
        <v>1454</v>
      </c>
      <c r="GD63"/>
      <c r="GE63" t="s">
        <v>1454</v>
      </c>
      <c r="GF63" t="s">
        <v>1454</v>
      </c>
      <c r="GG63" t="s">
        <v>1454</v>
      </c>
      <c r="GH63"/>
      <c r="GI63" t="s">
        <v>1454</v>
      </c>
      <c r="GJ63" t="s">
        <v>1454</v>
      </c>
      <c r="GK63" t="s">
        <v>1454</v>
      </c>
      <c r="GL63"/>
      <c r="GM63" t="s">
        <v>1454</v>
      </c>
      <c r="GN63" t="s">
        <v>1454</v>
      </c>
      <c r="GO63" t="s">
        <v>1454</v>
      </c>
      <c r="GP63"/>
      <c r="GQ63" t="s">
        <v>1559</v>
      </c>
      <c r="GR63" t="s">
        <v>1522</v>
      </c>
      <c r="GS63" t="s">
        <v>1560</v>
      </c>
    </row>
    <row r="64" spans="2:201" x14ac:dyDescent="0.25">
      <c r="B64" t="s">
        <v>450</v>
      </c>
      <c r="C64" t="s">
        <v>1454</v>
      </c>
      <c r="D64" t="s">
        <v>1454</v>
      </c>
      <c r="E64" t="s">
        <v>1454</v>
      </c>
      <c r="G64" t="s">
        <v>1454</v>
      </c>
      <c r="H64" t="s">
        <v>1454</v>
      </c>
      <c r="I64" t="s">
        <v>1454</v>
      </c>
      <c r="K64" t="s">
        <v>1454</v>
      </c>
      <c r="L64" t="s">
        <v>1454</v>
      </c>
      <c r="M64" t="s">
        <v>1454</v>
      </c>
      <c r="O64" t="s">
        <v>1454</v>
      </c>
      <c r="P64" t="s">
        <v>1454</v>
      </c>
      <c r="Q64" t="s">
        <v>1454</v>
      </c>
      <c r="S64" t="s">
        <v>1454</v>
      </c>
      <c r="T64" t="s">
        <v>1454</v>
      </c>
      <c r="U64" t="s">
        <v>1454</v>
      </c>
      <c r="W64" t="s">
        <v>1454</v>
      </c>
      <c r="X64" t="s">
        <v>1454</v>
      </c>
      <c r="Y64" t="s">
        <v>1454</v>
      </c>
      <c r="AA64" t="s">
        <v>1454</v>
      </c>
      <c r="AB64" t="s">
        <v>1454</v>
      </c>
      <c r="AC64" t="s">
        <v>1454</v>
      </c>
      <c r="AE64" t="s">
        <v>1454</v>
      </c>
      <c r="AF64" t="s">
        <v>1454</v>
      </c>
      <c r="AG64" t="s">
        <v>1454</v>
      </c>
      <c r="AI64" t="s">
        <v>1454</v>
      </c>
      <c r="AJ64" t="s">
        <v>1454</v>
      </c>
      <c r="AK64" t="s">
        <v>1454</v>
      </c>
      <c r="AM64" t="s">
        <v>1454</v>
      </c>
      <c r="AN64" t="s">
        <v>611</v>
      </c>
      <c r="AO64" t="s">
        <v>1454</v>
      </c>
      <c r="AQ64" t="s">
        <v>1454</v>
      </c>
      <c r="AR64" t="s">
        <v>1454</v>
      </c>
      <c r="AS64" t="s">
        <v>1454</v>
      </c>
      <c r="AU64" t="s">
        <v>613</v>
      </c>
      <c r="AV64" t="s">
        <v>1454</v>
      </c>
      <c r="AW64" t="s">
        <v>1454</v>
      </c>
      <c r="AY64" t="s">
        <v>1454</v>
      </c>
      <c r="AZ64" t="s">
        <v>1454</v>
      </c>
      <c r="BA64" t="s">
        <v>1454</v>
      </c>
      <c r="BC64" t="s">
        <v>1454</v>
      </c>
      <c r="BD64" t="s">
        <v>1454</v>
      </c>
      <c r="BE64" t="s">
        <v>1454</v>
      </c>
      <c r="BG64" t="s">
        <v>1454</v>
      </c>
      <c r="BH64" t="s">
        <v>1454</v>
      </c>
      <c r="BI64" t="s">
        <v>1454</v>
      </c>
      <c r="BK64" t="s">
        <v>1454</v>
      </c>
      <c r="BL64" t="s">
        <v>1454</v>
      </c>
      <c r="BM64" t="s">
        <v>1454</v>
      </c>
      <c r="BO64" t="s">
        <v>1454</v>
      </c>
      <c r="BP64" t="s">
        <v>1454</v>
      </c>
      <c r="BQ64" t="s">
        <v>1454</v>
      </c>
      <c r="BS64" t="s">
        <v>1454</v>
      </c>
      <c r="BT64" t="s">
        <v>1454</v>
      </c>
      <c r="BU64" t="s">
        <v>1454</v>
      </c>
      <c r="BW64" t="s">
        <v>1454</v>
      </c>
      <c r="BX64" t="s">
        <v>1454</v>
      </c>
      <c r="BY64" t="s">
        <v>1454</v>
      </c>
      <c r="CA64" t="s">
        <v>1454</v>
      </c>
      <c r="CB64" t="s">
        <v>1454</v>
      </c>
      <c r="CC64" t="s">
        <v>1454</v>
      </c>
      <c r="CE64" t="s">
        <v>1454</v>
      </c>
      <c r="CF64" t="s">
        <v>1454</v>
      </c>
      <c r="CG64" t="s">
        <v>1454</v>
      </c>
      <c r="CI64" t="s">
        <v>1454</v>
      </c>
      <c r="CJ64" t="s">
        <v>1454</v>
      </c>
      <c r="CK64" t="s">
        <v>1454</v>
      </c>
      <c r="CM64" t="s">
        <v>1454</v>
      </c>
      <c r="CN64" t="s">
        <v>1454</v>
      </c>
      <c r="CO64" t="s">
        <v>1454</v>
      </c>
      <c r="CQ64" t="s">
        <v>1454</v>
      </c>
      <c r="CR64" t="s">
        <v>1454</v>
      </c>
      <c r="CS64" t="s">
        <v>1454</v>
      </c>
      <c r="CU64" t="s">
        <v>1454</v>
      </c>
      <c r="CV64" t="s">
        <v>1454</v>
      </c>
      <c r="CW64" t="s">
        <v>1454</v>
      </c>
      <c r="CY64" t="s">
        <v>1454</v>
      </c>
      <c r="CZ64" t="s">
        <v>1454</v>
      </c>
      <c r="DA64" t="s">
        <v>1454</v>
      </c>
      <c r="DC64" t="s">
        <v>1454</v>
      </c>
      <c r="DD64" t="s">
        <v>1454</v>
      </c>
      <c r="DE64" t="s">
        <v>1454</v>
      </c>
      <c r="DG64" t="s">
        <v>1454</v>
      </c>
      <c r="DH64" t="s">
        <v>1454</v>
      </c>
      <c r="DI64" t="s">
        <v>1454</v>
      </c>
      <c r="DK64" t="s">
        <v>1454</v>
      </c>
      <c r="DL64" t="s">
        <v>1454</v>
      </c>
      <c r="DM64" t="s">
        <v>1454</v>
      </c>
      <c r="DO64" t="s">
        <v>1454</v>
      </c>
      <c r="DP64" t="s">
        <v>1454</v>
      </c>
      <c r="DQ64" t="s">
        <v>1454</v>
      </c>
      <c r="DS64" t="s">
        <v>1454</v>
      </c>
      <c r="DT64" t="s">
        <v>1454</v>
      </c>
      <c r="DU64" t="s">
        <v>1454</v>
      </c>
      <c r="DW64" t="s">
        <v>1454</v>
      </c>
      <c r="DX64" t="s">
        <v>1454</v>
      </c>
      <c r="DY64" t="s">
        <v>1454</v>
      </c>
      <c r="EA64" t="s">
        <v>1454</v>
      </c>
      <c r="EB64" t="s">
        <v>1454</v>
      </c>
      <c r="EC64" t="s">
        <v>1454</v>
      </c>
      <c r="EE64" t="s">
        <v>1454</v>
      </c>
      <c r="EF64" t="s">
        <v>1454</v>
      </c>
      <c r="EG64" t="s">
        <v>1454</v>
      </c>
      <c r="EI64" t="s">
        <v>1454</v>
      </c>
      <c r="EJ64" t="s">
        <v>1454</v>
      </c>
      <c r="EK64" t="s">
        <v>1454</v>
      </c>
      <c r="EM64" t="s">
        <v>1454</v>
      </c>
      <c r="EN64" t="s">
        <v>1454</v>
      </c>
      <c r="EO64" t="s">
        <v>1454</v>
      </c>
      <c r="EQ64" t="s">
        <v>1454</v>
      </c>
      <c r="ER64" t="s">
        <v>1454</v>
      </c>
      <c r="ES64" t="s">
        <v>1454</v>
      </c>
      <c r="EU64" t="s">
        <v>1454</v>
      </c>
      <c r="EV64" t="s">
        <v>1454</v>
      </c>
      <c r="EW64" t="s">
        <v>1454</v>
      </c>
      <c r="EY64" t="s">
        <v>1454</v>
      </c>
      <c r="EZ64" t="s">
        <v>1454</v>
      </c>
      <c r="FA64" t="s">
        <v>1454</v>
      </c>
      <c r="FC64" t="s">
        <v>1454</v>
      </c>
      <c r="FD64" t="s">
        <v>1454</v>
      </c>
      <c r="FE64" t="s">
        <v>1454</v>
      </c>
      <c r="FG64" t="s">
        <v>1454</v>
      </c>
      <c r="FH64" t="s">
        <v>1454</v>
      </c>
      <c r="FI64" t="s">
        <v>1454</v>
      </c>
      <c r="FK64" t="s">
        <v>1454</v>
      </c>
      <c r="FL64" t="s">
        <v>1454</v>
      </c>
      <c r="FM64" t="s">
        <v>1454</v>
      </c>
      <c r="FO64" t="s">
        <v>1454</v>
      </c>
      <c r="FP64" t="s">
        <v>1454</v>
      </c>
      <c r="FQ64" t="s">
        <v>1454</v>
      </c>
      <c r="FS64" t="s">
        <v>1454</v>
      </c>
      <c r="FT64" t="s">
        <v>1454</v>
      </c>
      <c r="FU64" t="s">
        <v>1454</v>
      </c>
      <c r="FW64" t="s">
        <v>1454</v>
      </c>
      <c r="FX64" t="s">
        <v>1454</v>
      </c>
      <c r="FY64" t="s">
        <v>1454</v>
      </c>
      <c r="GA64" t="s">
        <v>1454</v>
      </c>
      <c r="GB64" t="s">
        <v>1454</v>
      </c>
      <c r="GC64" t="s">
        <v>1454</v>
      </c>
      <c r="GE64" t="s">
        <v>1454</v>
      </c>
      <c r="GF64" t="s">
        <v>1454</v>
      </c>
      <c r="GG64" t="s">
        <v>1454</v>
      </c>
      <c r="GI64" t="s">
        <v>1454</v>
      </c>
      <c r="GJ64" t="s">
        <v>1454</v>
      </c>
      <c r="GK64" t="s">
        <v>1454</v>
      </c>
      <c r="GM64" t="s">
        <v>1454</v>
      </c>
      <c r="GN64" t="s">
        <v>1454</v>
      </c>
      <c r="GO64" t="s">
        <v>1454</v>
      </c>
      <c r="GQ64" t="s">
        <v>1522</v>
      </c>
      <c r="GR64" t="s">
        <v>1561</v>
      </c>
      <c r="GS64" t="s">
        <v>1454</v>
      </c>
    </row>
    <row r="65" spans="2:201" x14ac:dyDescent="0.25">
      <c r="B65" t="s">
        <v>451</v>
      </c>
      <c r="C65" t="s">
        <v>1454</v>
      </c>
      <c r="D65" t="s">
        <v>1454</v>
      </c>
      <c r="E65" t="s">
        <v>1454</v>
      </c>
      <c r="G65" t="s">
        <v>1454</v>
      </c>
      <c r="H65" t="s">
        <v>1454</v>
      </c>
      <c r="I65" t="s">
        <v>1454</v>
      </c>
      <c r="K65" t="s">
        <v>1454</v>
      </c>
      <c r="L65" t="s">
        <v>1454</v>
      </c>
      <c r="M65" t="s">
        <v>1454</v>
      </c>
      <c r="O65" t="s">
        <v>1454</v>
      </c>
      <c r="P65" t="s">
        <v>1454</v>
      </c>
      <c r="Q65" t="s">
        <v>1454</v>
      </c>
      <c r="S65" t="s">
        <v>1454</v>
      </c>
      <c r="T65" t="s">
        <v>1454</v>
      </c>
      <c r="U65" t="s">
        <v>1454</v>
      </c>
      <c r="W65" t="s">
        <v>1454</v>
      </c>
      <c r="X65" t="s">
        <v>607</v>
      </c>
      <c r="Y65" t="s">
        <v>1454</v>
      </c>
      <c r="AA65" t="s">
        <v>608</v>
      </c>
      <c r="AB65" t="s">
        <v>1454</v>
      </c>
      <c r="AC65" t="s">
        <v>1454</v>
      </c>
      <c r="AE65" t="s">
        <v>1454</v>
      </c>
      <c r="AF65" t="s">
        <v>1454</v>
      </c>
      <c r="AG65" t="s">
        <v>1454</v>
      </c>
      <c r="AI65" t="s">
        <v>1454</v>
      </c>
      <c r="AJ65" t="s">
        <v>1454</v>
      </c>
      <c r="AK65" t="s">
        <v>1454</v>
      </c>
      <c r="AM65" t="s">
        <v>1454</v>
      </c>
      <c r="AN65" t="s">
        <v>1454</v>
      </c>
      <c r="AO65" t="s">
        <v>1454</v>
      </c>
      <c r="AQ65" t="s">
        <v>1454</v>
      </c>
      <c r="AR65" t="s">
        <v>1454</v>
      </c>
      <c r="AS65" t="s">
        <v>1454</v>
      </c>
      <c r="AU65" t="s">
        <v>1454</v>
      </c>
      <c r="AV65" t="s">
        <v>1454</v>
      </c>
      <c r="AW65" t="s">
        <v>1454</v>
      </c>
      <c r="AY65" t="s">
        <v>1454</v>
      </c>
      <c r="AZ65" t="s">
        <v>1454</v>
      </c>
      <c r="BA65" t="s">
        <v>1454</v>
      </c>
      <c r="BC65" t="s">
        <v>1454</v>
      </c>
      <c r="BD65" t="s">
        <v>1454</v>
      </c>
      <c r="BE65" t="s">
        <v>1454</v>
      </c>
      <c r="BG65" t="s">
        <v>1454</v>
      </c>
      <c r="BH65" t="s">
        <v>1454</v>
      </c>
      <c r="BI65" t="s">
        <v>1454</v>
      </c>
      <c r="BK65" t="s">
        <v>1454</v>
      </c>
      <c r="BL65" t="s">
        <v>1454</v>
      </c>
      <c r="BM65" t="s">
        <v>1454</v>
      </c>
      <c r="BO65" t="s">
        <v>1454</v>
      </c>
      <c r="BP65" t="s">
        <v>1454</v>
      </c>
      <c r="BQ65" t="s">
        <v>1454</v>
      </c>
      <c r="BS65" t="s">
        <v>1454</v>
      </c>
      <c r="BT65" t="s">
        <v>1454</v>
      </c>
      <c r="BU65" t="s">
        <v>1454</v>
      </c>
      <c r="BW65" t="s">
        <v>1454</v>
      </c>
      <c r="BX65" t="s">
        <v>1454</v>
      </c>
      <c r="BY65" t="s">
        <v>1454</v>
      </c>
      <c r="CA65" t="s">
        <v>1454</v>
      </c>
      <c r="CB65" t="s">
        <v>1454</v>
      </c>
      <c r="CC65" t="s">
        <v>1454</v>
      </c>
      <c r="CE65" t="s">
        <v>1454</v>
      </c>
      <c r="CF65" t="s">
        <v>1454</v>
      </c>
      <c r="CG65" t="s">
        <v>1454</v>
      </c>
      <c r="CI65" t="s">
        <v>1454</v>
      </c>
      <c r="CJ65" t="s">
        <v>1454</v>
      </c>
      <c r="CK65" t="s">
        <v>1454</v>
      </c>
      <c r="CM65" t="s">
        <v>1454</v>
      </c>
      <c r="CN65" t="s">
        <v>1454</v>
      </c>
      <c r="CO65" t="s">
        <v>1454</v>
      </c>
      <c r="CQ65" t="s">
        <v>1454</v>
      </c>
      <c r="CR65" t="s">
        <v>1454</v>
      </c>
      <c r="CS65" t="s">
        <v>1454</v>
      </c>
      <c r="CU65" t="s">
        <v>1454</v>
      </c>
      <c r="CV65" t="s">
        <v>1454</v>
      </c>
      <c r="CW65" t="s">
        <v>1454</v>
      </c>
      <c r="CY65" t="s">
        <v>1454</v>
      </c>
      <c r="CZ65" t="s">
        <v>1454</v>
      </c>
      <c r="DA65" t="s">
        <v>1454</v>
      </c>
      <c r="DC65" t="s">
        <v>1454</v>
      </c>
      <c r="DD65" t="s">
        <v>1454</v>
      </c>
      <c r="DE65" t="s">
        <v>1454</v>
      </c>
      <c r="DG65" t="s">
        <v>1454</v>
      </c>
      <c r="DH65" t="s">
        <v>1454</v>
      </c>
      <c r="DI65" t="s">
        <v>1454</v>
      </c>
      <c r="DK65" t="s">
        <v>1454</v>
      </c>
      <c r="DL65" t="s">
        <v>1454</v>
      </c>
      <c r="DM65" t="s">
        <v>1454</v>
      </c>
      <c r="DO65" t="s">
        <v>1454</v>
      </c>
      <c r="DP65" t="s">
        <v>1454</v>
      </c>
      <c r="DQ65" t="s">
        <v>1454</v>
      </c>
      <c r="DS65" t="s">
        <v>1454</v>
      </c>
      <c r="DT65" t="s">
        <v>1454</v>
      </c>
      <c r="DU65" t="s">
        <v>1454</v>
      </c>
      <c r="DW65" t="s">
        <v>1454</v>
      </c>
      <c r="DX65" t="s">
        <v>1454</v>
      </c>
      <c r="DY65" t="s">
        <v>1454</v>
      </c>
      <c r="EA65" t="s">
        <v>1454</v>
      </c>
      <c r="EB65" t="s">
        <v>1454</v>
      </c>
      <c r="EC65" t="s">
        <v>1454</v>
      </c>
      <c r="EE65" t="s">
        <v>1454</v>
      </c>
      <c r="EF65" t="s">
        <v>1454</v>
      </c>
      <c r="EG65" t="s">
        <v>1454</v>
      </c>
      <c r="EI65" t="s">
        <v>1454</v>
      </c>
      <c r="EJ65" t="s">
        <v>1454</v>
      </c>
      <c r="EK65" t="s">
        <v>1454</v>
      </c>
      <c r="EM65" t="s">
        <v>1454</v>
      </c>
      <c r="EN65" t="s">
        <v>1454</v>
      </c>
      <c r="EO65" t="s">
        <v>1454</v>
      </c>
      <c r="EQ65" t="s">
        <v>1454</v>
      </c>
      <c r="ER65" t="s">
        <v>1454</v>
      </c>
      <c r="ES65" t="s">
        <v>1454</v>
      </c>
      <c r="EU65" t="s">
        <v>1454</v>
      </c>
      <c r="EV65" t="s">
        <v>1454</v>
      </c>
      <c r="EW65" t="s">
        <v>1454</v>
      </c>
      <c r="EY65" t="s">
        <v>1454</v>
      </c>
      <c r="EZ65" t="s">
        <v>1454</v>
      </c>
      <c r="FA65" t="s">
        <v>1454</v>
      </c>
      <c r="FC65" t="s">
        <v>1454</v>
      </c>
      <c r="FD65" t="s">
        <v>1454</v>
      </c>
      <c r="FE65" t="s">
        <v>1454</v>
      </c>
      <c r="FG65" t="s">
        <v>1454</v>
      </c>
      <c r="FH65" t="s">
        <v>1454</v>
      </c>
      <c r="FI65" t="s">
        <v>1454</v>
      </c>
      <c r="FK65" t="s">
        <v>1454</v>
      </c>
      <c r="FL65" t="s">
        <v>1454</v>
      </c>
      <c r="FM65" t="s">
        <v>1454</v>
      </c>
      <c r="FO65" t="s">
        <v>1454</v>
      </c>
      <c r="FP65" t="s">
        <v>1454</v>
      </c>
      <c r="FQ65" t="s">
        <v>1454</v>
      </c>
      <c r="FS65" t="s">
        <v>1454</v>
      </c>
      <c r="FT65" t="s">
        <v>1454</v>
      </c>
      <c r="FU65" t="s">
        <v>1454</v>
      </c>
      <c r="FW65" t="s">
        <v>1454</v>
      </c>
      <c r="FX65" t="s">
        <v>1454</v>
      </c>
      <c r="FY65" t="s">
        <v>1454</v>
      </c>
      <c r="GA65" t="s">
        <v>1454</v>
      </c>
      <c r="GB65" t="s">
        <v>1454</v>
      </c>
      <c r="GC65" t="s">
        <v>1454</v>
      </c>
      <c r="GE65" t="s">
        <v>1454</v>
      </c>
      <c r="GF65" t="s">
        <v>1454</v>
      </c>
      <c r="GG65" t="s">
        <v>1454</v>
      </c>
      <c r="GI65" t="s">
        <v>1454</v>
      </c>
      <c r="GJ65" t="s">
        <v>1454</v>
      </c>
      <c r="GK65" t="s">
        <v>1454</v>
      </c>
      <c r="GM65" t="s">
        <v>1454</v>
      </c>
      <c r="GN65" t="s">
        <v>1454</v>
      </c>
      <c r="GO65" t="s">
        <v>1454</v>
      </c>
      <c r="GQ65" t="s">
        <v>1519</v>
      </c>
      <c r="GR65" t="s">
        <v>1562</v>
      </c>
      <c r="GS65" t="s">
        <v>1454</v>
      </c>
    </row>
    <row r="66" spans="2:201" ht="16.5" customHeight="1" x14ac:dyDescent="0.25">
      <c r="B66" t="s">
        <v>452</v>
      </c>
      <c r="C66" t="s">
        <v>1454</v>
      </c>
      <c r="D66" t="s">
        <v>1454</v>
      </c>
      <c r="E66" t="s">
        <v>1454</v>
      </c>
      <c r="G66" t="s">
        <v>1454</v>
      </c>
      <c r="H66" t="s">
        <v>1454</v>
      </c>
      <c r="I66" t="s">
        <v>1454</v>
      </c>
      <c r="K66" t="s">
        <v>1454</v>
      </c>
      <c r="L66" t="s">
        <v>1454</v>
      </c>
      <c r="M66" t="s">
        <v>1454</v>
      </c>
      <c r="O66" t="s">
        <v>1454</v>
      </c>
      <c r="P66" t="s">
        <v>1454</v>
      </c>
      <c r="Q66" t="s">
        <v>1454</v>
      </c>
      <c r="S66" t="s">
        <v>1454</v>
      </c>
      <c r="T66" t="s">
        <v>1454</v>
      </c>
      <c r="U66" t="s">
        <v>1454</v>
      </c>
      <c r="W66" t="s">
        <v>1454</v>
      </c>
      <c r="X66" t="s">
        <v>1454</v>
      </c>
      <c r="Y66" t="s">
        <v>1454</v>
      </c>
      <c r="AA66" t="s">
        <v>1454</v>
      </c>
      <c r="AB66" t="s">
        <v>1454</v>
      </c>
      <c r="AC66" t="s">
        <v>1454</v>
      </c>
      <c r="AE66" t="s">
        <v>1454</v>
      </c>
      <c r="AF66" t="s">
        <v>1454</v>
      </c>
      <c r="AG66" t="s">
        <v>1454</v>
      </c>
      <c r="AI66" t="s">
        <v>1454</v>
      </c>
      <c r="AJ66" t="s">
        <v>1454</v>
      </c>
      <c r="AK66" t="s">
        <v>1454</v>
      </c>
      <c r="AM66" t="s">
        <v>1454</v>
      </c>
      <c r="AN66" t="s">
        <v>1454</v>
      </c>
      <c r="AO66" t="s">
        <v>1454</v>
      </c>
      <c r="AQ66" t="s">
        <v>612</v>
      </c>
      <c r="AR66" t="s">
        <v>1454</v>
      </c>
      <c r="AS66" t="s">
        <v>1454</v>
      </c>
      <c r="AU66" t="s">
        <v>613</v>
      </c>
      <c r="AV66" t="s">
        <v>1454</v>
      </c>
      <c r="AW66" t="s">
        <v>1454</v>
      </c>
      <c r="AY66" t="s">
        <v>1454</v>
      </c>
      <c r="AZ66" t="s">
        <v>1454</v>
      </c>
      <c r="BA66" t="s">
        <v>1454</v>
      </c>
      <c r="BC66" t="s">
        <v>1454</v>
      </c>
      <c r="BD66" t="s">
        <v>1454</v>
      </c>
      <c r="BE66" t="s">
        <v>1454</v>
      </c>
      <c r="BG66" t="s">
        <v>1454</v>
      </c>
      <c r="BH66" t="s">
        <v>1454</v>
      </c>
      <c r="BI66" t="s">
        <v>1454</v>
      </c>
      <c r="BK66" t="s">
        <v>1454</v>
      </c>
      <c r="BL66" t="s">
        <v>1454</v>
      </c>
      <c r="BM66" t="s">
        <v>1454</v>
      </c>
      <c r="BO66" t="s">
        <v>1454</v>
      </c>
      <c r="BP66" t="s">
        <v>1454</v>
      </c>
      <c r="BQ66" t="s">
        <v>1454</v>
      </c>
      <c r="BS66" t="s">
        <v>1454</v>
      </c>
      <c r="BT66" t="s">
        <v>1454</v>
      </c>
      <c r="BU66" t="s">
        <v>1454</v>
      </c>
      <c r="BW66" t="s">
        <v>1454</v>
      </c>
      <c r="BX66" t="s">
        <v>1454</v>
      </c>
      <c r="BY66" t="s">
        <v>1454</v>
      </c>
      <c r="CA66" t="s">
        <v>1454</v>
      </c>
      <c r="CB66" t="s">
        <v>1454</v>
      </c>
      <c r="CC66" t="s">
        <v>1454</v>
      </c>
      <c r="CE66" t="s">
        <v>1454</v>
      </c>
      <c r="CF66" t="s">
        <v>1454</v>
      </c>
      <c r="CG66" t="s">
        <v>1454</v>
      </c>
      <c r="CI66" t="s">
        <v>1454</v>
      </c>
      <c r="CJ66" t="s">
        <v>1454</v>
      </c>
      <c r="CK66" t="s">
        <v>1454</v>
      </c>
      <c r="CM66" t="s">
        <v>1454</v>
      </c>
      <c r="CN66" t="s">
        <v>1454</v>
      </c>
      <c r="CO66" t="s">
        <v>1454</v>
      </c>
      <c r="CQ66" t="s">
        <v>625</v>
      </c>
      <c r="CR66" t="s">
        <v>1454</v>
      </c>
      <c r="CS66" t="s">
        <v>625</v>
      </c>
      <c r="CU66" t="s">
        <v>626</v>
      </c>
      <c r="CV66" t="s">
        <v>1454</v>
      </c>
      <c r="CW66" t="s">
        <v>1454</v>
      </c>
      <c r="CY66" t="s">
        <v>1454</v>
      </c>
      <c r="CZ66" t="s">
        <v>1454</v>
      </c>
      <c r="DA66" t="s">
        <v>1454</v>
      </c>
      <c r="DC66" t="s">
        <v>1454</v>
      </c>
      <c r="DD66" t="s">
        <v>1454</v>
      </c>
      <c r="DE66" t="s">
        <v>1454</v>
      </c>
      <c r="DG66" t="s">
        <v>629</v>
      </c>
      <c r="DH66" t="s">
        <v>1454</v>
      </c>
      <c r="DI66" t="s">
        <v>1454</v>
      </c>
      <c r="DK66" t="s">
        <v>1454</v>
      </c>
      <c r="DL66" t="s">
        <v>1454</v>
      </c>
      <c r="DM66" t="s">
        <v>1454</v>
      </c>
      <c r="DO66" t="s">
        <v>1454</v>
      </c>
      <c r="DP66" t="s">
        <v>631</v>
      </c>
      <c r="DQ66" t="s">
        <v>1454</v>
      </c>
      <c r="DS66" t="s">
        <v>632</v>
      </c>
      <c r="DT66" t="s">
        <v>1454</v>
      </c>
      <c r="DU66" t="s">
        <v>632</v>
      </c>
      <c r="DW66" t="s">
        <v>633</v>
      </c>
      <c r="DX66" t="s">
        <v>1454</v>
      </c>
      <c r="DY66" t="s">
        <v>633</v>
      </c>
      <c r="EA66" t="s">
        <v>1454</v>
      </c>
      <c r="EB66" t="s">
        <v>1454</v>
      </c>
      <c r="EC66" t="s">
        <v>1454</v>
      </c>
      <c r="EE66" t="s">
        <v>1454</v>
      </c>
      <c r="EF66" t="s">
        <v>1454</v>
      </c>
      <c r="EG66" t="s">
        <v>635</v>
      </c>
      <c r="EI66" t="s">
        <v>1454</v>
      </c>
      <c r="EJ66" t="s">
        <v>1454</v>
      </c>
      <c r="EK66" t="s">
        <v>1454</v>
      </c>
      <c r="EM66" t="s">
        <v>1454</v>
      </c>
      <c r="EN66" t="s">
        <v>1454</v>
      </c>
      <c r="EO66" t="s">
        <v>1454</v>
      </c>
      <c r="EQ66" t="s">
        <v>1454</v>
      </c>
      <c r="ER66" t="s">
        <v>1454</v>
      </c>
      <c r="ES66" t="s">
        <v>1454</v>
      </c>
      <c r="EU66" t="s">
        <v>1454</v>
      </c>
      <c r="EV66" t="s">
        <v>1454</v>
      </c>
      <c r="EW66" t="s">
        <v>1454</v>
      </c>
      <c r="EY66" t="s">
        <v>1454</v>
      </c>
      <c r="EZ66" t="s">
        <v>1454</v>
      </c>
      <c r="FA66" t="s">
        <v>1454</v>
      </c>
      <c r="FC66" t="s">
        <v>1454</v>
      </c>
      <c r="FD66" t="s">
        <v>1454</v>
      </c>
      <c r="FE66" t="s">
        <v>1454</v>
      </c>
      <c r="FG66" t="s">
        <v>1454</v>
      </c>
      <c r="FH66" t="s">
        <v>1454</v>
      </c>
      <c r="FI66" t="s">
        <v>1454</v>
      </c>
      <c r="FK66" t="s">
        <v>1454</v>
      </c>
      <c r="FL66" t="s">
        <v>1454</v>
      </c>
      <c r="FM66" t="s">
        <v>1454</v>
      </c>
      <c r="FO66" t="s">
        <v>1454</v>
      </c>
      <c r="FP66" t="s">
        <v>1454</v>
      </c>
      <c r="FQ66" t="s">
        <v>1454</v>
      </c>
      <c r="FS66" t="s">
        <v>1454</v>
      </c>
      <c r="FT66" t="s">
        <v>1454</v>
      </c>
      <c r="FU66" t="s">
        <v>1454</v>
      </c>
      <c r="FW66" t="s">
        <v>1454</v>
      </c>
      <c r="FX66" t="s">
        <v>1454</v>
      </c>
      <c r="FY66" t="s">
        <v>1454</v>
      </c>
      <c r="GA66" t="s">
        <v>1454</v>
      </c>
      <c r="GB66" t="s">
        <v>1454</v>
      </c>
      <c r="GC66" t="s">
        <v>1454</v>
      </c>
      <c r="GE66" t="s">
        <v>1454</v>
      </c>
      <c r="GF66" t="s">
        <v>1454</v>
      </c>
      <c r="GG66" t="s">
        <v>1454</v>
      </c>
      <c r="GI66" t="s">
        <v>1454</v>
      </c>
      <c r="GJ66" t="s">
        <v>1454</v>
      </c>
      <c r="GK66" t="s">
        <v>1454</v>
      </c>
      <c r="GM66" t="s">
        <v>1454</v>
      </c>
      <c r="GN66" t="s">
        <v>1454</v>
      </c>
      <c r="GO66" t="s">
        <v>1454</v>
      </c>
      <c r="GQ66" t="s">
        <v>1563</v>
      </c>
      <c r="GR66" t="s">
        <v>1555</v>
      </c>
      <c r="GS66" t="s">
        <v>1564</v>
      </c>
    </row>
    <row r="67" spans="2:201" s="11" customFormat="1" x14ac:dyDescent="0.25">
      <c r="B67" t="s">
        <v>453</v>
      </c>
      <c r="C67" t="s">
        <v>1454</v>
      </c>
      <c r="D67" t="s">
        <v>1454</v>
      </c>
      <c r="E67" t="s">
        <v>1454</v>
      </c>
      <c r="F67"/>
      <c r="G67" t="s">
        <v>1454</v>
      </c>
      <c r="H67" t="s">
        <v>1454</v>
      </c>
      <c r="I67" t="s">
        <v>1454</v>
      </c>
      <c r="J67"/>
      <c r="K67" t="s">
        <v>1454</v>
      </c>
      <c r="L67" t="s">
        <v>1454</v>
      </c>
      <c r="M67" t="s">
        <v>1454</v>
      </c>
      <c r="N67"/>
      <c r="O67" t="s">
        <v>1454</v>
      </c>
      <c r="P67" t="s">
        <v>1454</v>
      </c>
      <c r="Q67" t="s">
        <v>1454</v>
      </c>
      <c r="R67"/>
      <c r="S67" t="s">
        <v>1454</v>
      </c>
      <c r="T67" t="s">
        <v>1454</v>
      </c>
      <c r="U67" t="s">
        <v>1454</v>
      </c>
      <c r="V67"/>
      <c r="W67" t="s">
        <v>1454</v>
      </c>
      <c r="X67" t="s">
        <v>1454</v>
      </c>
      <c r="Y67" t="s">
        <v>1454</v>
      </c>
      <c r="Z67"/>
      <c r="AA67" t="s">
        <v>1454</v>
      </c>
      <c r="AB67" t="s">
        <v>1454</v>
      </c>
      <c r="AC67" t="s">
        <v>1454</v>
      </c>
      <c r="AD67"/>
      <c r="AE67" t="s">
        <v>1454</v>
      </c>
      <c r="AF67" t="s">
        <v>1454</v>
      </c>
      <c r="AG67" t="s">
        <v>1454</v>
      </c>
      <c r="AH67"/>
      <c r="AI67" t="s">
        <v>1454</v>
      </c>
      <c r="AJ67" t="s">
        <v>1454</v>
      </c>
      <c r="AK67" t="s">
        <v>1454</v>
      </c>
      <c r="AL67"/>
      <c r="AM67" t="s">
        <v>1454</v>
      </c>
      <c r="AN67" t="s">
        <v>1454</v>
      </c>
      <c r="AO67" t="s">
        <v>1454</v>
      </c>
      <c r="AP67"/>
      <c r="AQ67" t="s">
        <v>1454</v>
      </c>
      <c r="AR67" t="s">
        <v>1454</v>
      </c>
      <c r="AS67" t="s">
        <v>1454</v>
      </c>
      <c r="AT67"/>
      <c r="AU67" t="s">
        <v>1454</v>
      </c>
      <c r="AV67" t="s">
        <v>1454</v>
      </c>
      <c r="AW67" t="s">
        <v>1454</v>
      </c>
      <c r="AX67"/>
      <c r="AY67" t="s">
        <v>1454</v>
      </c>
      <c r="AZ67" t="s">
        <v>1454</v>
      </c>
      <c r="BA67" t="s">
        <v>1454</v>
      </c>
      <c r="BB67"/>
      <c r="BC67" t="s">
        <v>1454</v>
      </c>
      <c r="BD67" t="s">
        <v>1454</v>
      </c>
      <c r="BE67" t="s">
        <v>1454</v>
      </c>
      <c r="BF67"/>
      <c r="BG67" t="s">
        <v>1454</v>
      </c>
      <c r="BH67" t="s">
        <v>1454</v>
      </c>
      <c r="BI67" t="s">
        <v>1454</v>
      </c>
      <c r="BJ67"/>
      <c r="BK67" t="s">
        <v>1454</v>
      </c>
      <c r="BL67" t="s">
        <v>1454</v>
      </c>
      <c r="BM67" t="s">
        <v>1454</v>
      </c>
      <c r="BN67"/>
      <c r="BO67" t="s">
        <v>1454</v>
      </c>
      <c r="BP67" t="s">
        <v>1454</v>
      </c>
      <c r="BQ67" t="s">
        <v>1454</v>
      </c>
      <c r="BR67"/>
      <c r="BS67" t="s">
        <v>1454</v>
      </c>
      <c r="BT67" t="s">
        <v>1454</v>
      </c>
      <c r="BU67" t="s">
        <v>1454</v>
      </c>
      <c r="BV67"/>
      <c r="BW67" t="s">
        <v>1454</v>
      </c>
      <c r="BX67" t="s">
        <v>1454</v>
      </c>
      <c r="BY67" t="s">
        <v>1454</v>
      </c>
      <c r="BZ67"/>
      <c r="CA67" t="s">
        <v>1454</v>
      </c>
      <c r="CB67" t="s">
        <v>1454</v>
      </c>
      <c r="CC67" t="s">
        <v>1454</v>
      </c>
      <c r="CD67"/>
      <c r="CE67" t="s">
        <v>1454</v>
      </c>
      <c r="CF67" t="s">
        <v>1454</v>
      </c>
      <c r="CG67" t="s">
        <v>1454</v>
      </c>
      <c r="CH67"/>
      <c r="CI67" t="s">
        <v>1454</v>
      </c>
      <c r="CJ67" t="s">
        <v>1454</v>
      </c>
      <c r="CK67" t="s">
        <v>1454</v>
      </c>
      <c r="CL67"/>
      <c r="CM67" t="s">
        <v>1454</v>
      </c>
      <c r="CN67" t="s">
        <v>1454</v>
      </c>
      <c r="CO67" t="s">
        <v>1454</v>
      </c>
      <c r="CP67"/>
      <c r="CQ67" t="s">
        <v>1454</v>
      </c>
      <c r="CR67" t="s">
        <v>1454</v>
      </c>
      <c r="CS67" t="s">
        <v>1454</v>
      </c>
      <c r="CT67"/>
      <c r="CU67" t="s">
        <v>1454</v>
      </c>
      <c r="CV67" t="s">
        <v>1454</v>
      </c>
      <c r="CW67" t="s">
        <v>1454</v>
      </c>
      <c r="CX67"/>
      <c r="CY67" t="s">
        <v>1454</v>
      </c>
      <c r="CZ67" t="s">
        <v>1454</v>
      </c>
      <c r="DA67" t="s">
        <v>1454</v>
      </c>
      <c r="DB67"/>
      <c r="DC67" t="s">
        <v>1454</v>
      </c>
      <c r="DD67" t="s">
        <v>1454</v>
      </c>
      <c r="DE67" t="s">
        <v>1454</v>
      </c>
      <c r="DF67"/>
      <c r="DG67" t="s">
        <v>1454</v>
      </c>
      <c r="DH67" t="s">
        <v>1454</v>
      </c>
      <c r="DI67" t="s">
        <v>1454</v>
      </c>
      <c r="DJ67"/>
      <c r="DK67" t="s">
        <v>630</v>
      </c>
      <c r="DL67" t="s">
        <v>1454</v>
      </c>
      <c r="DM67" t="s">
        <v>1454</v>
      </c>
      <c r="DN67"/>
      <c r="DO67" t="s">
        <v>1454</v>
      </c>
      <c r="DP67" t="s">
        <v>1454</v>
      </c>
      <c r="DQ67" t="s">
        <v>1454</v>
      </c>
      <c r="DR67"/>
      <c r="DS67" t="s">
        <v>1454</v>
      </c>
      <c r="DT67" t="s">
        <v>1454</v>
      </c>
      <c r="DU67" t="s">
        <v>1454</v>
      </c>
      <c r="DV67"/>
      <c r="DW67" t="s">
        <v>1454</v>
      </c>
      <c r="DX67" t="s">
        <v>1454</v>
      </c>
      <c r="DY67" t="s">
        <v>1454</v>
      </c>
      <c r="DZ67"/>
      <c r="EA67" t="s">
        <v>1454</v>
      </c>
      <c r="EB67" t="s">
        <v>1454</v>
      </c>
      <c r="EC67" t="s">
        <v>1454</v>
      </c>
      <c r="ED67"/>
      <c r="EE67" t="s">
        <v>1454</v>
      </c>
      <c r="EF67" t="s">
        <v>1454</v>
      </c>
      <c r="EG67" t="s">
        <v>1454</v>
      </c>
      <c r="EH67"/>
      <c r="EI67" t="s">
        <v>1454</v>
      </c>
      <c r="EJ67" t="s">
        <v>1454</v>
      </c>
      <c r="EK67" t="s">
        <v>1454</v>
      </c>
      <c r="EL67"/>
      <c r="EM67" t="s">
        <v>1454</v>
      </c>
      <c r="EN67" t="s">
        <v>1454</v>
      </c>
      <c r="EO67" t="s">
        <v>1454</v>
      </c>
      <c r="EP67"/>
      <c r="EQ67" t="s">
        <v>1454</v>
      </c>
      <c r="ER67" t="s">
        <v>1454</v>
      </c>
      <c r="ES67" t="s">
        <v>1454</v>
      </c>
      <c r="ET67"/>
      <c r="EU67" t="s">
        <v>1454</v>
      </c>
      <c r="EV67" t="s">
        <v>1454</v>
      </c>
      <c r="EW67" t="s">
        <v>1454</v>
      </c>
      <c r="EX67"/>
      <c r="EY67" t="s">
        <v>1454</v>
      </c>
      <c r="EZ67" t="s">
        <v>1454</v>
      </c>
      <c r="FA67" t="s">
        <v>1454</v>
      </c>
      <c r="FB67"/>
      <c r="FC67" t="s">
        <v>1454</v>
      </c>
      <c r="FD67" t="s">
        <v>1454</v>
      </c>
      <c r="FE67" t="s">
        <v>1454</v>
      </c>
      <c r="FF67"/>
      <c r="FG67" t="s">
        <v>1454</v>
      </c>
      <c r="FH67" t="s">
        <v>1454</v>
      </c>
      <c r="FI67" t="s">
        <v>1454</v>
      </c>
      <c r="FJ67"/>
      <c r="FK67" t="s">
        <v>1454</v>
      </c>
      <c r="FL67" t="s">
        <v>1454</v>
      </c>
      <c r="FM67" t="s">
        <v>1454</v>
      </c>
      <c r="FN67"/>
      <c r="FO67" t="s">
        <v>1454</v>
      </c>
      <c r="FP67" t="s">
        <v>602</v>
      </c>
      <c r="FQ67" t="s">
        <v>1454</v>
      </c>
      <c r="FR67"/>
      <c r="FS67" t="s">
        <v>1454</v>
      </c>
      <c r="FT67" t="s">
        <v>1454</v>
      </c>
      <c r="FU67" t="s">
        <v>1454</v>
      </c>
      <c r="FV67"/>
      <c r="FW67" t="s">
        <v>1454</v>
      </c>
      <c r="FX67" t="s">
        <v>1454</v>
      </c>
      <c r="FY67" t="s">
        <v>1454</v>
      </c>
      <c r="FZ67"/>
      <c r="GA67" t="s">
        <v>1454</v>
      </c>
      <c r="GB67" t="s">
        <v>1454</v>
      </c>
      <c r="GC67" t="s">
        <v>1454</v>
      </c>
      <c r="GD67"/>
      <c r="GE67" t="s">
        <v>1454</v>
      </c>
      <c r="GF67" t="s">
        <v>1454</v>
      </c>
      <c r="GG67" t="s">
        <v>1454</v>
      </c>
      <c r="GH67"/>
      <c r="GI67" t="s">
        <v>1454</v>
      </c>
      <c r="GJ67" t="s">
        <v>1454</v>
      </c>
      <c r="GK67" t="s">
        <v>1454</v>
      </c>
      <c r="GL67"/>
      <c r="GM67" t="s">
        <v>649</v>
      </c>
      <c r="GN67" t="s">
        <v>1454</v>
      </c>
      <c r="GO67" t="s">
        <v>1454</v>
      </c>
      <c r="GP67"/>
      <c r="GQ67" t="s">
        <v>1565</v>
      </c>
      <c r="GR67" t="s">
        <v>1477</v>
      </c>
      <c r="GS67" t="s">
        <v>1454</v>
      </c>
    </row>
    <row r="68" spans="2:201" x14ac:dyDescent="0.25">
      <c r="B68" t="s">
        <v>396</v>
      </c>
      <c r="C68" t="s">
        <v>1454</v>
      </c>
      <c r="D68" t="s">
        <v>1454</v>
      </c>
      <c r="E68" t="s">
        <v>1454</v>
      </c>
      <c r="G68" t="s">
        <v>1454</v>
      </c>
      <c r="H68" t="s">
        <v>1454</v>
      </c>
      <c r="I68" t="s">
        <v>1454</v>
      </c>
      <c r="K68" t="s">
        <v>1454</v>
      </c>
      <c r="L68" t="s">
        <v>1454</v>
      </c>
      <c r="M68" t="s">
        <v>1454</v>
      </c>
      <c r="O68" t="s">
        <v>1454</v>
      </c>
      <c r="P68" t="s">
        <v>1454</v>
      </c>
      <c r="Q68" t="s">
        <v>1454</v>
      </c>
      <c r="S68" t="s">
        <v>1454</v>
      </c>
      <c r="T68" t="s">
        <v>1454</v>
      </c>
      <c r="U68" t="s">
        <v>1454</v>
      </c>
      <c r="W68" t="s">
        <v>1454</v>
      </c>
      <c r="X68" t="s">
        <v>1454</v>
      </c>
      <c r="Y68" t="s">
        <v>1454</v>
      </c>
      <c r="AA68" t="s">
        <v>1454</v>
      </c>
      <c r="AB68" t="s">
        <v>1454</v>
      </c>
      <c r="AC68" t="s">
        <v>1454</v>
      </c>
      <c r="AE68" t="s">
        <v>1454</v>
      </c>
      <c r="AF68" t="s">
        <v>1454</v>
      </c>
      <c r="AG68" t="s">
        <v>1454</v>
      </c>
      <c r="AI68" t="s">
        <v>1454</v>
      </c>
      <c r="AJ68" t="s">
        <v>1454</v>
      </c>
      <c r="AK68" t="s">
        <v>1454</v>
      </c>
      <c r="AM68" t="s">
        <v>1454</v>
      </c>
      <c r="AN68" t="s">
        <v>1454</v>
      </c>
      <c r="AO68" t="s">
        <v>1454</v>
      </c>
      <c r="AQ68" t="s">
        <v>1454</v>
      </c>
      <c r="AR68" t="s">
        <v>1454</v>
      </c>
      <c r="AS68" t="s">
        <v>1454</v>
      </c>
      <c r="AU68" t="s">
        <v>1454</v>
      </c>
      <c r="AV68" t="s">
        <v>1454</v>
      </c>
      <c r="AW68" t="s">
        <v>1454</v>
      </c>
      <c r="AY68" t="s">
        <v>1454</v>
      </c>
      <c r="AZ68" t="s">
        <v>1454</v>
      </c>
      <c r="BA68" t="s">
        <v>1454</v>
      </c>
      <c r="BC68" t="s">
        <v>1454</v>
      </c>
      <c r="BD68" t="s">
        <v>1454</v>
      </c>
      <c r="BE68" t="s">
        <v>1454</v>
      </c>
      <c r="BG68" t="s">
        <v>1454</v>
      </c>
      <c r="BH68" t="s">
        <v>1454</v>
      </c>
      <c r="BI68" t="s">
        <v>1454</v>
      </c>
      <c r="BK68" t="s">
        <v>1454</v>
      </c>
      <c r="BL68" t="s">
        <v>617</v>
      </c>
      <c r="BM68" t="s">
        <v>1454</v>
      </c>
      <c r="BO68" t="s">
        <v>1454</v>
      </c>
      <c r="BP68" t="s">
        <v>1454</v>
      </c>
      <c r="BQ68" t="s">
        <v>1454</v>
      </c>
      <c r="BS68" t="s">
        <v>1454</v>
      </c>
      <c r="BT68" t="s">
        <v>1454</v>
      </c>
      <c r="BU68" t="s">
        <v>1454</v>
      </c>
      <c r="BW68" t="s">
        <v>1454</v>
      </c>
      <c r="BX68" t="s">
        <v>1454</v>
      </c>
      <c r="BY68" t="s">
        <v>1454</v>
      </c>
      <c r="CA68" t="s">
        <v>1454</v>
      </c>
      <c r="CB68" t="s">
        <v>1454</v>
      </c>
      <c r="CC68" t="s">
        <v>1454</v>
      </c>
      <c r="CE68" t="s">
        <v>1454</v>
      </c>
      <c r="CF68" t="s">
        <v>1454</v>
      </c>
      <c r="CG68" t="s">
        <v>1454</v>
      </c>
      <c r="CI68" t="s">
        <v>1454</v>
      </c>
      <c r="CJ68" t="s">
        <v>1454</v>
      </c>
      <c r="CK68" t="s">
        <v>1454</v>
      </c>
      <c r="CM68" t="s">
        <v>1454</v>
      </c>
      <c r="CN68" t="s">
        <v>1454</v>
      </c>
      <c r="CO68" t="s">
        <v>1454</v>
      </c>
      <c r="CQ68" t="s">
        <v>1454</v>
      </c>
      <c r="CR68" t="s">
        <v>1454</v>
      </c>
      <c r="CS68" t="s">
        <v>1454</v>
      </c>
      <c r="CU68" t="s">
        <v>1454</v>
      </c>
      <c r="CV68" t="s">
        <v>1454</v>
      </c>
      <c r="CW68" t="s">
        <v>1454</v>
      </c>
      <c r="CY68" t="s">
        <v>1454</v>
      </c>
      <c r="CZ68" t="s">
        <v>1454</v>
      </c>
      <c r="DA68" t="s">
        <v>1454</v>
      </c>
      <c r="DC68" t="s">
        <v>1454</v>
      </c>
      <c r="DD68" t="s">
        <v>1454</v>
      </c>
      <c r="DE68" t="s">
        <v>1454</v>
      </c>
      <c r="DG68" t="s">
        <v>1454</v>
      </c>
      <c r="DH68" t="s">
        <v>1454</v>
      </c>
      <c r="DI68" t="s">
        <v>1454</v>
      </c>
      <c r="DK68" t="s">
        <v>630</v>
      </c>
      <c r="DL68" t="s">
        <v>1454</v>
      </c>
      <c r="DM68" t="s">
        <v>1454</v>
      </c>
      <c r="DO68" t="s">
        <v>1454</v>
      </c>
      <c r="DP68" t="s">
        <v>1454</v>
      </c>
      <c r="DQ68" t="s">
        <v>1454</v>
      </c>
      <c r="DS68" t="s">
        <v>1454</v>
      </c>
      <c r="DT68" t="s">
        <v>1454</v>
      </c>
      <c r="DU68" t="s">
        <v>1454</v>
      </c>
      <c r="DW68" t="s">
        <v>1454</v>
      </c>
      <c r="DX68" t="s">
        <v>1454</v>
      </c>
      <c r="DY68" t="s">
        <v>1454</v>
      </c>
      <c r="EA68" t="s">
        <v>1454</v>
      </c>
      <c r="EB68" t="s">
        <v>1454</v>
      </c>
      <c r="EC68" t="s">
        <v>1454</v>
      </c>
      <c r="EE68" t="s">
        <v>1454</v>
      </c>
      <c r="EF68" t="s">
        <v>1454</v>
      </c>
      <c r="EG68" t="s">
        <v>1454</v>
      </c>
      <c r="EI68" t="s">
        <v>1454</v>
      </c>
      <c r="EJ68" t="s">
        <v>1454</v>
      </c>
      <c r="EK68" t="s">
        <v>1454</v>
      </c>
      <c r="EM68" t="s">
        <v>1454</v>
      </c>
      <c r="EN68" t="s">
        <v>1454</v>
      </c>
      <c r="EO68" t="s">
        <v>1454</v>
      </c>
      <c r="EQ68" t="s">
        <v>1454</v>
      </c>
      <c r="ER68" t="s">
        <v>1454</v>
      </c>
      <c r="ES68" t="s">
        <v>1454</v>
      </c>
      <c r="EU68" t="s">
        <v>1454</v>
      </c>
      <c r="EV68" t="s">
        <v>1454</v>
      </c>
      <c r="EW68" t="s">
        <v>1454</v>
      </c>
      <c r="EY68" t="s">
        <v>1454</v>
      </c>
      <c r="EZ68" t="s">
        <v>1454</v>
      </c>
      <c r="FA68" t="s">
        <v>1454</v>
      </c>
      <c r="FC68" t="s">
        <v>1454</v>
      </c>
      <c r="FD68" t="s">
        <v>1454</v>
      </c>
      <c r="FE68" t="s">
        <v>1454</v>
      </c>
      <c r="FG68" t="s">
        <v>1454</v>
      </c>
      <c r="FH68" t="s">
        <v>1454</v>
      </c>
      <c r="FI68" t="s">
        <v>1454</v>
      </c>
      <c r="FK68" t="s">
        <v>1454</v>
      </c>
      <c r="FL68" t="s">
        <v>1454</v>
      </c>
      <c r="FM68" t="s">
        <v>1454</v>
      </c>
      <c r="FO68" t="s">
        <v>602</v>
      </c>
      <c r="FP68" t="s">
        <v>1454</v>
      </c>
      <c r="FQ68" t="s">
        <v>1454</v>
      </c>
      <c r="FS68" t="s">
        <v>1454</v>
      </c>
      <c r="FT68" t="s">
        <v>1454</v>
      </c>
      <c r="FU68" t="s">
        <v>1454</v>
      </c>
      <c r="FW68" t="s">
        <v>1454</v>
      </c>
      <c r="FX68" t="s">
        <v>1454</v>
      </c>
      <c r="FY68" t="s">
        <v>1454</v>
      </c>
      <c r="GA68" t="s">
        <v>1454</v>
      </c>
      <c r="GB68" t="s">
        <v>1454</v>
      </c>
      <c r="GC68" t="s">
        <v>1454</v>
      </c>
      <c r="GE68" t="s">
        <v>1454</v>
      </c>
      <c r="GF68" t="s">
        <v>1454</v>
      </c>
      <c r="GG68" t="s">
        <v>1454</v>
      </c>
      <c r="GI68" t="s">
        <v>1454</v>
      </c>
      <c r="GJ68" t="s">
        <v>1454</v>
      </c>
      <c r="GK68" t="s">
        <v>1454</v>
      </c>
      <c r="GM68" t="s">
        <v>1454</v>
      </c>
      <c r="GN68" t="s">
        <v>1454</v>
      </c>
      <c r="GO68" t="s">
        <v>1454</v>
      </c>
      <c r="GQ68" t="s">
        <v>1566</v>
      </c>
      <c r="GR68" t="s">
        <v>1500</v>
      </c>
      <c r="GS68" t="s">
        <v>1454</v>
      </c>
    </row>
    <row r="69" spans="2:201" x14ac:dyDescent="0.25">
      <c r="B69" t="s">
        <v>454</v>
      </c>
      <c r="C69" t="s">
        <v>1454</v>
      </c>
      <c r="D69" t="s">
        <v>1454</v>
      </c>
      <c r="E69" t="s">
        <v>1454</v>
      </c>
      <c r="G69" t="s">
        <v>1454</v>
      </c>
      <c r="H69" t="s">
        <v>1454</v>
      </c>
      <c r="I69" t="s">
        <v>1454</v>
      </c>
      <c r="K69" t="s">
        <v>1454</v>
      </c>
      <c r="L69" t="s">
        <v>1454</v>
      </c>
      <c r="M69" t="s">
        <v>1454</v>
      </c>
      <c r="O69" t="s">
        <v>1454</v>
      </c>
      <c r="P69" t="s">
        <v>1454</v>
      </c>
      <c r="Q69" t="s">
        <v>1454</v>
      </c>
      <c r="S69" t="s">
        <v>1454</v>
      </c>
      <c r="T69" t="s">
        <v>1454</v>
      </c>
      <c r="U69" t="s">
        <v>1454</v>
      </c>
      <c r="W69" t="s">
        <v>1454</v>
      </c>
      <c r="X69" t="s">
        <v>1454</v>
      </c>
      <c r="Y69" t="s">
        <v>1454</v>
      </c>
      <c r="AA69" t="s">
        <v>1454</v>
      </c>
      <c r="AB69" t="s">
        <v>1454</v>
      </c>
      <c r="AC69" t="s">
        <v>1454</v>
      </c>
      <c r="AE69" t="s">
        <v>1454</v>
      </c>
      <c r="AF69" t="s">
        <v>1454</v>
      </c>
      <c r="AG69" t="s">
        <v>1454</v>
      </c>
      <c r="AI69" t="s">
        <v>1454</v>
      </c>
      <c r="AJ69" t="s">
        <v>1454</v>
      </c>
      <c r="AK69" t="s">
        <v>1454</v>
      </c>
      <c r="AM69" t="s">
        <v>1454</v>
      </c>
      <c r="AN69" t="s">
        <v>1454</v>
      </c>
      <c r="AO69" t="s">
        <v>1454</v>
      </c>
      <c r="AQ69" t="s">
        <v>1454</v>
      </c>
      <c r="AR69" t="s">
        <v>1454</v>
      </c>
      <c r="AS69" t="s">
        <v>1454</v>
      </c>
      <c r="AU69" t="s">
        <v>1454</v>
      </c>
      <c r="AV69" t="s">
        <v>1454</v>
      </c>
      <c r="AW69" t="s">
        <v>1454</v>
      </c>
      <c r="AY69" t="s">
        <v>1454</v>
      </c>
      <c r="AZ69" t="s">
        <v>1454</v>
      </c>
      <c r="BA69" t="s">
        <v>1454</v>
      </c>
      <c r="BC69" t="s">
        <v>1454</v>
      </c>
      <c r="BD69" t="s">
        <v>1454</v>
      </c>
      <c r="BE69" t="s">
        <v>1454</v>
      </c>
      <c r="BG69" t="s">
        <v>1454</v>
      </c>
      <c r="BH69" t="s">
        <v>1454</v>
      </c>
      <c r="BI69" t="s">
        <v>1454</v>
      </c>
      <c r="BK69" t="s">
        <v>1454</v>
      </c>
      <c r="BL69" t="s">
        <v>1454</v>
      </c>
      <c r="BM69" t="s">
        <v>1454</v>
      </c>
      <c r="BO69" t="s">
        <v>1454</v>
      </c>
      <c r="BP69" t="s">
        <v>1454</v>
      </c>
      <c r="BQ69" t="s">
        <v>1454</v>
      </c>
      <c r="BS69" t="s">
        <v>1454</v>
      </c>
      <c r="BT69" t="s">
        <v>1454</v>
      </c>
      <c r="BU69" t="s">
        <v>1454</v>
      </c>
      <c r="BW69" t="s">
        <v>1454</v>
      </c>
      <c r="BX69" t="s">
        <v>1454</v>
      </c>
      <c r="BY69" t="s">
        <v>1454</v>
      </c>
      <c r="CA69" t="s">
        <v>1454</v>
      </c>
      <c r="CB69" t="s">
        <v>1454</v>
      </c>
      <c r="CC69" t="s">
        <v>1454</v>
      </c>
      <c r="CE69" t="s">
        <v>1454</v>
      </c>
      <c r="CF69" t="s">
        <v>1454</v>
      </c>
      <c r="CG69" t="s">
        <v>1454</v>
      </c>
      <c r="CI69" t="s">
        <v>1454</v>
      </c>
      <c r="CJ69" t="s">
        <v>1454</v>
      </c>
      <c r="CK69" t="s">
        <v>1454</v>
      </c>
      <c r="CM69" t="s">
        <v>1454</v>
      </c>
      <c r="CN69" t="s">
        <v>1454</v>
      </c>
      <c r="CO69" t="s">
        <v>1454</v>
      </c>
      <c r="CQ69" t="s">
        <v>1454</v>
      </c>
      <c r="CR69" t="s">
        <v>1454</v>
      </c>
      <c r="CS69" t="s">
        <v>1454</v>
      </c>
      <c r="CU69" t="s">
        <v>1454</v>
      </c>
      <c r="CV69" t="s">
        <v>1454</v>
      </c>
      <c r="CW69" t="s">
        <v>1454</v>
      </c>
      <c r="CY69" t="s">
        <v>1454</v>
      </c>
      <c r="CZ69" t="s">
        <v>1454</v>
      </c>
      <c r="DA69" t="s">
        <v>1454</v>
      </c>
      <c r="DC69" t="s">
        <v>1454</v>
      </c>
      <c r="DD69" t="s">
        <v>1454</v>
      </c>
      <c r="DE69" t="s">
        <v>1454</v>
      </c>
      <c r="DG69" t="s">
        <v>1454</v>
      </c>
      <c r="DH69" t="s">
        <v>1454</v>
      </c>
      <c r="DI69" t="s">
        <v>1454</v>
      </c>
      <c r="DK69" t="s">
        <v>1454</v>
      </c>
      <c r="DL69" t="s">
        <v>630</v>
      </c>
      <c r="DM69" t="s">
        <v>1454</v>
      </c>
      <c r="DO69" t="s">
        <v>1454</v>
      </c>
      <c r="DP69" t="s">
        <v>1454</v>
      </c>
      <c r="DQ69" t="s">
        <v>1454</v>
      </c>
      <c r="DS69" t="s">
        <v>1454</v>
      </c>
      <c r="DT69" t="s">
        <v>1454</v>
      </c>
      <c r="DU69" t="s">
        <v>1454</v>
      </c>
      <c r="DW69" t="s">
        <v>1454</v>
      </c>
      <c r="DX69" t="s">
        <v>1454</v>
      </c>
      <c r="DY69" t="s">
        <v>1454</v>
      </c>
      <c r="EA69" t="s">
        <v>634</v>
      </c>
      <c r="EB69" t="s">
        <v>1454</v>
      </c>
      <c r="EC69" t="s">
        <v>1454</v>
      </c>
      <c r="EE69" t="s">
        <v>1454</v>
      </c>
      <c r="EF69" t="s">
        <v>1454</v>
      </c>
      <c r="EG69" t="s">
        <v>1454</v>
      </c>
      <c r="EI69" t="s">
        <v>1454</v>
      </c>
      <c r="EJ69" t="s">
        <v>1454</v>
      </c>
      <c r="EK69" t="s">
        <v>1454</v>
      </c>
      <c r="EM69" t="s">
        <v>1454</v>
      </c>
      <c r="EN69" t="s">
        <v>1454</v>
      </c>
      <c r="EO69" t="s">
        <v>1454</v>
      </c>
      <c r="EQ69" t="s">
        <v>638</v>
      </c>
      <c r="ER69" t="s">
        <v>1454</v>
      </c>
      <c r="ES69" t="s">
        <v>1454</v>
      </c>
      <c r="EU69" t="s">
        <v>1454</v>
      </c>
      <c r="EV69" t="s">
        <v>1454</v>
      </c>
      <c r="EW69" t="s">
        <v>1454</v>
      </c>
      <c r="EY69" t="s">
        <v>640</v>
      </c>
      <c r="EZ69" t="s">
        <v>1454</v>
      </c>
      <c r="FA69" t="s">
        <v>1454</v>
      </c>
      <c r="FC69" t="s">
        <v>1454</v>
      </c>
      <c r="FD69" t="s">
        <v>1454</v>
      </c>
      <c r="FE69" t="s">
        <v>1454</v>
      </c>
      <c r="FG69" t="s">
        <v>1454</v>
      </c>
      <c r="FH69" t="s">
        <v>1454</v>
      </c>
      <c r="FI69" t="s">
        <v>1454</v>
      </c>
      <c r="FK69" t="s">
        <v>1454</v>
      </c>
      <c r="FL69" t="s">
        <v>1454</v>
      </c>
      <c r="FM69" t="s">
        <v>1454</v>
      </c>
      <c r="FO69" t="s">
        <v>1454</v>
      </c>
      <c r="FP69" t="s">
        <v>1454</v>
      </c>
      <c r="FQ69" t="s">
        <v>1454</v>
      </c>
      <c r="FS69" t="s">
        <v>1454</v>
      </c>
      <c r="FT69" t="s">
        <v>1454</v>
      </c>
      <c r="FU69" t="s">
        <v>1454</v>
      </c>
      <c r="FW69" t="s">
        <v>1454</v>
      </c>
      <c r="FX69" t="s">
        <v>1454</v>
      </c>
      <c r="FY69" t="s">
        <v>1454</v>
      </c>
      <c r="GA69" t="s">
        <v>1454</v>
      </c>
      <c r="GB69" t="s">
        <v>1454</v>
      </c>
      <c r="GC69" t="s">
        <v>1454</v>
      </c>
      <c r="GE69" t="s">
        <v>647</v>
      </c>
      <c r="GF69" t="s">
        <v>1454</v>
      </c>
      <c r="GG69" t="s">
        <v>1454</v>
      </c>
      <c r="GI69" t="s">
        <v>1454</v>
      </c>
      <c r="GJ69" t="s">
        <v>1454</v>
      </c>
      <c r="GK69" t="s">
        <v>1454</v>
      </c>
      <c r="GM69" t="s">
        <v>649</v>
      </c>
      <c r="GN69" t="s">
        <v>1454</v>
      </c>
      <c r="GO69" t="s">
        <v>1454</v>
      </c>
      <c r="GQ69" t="s">
        <v>1567</v>
      </c>
      <c r="GR69" t="s">
        <v>1568</v>
      </c>
      <c r="GS69" t="s">
        <v>1454</v>
      </c>
    </row>
    <row r="70" spans="2:201" x14ac:dyDescent="0.25">
      <c r="B70" t="s">
        <v>455</v>
      </c>
      <c r="C70" t="s">
        <v>1454</v>
      </c>
      <c r="D70" t="s">
        <v>1454</v>
      </c>
      <c r="E70" t="s">
        <v>1454</v>
      </c>
      <c r="G70" t="s">
        <v>604</v>
      </c>
      <c r="H70" t="s">
        <v>1454</v>
      </c>
      <c r="I70" t="s">
        <v>1454</v>
      </c>
      <c r="K70" t="s">
        <v>1454</v>
      </c>
      <c r="L70" t="s">
        <v>1454</v>
      </c>
      <c r="M70" t="s">
        <v>1454</v>
      </c>
      <c r="O70" t="s">
        <v>1454</v>
      </c>
      <c r="P70" t="s">
        <v>1454</v>
      </c>
      <c r="Q70" t="s">
        <v>1454</v>
      </c>
      <c r="S70" t="s">
        <v>1454</v>
      </c>
      <c r="T70" t="s">
        <v>606</v>
      </c>
      <c r="U70" t="s">
        <v>1454</v>
      </c>
      <c r="W70" t="s">
        <v>607</v>
      </c>
      <c r="X70" t="s">
        <v>1454</v>
      </c>
      <c r="Y70" t="s">
        <v>607</v>
      </c>
      <c r="AA70" t="s">
        <v>608</v>
      </c>
      <c r="AB70" t="s">
        <v>1454</v>
      </c>
      <c r="AC70" t="s">
        <v>608</v>
      </c>
      <c r="AE70" t="s">
        <v>1454</v>
      </c>
      <c r="AF70" t="s">
        <v>1454</v>
      </c>
      <c r="AG70" t="s">
        <v>1454</v>
      </c>
      <c r="AI70" t="s">
        <v>1454</v>
      </c>
      <c r="AJ70" t="s">
        <v>1454</v>
      </c>
      <c r="AK70" t="s">
        <v>1454</v>
      </c>
      <c r="AM70" t="s">
        <v>1454</v>
      </c>
      <c r="AN70" t="s">
        <v>1454</v>
      </c>
      <c r="AO70" t="s">
        <v>1454</v>
      </c>
      <c r="AQ70" t="s">
        <v>1454</v>
      </c>
      <c r="AR70" t="s">
        <v>1454</v>
      </c>
      <c r="AS70" t="s">
        <v>1454</v>
      </c>
      <c r="AU70" t="s">
        <v>1454</v>
      </c>
      <c r="AV70" t="s">
        <v>1454</v>
      </c>
      <c r="AW70" t="s">
        <v>1454</v>
      </c>
      <c r="AY70" t="s">
        <v>1454</v>
      </c>
      <c r="AZ70" t="s">
        <v>1454</v>
      </c>
      <c r="BA70" t="s">
        <v>1454</v>
      </c>
      <c r="BC70" t="s">
        <v>1454</v>
      </c>
      <c r="BD70" t="s">
        <v>1454</v>
      </c>
      <c r="BE70" t="s">
        <v>1454</v>
      </c>
      <c r="BG70" t="s">
        <v>1454</v>
      </c>
      <c r="BH70" t="s">
        <v>1454</v>
      </c>
      <c r="BI70" t="s">
        <v>1454</v>
      </c>
      <c r="BK70" t="s">
        <v>617</v>
      </c>
      <c r="BL70" t="s">
        <v>1454</v>
      </c>
      <c r="BM70" t="s">
        <v>1454</v>
      </c>
      <c r="BO70" t="s">
        <v>618</v>
      </c>
      <c r="BP70" t="s">
        <v>1454</v>
      </c>
      <c r="BQ70" t="s">
        <v>1454</v>
      </c>
      <c r="BS70" t="s">
        <v>1454</v>
      </c>
      <c r="BT70" t="s">
        <v>1454</v>
      </c>
      <c r="BU70" t="s">
        <v>1454</v>
      </c>
      <c r="BW70" t="s">
        <v>620</v>
      </c>
      <c r="BX70" t="s">
        <v>1454</v>
      </c>
      <c r="BY70" t="s">
        <v>1454</v>
      </c>
      <c r="CA70" t="s">
        <v>1454</v>
      </c>
      <c r="CB70" t="s">
        <v>1454</v>
      </c>
      <c r="CC70" t="s">
        <v>1454</v>
      </c>
      <c r="CE70" t="s">
        <v>622</v>
      </c>
      <c r="CF70" t="s">
        <v>1454</v>
      </c>
      <c r="CG70" t="s">
        <v>1454</v>
      </c>
      <c r="CI70" t="s">
        <v>1454</v>
      </c>
      <c r="CJ70" t="s">
        <v>1454</v>
      </c>
      <c r="CK70" t="s">
        <v>1454</v>
      </c>
      <c r="CM70" t="s">
        <v>1454</v>
      </c>
      <c r="CN70" t="s">
        <v>1454</v>
      </c>
      <c r="CO70" t="s">
        <v>1454</v>
      </c>
      <c r="CQ70" t="s">
        <v>1454</v>
      </c>
      <c r="CR70" t="s">
        <v>1454</v>
      </c>
      <c r="CS70" t="s">
        <v>1454</v>
      </c>
      <c r="CU70" t="s">
        <v>626</v>
      </c>
      <c r="CV70" t="s">
        <v>1454</v>
      </c>
      <c r="CW70" t="s">
        <v>626</v>
      </c>
      <c r="CY70" t="s">
        <v>1454</v>
      </c>
      <c r="CZ70" t="s">
        <v>1454</v>
      </c>
      <c r="DA70" t="s">
        <v>1454</v>
      </c>
      <c r="DC70" t="s">
        <v>1454</v>
      </c>
      <c r="DD70" t="s">
        <v>1454</v>
      </c>
      <c r="DE70" t="s">
        <v>628</v>
      </c>
      <c r="DG70" t="s">
        <v>1454</v>
      </c>
      <c r="DH70" t="s">
        <v>1454</v>
      </c>
      <c r="DI70" t="s">
        <v>1454</v>
      </c>
      <c r="DK70" t="s">
        <v>1454</v>
      </c>
      <c r="DL70" t="s">
        <v>1454</v>
      </c>
      <c r="DM70" t="s">
        <v>1454</v>
      </c>
      <c r="DO70" t="s">
        <v>1454</v>
      </c>
      <c r="DP70" t="s">
        <v>1454</v>
      </c>
      <c r="DQ70" t="s">
        <v>1454</v>
      </c>
      <c r="DS70" t="s">
        <v>1454</v>
      </c>
      <c r="DT70" t="s">
        <v>1454</v>
      </c>
      <c r="DU70" t="s">
        <v>1454</v>
      </c>
      <c r="DW70" t="s">
        <v>1454</v>
      </c>
      <c r="DX70" t="s">
        <v>1454</v>
      </c>
      <c r="DY70" t="s">
        <v>1454</v>
      </c>
      <c r="EA70" t="s">
        <v>1454</v>
      </c>
      <c r="EB70" t="s">
        <v>1454</v>
      </c>
      <c r="EC70" t="s">
        <v>1454</v>
      </c>
      <c r="EE70" t="s">
        <v>1454</v>
      </c>
      <c r="EF70" t="s">
        <v>1454</v>
      </c>
      <c r="EG70" t="s">
        <v>1454</v>
      </c>
      <c r="EI70" t="s">
        <v>636</v>
      </c>
      <c r="EJ70" t="s">
        <v>1454</v>
      </c>
      <c r="EK70" t="s">
        <v>636</v>
      </c>
      <c r="EM70" t="s">
        <v>1454</v>
      </c>
      <c r="EN70" t="s">
        <v>1454</v>
      </c>
      <c r="EO70" t="s">
        <v>1454</v>
      </c>
      <c r="EQ70" t="s">
        <v>1454</v>
      </c>
      <c r="ER70" t="s">
        <v>1454</v>
      </c>
      <c r="ES70" t="s">
        <v>1454</v>
      </c>
      <c r="EU70" t="s">
        <v>1454</v>
      </c>
      <c r="EV70" t="s">
        <v>1454</v>
      </c>
      <c r="EW70" t="s">
        <v>1454</v>
      </c>
      <c r="EY70" t="s">
        <v>640</v>
      </c>
      <c r="EZ70" t="s">
        <v>1454</v>
      </c>
      <c r="FA70" t="s">
        <v>640</v>
      </c>
      <c r="FC70" t="s">
        <v>641</v>
      </c>
      <c r="FD70" t="s">
        <v>1454</v>
      </c>
      <c r="FE70" t="s">
        <v>641</v>
      </c>
      <c r="FG70" t="s">
        <v>1454</v>
      </c>
      <c r="FH70" t="s">
        <v>1454</v>
      </c>
      <c r="FI70" t="s">
        <v>1454</v>
      </c>
      <c r="FK70" t="s">
        <v>1454</v>
      </c>
      <c r="FL70" t="s">
        <v>1454</v>
      </c>
      <c r="FM70" t="s">
        <v>1454</v>
      </c>
      <c r="FO70" t="s">
        <v>1454</v>
      </c>
      <c r="FP70" t="s">
        <v>1454</v>
      </c>
      <c r="FQ70" t="s">
        <v>1454</v>
      </c>
      <c r="FS70" t="s">
        <v>1454</v>
      </c>
      <c r="FT70" t="s">
        <v>1454</v>
      </c>
      <c r="FU70" t="s">
        <v>1454</v>
      </c>
      <c r="FW70" t="s">
        <v>1454</v>
      </c>
      <c r="FX70" t="s">
        <v>1454</v>
      </c>
      <c r="FY70" t="s">
        <v>1454</v>
      </c>
      <c r="GA70" t="s">
        <v>1454</v>
      </c>
      <c r="GB70" t="s">
        <v>1454</v>
      </c>
      <c r="GC70" t="s">
        <v>1454</v>
      </c>
      <c r="GE70" t="s">
        <v>647</v>
      </c>
      <c r="GF70" t="s">
        <v>1454</v>
      </c>
      <c r="GG70" t="s">
        <v>1454</v>
      </c>
      <c r="GI70" t="s">
        <v>1454</v>
      </c>
      <c r="GJ70" t="s">
        <v>1454</v>
      </c>
      <c r="GK70" t="s">
        <v>1454</v>
      </c>
      <c r="GM70" t="s">
        <v>649</v>
      </c>
      <c r="GN70" t="s">
        <v>1454</v>
      </c>
      <c r="GO70" t="s">
        <v>1454</v>
      </c>
      <c r="GQ70" t="s">
        <v>1569</v>
      </c>
      <c r="GR70" t="s">
        <v>1570</v>
      </c>
      <c r="GS70" t="s">
        <v>1571</v>
      </c>
    </row>
    <row r="71" spans="2:201" s="11" customFormat="1" x14ac:dyDescent="0.25">
      <c r="B71" t="s">
        <v>456</v>
      </c>
      <c r="C71" t="s">
        <v>1454</v>
      </c>
      <c r="D71" t="s">
        <v>1454</v>
      </c>
      <c r="E71" t="s">
        <v>1454</v>
      </c>
      <c r="F71"/>
      <c r="G71" t="s">
        <v>1454</v>
      </c>
      <c r="H71" t="s">
        <v>1454</v>
      </c>
      <c r="I71" t="s">
        <v>1454</v>
      </c>
      <c r="J71"/>
      <c r="K71" t="s">
        <v>1454</v>
      </c>
      <c r="L71" t="s">
        <v>1454</v>
      </c>
      <c r="M71" t="s">
        <v>1454</v>
      </c>
      <c r="N71"/>
      <c r="O71" t="s">
        <v>1454</v>
      </c>
      <c r="P71" t="s">
        <v>1454</v>
      </c>
      <c r="Q71" t="s">
        <v>1454</v>
      </c>
      <c r="R71"/>
      <c r="S71" t="s">
        <v>1454</v>
      </c>
      <c r="T71" t="s">
        <v>606</v>
      </c>
      <c r="U71" t="s">
        <v>1454</v>
      </c>
      <c r="V71"/>
      <c r="W71" t="s">
        <v>1454</v>
      </c>
      <c r="X71" t="s">
        <v>1454</v>
      </c>
      <c r="Y71" t="s">
        <v>607</v>
      </c>
      <c r="Z71"/>
      <c r="AA71" t="s">
        <v>1454</v>
      </c>
      <c r="AB71" t="s">
        <v>1454</v>
      </c>
      <c r="AC71" t="s">
        <v>1454</v>
      </c>
      <c r="AD71"/>
      <c r="AE71" t="s">
        <v>1454</v>
      </c>
      <c r="AF71" t="s">
        <v>1454</v>
      </c>
      <c r="AG71" t="s">
        <v>1454</v>
      </c>
      <c r="AH71"/>
      <c r="AI71" t="s">
        <v>1454</v>
      </c>
      <c r="AJ71" t="s">
        <v>1454</v>
      </c>
      <c r="AK71" t="s">
        <v>1454</v>
      </c>
      <c r="AL71"/>
      <c r="AM71" t="s">
        <v>1454</v>
      </c>
      <c r="AN71" t="s">
        <v>1454</v>
      </c>
      <c r="AO71" t="s">
        <v>1454</v>
      </c>
      <c r="AP71"/>
      <c r="AQ71" t="s">
        <v>1454</v>
      </c>
      <c r="AR71" t="s">
        <v>1454</v>
      </c>
      <c r="AS71" t="s">
        <v>1454</v>
      </c>
      <c r="AT71"/>
      <c r="AU71" t="s">
        <v>1454</v>
      </c>
      <c r="AV71" t="s">
        <v>1454</v>
      </c>
      <c r="AW71" t="s">
        <v>1454</v>
      </c>
      <c r="AX71"/>
      <c r="AY71" t="s">
        <v>1454</v>
      </c>
      <c r="AZ71" t="s">
        <v>1454</v>
      </c>
      <c r="BA71" t="s">
        <v>1454</v>
      </c>
      <c r="BB71"/>
      <c r="BC71" t="s">
        <v>1454</v>
      </c>
      <c r="BD71" t="s">
        <v>1454</v>
      </c>
      <c r="BE71" t="s">
        <v>1454</v>
      </c>
      <c r="BF71"/>
      <c r="BG71" t="s">
        <v>1454</v>
      </c>
      <c r="BH71" t="s">
        <v>1454</v>
      </c>
      <c r="BI71" t="s">
        <v>1454</v>
      </c>
      <c r="BJ71"/>
      <c r="BK71" t="s">
        <v>617</v>
      </c>
      <c r="BL71" t="s">
        <v>1454</v>
      </c>
      <c r="BM71" t="s">
        <v>617</v>
      </c>
      <c r="BN71"/>
      <c r="BO71" t="s">
        <v>1454</v>
      </c>
      <c r="BP71" t="s">
        <v>1454</v>
      </c>
      <c r="BQ71" t="s">
        <v>1454</v>
      </c>
      <c r="BR71"/>
      <c r="BS71" t="s">
        <v>1454</v>
      </c>
      <c r="BT71" t="s">
        <v>1454</v>
      </c>
      <c r="BU71" t="s">
        <v>1454</v>
      </c>
      <c r="BV71"/>
      <c r="BW71" t="s">
        <v>1454</v>
      </c>
      <c r="BX71" t="s">
        <v>1454</v>
      </c>
      <c r="BY71" t="s">
        <v>1454</v>
      </c>
      <c r="BZ71"/>
      <c r="CA71" t="s">
        <v>1454</v>
      </c>
      <c r="CB71" t="s">
        <v>1454</v>
      </c>
      <c r="CC71" t="s">
        <v>1454</v>
      </c>
      <c r="CD71"/>
      <c r="CE71" t="s">
        <v>1454</v>
      </c>
      <c r="CF71" t="s">
        <v>1454</v>
      </c>
      <c r="CG71" t="s">
        <v>1454</v>
      </c>
      <c r="CH71"/>
      <c r="CI71" t="s">
        <v>1454</v>
      </c>
      <c r="CJ71" t="s">
        <v>1454</v>
      </c>
      <c r="CK71" t="s">
        <v>1454</v>
      </c>
      <c r="CL71"/>
      <c r="CM71" t="s">
        <v>1454</v>
      </c>
      <c r="CN71" t="s">
        <v>1454</v>
      </c>
      <c r="CO71" t="s">
        <v>1454</v>
      </c>
      <c r="CP71"/>
      <c r="CQ71" t="s">
        <v>1454</v>
      </c>
      <c r="CR71" t="s">
        <v>1454</v>
      </c>
      <c r="CS71" t="s">
        <v>1454</v>
      </c>
      <c r="CT71"/>
      <c r="CU71" t="s">
        <v>626</v>
      </c>
      <c r="CV71" t="s">
        <v>1454</v>
      </c>
      <c r="CW71" t="s">
        <v>626</v>
      </c>
      <c r="CX71"/>
      <c r="CY71" t="s">
        <v>1454</v>
      </c>
      <c r="CZ71" t="s">
        <v>1454</v>
      </c>
      <c r="DA71" t="s">
        <v>1454</v>
      </c>
      <c r="DB71"/>
      <c r="DC71" t="s">
        <v>628</v>
      </c>
      <c r="DD71" t="s">
        <v>1454</v>
      </c>
      <c r="DE71" t="s">
        <v>1454</v>
      </c>
      <c r="DF71"/>
      <c r="DG71" t="s">
        <v>1454</v>
      </c>
      <c r="DH71" t="s">
        <v>1454</v>
      </c>
      <c r="DI71" t="s">
        <v>1454</v>
      </c>
      <c r="DJ71"/>
      <c r="DK71" t="s">
        <v>1454</v>
      </c>
      <c r="DL71" t="s">
        <v>1454</v>
      </c>
      <c r="DM71" t="s">
        <v>1454</v>
      </c>
      <c r="DN71"/>
      <c r="DO71" t="s">
        <v>1454</v>
      </c>
      <c r="DP71" t="s">
        <v>1454</v>
      </c>
      <c r="DQ71" t="s">
        <v>1454</v>
      </c>
      <c r="DR71"/>
      <c r="DS71" t="s">
        <v>1454</v>
      </c>
      <c r="DT71" t="s">
        <v>1454</v>
      </c>
      <c r="DU71" t="s">
        <v>1454</v>
      </c>
      <c r="DV71"/>
      <c r="DW71" t="s">
        <v>1454</v>
      </c>
      <c r="DX71" t="s">
        <v>1454</v>
      </c>
      <c r="DY71" t="s">
        <v>1454</v>
      </c>
      <c r="DZ71"/>
      <c r="EA71" t="s">
        <v>1454</v>
      </c>
      <c r="EB71" t="s">
        <v>1454</v>
      </c>
      <c r="EC71" t="s">
        <v>1454</v>
      </c>
      <c r="ED71"/>
      <c r="EE71" t="s">
        <v>1454</v>
      </c>
      <c r="EF71" t="s">
        <v>1454</v>
      </c>
      <c r="EG71" t="s">
        <v>1454</v>
      </c>
      <c r="EH71"/>
      <c r="EI71" t="s">
        <v>1454</v>
      </c>
      <c r="EJ71" t="s">
        <v>1454</v>
      </c>
      <c r="EK71" t="s">
        <v>636</v>
      </c>
      <c r="EL71"/>
      <c r="EM71" t="s">
        <v>1454</v>
      </c>
      <c r="EN71" t="s">
        <v>1454</v>
      </c>
      <c r="EO71" t="s">
        <v>1454</v>
      </c>
      <c r="EP71"/>
      <c r="EQ71" t="s">
        <v>1454</v>
      </c>
      <c r="ER71" t="s">
        <v>1454</v>
      </c>
      <c r="ES71" t="s">
        <v>1454</v>
      </c>
      <c r="ET71"/>
      <c r="EU71" t="s">
        <v>639</v>
      </c>
      <c r="EV71" t="s">
        <v>1454</v>
      </c>
      <c r="EW71" t="s">
        <v>1454</v>
      </c>
      <c r="EX71"/>
      <c r="EY71" t="s">
        <v>640</v>
      </c>
      <c r="EZ71" t="s">
        <v>1454</v>
      </c>
      <c r="FA71" t="s">
        <v>640</v>
      </c>
      <c r="FB71"/>
      <c r="FC71" t="s">
        <v>641</v>
      </c>
      <c r="FD71" t="s">
        <v>1454</v>
      </c>
      <c r="FE71" t="s">
        <v>641</v>
      </c>
      <c r="FF71"/>
      <c r="FG71" t="s">
        <v>1454</v>
      </c>
      <c r="FH71" t="s">
        <v>1454</v>
      </c>
      <c r="FI71" t="s">
        <v>1454</v>
      </c>
      <c r="FJ71"/>
      <c r="FK71" t="s">
        <v>1454</v>
      </c>
      <c r="FL71" t="s">
        <v>1454</v>
      </c>
      <c r="FM71" t="s">
        <v>1454</v>
      </c>
      <c r="FN71"/>
      <c r="FO71" t="s">
        <v>1454</v>
      </c>
      <c r="FP71" t="s">
        <v>1454</v>
      </c>
      <c r="FQ71" t="s">
        <v>1454</v>
      </c>
      <c r="FR71"/>
      <c r="FS71" t="s">
        <v>1454</v>
      </c>
      <c r="FT71" t="s">
        <v>1454</v>
      </c>
      <c r="FU71" t="s">
        <v>1454</v>
      </c>
      <c r="FV71"/>
      <c r="FW71" t="s">
        <v>1454</v>
      </c>
      <c r="FX71" t="s">
        <v>1454</v>
      </c>
      <c r="FY71" t="s">
        <v>1454</v>
      </c>
      <c r="FZ71"/>
      <c r="GA71" t="s">
        <v>1454</v>
      </c>
      <c r="GB71" t="s">
        <v>1454</v>
      </c>
      <c r="GC71" t="s">
        <v>1454</v>
      </c>
      <c r="GD71"/>
      <c r="GE71" t="s">
        <v>647</v>
      </c>
      <c r="GF71" t="s">
        <v>1454</v>
      </c>
      <c r="GG71" t="s">
        <v>647</v>
      </c>
      <c r="GH71"/>
      <c r="GI71" t="s">
        <v>1454</v>
      </c>
      <c r="GJ71" t="s">
        <v>1454</v>
      </c>
      <c r="GK71" t="s">
        <v>1454</v>
      </c>
      <c r="GL71"/>
      <c r="GM71" t="s">
        <v>1454</v>
      </c>
      <c r="GN71" t="s">
        <v>1454</v>
      </c>
      <c r="GO71" t="s">
        <v>1454</v>
      </c>
      <c r="GP71"/>
      <c r="GQ71" t="s">
        <v>1572</v>
      </c>
      <c r="GR71" t="s">
        <v>1570</v>
      </c>
      <c r="GS71" t="s">
        <v>1573</v>
      </c>
    </row>
    <row r="72" spans="2:201" x14ac:dyDescent="0.25">
      <c r="B72" t="s">
        <v>457</v>
      </c>
      <c r="C72" t="s">
        <v>1454</v>
      </c>
      <c r="D72" t="s">
        <v>1454</v>
      </c>
      <c r="E72" t="s">
        <v>1454</v>
      </c>
      <c r="G72" t="s">
        <v>1454</v>
      </c>
      <c r="H72" t="s">
        <v>1454</v>
      </c>
      <c r="I72" t="s">
        <v>1454</v>
      </c>
      <c r="K72" t="s">
        <v>1454</v>
      </c>
      <c r="L72" t="s">
        <v>1454</v>
      </c>
      <c r="M72" t="s">
        <v>1454</v>
      </c>
      <c r="O72" t="s">
        <v>1454</v>
      </c>
      <c r="P72" t="s">
        <v>1454</v>
      </c>
      <c r="Q72" t="s">
        <v>1454</v>
      </c>
      <c r="S72" t="s">
        <v>1454</v>
      </c>
      <c r="T72" t="s">
        <v>1454</v>
      </c>
      <c r="U72" t="s">
        <v>1454</v>
      </c>
      <c r="W72" t="s">
        <v>1454</v>
      </c>
      <c r="X72" t="s">
        <v>1454</v>
      </c>
      <c r="Y72" t="s">
        <v>1454</v>
      </c>
      <c r="AA72" t="s">
        <v>1454</v>
      </c>
      <c r="AB72" t="s">
        <v>1454</v>
      </c>
      <c r="AC72" t="s">
        <v>1454</v>
      </c>
      <c r="AE72" t="s">
        <v>1454</v>
      </c>
      <c r="AF72" t="s">
        <v>1454</v>
      </c>
      <c r="AG72" t="s">
        <v>1454</v>
      </c>
      <c r="AI72" t="s">
        <v>1454</v>
      </c>
      <c r="AJ72" t="s">
        <v>1454</v>
      </c>
      <c r="AK72" t="s">
        <v>1454</v>
      </c>
      <c r="AM72" t="s">
        <v>1454</v>
      </c>
      <c r="AN72" t="s">
        <v>1454</v>
      </c>
      <c r="AO72" t="s">
        <v>1454</v>
      </c>
      <c r="AQ72" t="s">
        <v>612</v>
      </c>
      <c r="AR72" t="s">
        <v>1454</v>
      </c>
      <c r="AS72" t="s">
        <v>1454</v>
      </c>
      <c r="AU72" t="s">
        <v>1454</v>
      </c>
      <c r="AV72" t="s">
        <v>1454</v>
      </c>
      <c r="AW72" t="s">
        <v>1454</v>
      </c>
      <c r="AY72" t="s">
        <v>1454</v>
      </c>
      <c r="AZ72" t="s">
        <v>1454</v>
      </c>
      <c r="BA72" t="s">
        <v>1454</v>
      </c>
      <c r="BC72" t="s">
        <v>1454</v>
      </c>
      <c r="BD72" t="s">
        <v>1454</v>
      </c>
      <c r="BE72" t="s">
        <v>1454</v>
      </c>
      <c r="BG72" t="s">
        <v>1454</v>
      </c>
      <c r="BH72" t="s">
        <v>1454</v>
      </c>
      <c r="BI72" t="s">
        <v>1454</v>
      </c>
      <c r="BK72" t="s">
        <v>1454</v>
      </c>
      <c r="BL72" t="s">
        <v>1454</v>
      </c>
      <c r="BM72" t="s">
        <v>1454</v>
      </c>
      <c r="BO72" t="s">
        <v>1454</v>
      </c>
      <c r="BP72" t="s">
        <v>1454</v>
      </c>
      <c r="BQ72" t="s">
        <v>1454</v>
      </c>
      <c r="BS72" t="s">
        <v>1454</v>
      </c>
      <c r="BT72" t="s">
        <v>619</v>
      </c>
      <c r="BU72" t="s">
        <v>1454</v>
      </c>
      <c r="BW72" t="s">
        <v>1454</v>
      </c>
      <c r="BX72" t="s">
        <v>1454</v>
      </c>
      <c r="BY72" t="s">
        <v>1454</v>
      </c>
      <c r="CA72" t="s">
        <v>1454</v>
      </c>
      <c r="CB72" t="s">
        <v>1454</v>
      </c>
      <c r="CC72" t="s">
        <v>1454</v>
      </c>
      <c r="CE72" t="s">
        <v>1454</v>
      </c>
      <c r="CF72" t="s">
        <v>1454</v>
      </c>
      <c r="CG72" t="s">
        <v>1454</v>
      </c>
      <c r="CI72" t="s">
        <v>1454</v>
      </c>
      <c r="CJ72" t="s">
        <v>1454</v>
      </c>
      <c r="CK72" t="s">
        <v>1454</v>
      </c>
      <c r="CM72" t="s">
        <v>1454</v>
      </c>
      <c r="CN72" t="s">
        <v>1454</v>
      </c>
      <c r="CO72" t="s">
        <v>1454</v>
      </c>
      <c r="CQ72" t="s">
        <v>1454</v>
      </c>
      <c r="CR72" t="s">
        <v>1454</v>
      </c>
      <c r="CS72" t="s">
        <v>1454</v>
      </c>
      <c r="CU72" t="s">
        <v>1454</v>
      </c>
      <c r="CV72" t="s">
        <v>1454</v>
      </c>
      <c r="CW72" t="s">
        <v>1454</v>
      </c>
      <c r="CY72" t="s">
        <v>1454</v>
      </c>
      <c r="CZ72" t="s">
        <v>1454</v>
      </c>
      <c r="DA72" t="s">
        <v>1454</v>
      </c>
      <c r="DC72" t="s">
        <v>1454</v>
      </c>
      <c r="DD72" t="s">
        <v>1454</v>
      </c>
      <c r="DE72" t="s">
        <v>1454</v>
      </c>
      <c r="DG72" t="s">
        <v>629</v>
      </c>
      <c r="DH72" t="s">
        <v>1454</v>
      </c>
      <c r="DI72" t="s">
        <v>1454</v>
      </c>
      <c r="DK72" t="s">
        <v>1454</v>
      </c>
      <c r="DL72" t="s">
        <v>1454</v>
      </c>
      <c r="DM72" t="s">
        <v>1454</v>
      </c>
      <c r="DO72" t="s">
        <v>1454</v>
      </c>
      <c r="DP72" t="s">
        <v>1454</v>
      </c>
      <c r="DQ72" t="s">
        <v>631</v>
      </c>
      <c r="DS72" t="s">
        <v>1454</v>
      </c>
      <c r="DT72" t="s">
        <v>1454</v>
      </c>
      <c r="DU72" t="s">
        <v>1454</v>
      </c>
      <c r="DW72" t="s">
        <v>1454</v>
      </c>
      <c r="DX72" t="s">
        <v>1454</v>
      </c>
      <c r="DY72" t="s">
        <v>1454</v>
      </c>
      <c r="EA72" t="s">
        <v>1454</v>
      </c>
      <c r="EB72" t="s">
        <v>1454</v>
      </c>
      <c r="EC72" t="s">
        <v>1454</v>
      </c>
      <c r="EE72" t="s">
        <v>1454</v>
      </c>
      <c r="EF72" t="s">
        <v>1454</v>
      </c>
      <c r="EG72" t="s">
        <v>1454</v>
      </c>
      <c r="EI72" t="s">
        <v>1454</v>
      </c>
      <c r="EJ72" t="s">
        <v>1454</v>
      </c>
      <c r="EK72" t="s">
        <v>1454</v>
      </c>
      <c r="EM72" t="s">
        <v>1454</v>
      </c>
      <c r="EN72" t="s">
        <v>1454</v>
      </c>
      <c r="EO72" t="s">
        <v>1454</v>
      </c>
      <c r="EQ72" t="s">
        <v>1454</v>
      </c>
      <c r="ER72" t="s">
        <v>1454</v>
      </c>
      <c r="ES72" t="s">
        <v>1454</v>
      </c>
      <c r="EU72" t="s">
        <v>1454</v>
      </c>
      <c r="EV72" t="s">
        <v>1454</v>
      </c>
      <c r="EW72" t="s">
        <v>1454</v>
      </c>
      <c r="EY72" t="s">
        <v>1454</v>
      </c>
      <c r="EZ72" t="s">
        <v>1454</v>
      </c>
      <c r="FA72" t="s">
        <v>1454</v>
      </c>
      <c r="FC72" t="s">
        <v>1454</v>
      </c>
      <c r="FD72" t="s">
        <v>1454</v>
      </c>
      <c r="FE72" t="s">
        <v>1454</v>
      </c>
      <c r="FG72" t="s">
        <v>1454</v>
      </c>
      <c r="FH72" t="s">
        <v>1454</v>
      </c>
      <c r="FI72" t="s">
        <v>1454</v>
      </c>
      <c r="FK72" t="s">
        <v>1454</v>
      </c>
      <c r="FL72" t="s">
        <v>1454</v>
      </c>
      <c r="FM72" t="s">
        <v>1454</v>
      </c>
      <c r="FO72" t="s">
        <v>1454</v>
      </c>
      <c r="FP72" t="s">
        <v>1454</v>
      </c>
      <c r="FQ72" t="s">
        <v>1454</v>
      </c>
      <c r="FS72" t="s">
        <v>644</v>
      </c>
      <c r="FT72" t="s">
        <v>1454</v>
      </c>
      <c r="FU72" t="s">
        <v>644</v>
      </c>
      <c r="FW72" t="s">
        <v>1454</v>
      </c>
      <c r="FX72" t="s">
        <v>1454</v>
      </c>
      <c r="FY72" t="s">
        <v>1454</v>
      </c>
      <c r="GA72" t="s">
        <v>1454</v>
      </c>
      <c r="GB72" t="s">
        <v>1454</v>
      </c>
      <c r="GC72" t="s">
        <v>1454</v>
      </c>
      <c r="GE72" t="s">
        <v>1454</v>
      </c>
      <c r="GF72" t="s">
        <v>1454</v>
      </c>
      <c r="GG72" t="s">
        <v>1454</v>
      </c>
      <c r="GI72" t="s">
        <v>1454</v>
      </c>
      <c r="GJ72" t="s">
        <v>1454</v>
      </c>
      <c r="GK72" t="s">
        <v>1454</v>
      </c>
      <c r="GM72" t="s">
        <v>1454</v>
      </c>
      <c r="GN72" t="s">
        <v>1454</v>
      </c>
      <c r="GO72" t="s">
        <v>1454</v>
      </c>
      <c r="GQ72" t="s">
        <v>1574</v>
      </c>
      <c r="GR72" t="s">
        <v>1575</v>
      </c>
      <c r="GS72" t="s">
        <v>1576</v>
      </c>
    </row>
    <row r="73" spans="2:201" x14ac:dyDescent="0.25">
      <c r="B73" t="s">
        <v>458</v>
      </c>
      <c r="C73" t="s">
        <v>1454</v>
      </c>
      <c r="D73" t="s">
        <v>1454</v>
      </c>
      <c r="E73" t="s">
        <v>1454</v>
      </c>
      <c r="G73" t="s">
        <v>1454</v>
      </c>
      <c r="H73" t="s">
        <v>1454</v>
      </c>
      <c r="I73" t="s">
        <v>1454</v>
      </c>
      <c r="K73" t="s">
        <v>1454</v>
      </c>
      <c r="L73" t="s">
        <v>1454</v>
      </c>
      <c r="M73" t="s">
        <v>1454</v>
      </c>
      <c r="O73" t="s">
        <v>1454</v>
      </c>
      <c r="P73" t="s">
        <v>1454</v>
      </c>
      <c r="Q73" t="s">
        <v>1454</v>
      </c>
      <c r="S73" t="s">
        <v>1454</v>
      </c>
      <c r="T73" t="s">
        <v>1454</v>
      </c>
      <c r="U73" t="s">
        <v>1454</v>
      </c>
      <c r="W73" t="s">
        <v>1454</v>
      </c>
      <c r="X73" t="s">
        <v>1454</v>
      </c>
      <c r="Y73" t="s">
        <v>1454</v>
      </c>
      <c r="AA73" t="s">
        <v>1454</v>
      </c>
      <c r="AB73" t="s">
        <v>1454</v>
      </c>
      <c r="AC73" t="s">
        <v>1454</v>
      </c>
      <c r="AE73" t="s">
        <v>1454</v>
      </c>
      <c r="AF73" t="s">
        <v>1454</v>
      </c>
      <c r="AG73" t="s">
        <v>1454</v>
      </c>
      <c r="AI73" t="s">
        <v>1454</v>
      </c>
      <c r="AJ73" t="s">
        <v>1454</v>
      </c>
      <c r="AK73" t="s">
        <v>1454</v>
      </c>
      <c r="AM73" t="s">
        <v>1454</v>
      </c>
      <c r="AN73" t="s">
        <v>1454</v>
      </c>
      <c r="AO73" t="s">
        <v>1454</v>
      </c>
      <c r="AQ73" t="s">
        <v>612</v>
      </c>
      <c r="AR73" t="s">
        <v>1454</v>
      </c>
      <c r="AS73" t="s">
        <v>1454</v>
      </c>
      <c r="AU73" t="s">
        <v>613</v>
      </c>
      <c r="AV73" t="s">
        <v>1454</v>
      </c>
      <c r="AW73" t="s">
        <v>1454</v>
      </c>
      <c r="AY73" t="s">
        <v>1454</v>
      </c>
      <c r="AZ73" t="s">
        <v>1454</v>
      </c>
      <c r="BA73" t="s">
        <v>1454</v>
      </c>
      <c r="BC73" t="s">
        <v>1454</v>
      </c>
      <c r="BD73" t="s">
        <v>1454</v>
      </c>
      <c r="BE73" t="s">
        <v>1454</v>
      </c>
      <c r="BG73" t="s">
        <v>1454</v>
      </c>
      <c r="BH73" t="s">
        <v>1454</v>
      </c>
      <c r="BI73" t="s">
        <v>1454</v>
      </c>
      <c r="BK73" t="s">
        <v>1454</v>
      </c>
      <c r="BL73" t="s">
        <v>1454</v>
      </c>
      <c r="BM73" t="s">
        <v>1454</v>
      </c>
      <c r="BO73" t="s">
        <v>1454</v>
      </c>
      <c r="BP73" t="s">
        <v>1454</v>
      </c>
      <c r="BQ73" t="s">
        <v>1454</v>
      </c>
      <c r="BS73" t="s">
        <v>619</v>
      </c>
      <c r="BT73" t="s">
        <v>1454</v>
      </c>
      <c r="BU73" t="s">
        <v>1454</v>
      </c>
      <c r="BW73" t="s">
        <v>1454</v>
      </c>
      <c r="BX73" t="s">
        <v>1454</v>
      </c>
      <c r="BY73" t="s">
        <v>1454</v>
      </c>
      <c r="CA73" t="s">
        <v>1454</v>
      </c>
      <c r="CB73" t="s">
        <v>1454</v>
      </c>
      <c r="CC73" t="s">
        <v>1454</v>
      </c>
      <c r="CE73" t="s">
        <v>1454</v>
      </c>
      <c r="CF73" t="s">
        <v>1454</v>
      </c>
      <c r="CG73" t="s">
        <v>1454</v>
      </c>
      <c r="CI73" t="s">
        <v>1454</v>
      </c>
      <c r="CJ73" t="s">
        <v>1454</v>
      </c>
      <c r="CK73" t="s">
        <v>1454</v>
      </c>
      <c r="CM73" t="s">
        <v>1454</v>
      </c>
      <c r="CN73" t="s">
        <v>1454</v>
      </c>
      <c r="CO73" t="s">
        <v>1454</v>
      </c>
      <c r="CQ73" t="s">
        <v>625</v>
      </c>
      <c r="CR73" t="s">
        <v>1454</v>
      </c>
      <c r="CS73" t="s">
        <v>1454</v>
      </c>
      <c r="CU73" t="s">
        <v>1454</v>
      </c>
      <c r="CV73" t="s">
        <v>1454</v>
      </c>
      <c r="CW73" t="s">
        <v>1454</v>
      </c>
      <c r="CY73" t="s">
        <v>1454</v>
      </c>
      <c r="CZ73" t="s">
        <v>1454</v>
      </c>
      <c r="DA73" t="s">
        <v>1454</v>
      </c>
      <c r="DC73" t="s">
        <v>1454</v>
      </c>
      <c r="DD73" t="s">
        <v>1454</v>
      </c>
      <c r="DE73" t="s">
        <v>1454</v>
      </c>
      <c r="DG73" t="s">
        <v>1454</v>
      </c>
      <c r="DH73" t="s">
        <v>1454</v>
      </c>
      <c r="DI73" t="s">
        <v>1454</v>
      </c>
      <c r="DK73" t="s">
        <v>1454</v>
      </c>
      <c r="DL73" t="s">
        <v>1454</v>
      </c>
      <c r="DM73" t="s">
        <v>1454</v>
      </c>
      <c r="DO73" t="s">
        <v>631</v>
      </c>
      <c r="DP73" t="s">
        <v>631</v>
      </c>
      <c r="DQ73" t="s">
        <v>1454</v>
      </c>
      <c r="DS73" t="s">
        <v>632</v>
      </c>
      <c r="DT73" t="s">
        <v>1454</v>
      </c>
      <c r="DU73" t="s">
        <v>632</v>
      </c>
      <c r="DW73" t="s">
        <v>1454</v>
      </c>
      <c r="DX73" t="s">
        <v>1454</v>
      </c>
      <c r="DY73" t="s">
        <v>1454</v>
      </c>
      <c r="EA73" t="s">
        <v>1454</v>
      </c>
      <c r="EB73" t="s">
        <v>1454</v>
      </c>
      <c r="EC73" t="s">
        <v>1454</v>
      </c>
      <c r="EE73" t="s">
        <v>1454</v>
      </c>
      <c r="EF73" t="s">
        <v>1454</v>
      </c>
      <c r="EG73" t="s">
        <v>1454</v>
      </c>
      <c r="EI73" t="s">
        <v>1454</v>
      </c>
      <c r="EJ73" t="s">
        <v>1454</v>
      </c>
      <c r="EK73" t="s">
        <v>636</v>
      </c>
      <c r="EM73" t="s">
        <v>1454</v>
      </c>
      <c r="EN73" t="s">
        <v>1454</v>
      </c>
      <c r="EO73" t="s">
        <v>1454</v>
      </c>
      <c r="EQ73" t="s">
        <v>1454</v>
      </c>
      <c r="ER73" t="s">
        <v>1454</v>
      </c>
      <c r="ES73" t="s">
        <v>1454</v>
      </c>
      <c r="EU73" t="s">
        <v>1454</v>
      </c>
      <c r="EV73" t="s">
        <v>1454</v>
      </c>
      <c r="EW73" t="s">
        <v>1454</v>
      </c>
      <c r="EY73" t="s">
        <v>1454</v>
      </c>
      <c r="EZ73" t="s">
        <v>1454</v>
      </c>
      <c r="FA73" t="s">
        <v>1454</v>
      </c>
      <c r="FC73" t="s">
        <v>1454</v>
      </c>
      <c r="FD73" t="s">
        <v>1454</v>
      </c>
      <c r="FE73" t="s">
        <v>1454</v>
      </c>
      <c r="FG73" t="s">
        <v>642</v>
      </c>
      <c r="FH73" t="s">
        <v>1454</v>
      </c>
      <c r="FI73" t="s">
        <v>642</v>
      </c>
      <c r="FK73" t="s">
        <v>1454</v>
      </c>
      <c r="FL73" t="s">
        <v>1454</v>
      </c>
      <c r="FM73" t="s">
        <v>1454</v>
      </c>
      <c r="FO73" t="s">
        <v>1454</v>
      </c>
      <c r="FP73" t="s">
        <v>1454</v>
      </c>
      <c r="FQ73" t="s">
        <v>1454</v>
      </c>
      <c r="FS73" t="s">
        <v>1454</v>
      </c>
      <c r="FT73" t="s">
        <v>1454</v>
      </c>
      <c r="FU73" t="s">
        <v>1454</v>
      </c>
      <c r="FW73" t="s">
        <v>1454</v>
      </c>
      <c r="FX73" t="s">
        <v>1454</v>
      </c>
      <c r="FY73" t="s">
        <v>1454</v>
      </c>
      <c r="GA73" t="s">
        <v>1454</v>
      </c>
      <c r="GB73" t="s">
        <v>1454</v>
      </c>
      <c r="GC73" t="s">
        <v>1454</v>
      </c>
      <c r="GE73" t="s">
        <v>1454</v>
      </c>
      <c r="GF73" t="s">
        <v>1454</v>
      </c>
      <c r="GG73" t="s">
        <v>1454</v>
      </c>
      <c r="GI73" t="s">
        <v>1454</v>
      </c>
      <c r="GJ73" t="s">
        <v>1454</v>
      </c>
      <c r="GK73" t="s">
        <v>1454</v>
      </c>
      <c r="GM73" t="s">
        <v>1454</v>
      </c>
      <c r="GN73" t="s">
        <v>1454</v>
      </c>
      <c r="GO73" t="s">
        <v>1454</v>
      </c>
      <c r="GQ73" t="s">
        <v>1577</v>
      </c>
      <c r="GR73" t="s">
        <v>1555</v>
      </c>
      <c r="GS73" t="s">
        <v>1578</v>
      </c>
    </row>
    <row r="74" spans="2:201" x14ac:dyDescent="0.25">
      <c r="B74" t="s">
        <v>459</v>
      </c>
      <c r="C74" t="s">
        <v>1454</v>
      </c>
      <c r="D74" t="s">
        <v>1454</v>
      </c>
      <c r="E74" t="s">
        <v>1454</v>
      </c>
      <c r="G74" t="s">
        <v>1454</v>
      </c>
      <c r="H74" t="s">
        <v>1454</v>
      </c>
      <c r="I74" t="s">
        <v>1454</v>
      </c>
      <c r="K74" t="s">
        <v>1454</v>
      </c>
      <c r="L74" t="s">
        <v>1454</v>
      </c>
      <c r="M74" t="s">
        <v>1454</v>
      </c>
      <c r="O74" t="s">
        <v>1454</v>
      </c>
      <c r="P74" t="s">
        <v>1454</v>
      </c>
      <c r="Q74" t="s">
        <v>1454</v>
      </c>
      <c r="S74" t="s">
        <v>1454</v>
      </c>
      <c r="T74" t="s">
        <v>1454</v>
      </c>
      <c r="U74" t="s">
        <v>1454</v>
      </c>
      <c r="W74" t="s">
        <v>1454</v>
      </c>
      <c r="X74" t="s">
        <v>1454</v>
      </c>
      <c r="Y74" t="s">
        <v>1454</v>
      </c>
      <c r="AA74" t="s">
        <v>1454</v>
      </c>
      <c r="AB74" t="s">
        <v>1454</v>
      </c>
      <c r="AC74" t="s">
        <v>1454</v>
      </c>
      <c r="AE74" t="s">
        <v>1454</v>
      </c>
      <c r="AF74" t="s">
        <v>1454</v>
      </c>
      <c r="AG74" t="s">
        <v>1454</v>
      </c>
      <c r="AI74" t="s">
        <v>1454</v>
      </c>
      <c r="AJ74" t="s">
        <v>1454</v>
      </c>
      <c r="AK74" t="s">
        <v>1454</v>
      </c>
      <c r="AM74" t="s">
        <v>1454</v>
      </c>
      <c r="AN74" t="s">
        <v>1454</v>
      </c>
      <c r="AO74" t="s">
        <v>1454</v>
      </c>
      <c r="AQ74" t="s">
        <v>612</v>
      </c>
      <c r="AR74" t="s">
        <v>1454</v>
      </c>
      <c r="AS74" t="s">
        <v>1454</v>
      </c>
      <c r="AU74" t="s">
        <v>613</v>
      </c>
      <c r="AV74" t="s">
        <v>1454</v>
      </c>
      <c r="AW74" t="s">
        <v>613</v>
      </c>
      <c r="AY74" t="s">
        <v>1454</v>
      </c>
      <c r="AZ74" t="s">
        <v>1454</v>
      </c>
      <c r="BA74" t="s">
        <v>1454</v>
      </c>
      <c r="BC74" t="s">
        <v>615</v>
      </c>
      <c r="BD74" t="s">
        <v>1454</v>
      </c>
      <c r="BE74" t="s">
        <v>1454</v>
      </c>
      <c r="BG74" t="s">
        <v>1454</v>
      </c>
      <c r="BH74" t="s">
        <v>1454</v>
      </c>
      <c r="BI74" t="s">
        <v>1454</v>
      </c>
      <c r="BK74" t="s">
        <v>1454</v>
      </c>
      <c r="BL74" t="s">
        <v>1454</v>
      </c>
      <c r="BM74" t="s">
        <v>1454</v>
      </c>
      <c r="BO74" t="s">
        <v>1454</v>
      </c>
      <c r="BP74" t="s">
        <v>1454</v>
      </c>
      <c r="BQ74" t="s">
        <v>1454</v>
      </c>
      <c r="BS74" t="s">
        <v>1454</v>
      </c>
      <c r="BT74" t="s">
        <v>619</v>
      </c>
      <c r="BU74" t="s">
        <v>1454</v>
      </c>
      <c r="BW74" t="s">
        <v>1454</v>
      </c>
      <c r="BX74" t="s">
        <v>1454</v>
      </c>
      <c r="BY74" t="s">
        <v>1454</v>
      </c>
      <c r="CA74" t="s">
        <v>1454</v>
      </c>
      <c r="CB74" t="s">
        <v>1454</v>
      </c>
      <c r="CC74" t="s">
        <v>1454</v>
      </c>
      <c r="CE74" t="s">
        <v>622</v>
      </c>
      <c r="CF74" t="s">
        <v>1454</v>
      </c>
      <c r="CG74" t="s">
        <v>1454</v>
      </c>
      <c r="CI74" t="s">
        <v>1454</v>
      </c>
      <c r="CJ74" t="s">
        <v>1454</v>
      </c>
      <c r="CK74" t="s">
        <v>1454</v>
      </c>
      <c r="CM74" t="s">
        <v>624</v>
      </c>
      <c r="CN74" t="s">
        <v>1454</v>
      </c>
      <c r="CO74" t="s">
        <v>1454</v>
      </c>
      <c r="CQ74" t="s">
        <v>1454</v>
      </c>
      <c r="CR74" t="s">
        <v>1454</v>
      </c>
      <c r="CS74" t="s">
        <v>1454</v>
      </c>
      <c r="CU74" t="s">
        <v>626</v>
      </c>
      <c r="CV74" t="s">
        <v>1454</v>
      </c>
      <c r="CW74" t="s">
        <v>1454</v>
      </c>
      <c r="CY74" t="s">
        <v>1454</v>
      </c>
      <c r="CZ74" t="s">
        <v>1454</v>
      </c>
      <c r="DA74" t="s">
        <v>1454</v>
      </c>
      <c r="DC74" t="s">
        <v>1454</v>
      </c>
      <c r="DD74" t="s">
        <v>1454</v>
      </c>
      <c r="DE74" t="s">
        <v>1454</v>
      </c>
      <c r="DG74" t="s">
        <v>1454</v>
      </c>
      <c r="DH74" t="s">
        <v>1454</v>
      </c>
      <c r="DI74" t="s">
        <v>1454</v>
      </c>
      <c r="DK74" t="s">
        <v>1454</v>
      </c>
      <c r="DL74" t="s">
        <v>1454</v>
      </c>
      <c r="DM74" t="s">
        <v>1454</v>
      </c>
      <c r="DO74" t="s">
        <v>631</v>
      </c>
      <c r="DP74" t="s">
        <v>1454</v>
      </c>
      <c r="DQ74" t="s">
        <v>631</v>
      </c>
      <c r="DS74" t="s">
        <v>1454</v>
      </c>
      <c r="DT74" t="s">
        <v>1454</v>
      </c>
      <c r="DU74" t="s">
        <v>1454</v>
      </c>
      <c r="DW74" t="s">
        <v>1454</v>
      </c>
      <c r="DX74" t="s">
        <v>1454</v>
      </c>
      <c r="DY74" t="s">
        <v>1454</v>
      </c>
      <c r="EA74" t="s">
        <v>1454</v>
      </c>
      <c r="EB74" t="s">
        <v>1454</v>
      </c>
      <c r="EC74" t="s">
        <v>1454</v>
      </c>
      <c r="EE74" t="s">
        <v>1454</v>
      </c>
      <c r="EF74" t="s">
        <v>1454</v>
      </c>
      <c r="EG74" t="s">
        <v>1454</v>
      </c>
      <c r="EI74" t="s">
        <v>1454</v>
      </c>
      <c r="EJ74" t="s">
        <v>1454</v>
      </c>
      <c r="EK74" t="s">
        <v>1454</v>
      </c>
      <c r="EM74" t="s">
        <v>1454</v>
      </c>
      <c r="EN74" t="s">
        <v>1454</v>
      </c>
      <c r="EO74" t="s">
        <v>1454</v>
      </c>
      <c r="EQ74" t="s">
        <v>1454</v>
      </c>
      <c r="ER74" t="s">
        <v>1454</v>
      </c>
      <c r="ES74" t="s">
        <v>1454</v>
      </c>
      <c r="EU74" t="s">
        <v>1454</v>
      </c>
      <c r="EV74" t="s">
        <v>1454</v>
      </c>
      <c r="EW74" t="s">
        <v>1454</v>
      </c>
      <c r="EY74" t="s">
        <v>1454</v>
      </c>
      <c r="EZ74" t="s">
        <v>1454</v>
      </c>
      <c r="FA74" t="s">
        <v>1454</v>
      </c>
      <c r="FC74" t="s">
        <v>1454</v>
      </c>
      <c r="FD74" t="s">
        <v>1454</v>
      </c>
      <c r="FE74" t="s">
        <v>1454</v>
      </c>
      <c r="FG74" t="s">
        <v>1454</v>
      </c>
      <c r="FH74" t="s">
        <v>1454</v>
      </c>
      <c r="FI74" t="s">
        <v>1454</v>
      </c>
      <c r="FK74" t="s">
        <v>1454</v>
      </c>
      <c r="FL74" t="s">
        <v>1454</v>
      </c>
      <c r="FM74" t="s">
        <v>1454</v>
      </c>
      <c r="FO74" t="s">
        <v>1454</v>
      </c>
      <c r="FP74" t="s">
        <v>1454</v>
      </c>
      <c r="FQ74" t="s">
        <v>1454</v>
      </c>
      <c r="FS74" t="s">
        <v>644</v>
      </c>
      <c r="FT74" t="s">
        <v>1454</v>
      </c>
      <c r="FU74" t="s">
        <v>1454</v>
      </c>
      <c r="FW74" t="s">
        <v>1454</v>
      </c>
      <c r="FX74" t="s">
        <v>1454</v>
      </c>
      <c r="FY74" t="s">
        <v>1454</v>
      </c>
      <c r="GA74" t="s">
        <v>1454</v>
      </c>
      <c r="GB74" t="s">
        <v>1454</v>
      </c>
      <c r="GC74" t="s">
        <v>1454</v>
      </c>
      <c r="GE74" t="s">
        <v>1454</v>
      </c>
      <c r="GF74" t="s">
        <v>1454</v>
      </c>
      <c r="GG74" t="s">
        <v>647</v>
      </c>
      <c r="GI74" t="s">
        <v>1454</v>
      </c>
      <c r="GJ74" t="s">
        <v>1454</v>
      </c>
      <c r="GK74" t="s">
        <v>1454</v>
      </c>
      <c r="GM74" t="s">
        <v>1454</v>
      </c>
      <c r="GN74" t="s">
        <v>1454</v>
      </c>
      <c r="GO74" t="s">
        <v>1454</v>
      </c>
      <c r="GQ74" t="s">
        <v>1579</v>
      </c>
      <c r="GR74" t="s">
        <v>1575</v>
      </c>
      <c r="GS74" t="s">
        <v>1580</v>
      </c>
    </row>
    <row r="75" spans="2:201" s="11" customFormat="1" x14ac:dyDescent="0.25">
      <c r="B75" t="s">
        <v>460</v>
      </c>
      <c r="C75" t="s">
        <v>1454</v>
      </c>
      <c r="D75" t="s">
        <v>1454</v>
      </c>
      <c r="E75" t="s">
        <v>1454</v>
      </c>
      <c r="F75"/>
      <c r="G75" t="s">
        <v>1454</v>
      </c>
      <c r="H75" t="s">
        <v>1454</v>
      </c>
      <c r="I75" t="s">
        <v>604</v>
      </c>
      <c r="J75"/>
      <c r="K75" t="s">
        <v>1454</v>
      </c>
      <c r="L75" t="s">
        <v>1454</v>
      </c>
      <c r="M75" t="s">
        <v>1454</v>
      </c>
      <c r="N75"/>
      <c r="O75" t="s">
        <v>1454</v>
      </c>
      <c r="P75" t="s">
        <v>1454</v>
      </c>
      <c r="Q75" t="s">
        <v>1454</v>
      </c>
      <c r="R75"/>
      <c r="S75" t="s">
        <v>1454</v>
      </c>
      <c r="T75" t="s">
        <v>1454</v>
      </c>
      <c r="U75" t="s">
        <v>1454</v>
      </c>
      <c r="V75"/>
      <c r="W75" t="s">
        <v>607</v>
      </c>
      <c r="X75" t="s">
        <v>1454</v>
      </c>
      <c r="Y75" t="s">
        <v>1454</v>
      </c>
      <c r="Z75"/>
      <c r="AA75" t="s">
        <v>1454</v>
      </c>
      <c r="AB75" t="s">
        <v>1454</v>
      </c>
      <c r="AC75" t="s">
        <v>1454</v>
      </c>
      <c r="AD75"/>
      <c r="AE75" t="s">
        <v>1454</v>
      </c>
      <c r="AF75" t="s">
        <v>1454</v>
      </c>
      <c r="AG75" t="s">
        <v>1454</v>
      </c>
      <c r="AH75"/>
      <c r="AI75" t="s">
        <v>1454</v>
      </c>
      <c r="AJ75" t="s">
        <v>1454</v>
      </c>
      <c r="AK75" t="s">
        <v>1454</v>
      </c>
      <c r="AL75"/>
      <c r="AM75" t="s">
        <v>1454</v>
      </c>
      <c r="AN75" t="s">
        <v>1454</v>
      </c>
      <c r="AO75" t="s">
        <v>1454</v>
      </c>
      <c r="AP75"/>
      <c r="AQ75" t="s">
        <v>612</v>
      </c>
      <c r="AR75" t="s">
        <v>1454</v>
      </c>
      <c r="AS75" t="s">
        <v>1454</v>
      </c>
      <c r="AT75"/>
      <c r="AU75" t="s">
        <v>613</v>
      </c>
      <c r="AV75" t="s">
        <v>1454</v>
      </c>
      <c r="AW75" t="s">
        <v>613</v>
      </c>
      <c r="AX75"/>
      <c r="AY75" t="s">
        <v>1454</v>
      </c>
      <c r="AZ75" t="s">
        <v>1454</v>
      </c>
      <c r="BA75" t="s">
        <v>1454</v>
      </c>
      <c r="BB75"/>
      <c r="BC75" t="s">
        <v>615</v>
      </c>
      <c r="BD75" t="s">
        <v>1454</v>
      </c>
      <c r="BE75" t="s">
        <v>615</v>
      </c>
      <c r="BF75"/>
      <c r="BG75" t="s">
        <v>616</v>
      </c>
      <c r="BH75" t="s">
        <v>1454</v>
      </c>
      <c r="BI75" t="s">
        <v>616</v>
      </c>
      <c r="BJ75"/>
      <c r="BK75" t="s">
        <v>617</v>
      </c>
      <c r="BL75" t="s">
        <v>1454</v>
      </c>
      <c r="BM75" t="s">
        <v>617</v>
      </c>
      <c r="BN75"/>
      <c r="BO75" t="s">
        <v>618</v>
      </c>
      <c r="BP75" t="s">
        <v>1454</v>
      </c>
      <c r="BQ75" t="s">
        <v>618</v>
      </c>
      <c r="BR75"/>
      <c r="BS75" t="s">
        <v>619</v>
      </c>
      <c r="BT75" t="s">
        <v>1454</v>
      </c>
      <c r="BU75" t="s">
        <v>1454</v>
      </c>
      <c r="BV75"/>
      <c r="BW75" t="s">
        <v>1454</v>
      </c>
      <c r="BX75" t="s">
        <v>1454</v>
      </c>
      <c r="BY75" t="s">
        <v>1454</v>
      </c>
      <c r="BZ75"/>
      <c r="CA75" t="s">
        <v>1454</v>
      </c>
      <c r="CB75" t="s">
        <v>1454</v>
      </c>
      <c r="CC75" t="s">
        <v>1454</v>
      </c>
      <c r="CD75"/>
      <c r="CE75" t="s">
        <v>1454</v>
      </c>
      <c r="CF75" t="s">
        <v>622</v>
      </c>
      <c r="CG75" t="s">
        <v>1454</v>
      </c>
      <c r="CH75"/>
      <c r="CI75" t="s">
        <v>623</v>
      </c>
      <c r="CJ75" t="s">
        <v>1454</v>
      </c>
      <c r="CK75" t="s">
        <v>623</v>
      </c>
      <c r="CL75"/>
      <c r="CM75" t="s">
        <v>624</v>
      </c>
      <c r="CN75" t="s">
        <v>1454</v>
      </c>
      <c r="CO75" t="s">
        <v>1454</v>
      </c>
      <c r="CP75"/>
      <c r="CQ75" t="s">
        <v>625</v>
      </c>
      <c r="CR75" t="s">
        <v>1454</v>
      </c>
      <c r="CS75" t="s">
        <v>625</v>
      </c>
      <c r="CT75"/>
      <c r="CU75" t="s">
        <v>626</v>
      </c>
      <c r="CV75" t="s">
        <v>1454</v>
      </c>
      <c r="CW75" t="s">
        <v>626</v>
      </c>
      <c r="CX75"/>
      <c r="CY75" t="s">
        <v>627</v>
      </c>
      <c r="CZ75" t="s">
        <v>1454</v>
      </c>
      <c r="DA75" t="s">
        <v>1454</v>
      </c>
      <c r="DB75"/>
      <c r="DC75" t="s">
        <v>628</v>
      </c>
      <c r="DD75" t="s">
        <v>1454</v>
      </c>
      <c r="DE75" t="s">
        <v>628</v>
      </c>
      <c r="DF75"/>
      <c r="DG75" t="s">
        <v>1454</v>
      </c>
      <c r="DH75" t="s">
        <v>1454</v>
      </c>
      <c r="DI75" t="s">
        <v>1454</v>
      </c>
      <c r="DJ75"/>
      <c r="DK75" t="s">
        <v>1454</v>
      </c>
      <c r="DL75" t="s">
        <v>1454</v>
      </c>
      <c r="DM75" t="s">
        <v>630</v>
      </c>
      <c r="DN75"/>
      <c r="DO75" t="s">
        <v>1454</v>
      </c>
      <c r="DP75" t="s">
        <v>1454</v>
      </c>
      <c r="DQ75" t="s">
        <v>631</v>
      </c>
      <c r="DR75"/>
      <c r="DS75" t="s">
        <v>1454</v>
      </c>
      <c r="DT75" t="s">
        <v>1454</v>
      </c>
      <c r="DU75" t="s">
        <v>1454</v>
      </c>
      <c r="DV75"/>
      <c r="DW75" t="s">
        <v>1454</v>
      </c>
      <c r="DX75" t="s">
        <v>1454</v>
      </c>
      <c r="DY75" t="s">
        <v>1454</v>
      </c>
      <c r="DZ75"/>
      <c r="EA75" t="s">
        <v>1454</v>
      </c>
      <c r="EB75" t="s">
        <v>1454</v>
      </c>
      <c r="EC75" t="s">
        <v>634</v>
      </c>
      <c r="ED75"/>
      <c r="EE75" t="s">
        <v>635</v>
      </c>
      <c r="EF75" t="s">
        <v>1454</v>
      </c>
      <c r="EG75" t="s">
        <v>635</v>
      </c>
      <c r="EH75"/>
      <c r="EI75" t="s">
        <v>636</v>
      </c>
      <c r="EJ75" t="s">
        <v>1454</v>
      </c>
      <c r="EK75" t="s">
        <v>636</v>
      </c>
      <c r="EL75"/>
      <c r="EM75" t="s">
        <v>1454</v>
      </c>
      <c r="EN75" t="s">
        <v>1454</v>
      </c>
      <c r="EO75" t="s">
        <v>1454</v>
      </c>
      <c r="EP75"/>
      <c r="EQ75" t="s">
        <v>638</v>
      </c>
      <c r="ER75" t="s">
        <v>1454</v>
      </c>
      <c r="ES75" t="s">
        <v>638</v>
      </c>
      <c r="ET75"/>
      <c r="EU75" t="s">
        <v>1454</v>
      </c>
      <c r="EV75" t="s">
        <v>1454</v>
      </c>
      <c r="EW75" t="s">
        <v>1454</v>
      </c>
      <c r="EX75"/>
      <c r="EY75" t="s">
        <v>1454</v>
      </c>
      <c r="EZ75" t="s">
        <v>1454</v>
      </c>
      <c r="FA75" t="s">
        <v>1454</v>
      </c>
      <c r="FB75"/>
      <c r="FC75" t="s">
        <v>1454</v>
      </c>
      <c r="FD75" t="s">
        <v>1454</v>
      </c>
      <c r="FE75" t="s">
        <v>1454</v>
      </c>
      <c r="FF75"/>
      <c r="FG75" t="s">
        <v>1454</v>
      </c>
      <c r="FH75" t="s">
        <v>1454</v>
      </c>
      <c r="FI75" t="s">
        <v>642</v>
      </c>
      <c r="FJ75"/>
      <c r="FK75" t="s">
        <v>1454</v>
      </c>
      <c r="FL75" t="s">
        <v>1454</v>
      </c>
      <c r="FM75" t="s">
        <v>643</v>
      </c>
      <c r="FN75"/>
      <c r="FO75" t="s">
        <v>1454</v>
      </c>
      <c r="FP75" t="s">
        <v>1454</v>
      </c>
      <c r="FQ75" t="s">
        <v>602</v>
      </c>
      <c r="FR75"/>
      <c r="FS75" t="s">
        <v>644</v>
      </c>
      <c r="FT75" t="s">
        <v>1454</v>
      </c>
      <c r="FU75" t="s">
        <v>644</v>
      </c>
      <c r="FV75"/>
      <c r="FW75" t="s">
        <v>1454</v>
      </c>
      <c r="FX75" t="s">
        <v>1454</v>
      </c>
      <c r="FY75" t="s">
        <v>1454</v>
      </c>
      <c r="FZ75"/>
      <c r="GA75" t="s">
        <v>646</v>
      </c>
      <c r="GB75" t="s">
        <v>1454</v>
      </c>
      <c r="GC75" t="s">
        <v>646</v>
      </c>
      <c r="GD75"/>
      <c r="GE75" t="s">
        <v>647</v>
      </c>
      <c r="GF75" t="s">
        <v>1454</v>
      </c>
      <c r="GG75" t="s">
        <v>647</v>
      </c>
      <c r="GH75"/>
      <c r="GI75" t="s">
        <v>648</v>
      </c>
      <c r="GJ75" t="s">
        <v>1454</v>
      </c>
      <c r="GK75" t="s">
        <v>648</v>
      </c>
      <c r="GL75"/>
      <c r="GM75" t="s">
        <v>649</v>
      </c>
      <c r="GN75" t="s">
        <v>1454</v>
      </c>
      <c r="GO75" t="s">
        <v>1454</v>
      </c>
      <c r="GP75"/>
      <c r="GQ75" t="s">
        <v>1581</v>
      </c>
      <c r="GR75" t="s">
        <v>1582</v>
      </c>
      <c r="GS75" t="s">
        <v>1583</v>
      </c>
    </row>
    <row r="76" spans="2:201" x14ac:dyDescent="0.25">
      <c r="B76" t="s">
        <v>461</v>
      </c>
      <c r="C76" t="s">
        <v>1454</v>
      </c>
      <c r="D76" t="s">
        <v>1454</v>
      </c>
      <c r="E76" t="s">
        <v>1454</v>
      </c>
      <c r="G76" t="s">
        <v>1454</v>
      </c>
      <c r="H76" t="s">
        <v>1454</v>
      </c>
      <c r="I76" t="s">
        <v>1454</v>
      </c>
      <c r="K76" t="s">
        <v>1454</v>
      </c>
      <c r="L76" t="s">
        <v>1454</v>
      </c>
      <c r="M76" t="s">
        <v>1454</v>
      </c>
      <c r="O76" t="s">
        <v>1454</v>
      </c>
      <c r="P76" t="s">
        <v>1454</v>
      </c>
      <c r="Q76" t="s">
        <v>1454</v>
      </c>
      <c r="S76" t="s">
        <v>1454</v>
      </c>
      <c r="T76" t="s">
        <v>1454</v>
      </c>
      <c r="U76" t="s">
        <v>1454</v>
      </c>
      <c r="W76" t="s">
        <v>1454</v>
      </c>
      <c r="X76" t="s">
        <v>1454</v>
      </c>
      <c r="Y76" t="s">
        <v>1454</v>
      </c>
      <c r="AA76" t="s">
        <v>1454</v>
      </c>
      <c r="AB76" t="s">
        <v>1454</v>
      </c>
      <c r="AC76" t="s">
        <v>1454</v>
      </c>
      <c r="AE76" t="s">
        <v>1454</v>
      </c>
      <c r="AF76" t="s">
        <v>1454</v>
      </c>
      <c r="AG76" t="s">
        <v>1454</v>
      </c>
      <c r="AI76" t="s">
        <v>1454</v>
      </c>
      <c r="AJ76" t="s">
        <v>1454</v>
      </c>
      <c r="AK76" t="s">
        <v>1454</v>
      </c>
      <c r="AM76" t="s">
        <v>1454</v>
      </c>
      <c r="AN76" t="s">
        <v>1454</v>
      </c>
      <c r="AO76" t="s">
        <v>1454</v>
      </c>
      <c r="AQ76" t="s">
        <v>1454</v>
      </c>
      <c r="AR76" t="s">
        <v>1454</v>
      </c>
      <c r="AS76" t="s">
        <v>1454</v>
      </c>
      <c r="AU76" t="s">
        <v>1454</v>
      </c>
      <c r="AV76" t="s">
        <v>1454</v>
      </c>
      <c r="AW76" t="s">
        <v>1454</v>
      </c>
      <c r="AY76" t="s">
        <v>1454</v>
      </c>
      <c r="AZ76" t="s">
        <v>1454</v>
      </c>
      <c r="BA76" t="s">
        <v>1454</v>
      </c>
      <c r="BC76" t="s">
        <v>1454</v>
      </c>
      <c r="BD76" t="s">
        <v>1454</v>
      </c>
      <c r="BE76" t="s">
        <v>1454</v>
      </c>
      <c r="BG76" t="s">
        <v>1454</v>
      </c>
      <c r="BH76" t="s">
        <v>1454</v>
      </c>
      <c r="BI76" t="s">
        <v>1454</v>
      </c>
      <c r="BK76" t="s">
        <v>1454</v>
      </c>
      <c r="BL76" t="s">
        <v>1454</v>
      </c>
      <c r="BM76" t="s">
        <v>1454</v>
      </c>
      <c r="BO76" t="s">
        <v>1454</v>
      </c>
      <c r="BP76" t="s">
        <v>1454</v>
      </c>
      <c r="BQ76" t="s">
        <v>1454</v>
      </c>
      <c r="BS76" t="s">
        <v>1454</v>
      </c>
      <c r="BT76" t="s">
        <v>1454</v>
      </c>
      <c r="BU76" t="s">
        <v>1454</v>
      </c>
      <c r="BW76" t="s">
        <v>1454</v>
      </c>
      <c r="BX76" t="s">
        <v>1454</v>
      </c>
      <c r="BY76" t="s">
        <v>1454</v>
      </c>
      <c r="CA76" t="s">
        <v>1454</v>
      </c>
      <c r="CB76" t="s">
        <v>1454</v>
      </c>
      <c r="CC76" t="s">
        <v>1454</v>
      </c>
      <c r="CE76" t="s">
        <v>1454</v>
      </c>
      <c r="CF76" t="s">
        <v>622</v>
      </c>
      <c r="CG76" t="s">
        <v>1454</v>
      </c>
      <c r="CI76" t="s">
        <v>1454</v>
      </c>
      <c r="CJ76" t="s">
        <v>1454</v>
      </c>
      <c r="CK76" t="s">
        <v>623</v>
      </c>
      <c r="CM76" t="s">
        <v>624</v>
      </c>
      <c r="CN76" t="s">
        <v>1454</v>
      </c>
      <c r="CO76" t="s">
        <v>624</v>
      </c>
      <c r="CQ76" t="s">
        <v>625</v>
      </c>
      <c r="CR76" t="s">
        <v>1454</v>
      </c>
      <c r="CS76" t="s">
        <v>625</v>
      </c>
      <c r="CU76" t="s">
        <v>1454</v>
      </c>
      <c r="CV76" t="s">
        <v>1454</v>
      </c>
      <c r="CW76" t="s">
        <v>1454</v>
      </c>
      <c r="CY76" t="s">
        <v>1454</v>
      </c>
      <c r="CZ76" t="s">
        <v>1454</v>
      </c>
      <c r="DA76" t="s">
        <v>1454</v>
      </c>
      <c r="DC76" t="s">
        <v>628</v>
      </c>
      <c r="DD76" t="s">
        <v>1454</v>
      </c>
      <c r="DE76" t="s">
        <v>1454</v>
      </c>
      <c r="DG76" t="s">
        <v>1454</v>
      </c>
      <c r="DH76" t="s">
        <v>1454</v>
      </c>
      <c r="DI76" t="s">
        <v>1454</v>
      </c>
      <c r="DK76" t="s">
        <v>630</v>
      </c>
      <c r="DL76" t="s">
        <v>1454</v>
      </c>
      <c r="DM76" t="s">
        <v>1454</v>
      </c>
      <c r="DO76" t="s">
        <v>1454</v>
      </c>
      <c r="DP76" t="s">
        <v>1454</v>
      </c>
      <c r="DQ76" t="s">
        <v>1454</v>
      </c>
      <c r="DS76" t="s">
        <v>1454</v>
      </c>
      <c r="DT76" t="s">
        <v>1454</v>
      </c>
      <c r="DU76" t="s">
        <v>1454</v>
      </c>
      <c r="DW76" t="s">
        <v>1454</v>
      </c>
      <c r="DX76" t="s">
        <v>1454</v>
      </c>
      <c r="DY76" t="s">
        <v>1454</v>
      </c>
      <c r="EA76" t="s">
        <v>634</v>
      </c>
      <c r="EB76" t="s">
        <v>1454</v>
      </c>
      <c r="EC76" t="s">
        <v>1454</v>
      </c>
      <c r="EE76" t="s">
        <v>635</v>
      </c>
      <c r="EF76" t="s">
        <v>1454</v>
      </c>
      <c r="EG76" t="s">
        <v>635</v>
      </c>
      <c r="EI76" t="s">
        <v>1454</v>
      </c>
      <c r="EJ76" t="s">
        <v>1454</v>
      </c>
      <c r="EK76" t="s">
        <v>1454</v>
      </c>
      <c r="EM76" t="s">
        <v>1454</v>
      </c>
      <c r="EN76" t="s">
        <v>1454</v>
      </c>
      <c r="EO76" t="s">
        <v>1454</v>
      </c>
      <c r="EQ76" t="s">
        <v>638</v>
      </c>
      <c r="ER76" t="s">
        <v>1454</v>
      </c>
      <c r="ES76" t="s">
        <v>1454</v>
      </c>
      <c r="EU76" t="s">
        <v>639</v>
      </c>
      <c r="EV76" t="s">
        <v>1454</v>
      </c>
      <c r="EW76" t="s">
        <v>1454</v>
      </c>
      <c r="EY76" t="s">
        <v>1454</v>
      </c>
      <c r="EZ76" t="s">
        <v>1454</v>
      </c>
      <c r="FA76" t="s">
        <v>1454</v>
      </c>
      <c r="FC76" t="s">
        <v>1454</v>
      </c>
      <c r="FD76" t="s">
        <v>1454</v>
      </c>
      <c r="FE76" t="s">
        <v>1454</v>
      </c>
      <c r="FG76" t="s">
        <v>1454</v>
      </c>
      <c r="FH76" t="s">
        <v>1454</v>
      </c>
      <c r="FI76" t="s">
        <v>1454</v>
      </c>
      <c r="FK76" t="s">
        <v>1454</v>
      </c>
      <c r="FL76" t="s">
        <v>1454</v>
      </c>
      <c r="FM76" t="s">
        <v>1454</v>
      </c>
      <c r="FO76" t="s">
        <v>1454</v>
      </c>
      <c r="FP76" t="s">
        <v>1454</v>
      </c>
      <c r="FQ76" t="s">
        <v>1454</v>
      </c>
      <c r="FS76" t="s">
        <v>1454</v>
      </c>
      <c r="FT76" t="s">
        <v>1454</v>
      </c>
      <c r="FU76" t="s">
        <v>1454</v>
      </c>
      <c r="FW76" t="s">
        <v>1454</v>
      </c>
      <c r="FX76" t="s">
        <v>1454</v>
      </c>
      <c r="FY76" t="s">
        <v>1454</v>
      </c>
      <c r="GA76" t="s">
        <v>646</v>
      </c>
      <c r="GB76" t="s">
        <v>1454</v>
      </c>
      <c r="GC76" t="s">
        <v>646</v>
      </c>
      <c r="GE76" t="s">
        <v>1454</v>
      </c>
      <c r="GF76" t="s">
        <v>1454</v>
      </c>
      <c r="GG76" t="s">
        <v>1454</v>
      </c>
      <c r="GI76" t="s">
        <v>1454</v>
      </c>
      <c r="GJ76" t="s">
        <v>1454</v>
      </c>
      <c r="GK76" t="s">
        <v>1454</v>
      </c>
      <c r="GM76" t="s">
        <v>649</v>
      </c>
      <c r="GN76" t="s">
        <v>1454</v>
      </c>
      <c r="GO76" t="s">
        <v>1454</v>
      </c>
      <c r="GQ76" t="s">
        <v>1584</v>
      </c>
      <c r="GR76" t="s">
        <v>1582</v>
      </c>
      <c r="GS76" t="s">
        <v>1585</v>
      </c>
    </row>
    <row r="77" spans="2:201" x14ac:dyDescent="0.25">
      <c r="B77" t="s">
        <v>462</v>
      </c>
      <c r="C77" t="s">
        <v>1454</v>
      </c>
      <c r="D77" t="s">
        <v>1454</v>
      </c>
      <c r="E77" t="s">
        <v>1454</v>
      </c>
      <c r="G77" t="s">
        <v>1454</v>
      </c>
      <c r="H77" t="s">
        <v>1454</v>
      </c>
      <c r="I77" t="s">
        <v>1454</v>
      </c>
      <c r="K77" t="s">
        <v>1454</v>
      </c>
      <c r="L77" t="s">
        <v>1454</v>
      </c>
      <c r="M77" t="s">
        <v>1454</v>
      </c>
      <c r="O77" t="s">
        <v>1454</v>
      </c>
      <c r="P77" t="s">
        <v>1454</v>
      </c>
      <c r="Q77" t="s">
        <v>1454</v>
      </c>
      <c r="S77" t="s">
        <v>1454</v>
      </c>
      <c r="T77" t="s">
        <v>1454</v>
      </c>
      <c r="U77" t="s">
        <v>1454</v>
      </c>
      <c r="W77" t="s">
        <v>1454</v>
      </c>
      <c r="X77" t="s">
        <v>1454</v>
      </c>
      <c r="Y77" t="s">
        <v>1454</v>
      </c>
      <c r="AA77" t="s">
        <v>1454</v>
      </c>
      <c r="AB77" t="s">
        <v>1454</v>
      </c>
      <c r="AC77" t="s">
        <v>1454</v>
      </c>
      <c r="AE77" t="s">
        <v>1454</v>
      </c>
      <c r="AF77" t="s">
        <v>1454</v>
      </c>
      <c r="AG77" t="s">
        <v>1454</v>
      </c>
      <c r="AI77" t="s">
        <v>1454</v>
      </c>
      <c r="AJ77" t="s">
        <v>1454</v>
      </c>
      <c r="AK77" t="s">
        <v>1454</v>
      </c>
      <c r="AM77" t="s">
        <v>1454</v>
      </c>
      <c r="AN77" t="s">
        <v>1454</v>
      </c>
      <c r="AO77" t="s">
        <v>1454</v>
      </c>
      <c r="AQ77" t="s">
        <v>1454</v>
      </c>
      <c r="AR77" t="s">
        <v>1454</v>
      </c>
      <c r="AS77" t="s">
        <v>1454</v>
      </c>
      <c r="AU77" t="s">
        <v>1454</v>
      </c>
      <c r="AV77" t="s">
        <v>613</v>
      </c>
      <c r="AW77" t="s">
        <v>1454</v>
      </c>
      <c r="AY77" t="s">
        <v>1454</v>
      </c>
      <c r="AZ77" t="s">
        <v>1454</v>
      </c>
      <c r="BA77" t="s">
        <v>1454</v>
      </c>
      <c r="BC77" t="s">
        <v>1454</v>
      </c>
      <c r="BD77" t="s">
        <v>1454</v>
      </c>
      <c r="BE77" t="s">
        <v>1454</v>
      </c>
      <c r="BG77" t="s">
        <v>1454</v>
      </c>
      <c r="BH77" t="s">
        <v>1454</v>
      </c>
      <c r="BI77" t="s">
        <v>1454</v>
      </c>
      <c r="BK77" t="s">
        <v>1454</v>
      </c>
      <c r="BL77" t="s">
        <v>1454</v>
      </c>
      <c r="BM77" t="s">
        <v>1454</v>
      </c>
      <c r="BO77" t="s">
        <v>1454</v>
      </c>
      <c r="BP77" t="s">
        <v>1454</v>
      </c>
      <c r="BQ77" t="s">
        <v>1454</v>
      </c>
      <c r="BS77" t="s">
        <v>1454</v>
      </c>
      <c r="BT77" t="s">
        <v>1454</v>
      </c>
      <c r="BU77" t="s">
        <v>1454</v>
      </c>
      <c r="BW77" t="s">
        <v>1454</v>
      </c>
      <c r="BX77" t="s">
        <v>1454</v>
      </c>
      <c r="BY77" t="s">
        <v>1454</v>
      </c>
      <c r="CA77" t="s">
        <v>1454</v>
      </c>
      <c r="CB77" t="s">
        <v>1454</v>
      </c>
      <c r="CC77" t="s">
        <v>1454</v>
      </c>
      <c r="CE77" t="s">
        <v>1454</v>
      </c>
      <c r="CF77" t="s">
        <v>1454</v>
      </c>
      <c r="CG77" t="s">
        <v>1454</v>
      </c>
      <c r="CI77" t="s">
        <v>1454</v>
      </c>
      <c r="CJ77" t="s">
        <v>1454</v>
      </c>
      <c r="CK77" t="s">
        <v>1454</v>
      </c>
      <c r="CM77" t="s">
        <v>1454</v>
      </c>
      <c r="CN77" t="s">
        <v>1454</v>
      </c>
      <c r="CO77" t="s">
        <v>1454</v>
      </c>
      <c r="CQ77" t="s">
        <v>1454</v>
      </c>
      <c r="CR77" t="s">
        <v>1454</v>
      </c>
      <c r="CS77" t="s">
        <v>1454</v>
      </c>
      <c r="CU77" t="s">
        <v>1454</v>
      </c>
      <c r="CV77" t="s">
        <v>1454</v>
      </c>
      <c r="CW77" t="s">
        <v>1454</v>
      </c>
      <c r="CY77" t="s">
        <v>1454</v>
      </c>
      <c r="CZ77" t="s">
        <v>1454</v>
      </c>
      <c r="DA77" t="s">
        <v>1454</v>
      </c>
      <c r="DC77" t="s">
        <v>1454</v>
      </c>
      <c r="DD77" t="s">
        <v>1454</v>
      </c>
      <c r="DE77" t="s">
        <v>1454</v>
      </c>
      <c r="DG77" t="s">
        <v>1454</v>
      </c>
      <c r="DH77" t="s">
        <v>1454</v>
      </c>
      <c r="DI77" t="s">
        <v>1454</v>
      </c>
      <c r="DK77" t="s">
        <v>1454</v>
      </c>
      <c r="DL77" t="s">
        <v>1454</v>
      </c>
      <c r="DM77" t="s">
        <v>1454</v>
      </c>
      <c r="DO77" t="s">
        <v>1454</v>
      </c>
      <c r="DP77" t="s">
        <v>1454</v>
      </c>
      <c r="DQ77" t="s">
        <v>1454</v>
      </c>
      <c r="DS77" t="s">
        <v>1454</v>
      </c>
      <c r="DT77" t="s">
        <v>1454</v>
      </c>
      <c r="DU77" t="s">
        <v>1454</v>
      </c>
      <c r="DW77" t="s">
        <v>1454</v>
      </c>
      <c r="DX77" t="s">
        <v>1454</v>
      </c>
      <c r="DY77" t="s">
        <v>1454</v>
      </c>
      <c r="EA77" t="s">
        <v>1454</v>
      </c>
      <c r="EB77" t="s">
        <v>1454</v>
      </c>
      <c r="EC77" t="s">
        <v>1454</v>
      </c>
      <c r="EE77" t="s">
        <v>1454</v>
      </c>
      <c r="EF77" t="s">
        <v>1454</v>
      </c>
      <c r="EG77" t="s">
        <v>1454</v>
      </c>
      <c r="EI77" t="s">
        <v>1454</v>
      </c>
      <c r="EJ77" t="s">
        <v>1454</v>
      </c>
      <c r="EK77" t="s">
        <v>1454</v>
      </c>
      <c r="EM77" t="s">
        <v>1454</v>
      </c>
      <c r="EN77" t="s">
        <v>1454</v>
      </c>
      <c r="EO77" t="s">
        <v>1454</v>
      </c>
      <c r="EQ77" t="s">
        <v>1454</v>
      </c>
      <c r="ER77" t="s">
        <v>1454</v>
      </c>
      <c r="ES77" t="s">
        <v>1454</v>
      </c>
      <c r="EU77" t="s">
        <v>1454</v>
      </c>
      <c r="EV77" t="s">
        <v>1454</v>
      </c>
      <c r="EW77" t="s">
        <v>1454</v>
      </c>
      <c r="EY77" t="s">
        <v>1454</v>
      </c>
      <c r="EZ77" t="s">
        <v>1454</v>
      </c>
      <c r="FA77" t="s">
        <v>1454</v>
      </c>
      <c r="FC77" t="s">
        <v>1454</v>
      </c>
      <c r="FD77" t="s">
        <v>1454</v>
      </c>
      <c r="FE77" t="s">
        <v>1454</v>
      </c>
      <c r="FG77" t="s">
        <v>642</v>
      </c>
      <c r="FH77" t="s">
        <v>1454</v>
      </c>
      <c r="FI77" t="s">
        <v>642</v>
      </c>
      <c r="FK77" t="s">
        <v>1454</v>
      </c>
      <c r="FL77" t="s">
        <v>1454</v>
      </c>
      <c r="FM77" t="s">
        <v>1454</v>
      </c>
      <c r="FO77" t="s">
        <v>1454</v>
      </c>
      <c r="FP77" t="s">
        <v>1454</v>
      </c>
      <c r="FQ77" t="s">
        <v>1454</v>
      </c>
      <c r="FS77" t="s">
        <v>1454</v>
      </c>
      <c r="FT77" t="s">
        <v>1454</v>
      </c>
      <c r="FU77" t="s">
        <v>1454</v>
      </c>
      <c r="FW77" t="s">
        <v>1454</v>
      </c>
      <c r="FX77" t="s">
        <v>1454</v>
      </c>
      <c r="FY77" t="s">
        <v>1454</v>
      </c>
      <c r="GA77" t="s">
        <v>1454</v>
      </c>
      <c r="GB77" t="s">
        <v>1454</v>
      </c>
      <c r="GC77" t="s">
        <v>1454</v>
      </c>
      <c r="GE77" t="s">
        <v>1454</v>
      </c>
      <c r="GF77" t="s">
        <v>1454</v>
      </c>
      <c r="GG77" t="s">
        <v>1454</v>
      </c>
      <c r="GI77" t="s">
        <v>1454</v>
      </c>
      <c r="GJ77" t="s">
        <v>1454</v>
      </c>
      <c r="GK77" t="s">
        <v>1454</v>
      </c>
      <c r="GM77" t="s">
        <v>1454</v>
      </c>
      <c r="GN77" t="s">
        <v>1454</v>
      </c>
      <c r="GO77" t="s">
        <v>1454</v>
      </c>
      <c r="GQ77" t="s">
        <v>1556</v>
      </c>
      <c r="GR77" t="s">
        <v>1522</v>
      </c>
      <c r="GS77" t="s">
        <v>1556</v>
      </c>
    </row>
    <row r="78" spans="2:201" x14ac:dyDescent="0.25">
      <c r="B78" t="s">
        <v>463</v>
      </c>
      <c r="C78" t="s">
        <v>1454</v>
      </c>
      <c r="D78" t="s">
        <v>1454</v>
      </c>
      <c r="E78" t="s">
        <v>1454</v>
      </c>
      <c r="G78" t="s">
        <v>1454</v>
      </c>
      <c r="H78" t="s">
        <v>1454</v>
      </c>
      <c r="I78" t="s">
        <v>1454</v>
      </c>
      <c r="K78" t="s">
        <v>1454</v>
      </c>
      <c r="L78" t="s">
        <v>1454</v>
      </c>
      <c r="M78" t="s">
        <v>1454</v>
      </c>
      <c r="O78" t="s">
        <v>1454</v>
      </c>
      <c r="P78" t="s">
        <v>1454</v>
      </c>
      <c r="Q78" t="s">
        <v>1454</v>
      </c>
      <c r="S78" t="s">
        <v>1454</v>
      </c>
      <c r="T78" t="s">
        <v>1454</v>
      </c>
      <c r="U78" t="s">
        <v>1454</v>
      </c>
      <c r="W78" t="s">
        <v>1454</v>
      </c>
      <c r="X78" t="s">
        <v>1454</v>
      </c>
      <c r="Y78" t="s">
        <v>1454</v>
      </c>
      <c r="AA78" t="s">
        <v>1454</v>
      </c>
      <c r="AB78" t="s">
        <v>1454</v>
      </c>
      <c r="AC78" t="s">
        <v>1454</v>
      </c>
      <c r="AE78" t="s">
        <v>1454</v>
      </c>
      <c r="AF78" t="s">
        <v>1454</v>
      </c>
      <c r="AG78" t="s">
        <v>1454</v>
      </c>
      <c r="AI78" t="s">
        <v>1454</v>
      </c>
      <c r="AJ78" t="s">
        <v>1454</v>
      </c>
      <c r="AK78" t="s">
        <v>1454</v>
      </c>
      <c r="AM78" t="s">
        <v>1454</v>
      </c>
      <c r="AN78" t="s">
        <v>1454</v>
      </c>
      <c r="AO78" t="s">
        <v>1454</v>
      </c>
      <c r="AQ78" t="s">
        <v>1454</v>
      </c>
      <c r="AR78" t="s">
        <v>1454</v>
      </c>
      <c r="AS78" t="s">
        <v>1454</v>
      </c>
      <c r="AU78" t="s">
        <v>1454</v>
      </c>
      <c r="AV78" t="s">
        <v>1454</v>
      </c>
      <c r="AW78" t="s">
        <v>1454</v>
      </c>
      <c r="AY78" t="s">
        <v>1454</v>
      </c>
      <c r="AZ78" t="s">
        <v>1454</v>
      </c>
      <c r="BA78" t="s">
        <v>1454</v>
      </c>
      <c r="BC78" t="s">
        <v>1454</v>
      </c>
      <c r="BD78" t="s">
        <v>1454</v>
      </c>
      <c r="BE78" t="s">
        <v>1454</v>
      </c>
      <c r="BG78" t="s">
        <v>1454</v>
      </c>
      <c r="BH78" t="s">
        <v>1454</v>
      </c>
      <c r="BI78" t="s">
        <v>1454</v>
      </c>
      <c r="BK78" t="s">
        <v>1454</v>
      </c>
      <c r="BL78" t="s">
        <v>1454</v>
      </c>
      <c r="BM78" t="s">
        <v>1454</v>
      </c>
      <c r="BO78" t="s">
        <v>1454</v>
      </c>
      <c r="BP78" t="s">
        <v>1454</v>
      </c>
      <c r="BQ78" t="s">
        <v>1454</v>
      </c>
      <c r="BS78" t="s">
        <v>1454</v>
      </c>
      <c r="BT78" t="s">
        <v>1454</v>
      </c>
      <c r="BU78" t="s">
        <v>1454</v>
      </c>
      <c r="BW78" t="s">
        <v>1454</v>
      </c>
      <c r="BX78" t="s">
        <v>1454</v>
      </c>
      <c r="BY78" t="s">
        <v>1454</v>
      </c>
      <c r="CA78" t="s">
        <v>1454</v>
      </c>
      <c r="CB78" t="s">
        <v>1454</v>
      </c>
      <c r="CC78" t="s">
        <v>1454</v>
      </c>
      <c r="CE78" t="s">
        <v>1454</v>
      </c>
      <c r="CF78" t="s">
        <v>1454</v>
      </c>
      <c r="CG78" t="s">
        <v>1454</v>
      </c>
      <c r="CI78" t="s">
        <v>1454</v>
      </c>
      <c r="CJ78" t="s">
        <v>1454</v>
      </c>
      <c r="CK78" t="s">
        <v>1454</v>
      </c>
      <c r="CM78" t="s">
        <v>624</v>
      </c>
      <c r="CN78" t="s">
        <v>1454</v>
      </c>
      <c r="CO78" t="s">
        <v>1454</v>
      </c>
      <c r="CQ78" t="s">
        <v>1454</v>
      </c>
      <c r="CR78" t="s">
        <v>1454</v>
      </c>
      <c r="CS78" t="s">
        <v>1454</v>
      </c>
      <c r="CU78" t="s">
        <v>1454</v>
      </c>
      <c r="CV78" t="s">
        <v>1454</v>
      </c>
      <c r="CW78" t="s">
        <v>1454</v>
      </c>
      <c r="CY78" t="s">
        <v>1454</v>
      </c>
      <c r="CZ78" t="s">
        <v>1454</v>
      </c>
      <c r="DA78" t="s">
        <v>1454</v>
      </c>
      <c r="DC78" t="s">
        <v>1454</v>
      </c>
      <c r="DD78" t="s">
        <v>1454</v>
      </c>
      <c r="DE78" t="s">
        <v>1454</v>
      </c>
      <c r="DG78" t="s">
        <v>1454</v>
      </c>
      <c r="DH78" t="s">
        <v>1454</v>
      </c>
      <c r="DI78" t="s">
        <v>1454</v>
      </c>
      <c r="DK78" t="s">
        <v>1454</v>
      </c>
      <c r="DL78" t="s">
        <v>1454</v>
      </c>
      <c r="DM78" t="s">
        <v>1454</v>
      </c>
      <c r="DO78" t="s">
        <v>1454</v>
      </c>
      <c r="DP78" t="s">
        <v>1454</v>
      </c>
      <c r="DQ78" t="s">
        <v>1454</v>
      </c>
      <c r="DS78" t="s">
        <v>1454</v>
      </c>
      <c r="DT78" t="s">
        <v>1454</v>
      </c>
      <c r="DU78" t="s">
        <v>1454</v>
      </c>
      <c r="DW78" t="s">
        <v>1454</v>
      </c>
      <c r="DX78" t="s">
        <v>1454</v>
      </c>
      <c r="DY78" t="s">
        <v>1454</v>
      </c>
      <c r="EA78" t="s">
        <v>1454</v>
      </c>
      <c r="EB78" t="s">
        <v>1454</v>
      </c>
      <c r="EC78" t="s">
        <v>1454</v>
      </c>
      <c r="EE78" t="s">
        <v>1454</v>
      </c>
      <c r="EF78" t="s">
        <v>1454</v>
      </c>
      <c r="EG78" t="s">
        <v>1454</v>
      </c>
      <c r="EI78" t="s">
        <v>1454</v>
      </c>
      <c r="EJ78" t="s">
        <v>1454</v>
      </c>
      <c r="EK78" t="s">
        <v>1454</v>
      </c>
      <c r="EM78" t="s">
        <v>1454</v>
      </c>
      <c r="EN78" t="s">
        <v>1454</v>
      </c>
      <c r="EO78" t="s">
        <v>1454</v>
      </c>
      <c r="EQ78" t="s">
        <v>638</v>
      </c>
      <c r="ER78" t="s">
        <v>1454</v>
      </c>
      <c r="ES78" t="s">
        <v>638</v>
      </c>
      <c r="EU78" t="s">
        <v>1454</v>
      </c>
      <c r="EV78" t="s">
        <v>1454</v>
      </c>
      <c r="EW78" t="s">
        <v>1454</v>
      </c>
      <c r="EY78" t="s">
        <v>1454</v>
      </c>
      <c r="EZ78" t="s">
        <v>1454</v>
      </c>
      <c r="FA78" t="s">
        <v>1454</v>
      </c>
      <c r="FC78" t="s">
        <v>1454</v>
      </c>
      <c r="FD78" t="s">
        <v>1454</v>
      </c>
      <c r="FE78" t="s">
        <v>1454</v>
      </c>
      <c r="FG78" t="s">
        <v>1454</v>
      </c>
      <c r="FH78" t="s">
        <v>642</v>
      </c>
      <c r="FI78" t="s">
        <v>1454</v>
      </c>
      <c r="FK78" t="s">
        <v>1454</v>
      </c>
      <c r="FL78" t="s">
        <v>1454</v>
      </c>
      <c r="FM78" t="s">
        <v>1454</v>
      </c>
      <c r="FO78" t="s">
        <v>1454</v>
      </c>
      <c r="FP78" t="s">
        <v>1454</v>
      </c>
      <c r="FQ78" t="s">
        <v>1454</v>
      </c>
      <c r="FS78" t="s">
        <v>1454</v>
      </c>
      <c r="FT78" t="s">
        <v>1454</v>
      </c>
      <c r="FU78" t="s">
        <v>1454</v>
      </c>
      <c r="FW78" t="s">
        <v>1454</v>
      </c>
      <c r="FX78" t="s">
        <v>1454</v>
      </c>
      <c r="FY78" t="s">
        <v>1454</v>
      </c>
      <c r="GA78" t="s">
        <v>1454</v>
      </c>
      <c r="GB78" t="s">
        <v>1454</v>
      </c>
      <c r="GC78" t="s">
        <v>1454</v>
      </c>
      <c r="GE78" t="s">
        <v>1454</v>
      </c>
      <c r="GF78" t="s">
        <v>1454</v>
      </c>
      <c r="GG78" t="s">
        <v>1454</v>
      </c>
      <c r="GI78" t="s">
        <v>1454</v>
      </c>
      <c r="GJ78" t="s">
        <v>1454</v>
      </c>
      <c r="GK78" t="s">
        <v>1454</v>
      </c>
      <c r="GM78" t="s">
        <v>1454</v>
      </c>
      <c r="GN78" t="s">
        <v>1454</v>
      </c>
      <c r="GO78" t="s">
        <v>1454</v>
      </c>
      <c r="GQ78" t="s">
        <v>1543</v>
      </c>
      <c r="GR78" t="s">
        <v>1556</v>
      </c>
      <c r="GS78" t="s">
        <v>1479</v>
      </c>
    </row>
    <row r="79" spans="2:201" s="11" customFormat="1" x14ac:dyDescent="0.25">
      <c r="B79" t="s">
        <v>464</v>
      </c>
      <c r="C79" t="s">
        <v>1454</v>
      </c>
      <c r="D79" t="s">
        <v>1454</v>
      </c>
      <c r="E79" t="s">
        <v>1454</v>
      </c>
      <c r="F79"/>
      <c r="G79" t="s">
        <v>1454</v>
      </c>
      <c r="H79" t="s">
        <v>604</v>
      </c>
      <c r="I79" t="s">
        <v>1454</v>
      </c>
      <c r="J79"/>
      <c r="K79" t="s">
        <v>1454</v>
      </c>
      <c r="L79" t="s">
        <v>1454</v>
      </c>
      <c r="M79" t="s">
        <v>1454</v>
      </c>
      <c r="N79"/>
      <c r="O79" t="s">
        <v>1454</v>
      </c>
      <c r="P79" t="s">
        <v>1454</v>
      </c>
      <c r="Q79" t="s">
        <v>1454</v>
      </c>
      <c r="R79"/>
      <c r="S79" t="s">
        <v>606</v>
      </c>
      <c r="T79" t="s">
        <v>1454</v>
      </c>
      <c r="U79" t="s">
        <v>1454</v>
      </c>
      <c r="V79"/>
      <c r="W79" t="s">
        <v>1454</v>
      </c>
      <c r="X79" t="s">
        <v>1454</v>
      </c>
      <c r="Y79" t="s">
        <v>607</v>
      </c>
      <c r="Z79"/>
      <c r="AA79" t="s">
        <v>1454</v>
      </c>
      <c r="AB79" t="s">
        <v>1454</v>
      </c>
      <c r="AC79" t="s">
        <v>1454</v>
      </c>
      <c r="AD79"/>
      <c r="AE79" t="s">
        <v>1454</v>
      </c>
      <c r="AF79" t="s">
        <v>1454</v>
      </c>
      <c r="AG79" t="s">
        <v>1454</v>
      </c>
      <c r="AH79"/>
      <c r="AI79" t="s">
        <v>1454</v>
      </c>
      <c r="AJ79" t="s">
        <v>1454</v>
      </c>
      <c r="AK79" t="s">
        <v>1454</v>
      </c>
      <c r="AL79"/>
      <c r="AM79" t="s">
        <v>1454</v>
      </c>
      <c r="AN79" t="s">
        <v>1454</v>
      </c>
      <c r="AO79" t="s">
        <v>1454</v>
      </c>
      <c r="AP79"/>
      <c r="AQ79" t="s">
        <v>1454</v>
      </c>
      <c r="AR79" t="s">
        <v>1454</v>
      </c>
      <c r="AS79" t="s">
        <v>1454</v>
      </c>
      <c r="AT79"/>
      <c r="AU79" t="s">
        <v>1454</v>
      </c>
      <c r="AV79" t="s">
        <v>1454</v>
      </c>
      <c r="AW79" t="s">
        <v>1454</v>
      </c>
      <c r="AX79"/>
      <c r="AY79" t="s">
        <v>1454</v>
      </c>
      <c r="AZ79" t="s">
        <v>1454</v>
      </c>
      <c r="BA79" t="s">
        <v>1454</v>
      </c>
      <c r="BB79"/>
      <c r="BC79" t="s">
        <v>1454</v>
      </c>
      <c r="BD79" t="s">
        <v>1454</v>
      </c>
      <c r="BE79" t="s">
        <v>1454</v>
      </c>
      <c r="BF79"/>
      <c r="BG79" t="s">
        <v>1454</v>
      </c>
      <c r="BH79" t="s">
        <v>1454</v>
      </c>
      <c r="BI79" t="s">
        <v>1454</v>
      </c>
      <c r="BJ79"/>
      <c r="BK79" t="s">
        <v>617</v>
      </c>
      <c r="BL79" t="s">
        <v>1454</v>
      </c>
      <c r="BM79" t="s">
        <v>617</v>
      </c>
      <c r="BN79"/>
      <c r="BO79" t="s">
        <v>618</v>
      </c>
      <c r="BP79" t="s">
        <v>1454</v>
      </c>
      <c r="BQ79" t="s">
        <v>1454</v>
      </c>
      <c r="BR79"/>
      <c r="BS79" t="s">
        <v>1454</v>
      </c>
      <c r="BT79" t="s">
        <v>1454</v>
      </c>
      <c r="BU79" t="s">
        <v>1454</v>
      </c>
      <c r="BV79"/>
      <c r="BW79" t="s">
        <v>620</v>
      </c>
      <c r="BX79" t="s">
        <v>1454</v>
      </c>
      <c r="BY79" t="s">
        <v>620</v>
      </c>
      <c r="BZ79"/>
      <c r="CA79" t="s">
        <v>621</v>
      </c>
      <c r="CB79" t="s">
        <v>1454</v>
      </c>
      <c r="CC79" t="s">
        <v>1454</v>
      </c>
      <c r="CD79"/>
      <c r="CE79" t="s">
        <v>622</v>
      </c>
      <c r="CF79" t="s">
        <v>1454</v>
      </c>
      <c r="CG79" t="s">
        <v>1454</v>
      </c>
      <c r="CH79"/>
      <c r="CI79" t="s">
        <v>623</v>
      </c>
      <c r="CJ79" t="s">
        <v>1454</v>
      </c>
      <c r="CK79" t="s">
        <v>1454</v>
      </c>
      <c r="CL79"/>
      <c r="CM79" t="s">
        <v>1454</v>
      </c>
      <c r="CN79" t="s">
        <v>1454</v>
      </c>
      <c r="CO79" t="s">
        <v>1454</v>
      </c>
      <c r="CP79"/>
      <c r="CQ79" t="s">
        <v>625</v>
      </c>
      <c r="CR79" t="s">
        <v>1454</v>
      </c>
      <c r="CS79" t="s">
        <v>1454</v>
      </c>
      <c r="CT79"/>
      <c r="CU79" t="s">
        <v>626</v>
      </c>
      <c r="CV79" t="s">
        <v>1454</v>
      </c>
      <c r="CW79" t="s">
        <v>626</v>
      </c>
      <c r="CX79"/>
      <c r="CY79" t="s">
        <v>627</v>
      </c>
      <c r="CZ79" t="s">
        <v>1454</v>
      </c>
      <c r="DA79" t="s">
        <v>1454</v>
      </c>
      <c r="DB79"/>
      <c r="DC79" t="s">
        <v>1454</v>
      </c>
      <c r="DD79" t="s">
        <v>1454</v>
      </c>
      <c r="DE79" t="s">
        <v>628</v>
      </c>
      <c r="DF79"/>
      <c r="DG79" t="s">
        <v>629</v>
      </c>
      <c r="DH79" t="s">
        <v>1454</v>
      </c>
      <c r="DI79" t="s">
        <v>1454</v>
      </c>
      <c r="DJ79"/>
      <c r="DK79" t="s">
        <v>1454</v>
      </c>
      <c r="DL79" t="s">
        <v>1454</v>
      </c>
      <c r="DM79" t="s">
        <v>1454</v>
      </c>
      <c r="DN79"/>
      <c r="DO79" t="s">
        <v>631</v>
      </c>
      <c r="DP79" t="s">
        <v>1454</v>
      </c>
      <c r="DQ79" t="s">
        <v>631</v>
      </c>
      <c r="DR79"/>
      <c r="DS79" t="s">
        <v>1454</v>
      </c>
      <c r="DT79" t="s">
        <v>1454</v>
      </c>
      <c r="DU79" t="s">
        <v>1454</v>
      </c>
      <c r="DV79"/>
      <c r="DW79" t="s">
        <v>1454</v>
      </c>
      <c r="DX79" t="s">
        <v>1454</v>
      </c>
      <c r="DY79" t="s">
        <v>1454</v>
      </c>
      <c r="DZ79"/>
      <c r="EA79" t="s">
        <v>634</v>
      </c>
      <c r="EB79" t="s">
        <v>1454</v>
      </c>
      <c r="EC79" t="s">
        <v>634</v>
      </c>
      <c r="ED79"/>
      <c r="EE79" t="s">
        <v>1454</v>
      </c>
      <c r="EF79" t="s">
        <v>1454</v>
      </c>
      <c r="EG79" t="s">
        <v>1454</v>
      </c>
      <c r="EH79"/>
      <c r="EI79" t="s">
        <v>636</v>
      </c>
      <c r="EJ79" t="s">
        <v>1454</v>
      </c>
      <c r="EK79" t="s">
        <v>636</v>
      </c>
      <c r="EL79"/>
      <c r="EM79" t="s">
        <v>637</v>
      </c>
      <c r="EN79" t="s">
        <v>1454</v>
      </c>
      <c r="EO79" t="s">
        <v>637</v>
      </c>
      <c r="EP79"/>
      <c r="EQ79" t="s">
        <v>1454</v>
      </c>
      <c r="ER79" t="s">
        <v>1454</v>
      </c>
      <c r="ES79" t="s">
        <v>1454</v>
      </c>
      <c r="ET79"/>
      <c r="EU79" t="s">
        <v>1454</v>
      </c>
      <c r="EV79" t="s">
        <v>1454</v>
      </c>
      <c r="EW79" t="s">
        <v>1454</v>
      </c>
      <c r="EX79"/>
      <c r="EY79" t="s">
        <v>1454</v>
      </c>
      <c r="EZ79" t="s">
        <v>1454</v>
      </c>
      <c r="FA79" t="s">
        <v>1454</v>
      </c>
      <c r="FB79"/>
      <c r="FC79" t="s">
        <v>1454</v>
      </c>
      <c r="FD79" t="s">
        <v>1454</v>
      </c>
      <c r="FE79" t="s">
        <v>1454</v>
      </c>
      <c r="FF79"/>
      <c r="FG79" t="s">
        <v>1454</v>
      </c>
      <c r="FH79" t="s">
        <v>1454</v>
      </c>
      <c r="FI79" t="s">
        <v>1454</v>
      </c>
      <c r="FJ79"/>
      <c r="FK79" t="s">
        <v>1454</v>
      </c>
      <c r="FL79" t="s">
        <v>1454</v>
      </c>
      <c r="FM79" t="s">
        <v>1454</v>
      </c>
      <c r="FN79"/>
      <c r="FO79" t="s">
        <v>1454</v>
      </c>
      <c r="FP79" t="s">
        <v>1454</v>
      </c>
      <c r="FQ79" t="s">
        <v>1454</v>
      </c>
      <c r="FR79"/>
      <c r="FS79" t="s">
        <v>1454</v>
      </c>
      <c r="FT79" t="s">
        <v>1454</v>
      </c>
      <c r="FU79" t="s">
        <v>1454</v>
      </c>
      <c r="FV79"/>
      <c r="FW79" t="s">
        <v>1454</v>
      </c>
      <c r="FX79" t="s">
        <v>1454</v>
      </c>
      <c r="FY79" t="s">
        <v>645</v>
      </c>
      <c r="FZ79"/>
      <c r="GA79" t="s">
        <v>1454</v>
      </c>
      <c r="GB79" t="s">
        <v>1454</v>
      </c>
      <c r="GC79" t="s">
        <v>1454</v>
      </c>
      <c r="GD79"/>
      <c r="GE79" t="s">
        <v>647</v>
      </c>
      <c r="GF79" t="s">
        <v>1454</v>
      </c>
      <c r="GG79" t="s">
        <v>647</v>
      </c>
      <c r="GH79"/>
      <c r="GI79" t="s">
        <v>648</v>
      </c>
      <c r="GJ79" t="s">
        <v>1454</v>
      </c>
      <c r="GK79" t="s">
        <v>648</v>
      </c>
      <c r="GL79"/>
      <c r="GM79" t="s">
        <v>1454</v>
      </c>
      <c r="GN79" t="s">
        <v>1454</v>
      </c>
      <c r="GO79" t="s">
        <v>1454</v>
      </c>
      <c r="GP79"/>
      <c r="GQ79" t="s">
        <v>1586</v>
      </c>
      <c r="GR79" t="s">
        <v>1587</v>
      </c>
      <c r="GS79" t="s">
        <v>1588</v>
      </c>
    </row>
    <row r="80" spans="2:201" x14ac:dyDescent="0.25">
      <c r="B80" t="s">
        <v>465</v>
      </c>
      <c r="C80" t="s">
        <v>1454</v>
      </c>
      <c r="D80" t="s">
        <v>1454</v>
      </c>
      <c r="E80" t="s">
        <v>1454</v>
      </c>
      <c r="G80" t="s">
        <v>1454</v>
      </c>
      <c r="H80" t="s">
        <v>1454</v>
      </c>
      <c r="I80" t="s">
        <v>1454</v>
      </c>
      <c r="K80" t="s">
        <v>1454</v>
      </c>
      <c r="L80" t="s">
        <v>1454</v>
      </c>
      <c r="M80" t="s">
        <v>1454</v>
      </c>
      <c r="O80" t="s">
        <v>1454</v>
      </c>
      <c r="P80" t="s">
        <v>1454</v>
      </c>
      <c r="Q80" t="s">
        <v>1454</v>
      </c>
      <c r="S80" t="s">
        <v>1454</v>
      </c>
      <c r="T80" t="s">
        <v>1454</v>
      </c>
      <c r="U80" t="s">
        <v>1454</v>
      </c>
      <c r="W80" t="s">
        <v>1454</v>
      </c>
      <c r="X80" t="s">
        <v>1454</v>
      </c>
      <c r="Y80" t="s">
        <v>1454</v>
      </c>
      <c r="AA80" t="s">
        <v>1454</v>
      </c>
      <c r="AB80" t="s">
        <v>1454</v>
      </c>
      <c r="AC80" t="s">
        <v>1454</v>
      </c>
      <c r="AE80" t="s">
        <v>1454</v>
      </c>
      <c r="AF80" t="s">
        <v>1454</v>
      </c>
      <c r="AG80" t="s">
        <v>1454</v>
      </c>
      <c r="AI80" t="s">
        <v>1454</v>
      </c>
      <c r="AJ80" t="s">
        <v>1454</v>
      </c>
      <c r="AK80" t="s">
        <v>1454</v>
      </c>
      <c r="AM80" t="s">
        <v>1454</v>
      </c>
      <c r="AN80" t="s">
        <v>1454</v>
      </c>
      <c r="AO80" t="s">
        <v>1454</v>
      </c>
      <c r="AQ80" t="s">
        <v>1454</v>
      </c>
      <c r="AR80" t="s">
        <v>1454</v>
      </c>
      <c r="AS80" t="s">
        <v>1454</v>
      </c>
      <c r="AU80" t="s">
        <v>1454</v>
      </c>
      <c r="AV80" t="s">
        <v>1454</v>
      </c>
      <c r="AW80" t="s">
        <v>1454</v>
      </c>
      <c r="AY80" t="s">
        <v>1454</v>
      </c>
      <c r="AZ80" t="s">
        <v>1454</v>
      </c>
      <c r="BA80" t="s">
        <v>1454</v>
      </c>
      <c r="BC80" t="s">
        <v>1454</v>
      </c>
      <c r="BD80" t="s">
        <v>1454</v>
      </c>
      <c r="BE80" t="s">
        <v>1454</v>
      </c>
      <c r="BG80" t="s">
        <v>1454</v>
      </c>
      <c r="BH80" t="s">
        <v>1454</v>
      </c>
      <c r="BI80" t="s">
        <v>1454</v>
      </c>
      <c r="BK80" t="s">
        <v>1454</v>
      </c>
      <c r="BL80" t="s">
        <v>1454</v>
      </c>
      <c r="BM80" t="s">
        <v>1454</v>
      </c>
      <c r="BO80" t="s">
        <v>1454</v>
      </c>
      <c r="BP80" t="s">
        <v>618</v>
      </c>
      <c r="BQ80" t="s">
        <v>1454</v>
      </c>
      <c r="BS80" t="s">
        <v>1454</v>
      </c>
      <c r="BT80" t="s">
        <v>1454</v>
      </c>
      <c r="BU80" t="s">
        <v>1454</v>
      </c>
      <c r="BW80" t="s">
        <v>1454</v>
      </c>
      <c r="BX80" t="s">
        <v>1454</v>
      </c>
      <c r="BY80" t="s">
        <v>1454</v>
      </c>
      <c r="CA80" t="s">
        <v>1454</v>
      </c>
      <c r="CB80" t="s">
        <v>1454</v>
      </c>
      <c r="CC80" t="s">
        <v>1454</v>
      </c>
      <c r="CE80" t="s">
        <v>1454</v>
      </c>
      <c r="CF80" t="s">
        <v>1454</v>
      </c>
      <c r="CG80" t="s">
        <v>1454</v>
      </c>
      <c r="CI80" t="s">
        <v>1454</v>
      </c>
      <c r="CJ80" t="s">
        <v>1454</v>
      </c>
      <c r="CK80" t="s">
        <v>1454</v>
      </c>
      <c r="CM80" t="s">
        <v>1454</v>
      </c>
      <c r="CN80" t="s">
        <v>1454</v>
      </c>
      <c r="CO80" t="s">
        <v>1454</v>
      </c>
      <c r="CQ80" t="s">
        <v>1454</v>
      </c>
      <c r="CR80" t="s">
        <v>1454</v>
      </c>
      <c r="CS80" t="s">
        <v>1454</v>
      </c>
      <c r="CU80" t="s">
        <v>1454</v>
      </c>
      <c r="CV80" t="s">
        <v>1454</v>
      </c>
      <c r="CW80" t="s">
        <v>1454</v>
      </c>
      <c r="CY80" t="s">
        <v>1454</v>
      </c>
      <c r="CZ80" t="s">
        <v>1454</v>
      </c>
      <c r="DA80" t="s">
        <v>1454</v>
      </c>
      <c r="DC80" t="s">
        <v>1454</v>
      </c>
      <c r="DD80" t="s">
        <v>1454</v>
      </c>
      <c r="DE80" t="s">
        <v>1454</v>
      </c>
      <c r="DG80" t="s">
        <v>1454</v>
      </c>
      <c r="DH80" t="s">
        <v>1454</v>
      </c>
      <c r="DI80" t="s">
        <v>1454</v>
      </c>
      <c r="DK80" t="s">
        <v>1454</v>
      </c>
      <c r="DL80" t="s">
        <v>1454</v>
      </c>
      <c r="DM80" t="s">
        <v>1454</v>
      </c>
      <c r="DO80" t="s">
        <v>1454</v>
      </c>
      <c r="DP80" t="s">
        <v>1454</v>
      </c>
      <c r="DQ80" t="s">
        <v>1454</v>
      </c>
      <c r="DS80" t="s">
        <v>632</v>
      </c>
      <c r="DT80" t="s">
        <v>1454</v>
      </c>
      <c r="DU80" t="s">
        <v>632</v>
      </c>
      <c r="DW80" t="s">
        <v>633</v>
      </c>
      <c r="DX80" t="s">
        <v>1454</v>
      </c>
      <c r="DY80" t="s">
        <v>1454</v>
      </c>
      <c r="EA80" t="s">
        <v>1454</v>
      </c>
      <c r="EB80" t="s">
        <v>1454</v>
      </c>
      <c r="EC80" t="s">
        <v>1454</v>
      </c>
      <c r="EE80" t="s">
        <v>1454</v>
      </c>
      <c r="EF80" t="s">
        <v>1454</v>
      </c>
      <c r="EG80" t="s">
        <v>1454</v>
      </c>
      <c r="EI80" t="s">
        <v>1454</v>
      </c>
      <c r="EJ80" t="s">
        <v>1454</v>
      </c>
      <c r="EK80" t="s">
        <v>1454</v>
      </c>
      <c r="EM80" t="s">
        <v>1454</v>
      </c>
      <c r="EN80" t="s">
        <v>1454</v>
      </c>
      <c r="EO80" t="s">
        <v>1454</v>
      </c>
      <c r="EQ80" t="s">
        <v>1454</v>
      </c>
      <c r="ER80" t="s">
        <v>1454</v>
      </c>
      <c r="ES80" t="s">
        <v>1454</v>
      </c>
      <c r="EU80" t="s">
        <v>1454</v>
      </c>
      <c r="EV80" t="s">
        <v>1454</v>
      </c>
      <c r="EW80" t="s">
        <v>1454</v>
      </c>
      <c r="EY80" t="s">
        <v>1454</v>
      </c>
      <c r="EZ80" t="s">
        <v>1454</v>
      </c>
      <c r="FA80" t="s">
        <v>1454</v>
      </c>
      <c r="FC80" t="s">
        <v>1454</v>
      </c>
      <c r="FD80" t="s">
        <v>1454</v>
      </c>
      <c r="FE80" t="s">
        <v>1454</v>
      </c>
      <c r="FG80" t="s">
        <v>1454</v>
      </c>
      <c r="FH80" t="s">
        <v>1454</v>
      </c>
      <c r="FI80" t="s">
        <v>1454</v>
      </c>
      <c r="FK80" t="s">
        <v>1454</v>
      </c>
      <c r="FL80" t="s">
        <v>1454</v>
      </c>
      <c r="FM80" t="s">
        <v>1454</v>
      </c>
      <c r="FO80" t="s">
        <v>1454</v>
      </c>
      <c r="FP80" t="s">
        <v>1454</v>
      </c>
      <c r="FQ80" t="s">
        <v>1454</v>
      </c>
      <c r="FS80" t="s">
        <v>1454</v>
      </c>
      <c r="FT80" t="s">
        <v>1454</v>
      </c>
      <c r="FU80" t="s">
        <v>1454</v>
      </c>
      <c r="FW80" t="s">
        <v>1454</v>
      </c>
      <c r="FX80" t="s">
        <v>1454</v>
      </c>
      <c r="FY80" t="s">
        <v>1454</v>
      </c>
      <c r="GA80" t="s">
        <v>1454</v>
      </c>
      <c r="GB80" t="s">
        <v>1454</v>
      </c>
      <c r="GC80" t="s">
        <v>1454</v>
      </c>
      <c r="GE80" t="s">
        <v>1454</v>
      </c>
      <c r="GF80" t="s">
        <v>1454</v>
      </c>
      <c r="GG80" t="s">
        <v>1454</v>
      </c>
      <c r="GI80" t="s">
        <v>1454</v>
      </c>
      <c r="GJ80" t="s">
        <v>1454</v>
      </c>
      <c r="GK80" t="s">
        <v>1454</v>
      </c>
      <c r="GM80" t="s">
        <v>1454</v>
      </c>
      <c r="GN80" t="s">
        <v>1454</v>
      </c>
      <c r="GO80" t="s">
        <v>1454</v>
      </c>
      <c r="GQ80" t="s">
        <v>1589</v>
      </c>
      <c r="GR80" t="s">
        <v>1503</v>
      </c>
      <c r="GS80" t="s">
        <v>1482</v>
      </c>
    </row>
    <row r="81" spans="2:201" x14ac:dyDescent="0.25">
      <c r="B81" t="s">
        <v>466</v>
      </c>
      <c r="C81" t="s">
        <v>1454</v>
      </c>
      <c r="D81" t="s">
        <v>1454</v>
      </c>
      <c r="E81" t="s">
        <v>1454</v>
      </c>
      <c r="G81" t="s">
        <v>1454</v>
      </c>
      <c r="H81" t="s">
        <v>1454</v>
      </c>
      <c r="I81" t="s">
        <v>1454</v>
      </c>
      <c r="K81" t="s">
        <v>1454</v>
      </c>
      <c r="L81" t="s">
        <v>1454</v>
      </c>
      <c r="M81" t="s">
        <v>1454</v>
      </c>
      <c r="O81" t="s">
        <v>1454</v>
      </c>
      <c r="P81" t="s">
        <v>1454</v>
      </c>
      <c r="Q81" t="s">
        <v>1454</v>
      </c>
      <c r="S81" t="s">
        <v>1454</v>
      </c>
      <c r="T81" t="s">
        <v>1454</v>
      </c>
      <c r="U81" t="s">
        <v>1454</v>
      </c>
      <c r="W81" t="s">
        <v>1454</v>
      </c>
      <c r="X81" t="s">
        <v>1454</v>
      </c>
      <c r="Y81" t="s">
        <v>1454</v>
      </c>
      <c r="AA81" t="s">
        <v>1454</v>
      </c>
      <c r="AB81" t="s">
        <v>1454</v>
      </c>
      <c r="AC81" t="s">
        <v>1454</v>
      </c>
      <c r="AE81" t="s">
        <v>1454</v>
      </c>
      <c r="AF81" t="s">
        <v>1454</v>
      </c>
      <c r="AG81" t="s">
        <v>1454</v>
      </c>
      <c r="AI81" t="s">
        <v>1454</v>
      </c>
      <c r="AJ81" t="s">
        <v>1454</v>
      </c>
      <c r="AK81" t="s">
        <v>1454</v>
      </c>
      <c r="AM81" t="s">
        <v>1454</v>
      </c>
      <c r="AN81" t="s">
        <v>1454</v>
      </c>
      <c r="AO81" t="s">
        <v>1454</v>
      </c>
      <c r="AQ81" t="s">
        <v>1454</v>
      </c>
      <c r="AR81" t="s">
        <v>1454</v>
      </c>
      <c r="AS81" t="s">
        <v>1454</v>
      </c>
      <c r="AU81" t="s">
        <v>1454</v>
      </c>
      <c r="AV81" t="s">
        <v>1454</v>
      </c>
      <c r="AW81" t="s">
        <v>1454</v>
      </c>
      <c r="AY81" t="s">
        <v>1454</v>
      </c>
      <c r="AZ81" t="s">
        <v>1454</v>
      </c>
      <c r="BA81" t="s">
        <v>1454</v>
      </c>
      <c r="BC81" t="s">
        <v>1454</v>
      </c>
      <c r="BD81" t="s">
        <v>1454</v>
      </c>
      <c r="BE81" t="s">
        <v>1454</v>
      </c>
      <c r="BG81" t="s">
        <v>1454</v>
      </c>
      <c r="BH81" t="s">
        <v>1454</v>
      </c>
      <c r="BI81" t="s">
        <v>1454</v>
      </c>
      <c r="BK81" t="s">
        <v>1454</v>
      </c>
      <c r="BL81" t="s">
        <v>1454</v>
      </c>
      <c r="BM81" t="s">
        <v>1454</v>
      </c>
      <c r="BO81" t="s">
        <v>1454</v>
      </c>
      <c r="BP81" t="s">
        <v>1454</v>
      </c>
      <c r="BQ81" t="s">
        <v>1454</v>
      </c>
      <c r="BS81" t="s">
        <v>1454</v>
      </c>
      <c r="BT81" t="s">
        <v>1454</v>
      </c>
      <c r="BU81" t="s">
        <v>1454</v>
      </c>
      <c r="BW81" t="s">
        <v>1454</v>
      </c>
      <c r="BX81" t="s">
        <v>1454</v>
      </c>
      <c r="BY81" t="s">
        <v>1454</v>
      </c>
      <c r="CA81" t="s">
        <v>1454</v>
      </c>
      <c r="CB81" t="s">
        <v>1454</v>
      </c>
      <c r="CC81" t="s">
        <v>1454</v>
      </c>
      <c r="CE81" t="s">
        <v>1454</v>
      </c>
      <c r="CF81" t="s">
        <v>1454</v>
      </c>
      <c r="CG81" t="s">
        <v>1454</v>
      </c>
      <c r="CI81" t="s">
        <v>1454</v>
      </c>
      <c r="CJ81" t="s">
        <v>1454</v>
      </c>
      <c r="CK81" t="s">
        <v>1454</v>
      </c>
      <c r="CM81" t="s">
        <v>1454</v>
      </c>
      <c r="CN81" t="s">
        <v>1454</v>
      </c>
      <c r="CO81" t="s">
        <v>1454</v>
      </c>
      <c r="CQ81" t="s">
        <v>1454</v>
      </c>
      <c r="CR81" t="s">
        <v>1454</v>
      </c>
      <c r="CS81" t="s">
        <v>1454</v>
      </c>
      <c r="CU81" t="s">
        <v>1454</v>
      </c>
      <c r="CV81" t="s">
        <v>1454</v>
      </c>
      <c r="CW81" t="s">
        <v>1454</v>
      </c>
      <c r="CY81" t="s">
        <v>1454</v>
      </c>
      <c r="CZ81" t="s">
        <v>1454</v>
      </c>
      <c r="DA81" t="s">
        <v>1454</v>
      </c>
      <c r="DC81" t="s">
        <v>1454</v>
      </c>
      <c r="DD81" t="s">
        <v>1454</v>
      </c>
      <c r="DE81" t="s">
        <v>1454</v>
      </c>
      <c r="DG81" t="s">
        <v>1454</v>
      </c>
      <c r="DH81" t="s">
        <v>1454</v>
      </c>
      <c r="DI81" t="s">
        <v>1454</v>
      </c>
      <c r="DK81" t="s">
        <v>1454</v>
      </c>
      <c r="DL81" t="s">
        <v>630</v>
      </c>
      <c r="DM81" t="s">
        <v>1454</v>
      </c>
      <c r="DO81" t="s">
        <v>1454</v>
      </c>
      <c r="DP81" t="s">
        <v>1454</v>
      </c>
      <c r="DQ81" t="s">
        <v>1454</v>
      </c>
      <c r="DS81" t="s">
        <v>1454</v>
      </c>
      <c r="DT81" t="s">
        <v>1454</v>
      </c>
      <c r="DU81" t="s">
        <v>1454</v>
      </c>
      <c r="DW81" t="s">
        <v>1454</v>
      </c>
      <c r="DX81" t="s">
        <v>1454</v>
      </c>
      <c r="DY81" t="s">
        <v>1454</v>
      </c>
      <c r="EA81" t="s">
        <v>1454</v>
      </c>
      <c r="EB81" t="s">
        <v>1454</v>
      </c>
      <c r="EC81" t="s">
        <v>1454</v>
      </c>
      <c r="EE81" t="s">
        <v>1454</v>
      </c>
      <c r="EF81" t="s">
        <v>1454</v>
      </c>
      <c r="EG81" t="s">
        <v>1454</v>
      </c>
      <c r="EI81" t="s">
        <v>1454</v>
      </c>
      <c r="EJ81" t="s">
        <v>1454</v>
      </c>
      <c r="EK81" t="s">
        <v>1454</v>
      </c>
      <c r="EM81" t="s">
        <v>1454</v>
      </c>
      <c r="EN81" t="s">
        <v>1454</v>
      </c>
      <c r="EO81" t="s">
        <v>1454</v>
      </c>
      <c r="EQ81" t="s">
        <v>1454</v>
      </c>
      <c r="ER81" t="s">
        <v>1454</v>
      </c>
      <c r="ES81" t="s">
        <v>1454</v>
      </c>
      <c r="EU81" t="s">
        <v>1454</v>
      </c>
      <c r="EV81" t="s">
        <v>1454</v>
      </c>
      <c r="EW81" t="s">
        <v>1454</v>
      </c>
      <c r="EY81" t="s">
        <v>1454</v>
      </c>
      <c r="EZ81" t="s">
        <v>1454</v>
      </c>
      <c r="FA81" t="s">
        <v>1454</v>
      </c>
      <c r="FC81" t="s">
        <v>1454</v>
      </c>
      <c r="FD81" t="s">
        <v>1454</v>
      </c>
      <c r="FE81" t="s">
        <v>1454</v>
      </c>
      <c r="FG81" t="s">
        <v>1454</v>
      </c>
      <c r="FH81" t="s">
        <v>1454</v>
      </c>
      <c r="FI81" t="s">
        <v>1454</v>
      </c>
      <c r="FK81" t="s">
        <v>1454</v>
      </c>
      <c r="FL81" t="s">
        <v>1454</v>
      </c>
      <c r="FM81" t="s">
        <v>1454</v>
      </c>
      <c r="FO81" t="s">
        <v>602</v>
      </c>
      <c r="FP81" t="s">
        <v>1454</v>
      </c>
      <c r="FQ81" t="s">
        <v>602</v>
      </c>
      <c r="FS81" t="s">
        <v>1454</v>
      </c>
      <c r="FT81" t="s">
        <v>1454</v>
      </c>
      <c r="FU81" t="s">
        <v>1454</v>
      </c>
      <c r="FW81" t="s">
        <v>1454</v>
      </c>
      <c r="FX81" t="s">
        <v>1454</v>
      </c>
      <c r="FY81" t="s">
        <v>1454</v>
      </c>
      <c r="GA81" t="s">
        <v>1454</v>
      </c>
      <c r="GB81" t="s">
        <v>1454</v>
      </c>
      <c r="GC81" t="s">
        <v>1454</v>
      </c>
      <c r="GE81" t="s">
        <v>1454</v>
      </c>
      <c r="GF81" t="s">
        <v>1454</v>
      </c>
      <c r="GG81" t="s">
        <v>1454</v>
      </c>
      <c r="GI81" t="s">
        <v>1454</v>
      </c>
      <c r="GJ81" t="s">
        <v>1454</v>
      </c>
      <c r="GK81" t="s">
        <v>1454</v>
      </c>
      <c r="GM81" t="s">
        <v>1454</v>
      </c>
      <c r="GN81" t="s">
        <v>1454</v>
      </c>
      <c r="GO81" t="s">
        <v>1454</v>
      </c>
      <c r="GQ81" t="s">
        <v>1477</v>
      </c>
      <c r="GR81" t="s">
        <v>1568</v>
      </c>
      <c r="GS81" t="s">
        <v>1477</v>
      </c>
    </row>
    <row r="82" spans="2:201" x14ac:dyDescent="0.25">
      <c r="B82" t="s">
        <v>467</v>
      </c>
      <c r="C82" t="s">
        <v>603</v>
      </c>
      <c r="D82" t="s">
        <v>1454</v>
      </c>
      <c r="E82" t="s">
        <v>1454</v>
      </c>
      <c r="G82" t="s">
        <v>604</v>
      </c>
      <c r="H82" t="s">
        <v>1454</v>
      </c>
      <c r="I82" t="s">
        <v>1454</v>
      </c>
      <c r="K82" t="s">
        <v>1454</v>
      </c>
      <c r="L82" t="s">
        <v>1454</v>
      </c>
      <c r="M82" t="s">
        <v>1454</v>
      </c>
      <c r="O82" t="s">
        <v>1454</v>
      </c>
      <c r="P82" t="s">
        <v>1454</v>
      </c>
      <c r="Q82" t="s">
        <v>1454</v>
      </c>
      <c r="S82" t="s">
        <v>606</v>
      </c>
      <c r="T82" t="s">
        <v>1454</v>
      </c>
      <c r="U82" t="s">
        <v>1454</v>
      </c>
      <c r="W82" t="s">
        <v>1454</v>
      </c>
      <c r="X82" t="s">
        <v>1454</v>
      </c>
      <c r="Y82" t="s">
        <v>1454</v>
      </c>
      <c r="AA82" t="s">
        <v>1454</v>
      </c>
      <c r="AB82" t="s">
        <v>1454</v>
      </c>
      <c r="AC82" t="s">
        <v>1454</v>
      </c>
      <c r="AE82" t="s">
        <v>1454</v>
      </c>
      <c r="AF82" t="s">
        <v>1454</v>
      </c>
      <c r="AG82" t="s">
        <v>1454</v>
      </c>
      <c r="AI82" t="s">
        <v>1454</v>
      </c>
      <c r="AJ82" t="s">
        <v>1454</v>
      </c>
      <c r="AK82" t="s">
        <v>1454</v>
      </c>
      <c r="AM82" t="s">
        <v>1454</v>
      </c>
      <c r="AN82" t="s">
        <v>1454</v>
      </c>
      <c r="AO82" t="s">
        <v>1454</v>
      </c>
      <c r="AQ82" t="s">
        <v>1454</v>
      </c>
      <c r="AR82" t="s">
        <v>1454</v>
      </c>
      <c r="AS82" t="s">
        <v>1454</v>
      </c>
      <c r="AU82" t="s">
        <v>1454</v>
      </c>
      <c r="AV82" t="s">
        <v>1454</v>
      </c>
      <c r="AW82" t="s">
        <v>1454</v>
      </c>
      <c r="AY82" t="s">
        <v>1454</v>
      </c>
      <c r="AZ82" t="s">
        <v>1454</v>
      </c>
      <c r="BA82" t="s">
        <v>1454</v>
      </c>
      <c r="BC82" t="s">
        <v>1454</v>
      </c>
      <c r="BD82" t="s">
        <v>1454</v>
      </c>
      <c r="BE82" t="s">
        <v>1454</v>
      </c>
      <c r="BG82" t="s">
        <v>616</v>
      </c>
      <c r="BH82" t="s">
        <v>1454</v>
      </c>
      <c r="BI82" t="s">
        <v>1454</v>
      </c>
      <c r="BK82" t="s">
        <v>1454</v>
      </c>
      <c r="BL82" t="s">
        <v>1454</v>
      </c>
      <c r="BM82" t="s">
        <v>1454</v>
      </c>
      <c r="BO82" t="s">
        <v>1454</v>
      </c>
      <c r="BP82" t="s">
        <v>1454</v>
      </c>
      <c r="BQ82" t="s">
        <v>1454</v>
      </c>
      <c r="BS82" t="s">
        <v>1454</v>
      </c>
      <c r="BT82" t="s">
        <v>1454</v>
      </c>
      <c r="BU82" t="s">
        <v>1454</v>
      </c>
      <c r="BW82" t="s">
        <v>1454</v>
      </c>
      <c r="BX82" t="s">
        <v>1454</v>
      </c>
      <c r="BY82" t="s">
        <v>1454</v>
      </c>
      <c r="CA82" t="s">
        <v>1454</v>
      </c>
      <c r="CB82" t="s">
        <v>1454</v>
      </c>
      <c r="CC82" t="s">
        <v>1454</v>
      </c>
      <c r="CE82" t="s">
        <v>1454</v>
      </c>
      <c r="CF82" t="s">
        <v>1454</v>
      </c>
      <c r="CG82" t="s">
        <v>1454</v>
      </c>
      <c r="CI82" t="s">
        <v>1454</v>
      </c>
      <c r="CJ82" t="s">
        <v>1454</v>
      </c>
      <c r="CK82" t="s">
        <v>1454</v>
      </c>
      <c r="CM82" t="s">
        <v>1454</v>
      </c>
      <c r="CN82" t="s">
        <v>1454</v>
      </c>
      <c r="CO82" t="s">
        <v>1454</v>
      </c>
      <c r="CQ82" t="s">
        <v>1454</v>
      </c>
      <c r="CR82" t="s">
        <v>1454</v>
      </c>
      <c r="CS82" t="s">
        <v>1454</v>
      </c>
      <c r="CU82" t="s">
        <v>626</v>
      </c>
      <c r="CV82" t="s">
        <v>1454</v>
      </c>
      <c r="CW82" t="s">
        <v>1454</v>
      </c>
      <c r="CY82" t="s">
        <v>1454</v>
      </c>
      <c r="CZ82" t="s">
        <v>1454</v>
      </c>
      <c r="DA82" t="s">
        <v>1454</v>
      </c>
      <c r="DC82" t="s">
        <v>1454</v>
      </c>
      <c r="DD82" t="s">
        <v>1454</v>
      </c>
      <c r="DE82" t="s">
        <v>1454</v>
      </c>
      <c r="DG82" t="s">
        <v>1454</v>
      </c>
      <c r="DH82" t="s">
        <v>1454</v>
      </c>
      <c r="DI82" t="s">
        <v>1454</v>
      </c>
      <c r="DK82" t="s">
        <v>1454</v>
      </c>
      <c r="DL82" t="s">
        <v>1454</v>
      </c>
      <c r="DM82" t="s">
        <v>1454</v>
      </c>
      <c r="DO82" t="s">
        <v>1454</v>
      </c>
      <c r="DP82" t="s">
        <v>1454</v>
      </c>
      <c r="DQ82" t="s">
        <v>1454</v>
      </c>
      <c r="DS82" t="s">
        <v>1454</v>
      </c>
      <c r="DT82" t="s">
        <v>1454</v>
      </c>
      <c r="DU82" t="s">
        <v>1454</v>
      </c>
      <c r="DW82" t="s">
        <v>1454</v>
      </c>
      <c r="DX82" t="s">
        <v>1454</v>
      </c>
      <c r="DY82" t="s">
        <v>1454</v>
      </c>
      <c r="EA82" t="s">
        <v>1454</v>
      </c>
      <c r="EB82" t="s">
        <v>1454</v>
      </c>
      <c r="EC82" t="s">
        <v>1454</v>
      </c>
      <c r="EE82" t="s">
        <v>1454</v>
      </c>
      <c r="EF82" t="s">
        <v>1454</v>
      </c>
      <c r="EG82" t="s">
        <v>1454</v>
      </c>
      <c r="EI82" t="s">
        <v>1454</v>
      </c>
      <c r="EJ82" t="s">
        <v>1454</v>
      </c>
      <c r="EK82" t="s">
        <v>1454</v>
      </c>
      <c r="EM82" t="s">
        <v>1454</v>
      </c>
      <c r="EN82" t="s">
        <v>1454</v>
      </c>
      <c r="EO82" t="s">
        <v>1454</v>
      </c>
      <c r="EQ82" t="s">
        <v>1454</v>
      </c>
      <c r="ER82" t="s">
        <v>1454</v>
      </c>
      <c r="ES82" t="s">
        <v>1454</v>
      </c>
      <c r="EU82" t="s">
        <v>1454</v>
      </c>
      <c r="EV82" t="s">
        <v>1454</v>
      </c>
      <c r="EW82" t="s">
        <v>1454</v>
      </c>
      <c r="EY82" t="s">
        <v>1454</v>
      </c>
      <c r="EZ82" t="s">
        <v>1454</v>
      </c>
      <c r="FA82" t="s">
        <v>1454</v>
      </c>
      <c r="FC82" t="s">
        <v>1454</v>
      </c>
      <c r="FD82" t="s">
        <v>1454</v>
      </c>
      <c r="FE82" t="s">
        <v>1454</v>
      </c>
      <c r="FG82" t="s">
        <v>1454</v>
      </c>
      <c r="FH82" t="s">
        <v>1454</v>
      </c>
      <c r="FI82" t="s">
        <v>1454</v>
      </c>
      <c r="FK82" t="s">
        <v>1454</v>
      </c>
      <c r="FL82" t="s">
        <v>1454</v>
      </c>
      <c r="FM82" t="s">
        <v>1454</v>
      </c>
      <c r="FO82" t="s">
        <v>1454</v>
      </c>
      <c r="FP82" t="s">
        <v>1454</v>
      </c>
      <c r="FQ82" t="s">
        <v>1454</v>
      </c>
      <c r="FS82" t="s">
        <v>1454</v>
      </c>
      <c r="FT82" t="s">
        <v>1454</v>
      </c>
      <c r="FU82" t="s">
        <v>1454</v>
      </c>
      <c r="FW82" t="s">
        <v>1454</v>
      </c>
      <c r="FX82" t="s">
        <v>1454</v>
      </c>
      <c r="FY82" t="s">
        <v>1454</v>
      </c>
      <c r="GA82" t="s">
        <v>1454</v>
      </c>
      <c r="GB82" t="s">
        <v>1454</v>
      </c>
      <c r="GC82" t="s">
        <v>1454</v>
      </c>
      <c r="GE82" t="s">
        <v>1454</v>
      </c>
      <c r="GF82" t="s">
        <v>1454</v>
      </c>
      <c r="GG82" t="s">
        <v>1454</v>
      </c>
      <c r="GI82" t="s">
        <v>1454</v>
      </c>
      <c r="GJ82" t="s">
        <v>1454</v>
      </c>
      <c r="GK82" t="s">
        <v>1454</v>
      </c>
      <c r="GM82" t="s">
        <v>649</v>
      </c>
      <c r="GN82" t="s">
        <v>1454</v>
      </c>
      <c r="GO82" t="s">
        <v>1454</v>
      </c>
      <c r="GQ82" t="s">
        <v>1461</v>
      </c>
      <c r="GR82" t="s">
        <v>1454</v>
      </c>
      <c r="GS82" t="s">
        <v>1454</v>
      </c>
    </row>
    <row r="83" spans="2:201" s="11" customFormat="1" x14ac:dyDescent="0.25">
      <c r="B83" t="s">
        <v>393</v>
      </c>
      <c r="C83" t="s">
        <v>603</v>
      </c>
      <c r="D83" t="s">
        <v>1454</v>
      </c>
      <c r="E83" t="s">
        <v>1454</v>
      </c>
      <c r="F83"/>
      <c r="G83" t="s">
        <v>604</v>
      </c>
      <c r="H83" t="s">
        <v>1454</v>
      </c>
      <c r="I83" t="s">
        <v>1454</v>
      </c>
      <c r="J83"/>
      <c r="K83" t="s">
        <v>1454</v>
      </c>
      <c r="L83" t="s">
        <v>1454</v>
      </c>
      <c r="M83" t="s">
        <v>1454</v>
      </c>
      <c r="N83"/>
      <c r="O83" t="s">
        <v>1454</v>
      </c>
      <c r="P83" t="s">
        <v>1454</v>
      </c>
      <c r="Q83" t="s">
        <v>1454</v>
      </c>
      <c r="R83"/>
      <c r="S83" t="s">
        <v>1454</v>
      </c>
      <c r="T83" t="s">
        <v>1454</v>
      </c>
      <c r="U83" t="s">
        <v>1454</v>
      </c>
      <c r="V83"/>
      <c r="W83" t="s">
        <v>1454</v>
      </c>
      <c r="X83" t="s">
        <v>1454</v>
      </c>
      <c r="Y83" t="s">
        <v>1454</v>
      </c>
      <c r="Z83"/>
      <c r="AA83" t="s">
        <v>1454</v>
      </c>
      <c r="AB83" t="s">
        <v>1454</v>
      </c>
      <c r="AC83" t="s">
        <v>1454</v>
      </c>
      <c r="AD83"/>
      <c r="AE83" t="s">
        <v>1454</v>
      </c>
      <c r="AF83" t="s">
        <v>1454</v>
      </c>
      <c r="AG83" t="s">
        <v>1454</v>
      </c>
      <c r="AH83"/>
      <c r="AI83" t="s">
        <v>1454</v>
      </c>
      <c r="AJ83" t="s">
        <v>1454</v>
      </c>
      <c r="AK83" t="s">
        <v>1454</v>
      </c>
      <c r="AL83"/>
      <c r="AM83" t="s">
        <v>1454</v>
      </c>
      <c r="AN83" t="s">
        <v>1454</v>
      </c>
      <c r="AO83" t="s">
        <v>1454</v>
      </c>
      <c r="AP83"/>
      <c r="AQ83" t="s">
        <v>1454</v>
      </c>
      <c r="AR83" t="s">
        <v>1454</v>
      </c>
      <c r="AS83" t="s">
        <v>1454</v>
      </c>
      <c r="AT83"/>
      <c r="AU83" t="s">
        <v>1454</v>
      </c>
      <c r="AV83" t="s">
        <v>1454</v>
      </c>
      <c r="AW83" t="s">
        <v>1454</v>
      </c>
      <c r="AX83"/>
      <c r="AY83" t="s">
        <v>1454</v>
      </c>
      <c r="AZ83" t="s">
        <v>1454</v>
      </c>
      <c r="BA83" t="s">
        <v>1454</v>
      </c>
      <c r="BB83"/>
      <c r="BC83" t="s">
        <v>1454</v>
      </c>
      <c r="BD83" t="s">
        <v>1454</v>
      </c>
      <c r="BE83" t="s">
        <v>1454</v>
      </c>
      <c r="BF83"/>
      <c r="BG83" t="s">
        <v>616</v>
      </c>
      <c r="BH83" t="s">
        <v>1454</v>
      </c>
      <c r="BI83" t="s">
        <v>1454</v>
      </c>
      <c r="BJ83"/>
      <c r="BK83" t="s">
        <v>1454</v>
      </c>
      <c r="BL83" t="s">
        <v>1454</v>
      </c>
      <c r="BM83" t="s">
        <v>1454</v>
      </c>
      <c r="BN83"/>
      <c r="BO83" t="s">
        <v>1454</v>
      </c>
      <c r="BP83" t="s">
        <v>1454</v>
      </c>
      <c r="BQ83" t="s">
        <v>1454</v>
      </c>
      <c r="BR83"/>
      <c r="BS83" t="s">
        <v>1454</v>
      </c>
      <c r="BT83" t="s">
        <v>1454</v>
      </c>
      <c r="BU83" t="s">
        <v>1454</v>
      </c>
      <c r="BV83"/>
      <c r="BW83" t="s">
        <v>1454</v>
      </c>
      <c r="BX83" t="s">
        <v>1454</v>
      </c>
      <c r="BY83" t="s">
        <v>1454</v>
      </c>
      <c r="BZ83"/>
      <c r="CA83" t="s">
        <v>1454</v>
      </c>
      <c r="CB83" t="s">
        <v>1454</v>
      </c>
      <c r="CC83" t="s">
        <v>1454</v>
      </c>
      <c r="CD83"/>
      <c r="CE83" t="s">
        <v>1454</v>
      </c>
      <c r="CF83" t="s">
        <v>1454</v>
      </c>
      <c r="CG83" t="s">
        <v>1454</v>
      </c>
      <c r="CH83"/>
      <c r="CI83" t="s">
        <v>1454</v>
      </c>
      <c r="CJ83" t="s">
        <v>1454</v>
      </c>
      <c r="CK83" t="s">
        <v>1454</v>
      </c>
      <c r="CL83"/>
      <c r="CM83" t="s">
        <v>1454</v>
      </c>
      <c r="CN83" t="s">
        <v>1454</v>
      </c>
      <c r="CO83" t="s">
        <v>1454</v>
      </c>
      <c r="CP83"/>
      <c r="CQ83" t="s">
        <v>1454</v>
      </c>
      <c r="CR83" t="s">
        <v>1454</v>
      </c>
      <c r="CS83" t="s">
        <v>1454</v>
      </c>
      <c r="CT83"/>
      <c r="CU83" t="s">
        <v>626</v>
      </c>
      <c r="CV83" t="s">
        <v>1454</v>
      </c>
      <c r="CW83" t="s">
        <v>1454</v>
      </c>
      <c r="CX83"/>
      <c r="CY83" t="s">
        <v>1454</v>
      </c>
      <c r="CZ83" t="s">
        <v>1454</v>
      </c>
      <c r="DA83" t="s">
        <v>1454</v>
      </c>
      <c r="DB83"/>
      <c r="DC83" t="s">
        <v>1454</v>
      </c>
      <c r="DD83" t="s">
        <v>1454</v>
      </c>
      <c r="DE83" t="s">
        <v>1454</v>
      </c>
      <c r="DF83"/>
      <c r="DG83" t="s">
        <v>1454</v>
      </c>
      <c r="DH83" t="s">
        <v>1454</v>
      </c>
      <c r="DI83" t="s">
        <v>1454</v>
      </c>
      <c r="DJ83"/>
      <c r="DK83" t="s">
        <v>1454</v>
      </c>
      <c r="DL83" t="s">
        <v>1454</v>
      </c>
      <c r="DM83" t="s">
        <v>1454</v>
      </c>
      <c r="DN83"/>
      <c r="DO83" t="s">
        <v>1454</v>
      </c>
      <c r="DP83" t="s">
        <v>1454</v>
      </c>
      <c r="DQ83" t="s">
        <v>1454</v>
      </c>
      <c r="DR83"/>
      <c r="DS83" t="s">
        <v>1454</v>
      </c>
      <c r="DT83" t="s">
        <v>1454</v>
      </c>
      <c r="DU83" t="s">
        <v>1454</v>
      </c>
      <c r="DV83"/>
      <c r="DW83" t="s">
        <v>1454</v>
      </c>
      <c r="DX83" t="s">
        <v>1454</v>
      </c>
      <c r="DY83" t="s">
        <v>1454</v>
      </c>
      <c r="DZ83"/>
      <c r="EA83" t="s">
        <v>1454</v>
      </c>
      <c r="EB83" t="s">
        <v>1454</v>
      </c>
      <c r="EC83" t="s">
        <v>1454</v>
      </c>
      <c r="ED83"/>
      <c r="EE83" t="s">
        <v>1454</v>
      </c>
      <c r="EF83" t="s">
        <v>1454</v>
      </c>
      <c r="EG83" t="s">
        <v>1454</v>
      </c>
      <c r="EH83"/>
      <c r="EI83" t="s">
        <v>1454</v>
      </c>
      <c r="EJ83" t="s">
        <v>1454</v>
      </c>
      <c r="EK83" t="s">
        <v>1454</v>
      </c>
      <c r="EL83"/>
      <c r="EM83" t="s">
        <v>1454</v>
      </c>
      <c r="EN83" t="s">
        <v>1454</v>
      </c>
      <c r="EO83" t="s">
        <v>1454</v>
      </c>
      <c r="EP83"/>
      <c r="EQ83" t="s">
        <v>1454</v>
      </c>
      <c r="ER83" t="s">
        <v>1454</v>
      </c>
      <c r="ES83" t="s">
        <v>1454</v>
      </c>
      <c r="ET83"/>
      <c r="EU83" t="s">
        <v>1454</v>
      </c>
      <c r="EV83" t="s">
        <v>1454</v>
      </c>
      <c r="EW83" t="s">
        <v>1454</v>
      </c>
      <c r="EX83"/>
      <c r="EY83" t="s">
        <v>1454</v>
      </c>
      <c r="EZ83" t="s">
        <v>1454</v>
      </c>
      <c r="FA83" t="s">
        <v>1454</v>
      </c>
      <c r="FB83"/>
      <c r="FC83" t="s">
        <v>1454</v>
      </c>
      <c r="FD83" t="s">
        <v>1454</v>
      </c>
      <c r="FE83" t="s">
        <v>1454</v>
      </c>
      <c r="FF83"/>
      <c r="FG83" t="s">
        <v>1454</v>
      </c>
      <c r="FH83" t="s">
        <v>1454</v>
      </c>
      <c r="FI83" t="s">
        <v>1454</v>
      </c>
      <c r="FJ83"/>
      <c r="FK83" t="s">
        <v>1454</v>
      </c>
      <c r="FL83" t="s">
        <v>1454</v>
      </c>
      <c r="FM83" t="s">
        <v>1454</v>
      </c>
      <c r="FN83"/>
      <c r="FO83" t="s">
        <v>1454</v>
      </c>
      <c r="FP83" t="s">
        <v>1454</v>
      </c>
      <c r="FQ83" t="s">
        <v>1454</v>
      </c>
      <c r="FR83"/>
      <c r="FS83" t="s">
        <v>1454</v>
      </c>
      <c r="FT83" t="s">
        <v>1454</v>
      </c>
      <c r="FU83" t="s">
        <v>1454</v>
      </c>
      <c r="FV83"/>
      <c r="FW83" t="s">
        <v>1454</v>
      </c>
      <c r="FX83" t="s">
        <v>1454</v>
      </c>
      <c r="FY83" t="s">
        <v>1454</v>
      </c>
      <c r="FZ83"/>
      <c r="GA83" t="s">
        <v>1454</v>
      </c>
      <c r="GB83" t="s">
        <v>1454</v>
      </c>
      <c r="GC83" t="s">
        <v>1454</v>
      </c>
      <c r="GD83"/>
      <c r="GE83" t="s">
        <v>1454</v>
      </c>
      <c r="GF83" t="s">
        <v>1454</v>
      </c>
      <c r="GG83" t="s">
        <v>1454</v>
      </c>
      <c r="GH83"/>
      <c r="GI83" t="s">
        <v>1454</v>
      </c>
      <c r="GJ83" t="s">
        <v>1454</v>
      </c>
      <c r="GK83" t="s">
        <v>1454</v>
      </c>
      <c r="GL83"/>
      <c r="GM83" t="s">
        <v>649</v>
      </c>
      <c r="GN83" t="s">
        <v>1454</v>
      </c>
      <c r="GO83" t="s">
        <v>1454</v>
      </c>
      <c r="GP83"/>
      <c r="GQ83" t="s">
        <v>1590</v>
      </c>
      <c r="GR83" t="s">
        <v>1454</v>
      </c>
      <c r="GS83" t="s">
        <v>1454</v>
      </c>
    </row>
    <row r="84" spans="2:201" x14ac:dyDescent="0.25">
      <c r="B84" t="s">
        <v>417</v>
      </c>
      <c r="C84" t="s">
        <v>1454</v>
      </c>
      <c r="D84" t="s">
        <v>1454</v>
      </c>
      <c r="E84" t="s">
        <v>1454</v>
      </c>
      <c r="G84" t="s">
        <v>1454</v>
      </c>
      <c r="H84" t="s">
        <v>1454</v>
      </c>
      <c r="I84" t="s">
        <v>1454</v>
      </c>
      <c r="K84" t="s">
        <v>1454</v>
      </c>
      <c r="L84" t="s">
        <v>1454</v>
      </c>
      <c r="M84" t="s">
        <v>1454</v>
      </c>
      <c r="O84" t="s">
        <v>1454</v>
      </c>
      <c r="P84" t="s">
        <v>1454</v>
      </c>
      <c r="Q84" t="s">
        <v>1454</v>
      </c>
      <c r="S84" t="s">
        <v>1454</v>
      </c>
      <c r="T84" t="s">
        <v>1454</v>
      </c>
      <c r="U84" t="s">
        <v>1454</v>
      </c>
      <c r="W84" t="s">
        <v>1454</v>
      </c>
      <c r="X84" t="s">
        <v>1454</v>
      </c>
      <c r="Y84" t="s">
        <v>1454</v>
      </c>
      <c r="AA84" t="s">
        <v>1454</v>
      </c>
      <c r="AB84" t="s">
        <v>1454</v>
      </c>
      <c r="AC84" t="s">
        <v>1454</v>
      </c>
      <c r="AE84" t="s">
        <v>1454</v>
      </c>
      <c r="AF84" t="s">
        <v>1454</v>
      </c>
      <c r="AG84" t="s">
        <v>1454</v>
      </c>
      <c r="AI84" t="s">
        <v>1454</v>
      </c>
      <c r="AJ84" t="s">
        <v>1454</v>
      </c>
      <c r="AK84" t="s">
        <v>1454</v>
      </c>
      <c r="AM84" t="s">
        <v>1454</v>
      </c>
      <c r="AN84" t="s">
        <v>1454</v>
      </c>
      <c r="AO84" t="s">
        <v>1454</v>
      </c>
      <c r="AQ84" t="s">
        <v>1454</v>
      </c>
      <c r="AR84" t="s">
        <v>1454</v>
      </c>
      <c r="AS84" t="s">
        <v>1454</v>
      </c>
      <c r="AU84" t="s">
        <v>1454</v>
      </c>
      <c r="AV84" t="s">
        <v>1454</v>
      </c>
      <c r="AW84" t="s">
        <v>1454</v>
      </c>
      <c r="AY84" t="s">
        <v>1454</v>
      </c>
      <c r="AZ84" t="s">
        <v>1454</v>
      </c>
      <c r="BA84" t="s">
        <v>1454</v>
      </c>
      <c r="BC84" t="s">
        <v>1454</v>
      </c>
      <c r="BD84" t="s">
        <v>1454</v>
      </c>
      <c r="BE84" t="s">
        <v>1454</v>
      </c>
      <c r="BG84" t="s">
        <v>1454</v>
      </c>
      <c r="BH84" t="s">
        <v>1454</v>
      </c>
      <c r="BI84" t="s">
        <v>1454</v>
      </c>
      <c r="BK84" t="s">
        <v>1454</v>
      </c>
      <c r="BL84" t="s">
        <v>1454</v>
      </c>
      <c r="BM84" t="s">
        <v>1454</v>
      </c>
      <c r="BO84" t="s">
        <v>1454</v>
      </c>
      <c r="BP84" t="s">
        <v>1454</v>
      </c>
      <c r="BQ84" t="s">
        <v>1454</v>
      </c>
      <c r="BS84" t="s">
        <v>1454</v>
      </c>
      <c r="BT84" t="s">
        <v>1454</v>
      </c>
      <c r="BU84" t="s">
        <v>1454</v>
      </c>
      <c r="BW84" t="s">
        <v>1454</v>
      </c>
      <c r="BX84" t="s">
        <v>1454</v>
      </c>
      <c r="BY84" t="s">
        <v>1454</v>
      </c>
      <c r="CA84" t="s">
        <v>1454</v>
      </c>
      <c r="CB84" t="s">
        <v>1454</v>
      </c>
      <c r="CC84" t="s">
        <v>1454</v>
      </c>
      <c r="CE84" t="s">
        <v>1454</v>
      </c>
      <c r="CF84" t="s">
        <v>1454</v>
      </c>
      <c r="CG84" t="s">
        <v>1454</v>
      </c>
      <c r="CI84" t="s">
        <v>1454</v>
      </c>
      <c r="CJ84" t="s">
        <v>1454</v>
      </c>
      <c r="CK84" t="s">
        <v>1454</v>
      </c>
      <c r="CM84" t="s">
        <v>1454</v>
      </c>
      <c r="CN84" t="s">
        <v>1454</v>
      </c>
      <c r="CO84" t="s">
        <v>1454</v>
      </c>
      <c r="CQ84" t="s">
        <v>1454</v>
      </c>
      <c r="CR84" t="s">
        <v>1454</v>
      </c>
      <c r="CS84" t="s">
        <v>1454</v>
      </c>
      <c r="CU84" t="s">
        <v>1454</v>
      </c>
      <c r="CV84" t="s">
        <v>626</v>
      </c>
      <c r="CW84" t="s">
        <v>1454</v>
      </c>
      <c r="CY84" t="s">
        <v>1454</v>
      </c>
      <c r="CZ84" t="s">
        <v>1454</v>
      </c>
      <c r="DA84" t="s">
        <v>1454</v>
      </c>
      <c r="DC84" t="s">
        <v>1454</v>
      </c>
      <c r="DD84" t="s">
        <v>1454</v>
      </c>
      <c r="DE84" t="s">
        <v>1454</v>
      </c>
      <c r="DG84" t="s">
        <v>1454</v>
      </c>
      <c r="DH84" t="s">
        <v>1454</v>
      </c>
      <c r="DI84" t="s">
        <v>1454</v>
      </c>
      <c r="DK84" t="s">
        <v>1454</v>
      </c>
      <c r="DL84" t="s">
        <v>1454</v>
      </c>
      <c r="DM84" t="s">
        <v>1454</v>
      </c>
      <c r="DO84" t="s">
        <v>1454</v>
      </c>
      <c r="DP84" t="s">
        <v>1454</v>
      </c>
      <c r="DQ84" t="s">
        <v>1454</v>
      </c>
      <c r="DS84" t="s">
        <v>1454</v>
      </c>
      <c r="DT84" t="s">
        <v>1454</v>
      </c>
      <c r="DU84" t="s">
        <v>1454</v>
      </c>
      <c r="DW84" t="s">
        <v>1454</v>
      </c>
      <c r="DX84" t="s">
        <v>1454</v>
      </c>
      <c r="DY84" t="s">
        <v>1454</v>
      </c>
      <c r="EA84" t="s">
        <v>1454</v>
      </c>
      <c r="EB84" t="s">
        <v>1454</v>
      </c>
      <c r="EC84" t="s">
        <v>1454</v>
      </c>
      <c r="EE84" t="s">
        <v>1454</v>
      </c>
      <c r="EF84" t="s">
        <v>1454</v>
      </c>
      <c r="EG84" t="s">
        <v>1454</v>
      </c>
      <c r="EI84" t="s">
        <v>1454</v>
      </c>
      <c r="EJ84" t="s">
        <v>1454</v>
      </c>
      <c r="EK84" t="s">
        <v>1454</v>
      </c>
      <c r="EM84" t="s">
        <v>1454</v>
      </c>
      <c r="EN84" t="s">
        <v>1454</v>
      </c>
      <c r="EO84" t="s">
        <v>1454</v>
      </c>
      <c r="EQ84" t="s">
        <v>1454</v>
      </c>
      <c r="ER84" t="s">
        <v>1454</v>
      </c>
      <c r="ES84" t="s">
        <v>1454</v>
      </c>
      <c r="EU84" t="s">
        <v>1454</v>
      </c>
      <c r="EV84" t="s">
        <v>1454</v>
      </c>
      <c r="EW84" t="s">
        <v>1454</v>
      </c>
      <c r="EY84" t="s">
        <v>1454</v>
      </c>
      <c r="EZ84" t="s">
        <v>1454</v>
      </c>
      <c r="FA84" t="s">
        <v>1454</v>
      </c>
      <c r="FC84" t="s">
        <v>1454</v>
      </c>
      <c r="FD84" t="s">
        <v>1454</v>
      </c>
      <c r="FE84" t="s">
        <v>1454</v>
      </c>
      <c r="FG84" t="s">
        <v>1454</v>
      </c>
      <c r="FH84" t="s">
        <v>1454</v>
      </c>
      <c r="FI84" t="s">
        <v>1454</v>
      </c>
      <c r="FK84" t="s">
        <v>1454</v>
      </c>
      <c r="FL84" t="s">
        <v>1454</v>
      </c>
      <c r="FM84" t="s">
        <v>1454</v>
      </c>
      <c r="FO84" t="s">
        <v>1454</v>
      </c>
      <c r="FP84" t="s">
        <v>1454</v>
      </c>
      <c r="FQ84" t="s">
        <v>1454</v>
      </c>
      <c r="FS84" t="s">
        <v>1454</v>
      </c>
      <c r="FT84" t="s">
        <v>1454</v>
      </c>
      <c r="FU84" t="s">
        <v>1454</v>
      </c>
      <c r="FW84" t="s">
        <v>1454</v>
      </c>
      <c r="FX84" t="s">
        <v>1454</v>
      </c>
      <c r="FY84" t="s">
        <v>1454</v>
      </c>
      <c r="GA84" t="s">
        <v>1454</v>
      </c>
      <c r="GB84" t="s">
        <v>1454</v>
      </c>
      <c r="GC84" t="s">
        <v>1454</v>
      </c>
      <c r="GE84" t="s">
        <v>1454</v>
      </c>
      <c r="GF84" t="s">
        <v>1454</v>
      </c>
      <c r="GG84" t="s">
        <v>1454</v>
      </c>
      <c r="GI84" t="s">
        <v>1454</v>
      </c>
      <c r="GJ84" t="s">
        <v>1454</v>
      </c>
      <c r="GK84" t="s">
        <v>1454</v>
      </c>
      <c r="GM84" t="s">
        <v>1454</v>
      </c>
      <c r="GN84" t="s">
        <v>1454</v>
      </c>
      <c r="GO84" t="s">
        <v>1454</v>
      </c>
      <c r="GQ84" t="s">
        <v>1454</v>
      </c>
      <c r="GR84" t="s">
        <v>1463</v>
      </c>
      <c r="GS84" t="s">
        <v>1454</v>
      </c>
    </row>
    <row r="85" spans="2:201" x14ac:dyDescent="0.25">
      <c r="B85" t="s">
        <v>420</v>
      </c>
      <c r="C85" t="s">
        <v>1454</v>
      </c>
      <c r="D85" t="s">
        <v>1454</v>
      </c>
      <c r="E85" t="s">
        <v>1454</v>
      </c>
      <c r="G85" t="s">
        <v>1454</v>
      </c>
      <c r="H85" t="s">
        <v>1454</v>
      </c>
      <c r="I85" t="s">
        <v>1454</v>
      </c>
      <c r="K85" t="s">
        <v>1454</v>
      </c>
      <c r="L85" t="s">
        <v>1454</v>
      </c>
      <c r="M85" t="s">
        <v>1454</v>
      </c>
      <c r="O85" t="s">
        <v>1454</v>
      </c>
      <c r="P85" t="s">
        <v>1454</v>
      </c>
      <c r="Q85" t="s">
        <v>1454</v>
      </c>
      <c r="S85" t="s">
        <v>1454</v>
      </c>
      <c r="T85" t="s">
        <v>1454</v>
      </c>
      <c r="U85" t="s">
        <v>1454</v>
      </c>
      <c r="W85" t="s">
        <v>1454</v>
      </c>
      <c r="X85" t="s">
        <v>1454</v>
      </c>
      <c r="Y85" t="s">
        <v>1454</v>
      </c>
      <c r="AA85" t="s">
        <v>1454</v>
      </c>
      <c r="AB85" t="s">
        <v>1454</v>
      </c>
      <c r="AC85" t="s">
        <v>1454</v>
      </c>
      <c r="AE85" t="s">
        <v>1454</v>
      </c>
      <c r="AF85" t="s">
        <v>1454</v>
      </c>
      <c r="AG85" t="s">
        <v>1454</v>
      </c>
      <c r="AI85" t="s">
        <v>1454</v>
      </c>
      <c r="AJ85" t="s">
        <v>1454</v>
      </c>
      <c r="AK85" t="s">
        <v>1454</v>
      </c>
      <c r="AM85" t="s">
        <v>1454</v>
      </c>
      <c r="AN85" t="s">
        <v>1454</v>
      </c>
      <c r="AO85" t="s">
        <v>1454</v>
      </c>
      <c r="AQ85" t="s">
        <v>1454</v>
      </c>
      <c r="AR85" t="s">
        <v>1454</v>
      </c>
      <c r="AS85" t="s">
        <v>1454</v>
      </c>
      <c r="AU85" t="s">
        <v>1454</v>
      </c>
      <c r="AV85" t="s">
        <v>1454</v>
      </c>
      <c r="AW85" t="s">
        <v>1454</v>
      </c>
      <c r="AY85" t="s">
        <v>1454</v>
      </c>
      <c r="AZ85" t="s">
        <v>1454</v>
      </c>
      <c r="BA85" t="s">
        <v>1454</v>
      </c>
      <c r="BC85" t="s">
        <v>1454</v>
      </c>
      <c r="BD85" t="s">
        <v>1454</v>
      </c>
      <c r="BE85" t="s">
        <v>1454</v>
      </c>
      <c r="BG85" t="s">
        <v>1454</v>
      </c>
      <c r="BH85" t="s">
        <v>1454</v>
      </c>
      <c r="BI85" t="s">
        <v>1454</v>
      </c>
      <c r="BK85" t="s">
        <v>1454</v>
      </c>
      <c r="BL85" t="s">
        <v>1454</v>
      </c>
      <c r="BM85" t="s">
        <v>1454</v>
      </c>
      <c r="BO85" t="s">
        <v>1454</v>
      </c>
      <c r="BP85" t="s">
        <v>1454</v>
      </c>
      <c r="BQ85" t="s">
        <v>1454</v>
      </c>
      <c r="BS85" t="s">
        <v>1454</v>
      </c>
      <c r="BT85" t="s">
        <v>1454</v>
      </c>
      <c r="BU85" t="s">
        <v>1454</v>
      </c>
      <c r="BW85" t="s">
        <v>1454</v>
      </c>
      <c r="BX85" t="s">
        <v>1454</v>
      </c>
      <c r="BY85" t="s">
        <v>1454</v>
      </c>
      <c r="CA85" t="s">
        <v>1454</v>
      </c>
      <c r="CB85" t="s">
        <v>1454</v>
      </c>
      <c r="CC85" t="s">
        <v>1454</v>
      </c>
      <c r="CE85" t="s">
        <v>1454</v>
      </c>
      <c r="CF85" t="s">
        <v>1454</v>
      </c>
      <c r="CG85" t="s">
        <v>1454</v>
      </c>
      <c r="CI85" t="s">
        <v>1454</v>
      </c>
      <c r="CJ85" t="s">
        <v>1454</v>
      </c>
      <c r="CK85" t="s">
        <v>1454</v>
      </c>
      <c r="CM85" t="s">
        <v>1454</v>
      </c>
      <c r="CN85" t="s">
        <v>1454</v>
      </c>
      <c r="CO85" t="s">
        <v>1454</v>
      </c>
      <c r="CQ85" t="s">
        <v>1454</v>
      </c>
      <c r="CR85" t="s">
        <v>1454</v>
      </c>
      <c r="CS85" t="s">
        <v>1454</v>
      </c>
      <c r="CU85" t="s">
        <v>1454</v>
      </c>
      <c r="CV85" t="s">
        <v>626</v>
      </c>
      <c r="CW85" t="s">
        <v>1454</v>
      </c>
      <c r="CY85" t="s">
        <v>1454</v>
      </c>
      <c r="CZ85" t="s">
        <v>1454</v>
      </c>
      <c r="DA85" t="s">
        <v>1454</v>
      </c>
      <c r="DC85" t="s">
        <v>1454</v>
      </c>
      <c r="DD85" t="s">
        <v>1454</v>
      </c>
      <c r="DE85" t="s">
        <v>1454</v>
      </c>
      <c r="DG85" t="s">
        <v>1454</v>
      </c>
      <c r="DH85" t="s">
        <v>1454</v>
      </c>
      <c r="DI85" t="s">
        <v>1454</v>
      </c>
      <c r="DK85" t="s">
        <v>1454</v>
      </c>
      <c r="DL85" t="s">
        <v>1454</v>
      </c>
      <c r="DM85" t="s">
        <v>1454</v>
      </c>
      <c r="DO85" t="s">
        <v>1454</v>
      </c>
      <c r="DP85" t="s">
        <v>1454</v>
      </c>
      <c r="DQ85" t="s">
        <v>1454</v>
      </c>
      <c r="DS85" t="s">
        <v>1454</v>
      </c>
      <c r="DT85" t="s">
        <v>1454</v>
      </c>
      <c r="DU85" t="s">
        <v>1454</v>
      </c>
      <c r="DW85" t="s">
        <v>1454</v>
      </c>
      <c r="DX85" t="s">
        <v>1454</v>
      </c>
      <c r="DY85" t="s">
        <v>1454</v>
      </c>
      <c r="EA85" t="s">
        <v>1454</v>
      </c>
      <c r="EB85" t="s">
        <v>1454</v>
      </c>
      <c r="EC85" t="s">
        <v>1454</v>
      </c>
      <c r="EE85" t="s">
        <v>1454</v>
      </c>
      <c r="EF85" t="s">
        <v>1454</v>
      </c>
      <c r="EG85" t="s">
        <v>1454</v>
      </c>
      <c r="EI85" t="s">
        <v>1454</v>
      </c>
      <c r="EJ85" t="s">
        <v>1454</v>
      </c>
      <c r="EK85" t="s">
        <v>1454</v>
      </c>
      <c r="EM85" t="s">
        <v>1454</v>
      </c>
      <c r="EN85" t="s">
        <v>1454</v>
      </c>
      <c r="EO85" t="s">
        <v>1454</v>
      </c>
      <c r="EQ85" t="s">
        <v>1454</v>
      </c>
      <c r="ER85" t="s">
        <v>1454</v>
      </c>
      <c r="ES85" t="s">
        <v>1454</v>
      </c>
      <c r="EU85" t="s">
        <v>1454</v>
      </c>
      <c r="EV85" t="s">
        <v>1454</v>
      </c>
      <c r="EW85" t="s">
        <v>1454</v>
      </c>
      <c r="EY85" t="s">
        <v>1454</v>
      </c>
      <c r="EZ85" t="s">
        <v>1454</v>
      </c>
      <c r="FA85" t="s">
        <v>1454</v>
      </c>
      <c r="FC85" t="s">
        <v>1454</v>
      </c>
      <c r="FD85" t="s">
        <v>1454</v>
      </c>
      <c r="FE85" t="s">
        <v>1454</v>
      </c>
      <c r="FG85" t="s">
        <v>1454</v>
      </c>
      <c r="FH85" t="s">
        <v>1454</v>
      </c>
      <c r="FI85" t="s">
        <v>1454</v>
      </c>
      <c r="FK85" t="s">
        <v>1454</v>
      </c>
      <c r="FL85" t="s">
        <v>1454</v>
      </c>
      <c r="FM85" t="s">
        <v>1454</v>
      </c>
      <c r="FO85" t="s">
        <v>1454</v>
      </c>
      <c r="FP85" t="s">
        <v>1454</v>
      </c>
      <c r="FQ85" t="s">
        <v>1454</v>
      </c>
      <c r="FS85" t="s">
        <v>1454</v>
      </c>
      <c r="FT85" t="s">
        <v>1454</v>
      </c>
      <c r="FU85" t="s">
        <v>1454</v>
      </c>
      <c r="FW85" t="s">
        <v>1454</v>
      </c>
      <c r="FX85" t="s">
        <v>1454</v>
      </c>
      <c r="FY85" t="s">
        <v>1454</v>
      </c>
      <c r="GA85" t="s">
        <v>1454</v>
      </c>
      <c r="GB85" t="s">
        <v>1454</v>
      </c>
      <c r="GC85" t="s">
        <v>1454</v>
      </c>
      <c r="GE85" t="s">
        <v>1454</v>
      </c>
      <c r="GF85" t="s">
        <v>1454</v>
      </c>
      <c r="GG85" t="s">
        <v>1454</v>
      </c>
      <c r="GI85" t="s">
        <v>1454</v>
      </c>
      <c r="GJ85" t="s">
        <v>1454</v>
      </c>
      <c r="GK85" t="s">
        <v>1454</v>
      </c>
      <c r="GM85" t="s">
        <v>1454</v>
      </c>
      <c r="GN85" t="s">
        <v>1454</v>
      </c>
      <c r="GO85" t="s">
        <v>1454</v>
      </c>
      <c r="GQ85" t="s">
        <v>1454</v>
      </c>
      <c r="GR85" t="s">
        <v>1463</v>
      </c>
      <c r="GS85" t="s">
        <v>1454</v>
      </c>
    </row>
    <row r="86" spans="2:201" x14ac:dyDescent="0.25">
      <c r="B86" t="s">
        <v>423</v>
      </c>
      <c r="C86" t="s">
        <v>1454</v>
      </c>
      <c r="D86" t="s">
        <v>1454</v>
      </c>
      <c r="E86" t="s">
        <v>1454</v>
      </c>
      <c r="G86" t="s">
        <v>1454</v>
      </c>
      <c r="H86" t="s">
        <v>1454</v>
      </c>
      <c r="I86" t="s">
        <v>1454</v>
      </c>
      <c r="K86" t="s">
        <v>1454</v>
      </c>
      <c r="L86" t="s">
        <v>1454</v>
      </c>
      <c r="M86" t="s">
        <v>1454</v>
      </c>
      <c r="O86" t="s">
        <v>1454</v>
      </c>
      <c r="P86" t="s">
        <v>1454</v>
      </c>
      <c r="Q86" t="s">
        <v>1454</v>
      </c>
      <c r="S86" t="s">
        <v>1454</v>
      </c>
      <c r="T86" t="s">
        <v>1454</v>
      </c>
      <c r="U86" t="s">
        <v>1454</v>
      </c>
      <c r="W86" t="s">
        <v>1454</v>
      </c>
      <c r="X86" t="s">
        <v>1454</v>
      </c>
      <c r="Y86" t="s">
        <v>1454</v>
      </c>
      <c r="AA86" t="s">
        <v>1454</v>
      </c>
      <c r="AB86" t="s">
        <v>1454</v>
      </c>
      <c r="AC86" t="s">
        <v>1454</v>
      </c>
      <c r="AE86" t="s">
        <v>1454</v>
      </c>
      <c r="AF86" t="s">
        <v>1454</v>
      </c>
      <c r="AG86" t="s">
        <v>1454</v>
      </c>
      <c r="AI86" t="s">
        <v>1454</v>
      </c>
      <c r="AJ86" t="s">
        <v>1454</v>
      </c>
      <c r="AK86" t="s">
        <v>1454</v>
      </c>
      <c r="AM86" t="s">
        <v>1454</v>
      </c>
      <c r="AN86" t="s">
        <v>1454</v>
      </c>
      <c r="AO86" t="s">
        <v>1454</v>
      </c>
      <c r="AQ86" t="s">
        <v>1454</v>
      </c>
      <c r="AR86" t="s">
        <v>1454</v>
      </c>
      <c r="AS86" t="s">
        <v>1454</v>
      </c>
      <c r="AU86" t="s">
        <v>1454</v>
      </c>
      <c r="AV86" t="s">
        <v>1454</v>
      </c>
      <c r="AW86" t="s">
        <v>1454</v>
      </c>
      <c r="AY86" t="s">
        <v>1454</v>
      </c>
      <c r="AZ86" t="s">
        <v>1454</v>
      </c>
      <c r="BA86" t="s">
        <v>1454</v>
      </c>
      <c r="BC86" t="s">
        <v>1454</v>
      </c>
      <c r="BD86" t="s">
        <v>1454</v>
      </c>
      <c r="BE86" t="s">
        <v>1454</v>
      </c>
      <c r="BG86" t="s">
        <v>1454</v>
      </c>
      <c r="BH86" t="s">
        <v>1454</v>
      </c>
      <c r="BI86" t="s">
        <v>1454</v>
      </c>
      <c r="BK86" t="s">
        <v>1454</v>
      </c>
      <c r="BL86" t="s">
        <v>1454</v>
      </c>
      <c r="BM86" t="s">
        <v>1454</v>
      </c>
      <c r="BO86" t="s">
        <v>1454</v>
      </c>
      <c r="BP86" t="s">
        <v>1454</v>
      </c>
      <c r="BQ86" t="s">
        <v>1454</v>
      </c>
      <c r="BS86" t="s">
        <v>1454</v>
      </c>
      <c r="BT86" t="s">
        <v>1454</v>
      </c>
      <c r="BU86" t="s">
        <v>1454</v>
      </c>
      <c r="BW86" t="s">
        <v>1454</v>
      </c>
      <c r="BX86" t="s">
        <v>1454</v>
      </c>
      <c r="BY86" t="s">
        <v>1454</v>
      </c>
      <c r="CA86" t="s">
        <v>1454</v>
      </c>
      <c r="CB86" t="s">
        <v>1454</v>
      </c>
      <c r="CC86" t="s">
        <v>1454</v>
      </c>
      <c r="CE86" t="s">
        <v>1454</v>
      </c>
      <c r="CF86" t="s">
        <v>1454</v>
      </c>
      <c r="CG86" t="s">
        <v>1454</v>
      </c>
      <c r="CI86" t="s">
        <v>1454</v>
      </c>
      <c r="CJ86" t="s">
        <v>1454</v>
      </c>
      <c r="CK86" t="s">
        <v>1454</v>
      </c>
      <c r="CM86" t="s">
        <v>1454</v>
      </c>
      <c r="CN86" t="s">
        <v>1454</v>
      </c>
      <c r="CO86" t="s">
        <v>1454</v>
      </c>
      <c r="CQ86" t="s">
        <v>1454</v>
      </c>
      <c r="CR86" t="s">
        <v>1454</v>
      </c>
      <c r="CS86" t="s">
        <v>1454</v>
      </c>
      <c r="CU86" t="s">
        <v>1454</v>
      </c>
      <c r="CV86" t="s">
        <v>626</v>
      </c>
      <c r="CW86" t="s">
        <v>1454</v>
      </c>
      <c r="CY86" t="s">
        <v>1454</v>
      </c>
      <c r="CZ86" t="s">
        <v>1454</v>
      </c>
      <c r="DA86" t="s">
        <v>1454</v>
      </c>
      <c r="DC86" t="s">
        <v>1454</v>
      </c>
      <c r="DD86" t="s">
        <v>1454</v>
      </c>
      <c r="DE86" t="s">
        <v>1454</v>
      </c>
      <c r="DG86" t="s">
        <v>1454</v>
      </c>
      <c r="DH86" t="s">
        <v>1454</v>
      </c>
      <c r="DI86" t="s">
        <v>1454</v>
      </c>
      <c r="DK86" t="s">
        <v>1454</v>
      </c>
      <c r="DL86" t="s">
        <v>1454</v>
      </c>
      <c r="DM86" t="s">
        <v>1454</v>
      </c>
      <c r="DO86" t="s">
        <v>1454</v>
      </c>
      <c r="DP86" t="s">
        <v>1454</v>
      </c>
      <c r="DQ86" t="s">
        <v>1454</v>
      </c>
      <c r="DS86" t="s">
        <v>1454</v>
      </c>
      <c r="DT86" t="s">
        <v>1454</v>
      </c>
      <c r="DU86" t="s">
        <v>1454</v>
      </c>
      <c r="DW86" t="s">
        <v>1454</v>
      </c>
      <c r="DX86" t="s">
        <v>1454</v>
      </c>
      <c r="DY86" t="s">
        <v>1454</v>
      </c>
      <c r="EA86" t="s">
        <v>1454</v>
      </c>
      <c r="EB86" t="s">
        <v>1454</v>
      </c>
      <c r="EC86" t="s">
        <v>1454</v>
      </c>
      <c r="EE86" t="s">
        <v>1454</v>
      </c>
      <c r="EF86" t="s">
        <v>1454</v>
      </c>
      <c r="EG86" t="s">
        <v>1454</v>
      </c>
      <c r="EI86" t="s">
        <v>1454</v>
      </c>
      <c r="EJ86" t="s">
        <v>1454</v>
      </c>
      <c r="EK86" t="s">
        <v>1454</v>
      </c>
      <c r="EM86" t="s">
        <v>1454</v>
      </c>
      <c r="EN86" t="s">
        <v>1454</v>
      </c>
      <c r="EO86" t="s">
        <v>1454</v>
      </c>
      <c r="EQ86" t="s">
        <v>1454</v>
      </c>
      <c r="ER86" t="s">
        <v>1454</v>
      </c>
      <c r="ES86" t="s">
        <v>1454</v>
      </c>
      <c r="EU86" t="s">
        <v>1454</v>
      </c>
      <c r="EV86" t="s">
        <v>1454</v>
      </c>
      <c r="EW86" t="s">
        <v>1454</v>
      </c>
      <c r="EY86" t="s">
        <v>1454</v>
      </c>
      <c r="EZ86" t="s">
        <v>1454</v>
      </c>
      <c r="FA86" t="s">
        <v>1454</v>
      </c>
      <c r="FC86" t="s">
        <v>1454</v>
      </c>
      <c r="FD86" t="s">
        <v>1454</v>
      </c>
      <c r="FE86" t="s">
        <v>1454</v>
      </c>
      <c r="FG86" t="s">
        <v>1454</v>
      </c>
      <c r="FH86" t="s">
        <v>1454</v>
      </c>
      <c r="FI86" t="s">
        <v>1454</v>
      </c>
      <c r="FK86" t="s">
        <v>1454</v>
      </c>
      <c r="FL86" t="s">
        <v>1454</v>
      </c>
      <c r="FM86" t="s">
        <v>1454</v>
      </c>
      <c r="FO86" t="s">
        <v>1454</v>
      </c>
      <c r="FP86" t="s">
        <v>1454</v>
      </c>
      <c r="FQ86" t="s">
        <v>1454</v>
      </c>
      <c r="FS86" t="s">
        <v>1454</v>
      </c>
      <c r="FT86" t="s">
        <v>1454</v>
      </c>
      <c r="FU86" t="s">
        <v>1454</v>
      </c>
      <c r="FW86" t="s">
        <v>1454</v>
      </c>
      <c r="FX86" t="s">
        <v>1454</v>
      </c>
      <c r="FY86" t="s">
        <v>1454</v>
      </c>
      <c r="GA86" t="s">
        <v>1454</v>
      </c>
      <c r="GB86" t="s">
        <v>1454</v>
      </c>
      <c r="GC86" t="s">
        <v>1454</v>
      </c>
      <c r="GE86" t="s">
        <v>1454</v>
      </c>
      <c r="GF86" t="s">
        <v>1454</v>
      </c>
      <c r="GG86" t="s">
        <v>1454</v>
      </c>
      <c r="GI86" t="s">
        <v>1454</v>
      </c>
      <c r="GJ86" t="s">
        <v>1454</v>
      </c>
      <c r="GK86" t="s">
        <v>1454</v>
      </c>
      <c r="GM86" t="s">
        <v>1454</v>
      </c>
      <c r="GN86" t="s">
        <v>1454</v>
      </c>
      <c r="GO86" t="s">
        <v>1454</v>
      </c>
      <c r="GQ86" t="s">
        <v>1454</v>
      </c>
      <c r="GR86" t="s">
        <v>1463</v>
      </c>
      <c r="GS86" t="s">
        <v>1454</v>
      </c>
    </row>
    <row r="87" spans="2:201" s="11" customFormat="1" x14ac:dyDescent="0.25">
      <c r="B87" t="s">
        <v>425</v>
      </c>
      <c r="C87" t="s">
        <v>1454</v>
      </c>
      <c r="D87" t="s">
        <v>1454</v>
      </c>
      <c r="E87" t="s">
        <v>1454</v>
      </c>
      <c r="F87"/>
      <c r="G87" t="s">
        <v>1454</v>
      </c>
      <c r="H87" t="s">
        <v>1454</v>
      </c>
      <c r="I87" t="s">
        <v>1454</v>
      </c>
      <c r="J87"/>
      <c r="K87" t="s">
        <v>1454</v>
      </c>
      <c r="L87" t="s">
        <v>1454</v>
      </c>
      <c r="M87" t="s">
        <v>1454</v>
      </c>
      <c r="N87"/>
      <c r="O87" t="s">
        <v>1454</v>
      </c>
      <c r="P87" t="s">
        <v>1454</v>
      </c>
      <c r="Q87" t="s">
        <v>1454</v>
      </c>
      <c r="R87"/>
      <c r="S87" t="s">
        <v>1454</v>
      </c>
      <c r="T87" t="s">
        <v>1454</v>
      </c>
      <c r="U87" t="s">
        <v>1454</v>
      </c>
      <c r="V87"/>
      <c r="W87" t="s">
        <v>1454</v>
      </c>
      <c r="X87" t="s">
        <v>1454</v>
      </c>
      <c r="Y87" t="s">
        <v>1454</v>
      </c>
      <c r="Z87"/>
      <c r="AA87" t="s">
        <v>1454</v>
      </c>
      <c r="AB87" t="s">
        <v>1454</v>
      </c>
      <c r="AC87" t="s">
        <v>1454</v>
      </c>
      <c r="AD87"/>
      <c r="AE87" t="s">
        <v>1454</v>
      </c>
      <c r="AF87" t="s">
        <v>1454</v>
      </c>
      <c r="AG87" t="s">
        <v>1454</v>
      </c>
      <c r="AH87"/>
      <c r="AI87" t="s">
        <v>1454</v>
      </c>
      <c r="AJ87" t="s">
        <v>1454</v>
      </c>
      <c r="AK87" t="s">
        <v>1454</v>
      </c>
      <c r="AL87"/>
      <c r="AM87" t="s">
        <v>1454</v>
      </c>
      <c r="AN87" t="s">
        <v>1454</v>
      </c>
      <c r="AO87" t="s">
        <v>1454</v>
      </c>
      <c r="AP87"/>
      <c r="AQ87" t="s">
        <v>1454</v>
      </c>
      <c r="AR87" t="s">
        <v>1454</v>
      </c>
      <c r="AS87" t="s">
        <v>1454</v>
      </c>
      <c r="AT87"/>
      <c r="AU87" t="s">
        <v>1454</v>
      </c>
      <c r="AV87" t="s">
        <v>1454</v>
      </c>
      <c r="AW87" t="s">
        <v>1454</v>
      </c>
      <c r="AX87"/>
      <c r="AY87" t="s">
        <v>1454</v>
      </c>
      <c r="AZ87" t="s">
        <v>1454</v>
      </c>
      <c r="BA87" t="s">
        <v>1454</v>
      </c>
      <c r="BB87"/>
      <c r="BC87" t="s">
        <v>1454</v>
      </c>
      <c r="BD87" t="s">
        <v>1454</v>
      </c>
      <c r="BE87" t="s">
        <v>1454</v>
      </c>
      <c r="BF87"/>
      <c r="BG87" t="s">
        <v>1454</v>
      </c>
      <c r="BH87" t="s">
        <v>1454</v>
      </c>
      <c r="BI87" t="s">
        <v>1454</v>
      </c>
      <c r="BJ87"/>
      <c r="BK87" t="s">
        <v>1454</v>
      </c>
      <c r="BL87" t="s">
        <v>1454</v>
      </c>
      <c r="BM87" t="s">
        <v>1454</v>
      </c>
      <c r="BN87"/>
      <c r="BO87" t="s">
        <v>1454</v>
      </c>
      <c r="BP87" t="s">
        <v>1454</v>
      </c>
      <c r="BQ87" t="s">
        <v>1454</v>
      </c>
      <c r="BR87"/>
      <c r="BS87" t="s">
        <v>1454</v>
      </c>
      <c r="BT87" t="s">
        <v>1454</v>
      </c>
      <c r="BU87" t="s">
        <v>1454</v>
      </c>
      <c r="BV87"/>
      <c r="BW87" t="s">
        <v>1454</v>
      </c>
      <c r="BX87" t="s">
        <v>1454</v>
      </c>
      <c r="BY87" t="s">
        <v>1454</v>
      </c>
      <c r="BZ87"/>
      <c r="CA87" t="s">
        <v>1454</v>
      </c>
      <c r="CB87" t="s">
        <v>1454</v>
      </c>
      <c r="CC87" t="s">
        <v>1454</v>
      </c>
      <c r="CD87"/>
      <c r="CE87" t="s">
        <v>1454</v>
      </c>
      <c r="CF87" t="s">
        <v>1454</v>
      </c>
      <c r="CG87" t="s">
        <v>1454</v>
      </c>
      <c r="CH87"/>
      <c r="CI87" t="s">
        <v>1454</v>
      </c>
      <c r="CJ87" t="s">
        <v>1454</v>
      </c>
      <c r="CK87" t="s">
        <v>1454</v>
      </c>
      <c r="CL87"/>
      <c r="CM87" t="s">
        <v>1454</v>
      </c>
      <c r="CN87" t="s">
        <v>1454</v>
      </c>
      <c r="CO87" t="s">
        <v>1454</v>
      </c>
      <c r="CP87"/>
      <c r="CQ87" t="s">
        <v>1454</v>
      </c>
      <c r="CR87" t="s">
        <v>1454</v>
      </c>
      <c r="CS87" t="s">
        <v>1454</v>
      </c>
      <c r="CT87"/>
      <c r="CU87" t="s">
        <v>1454</v>
      </c>
      <c r="CV87" t="s">
        <v>626</v>
      </c>
      <c r="CW87" t="s">
        <v>1454</v>
      </c>
      <c r="CX87"/>
      <c r="CY87" t="s">
        <v>1454</v>
      </c>
      <c r="CZ87" t="s">
        <v>1454</v>
      </c>
      <c r="DA87" t="s">
        <v>1454</v>
      </c>
      <c r="DB87"/>
      <c r="DC87" t="s">
        <v>1454</v>
      </c>
      <c r="DD87" t="s">
        <v>1454</v>
      </c>
      <c r="DE87" t="s">
        <v>1454</v>
      </c>
      <c r="DF87"/>
      <c r="DG87" t="s">
        <v>629</v>
      </c>
      <c r="DH87" t="s">
        <v>1454</v>
      </c>
      <c r="DI87" t="s">
        <v>1454</v>
      </c>
      <c r="DJ87"/>
      <c r="DK87" t="s">
        <v>1454</v>
      </c>
      <c r="DL87" t="s">
        <v>1454</v>
      </c>
      <c r="DM87" t="s">
        <v>1454</v>
      </c>
      <c r="DN87"/>
      <c r="DO87" t="s">
        <v>1454</v>
      </c>
      <c r="DP87" t="s">
        <v>1454</v>
      </c>
      <c r="DQ87" t="s">
        <v>1454</v>
      </c>
      <c r="DR87"/>
      <c r="DS87" t="s">
        <v>1454</v>
      </c>
      <c r="DT87" t="s">
        <v>1454</v>
      </c>
      <c r="DU87" t="s">
        <v>1454</v>
      </c>
      <c r="DV87"/>
      <c r="DW87" t="s">
        <v>1454</v>
      </c>
      <c r="DX87" t="s">
        <v>1454</v>
      </c>
      <c r="DY87" t="s">
        <v>1454</v>
      </c>
      <c r="DZ87"/>
      <c r="EA87" t="s">
        <v>1454</v>
      </c>
      <c r="EB87" t="s">
        <v>1454</v>
      </c>
      <c r="EC87" t="s">
        <v>1454</v>
      </c>
      <c r="ED87"/>
      <c r="EE87" t="s">
        <v>1454</v>
      </c>
      <c r="EF87" t="s">
        <v>1454</v>
      </c>
      <c r="EG87" t="s">
        <v>1454</v>
      </c>
      <c r="EH87"/>
      <c r="EI87" t="s">
        <v>1454</v>
      </c>
      <c r="EJ87" t="s">
        <v>1454</v>
      </c>
      <c r="EK87" t="s">
        <v>1454</v>
      </c>
      <c r="EL87"/>
      <c r="EM87" t="s">
        <v>1454</v>
      </c>
      <c r="EN87" t="s">
        <v>1454</v>
      </c>
      <c r="EO87" t="s">
        <v>1454</v>
      </c>
      <c r="EP87"/>
      <c r="EQ87" t="s">
        <v>1454</v>
      </c>
      <c r="ER87" t="s">
        <v>1454</v>
      </c>
      <c r="ES87" t="s">
        <v>1454</v>
      </c>
      <c r="ET87"/>
      <c r="EU87" t="s">
        <v>1454</v>
      </c>
      <c r="EV87" t="s">
        <v>1454</v>
      </c>
      <c r="EW87" t="s">
        <v>1454</v>
      </c>
      <c r="EX87"/>
      <c r="EY87" t="s">
        <v>1454</v>
      </c>
      <c r="EZ87" t="s">
        <v>1454</v>
      </c>
      <c r="FA87" t="s">
        <v>1454</v>
      </c>
      <c r="FB87"/>
      <c r="FC87" t="s">
        <v>1454</v>
      </c>
      <c r="FD87" t="s">
        <v>1454</v>
      </c>
      <c r="FE87" t="s">
        <v>1454</v>
      </c>
      <c r="FF87"/>
      <c r="FG87" t="s">
        <v>1454</v>
      </c>
      <c r="FH87" t="s">
        <v>1454</v>
      </c>
      <c r="FI87" t="s">
        <v>1454</v>
      </c>
      <c r="FJ87"/>
      <c r="FK87" t="s">
        <v>1454</v>
      </c>
      <c r="FL87" t="s">
        <v>1454</v>
      </c>
      <c r="FM87" t="s">
        <v>1454</v>
      </c>
      <c r="FN87"/>
      <c r="FO87" t="s">
        <v>1454</v>
      </c>
      <c r="FP87" t="s">
        <v>1454</v>
      </c>
      <c r="FQ87" t="s">
        <v>1454</v>
      </c>
      <c r="FR87"/>
      <c r="FS87" t="s">
        <v>1454</v>
      </c>
      <c r="FT87" t="s">
        <v>1454</v>
      </c>
      <c r="FU87" t="s">
        <v>1454</v>
      </c>
      <c r="FV87"/>
      <c r="FW87" t="s">
        <v>1454</v>
      </c>
      <c r="FX87" t="s">
        <v>1454</v>
      </c>
      <c r="FY87" t="s">
        <v>1454</v>
      </c>
      <c r="FZ87"/>
      <c r="GA87" t="s">
        <v>1454</v>
      </c>
      <c r="GB87" t="s">
        <v>1454</v>
      </c>
      <c r="GC87" t="s">
        <v>1454</v>
      </c>
      <c r="GD87"/>
      <c r="GE87" t="s">
        <v>1454</v>
      </c>
      <c r="GF87" t="s">
        <v>1454</v>
      </c>
      <c r="GG87" t="s">
        <v>1454</v>
      </c>
      <c r="GH87"/>
      <c r="GI87" t="s">
        <v>1454</v>
      </c>
      <c r="GJ87" t="s">
        <v>1454</v>
      </c>
      <c r="GK87" t="s">
        <v>1454</v>
      </c>
      <c r="GL87"/>
      <c r="GM87" t="s">
        <v>1454</v>
      </c>
      <c r="GN87" t="s">
        <v>1454</v>
      </c>
      <c r="GO87" t="s">
        <v>1454</v>
      </c>
      <c r="GP87"/>
      <c r="GQ87" t="s">
        <v>1550</v>
      </c>
      <c r="GR87" t="s">
        <v>1463</v>
      </c>
      <c r="GS87" t="s">
        <v>1454</v>
      </c>
    </row>
    <row r="88" spans="2:201" x14ac:dyDescent="0.25">
      <c r="B88" t="s">
        <v>702</v>
      </c>
      <c r="C88" t="s">
        <v>603</v>
      </c>
      <c r="D88" t="s">
        <v>1454</v>
      </c>
      <c r="E88" t="s">
        <v>1454</v>
      </c>
      <c r="G88" t="s">
        <v>604</v>
      </c>
      <c r="H88" t="s">
        <v>1454</v>
      </c>
      <c r="I88" t="s">
        <v>1454</v>
      </c>
      <c r="K88" t="s">
        <v>392</v>
      </c>
      <c r="L88" t="s">
        <v>1454</v>
      </c>
      <c r="M88" t="s">
        <v>1454</v>
      </c>
      <c r="O88" t="s">
        <v>1454</v>
      </c>
      <c r="P88" t="s">
        <v>1454</v>
      </c>
      <c r="Q88" t="s">
        <v>1454</v>
      </c>
      <c r="S88" t="s">
        <v>606</v>
      </c>
      <c r="T88" t="s">
        <v>1454</v>
      </c>
      <c r="U88" t="s">
        <v>1454</v>
      </c>
      <c r="W88" t="s">
        <v>1454</v>
      </c>
      <c r="X88" t="s">
        <v>1454</v>
      </c>
      <c r="Y88" t="s">
        <v>1454</v>
      </c>
      <c r="AA88" t="s">
        <v>1454</v>
      </c>
      <c r="AB88" t="s">
        <v>1454</v>
      </c>
      <c r="AC88" t="s">
        <v>1454</v>
      </c>
      <c r="AE88" t="s">
        <v>1454</v>
      </c>
      <c r="AF88" t="s">
        <v>1454</v>
      </c>
      <c r="AG88" t="s">
        <v>1454</v>
      </c>
      <c r="AI88" t="s">
        <v>1454</v>
      </c>
      <c r="AJ88" t="s">
        <v>1454</v>
      </c>
      <c r="AK88" t="s">
        <v>1454</v>
      </c>
      <c r="AM88" t="s">
        <v>1454</v>
      </c>
      <c r="AN88" t="s">
        <v>1454</v>
      </c>
      <c r="AO88" t="s">
        <v>1454</v>
      </c>
      <c r="AQ88" t="s">
        <v>1454</v>
      </c>
      <c r="AR88" t="s">
        <v>1454</v>
      </c>
      <c r="AS88" t="s">
        <v>1454</v>
      </c>
      <c r="AU88" t="s">
        <v>1454</v>
      </c>
      <c r="AV88" t="s">
        <v>1454</v>
      </c>
      <c r="AW88" t="s">
        <v>1454</v>
      </c>
      <c r="AY88" t="s">
        <v>1454</v>
      </c>
      <c r="AZ88" t="s">
        <v>1454</v>
      </c>
      <c r="BA88" t="s">
        <v>1454</v>
      </c>
      <c r="BC88" t="s">
        <v>1454</v>
      </c>
      <c r="BD88" t="s">
        <v>1454</v>
      </c>
      <c r="BE88" t="s">
        <v>1454</v>
      </c>
      <c r="BG88" t="s">
        <v>1454</v>
      </c>
      <c r="BH88" t="s">
        <v>1454</v>
      </c>
      <c r="BI88" t="s">
        <v>1454</v>
      </c>
      <c r="BK88" t="s">
        <v>617</v>
      </c>
      <c r="BL88" t="s">
        <v>1454</v>
      </c>
      <c r="BM88" t="s">
        <v>1454</v>
      </c>
      <c r="BO88" t="s">
        <v>1454</v>
      </c>
      <c r="BP88" t="s">
        <v>1454</v>
      </c>
      <c r="BQ88" t="s">
        <v>1454</v>
      </c>
      <c r="BS88" t="s">
        <v>1454</v>
      </c>
      <c r="BT88" t="s">
        <v>1454</v>
      </c>
      <c r="BU88" t="s">
        <v>1454</v>
      </c>
      <c r="BW88" t="s">
        <v>1454</v>
      </c>
      <c r="BX88" t="s">
        <v>1454</v>
      </c>
      <c r="BY88" t="s">
        <v>1454</v>
      </c>
      <c r="CA88" t="s">
        <v>1454</v>
      </c>
      <c r="CB88" t="s">
        <v>1454</v>
      </c>
      <c r="CC88" t="s">
        <v>1454</v>
      </c>
      <c r="CE88" t="s">
        <v>622</v>
      </c>
      <c r="CF88" t="s">
        <v>1454</v>
      </c>
      <c r="CG88" t="s">
        <v>1454</v>
      </c>
      <c r="CI88" t="s">
        <v>623</v>
      </c>
      <c r="CJ88" t="s">
        <v>1454</v>
      </c>
      <c r="CK88" t="s">
        <v>1454</v>
      </c>
      <c r="CM88" t="s">
        <v>624</v>
      </c>
      <c r="CN88" t="s">
        <v>1454</v>
      </c>
      <c r="CO88" t="s">
        <v>1454</v>
      </c>
      <c r="CQ88" t="s">
        <v>625</v>
      </c>
      <c r="CR88" t="s">
        <v>1454</v>
      </c>
      <c r="CS88" t="s">
        <v>1454</v>
      </c>
      <c r="CU88" t="s">
        <v>626</v>
      </c>
      <c r="CV88" t="s">
        <v>1454</v>
      </c>
      <c r="CW88" t="s">
        <v>1454</v>
      </c>
      <c r="CY88" t="s">
        <v>627</v>
      </c>
      <c r="CZ88" t="s">
        <v>1454</v>
      </c>
      <c r="DA88" t="s">
        <v>1454</v>
      </c>
      <c r="DC88" t="s">
        <v>1454</v>
      </c>
      <c r="DD88" t="s">
        <v>1454</v>
      </c>
      <c r="DE88" t="s">
        <v>1454</v>
      </c>
      <c r="DG88" t="s">
        <v>1454</v>
      </c>
      <c r="DH88" t="s">
        <v>1454</v>
      </c>
      <c r="DI88" t="s">
        <v>1454</v>
      </c>
      <c r="DK88" t="s">
        <v>630</v>
      </c>
      <c r="DL88" t="s">
        <v>1454</v>
      </c>
      <c r="DM88" t="s">
        <v>1454</v>
      </c>
      <c r="DO88" t="s">
        <v>1454</v>
      </c>
      <c r="DP88" t="s">
        <v>1454</v>
      </c>
      <c r="DQ88" t="s">
        <v>1454</v>
      </c>
      <c r="DS88" t="s">
        <v>1454</v>
      </c>
      <c r="DT88" t="s">
        <v>1454</v>
      </c>
      <c r="DU88" t="s">
        <v>1454</v>
      </c>
      <c r="DW88" t="s">
        <v>1454</v>
      </c>
      <c r="DX88" t="s">
        <v>1454</v>
      </c>
      <c r="DY88" t="s">
        <v>1454</v>
      </c>
      <c r="EA88" t="s">
        <v>1454</v>
      </c>
      <c r="EB88" t="s">
        <v>1454</v>
      </c>
      <c r="EC88" t="s">
        <v>1454</v>
      </c>
      <c r="EE88" t="s">
        <v>1454</v>
      </c>
      <c r="EF88" t="s">
        <v>1454</v>
      </c>
      <c r="EG88" t="s">
        <v>1454</v>
      </c>
      <c r="EI88" t="s">
        <v>1454</v>
      </c>
      <c r="EJ88" t="s">
        <v>1454</v>
      </c>
      <c r="EK88" t="s">
        <v>1454</v>
      </c>
      <c r="EM88" t="s">
        <v>1454</v>
      </c>
      <c r="EN88" t="s">
        <v>1454</v>
      </c>
      <c r="EO88" t="s">
        <v>1454</v>
      </c>
      <c r="EQ88" t="s">
        <v>1454</v>
      </c>
      <c r="ER88" t="s">
        <v>1454</v>
      </c>
      <c r="ES88" t="s">
        <v>1454</v>
      </c>
      <c r="EU88" t="s">
        <v>1454</v>
      </c>
      <c r="EV88" t="s">
        <v>1454</v>
      </c>
      <c r="EW88" t="s">
        <v>1454</v>
      </c>
      <c r="EY88" t="s">
        <v>1454</v>
      </c>
      <c r="EZ88" t="s">
        <v>1454</v>
      </c>
      <c r="FA88" t="s">
        <v>1454</v>
      </c>
      <c r="FC88" t="s">
        <v>1454</v>
      </c>
      <c r="FD88" t="s">
        <v>1454</v>
      </c>
      <c r="FE88" t="s">
        <v>1454</v>
      </c>
      <c r="FG88" t="s">
        <v>1454</v>
      </c>
      <c r="FH88" t="s">
        <v>1454</v>
      </c>
      <c r="FI88" t="s">
        <v>1454</v>
      </c>
      <c r="FK88" t="s">
        <v>1454</v>
      </c>
      <c r="FL88" t="s">
        <v>1454</v>
      </c>
      <c r="FM88" t="s">
        <v>1454</v>
      </c>
      <c r="FO88" t="s">
        <v>602</v>
      </c>
      <c r="FP88" t="s">
        <v>1454</v>
      </c>
      <c r="FQ88" t="s">
        <v>1454</v>
      </c>
      <c r="FS88" t="s">
        <v>1454</v>
      </c>
      <c r="FT88" t="s">
        <v>1454</v>
      </c>
      <c r="FU88" t="s">
        <v>1454</v>
      </c>
      <c r="FW88" t="s">
        <v>1454</v>
      </c>
      <c r="FX88" t="s">
        <v>1454</v>
      </c>
      <c r="FY88" t="s">
        <v>1454</v>
      </c>
      <c r="GA88" t="s">
        <v>1454</v>
      </c>
      <c r="GB88" t="s">
        <v>1454</v>
      </c>
      <c r="GC88" t="s">
        <v>1454</v>
      </c>
      <c r="GE88" t="s">
        <v>1454</v>
      </c>
      <c r="GF88" t="s">
        <v>1454</v>
      </c>
      <c r="GG88" t="s">
        <v>1454</v>
      </c>
      <c r="GI88" t="s">
        <v>1454</v>
      </c>
      <c r="GJ88" t="s">
        <v>1454</v>
      </c>
      <c r="GK88" t="s">
        <v>1454</v>
      </c>
      <c r="GM88" t="s">
        <v>1454</v>
      </c>
      <c r="GN88" t="s">
        <v>1454</v>
      </c>
      <c r="GO88" t="s">
        <v>1454</v>
      </c>
      <c r="GQ88" t="s">
        <v>1591</v>
      </c>
    </row>
    <row r="89" spans="2:201" x14ac:dyDescent="0.25">
      <c r="B89" t="s">
        <v>703</v>
      </c>
      <c r="C89" t="s">
        <v>1454</v>
      </c>
      <c r="D89" t="s">
        <v>1454</v>
      </c>
      <c r="E89" t="s">
        <v>1454</v>
      </c>
      <c r="G89" t="s">
        <v>604</v>
      </c>
      <c r="H89" t="s">
        <v>1454</v>
      </c>
      <c r="I89" t="s">
        <v>1454</v>
      </c>
      <c r="K89" t="s">
        <v>1454</v>
      </c>
      <c r="L89" t="s">
        <v>1454</v>
      </c>
      <c r="M89" t="s">
        <v>1454</v>
      </c>
      <c r="O89" t="s">
        <v>605</v>
      </c>
      <c r="P89" t="s">
        <v>1454</v>
      </c>
      <c r="Q89" t="s">
        <v>1454</v>
      </c>
      <c r="S89" t="s">
        <v>606</v>
      </c>
      <c r="T89" t="s">
        <v>1454</v>
      </c>
      <c r="U89" t="s">
        <v>1454</v>
      </c>
      <c r="W89" t="s">
        <v>607</v>
      </c>
      <c r="X89" t="s">
        <v>1454</v>
      </c>
      <c r="Y89" t="s">
        <v>1454</v>
      </c>
      <c r="AA89" t="s">
        <v>1454</v>
      </c>
      <c r="AB89" t="s">
        <v>1454</v>
      </c>
      <c r="AC89" t="s">
        <v>1454</v>
      </c>
      <c r="AE89" t="s">
        <v>609</v>
      </c>
      <c r="AF89" t="s">
        <v>1454</v>
      </c>
      <c r="AG89" t="s">
        <v>1454</v>
      </c>
      <c r="AI89" t="s">
        <v>1454</v>
      </c>
      <c r="AJ89" t="s">
        <v>1454</v>
      </c>
      <c r="AK89" t="s">
        <v>1454</v>
      </c>
      <c r="AM89" t="s">
        <v>1454</v>
      </c>
      <c r="AN89" t="s">
        <v>1454</v>
      </c>
      <c r="AO89" t="s">
        <v>1454</v>
      </c>
      <c r="AQ89" t="s">
        <v>612</v>
      </c>
      <c r="AR89" t="s">
        <v>1454</v>
      </c>
      <c r="AS89" t="s">
        <v>1454</v>
      </c>
      <c r="AU89" t="s">
        <v>613</v>
      </c>
      <c r="AV89" t="s">
        <v>1454</v>
      </c>
      <c r="AW89" t="s">
        <v>1454</v>
      </c>
      <c r="AY89" t="s">
        <v>614</v>
      </c>
      <c r="AZ89" t="s">
        <v>1454</v>
      </c>
      <c r="BA89" t="s">
        <v>1454</v>
      </c>
      <c r="BC89" t="s">
        <v>615</v>
      </c>
      <c r="BD89" t="s">
        <v>1454</v>
      </c>
      <c r="BE89" t="s">
        <v>1454</v>
      </c>
      <c r="BG89" t="s">
        <v>616</v>
      </c>
      <c r="BH89" t="s">
        <v>1454</v>
      </c>
      <c r="BI89" t="s">
        <v>1454</v>
      </c>
      <c r="BK89" t="s">
        <v>617</v>
      </c>
      <c r="BL89" t="s">
        <v>1454</v>
      </c>
      <c r="BM89" t="s">
        <v>1454</v>
      </c>
      <c r="BO89" t="s">
        <v>1454</v>
      </c>
      <c r="BP89" t="s">
        <v>1454</v>
      </c>
      <c r="BQ89" t="s">
        <v>1454</v>
      </c>
      <c r="BS89" t="s">
        <v>619</v>
      </c>
      <c r="BT89" t="s">
        <v>1454</v>
      </c>
      <c r="BU89" t="s">
        <v>1454</v>
      </c>
      <c r="BW89" t="s">
        <v>1454</v>
      </c>
      <c r="BX89" t="s">
        <v>1454</v>
      </c>
      <c r="BY89" t="s">
        <v>1454</v>
      </c>
      <c r="CA89" t="s">
        <v>621</v>
      </c>
      <c r="CB89" t="s">
        <v>1454</v>
      </c>
      <c r="CC89" t="s">
        <v>1454</v>
      </c>
      <c r="CE89" t="s">
        <v>622</v>
      </c>
      <c r="CF89" t="s">
        <v>1454</v>
      </c>
      <c r="CG89" t="s">
        <v>1454</v>
      </c>
      <c r="CI89" t="s">
        <v>623</v>
      </c>
      <c r="CJ89" t="s">
        <v>1454</v>
      </c>
      <c r="CK89" t="s">
        <v>1454</v>
      </c>
      <c r="CM89" t="s">
        <v>624</v>
      </c>
      <c r="CN89" t="s">
        <v>1454</v>
      </c>
      <c r="CO89" t="s">
        <v>1454</v>
      </c>
      <c r="CQ89" t="s">
        <v>625</v>
      </c>
      <c r="CR89" t="s">
        <v>1454</v>
      </c>
      <c r="CS89" t="s">
        <v>1454</v>
      </c>
      <c r="CU89" t="s">
        <v>626</v>
      </c>
      <c r="CV89" t="s">
        <v>1454</v>
      </c>
      <c r="CW89" t="s">
        <v>1454</v>
      </c>
      <c r="CY89" t="s">
        <v>627</v>
      </c>
      <c r="CZ89" t="s">
        <v>1454</v>
      </c>
      <c r="DA89" t="s">
        <v>1454</v>
      </c>
      <c r="DC89" t="s">
        <v>1454</v>
      </c>
      <c r="DD89" t="s">
        <v>1454</v>
      </c>
      <c r="DE89" t="s">
        <v>1454</v>
      </c>
      <c r="DG89" t="s">
        <v>1454</v>
      </c>
      <c r="DH89" t="s">
        <v>1454</v>
      </c>
      <c r="DI89" t="s">
        <v>1454</v>
      </c>
      <c r="DK89" t="s">
        <v>630</v>
      </c>
      <c r="DL89" t="s">
        <v>1454</v>
      </c>
      <c r="DM89" t="s">
        <v>1454</v>
      </c>
      <c r="DO89" t="s">
        <v>1454</v>
      </c>
      <c r="DP89" t="s">
        <v>1454</v>
      </c>
      <c r="DQ89" t="s">
        <v>1454</v>
      </c>
      <c r="DS89" t="s">
        <v>1454</v>
      </c>
      <c r="DT89" t="s">
        <v>1454</v>
      </c>
      <c r="DU89" t="s">
        <v>1454</v>
      </c>
      <c r="DW89" t="s">
        <v>1454</v>
      </c>
      <c r="DX89" t="s">
        <v>1454</v>
      </c>
      <c r="DY89" t="s">
        <v>1454</v>
      </c>
      <c r="EA89" t="s">
        <v>1454</v>
      </c>
      <c r="EB89" t="s">
        <v>1454</v>
      </c>
      <c r="EC89" t="s">
        <v>1454</v>
      </c>
      <c r="EE89" t="s">
        <v>1454</v>
      </c>
      <c r="EF89" t="s">
        <v>1454</v>
      </c>
      <c r="EG89" t="s">
        <v>1454</v>
      </c>
      <c r="EI89" t="s">
        <v>636</v>
      </c>
      <c r="EJ89" t="s">
        <v>1454</v>
      </c>
      <c r="EK89" t="s">
        <v>1454</v>
      </c>
      <c r="EM89" t="s">
        <v>1454</v>
      </c>
      <c r="EN89" t="s">
        <v>1454</v>
      </c>
      <c r="EO89" t="s">
        <v>1454</v>
      </c>
      <c r="EQ89" t="s">
        <v>638</v>
      </c>
      <c r="ER89" t="s">
        <v>1454</v>
      </c>
      <c r="ES89" t="s">
        <v>1454</v>
      </c>
      <c r="EU89" t="s">
        <v>639</v>
      </c>
      <c r="EV89" t="s">
        <v>1454</v>
      </c>
      <c r="EW89" t="s">
        <v>1454</v>
      </c>
      <c r="EY89" t="s">
        <v>1454</v>
      </c>
      <c r="EZ89" t="s">
        <v>1454</v>
      </c>
      <c r="FA89" t="s">
        <v>1454</v>
      </c>
      <c r="FC89" t="s">
        <v>641</v>
      </c>
      <c r="FD89" t="s">
        <v>1454</v>
      </c>
      <c r="FE89" t="s">
        <v>1454</v>
      </c>
      <c r="FG89" t="s">
        <v>642</v>
      </c>
      <c r="FH89" t="s">
        <v>1454</v>
      </c>
      <c r="FI89" t="s">
        <v>1454</v>
      </c>
      <c r="FK89" t="s">
        <v>643</v>
      </c>
      <c r="FL89" t="s">
        <v>1454</v>
      </c>
      <c r="FM89" t="s">
        <v>1454</v>
      </c>
      <c r="FO89" t="s">
        <v>602</v>
      </c>
      <c r="FP89" t="s">
        <v>1454</v>
      </c>
      <c r="FQ89" t="s">
        <v>1454</v>
      </c>
      <c r="FS89" t="s">
        <v>644</v>
      </c>
      <c r="FT89" t="s">
        <v>1454</v>
      </c>
      <c r="FU89" t="s">
        <v>1454</v>
      </c>
      <c r="FW89" t="s">
        <v>645</v>
      </c>
      <c r="FX89" t="s">
        <v>1454</v>
      </c>
      <c r="FY89" t="s">
        <v>1454</v>
      </c>
      <c r="GA89" t="s">
        <v>646</v>
      </c>
      <c r="GB89" t="s">
        <v>1454</v>
      </c>
      <c r="GC89" t="s">
        <v>1454</v>
      </c>
      <c r="GE89" t="s">
        <v>647</v>
      </c>
      <c r="GF89" t="s">
        <v>1454</v>
      </c>
      <c r="GG89" t="s">
        <v>1454</v>
      </c>
      <c r="GI89" t="s">
        <v>648</v>
      </c>
      <c r="GJ89" t="s">
        <v>1454</v>
      </c>
      <c r="GK89" t="s">
        <v>1454</v>
      </c>
      <c r="GM89" t="s">
        <v>649</v>
      </c>
      <c r="GN89" t="s">
        <v>1454</v>
      </c>
      <c r="GO89" t="s">
        <v>1454</v>
      </c>
      <c r="GQ89" t="s">
        <v>1592</v>
      </c>
    </row>
    <row r="90" spans="2:201" x14ac:dyDescent="0.25">
      <c r="B90" t="s">
        <v>704</v>
      </c>
      <c r="C90" t="s">
        <v>1454</v>
      </c>
      <c r="D90" t="s">
        <v>1454</v>
      </c>
      <c r="E90" t="s">
        <v>1454</v>
      </c>
      <c r="G90" t="s">
        <v>604</v>
      </c>
      <c r="H90" t="s">
        <v>1454</v>
      </c>
      <c r="I90" t="s">
        <v>1454</v>
      </c>
      <c r="K90" t="s">
        <v>1454</v>
      </c>
      <c r="L90" t="s">
        <v>1454</v>
      </c>
      <c r="M90" t="s">
        <v>1454</v>
      </c>
      <c r="O90" t="s">
        <v>1454</v>
      </c>
      <c r="P90" t="s">
        <v>1454</v>
      </c>
      <c r="Q90" t="s">
        <v>1454</v>
      </c>
      <c r="S90" t="s">
        <v>606</v>
      </c>
      <c r="T90" t="s">
        <v>1454</v>
      </c>
      <c r="U90" t="s">
        <v>1454</v>
      </c>
      <c r="W90" t="s">
        <v>1454</v>
      </c>
      <c r="X90" t="s">
        <v>1454</v>
      </c>
      <c r="Y90" t="s">
        <v>1454</v>
      </c>
      <c r="AA90" t="s">
        <v>1454</v>
      </c>
      <c r="AB90" t="s">
        <v>1454</v>
      </c>
      <c r="AC90" t="s">
        <v>1454</v>
      </c>
      <c r="AE90" t="s">
        <v>1454</v>
      </c>
      <c r="AF90" t="s">
        <v>1454</v>
      </c>
      <c r="AG90" t="s">
        <v>1454</v>
      </c>
      <c r="AI90" t="s">
        <v>1454</v>
      </c>
      <c r="AJ90" t="s">
        <v>1454</v>
      </c>
      <c r="AK90" t="s">
        <v>1454</v>
      </c>
      <c r="AM90" t="s">
        <v>1454</v>
      </c>
      <c r="AN90" t="s">
        <v>1454</v>
      </c>
      <c r="AO90" t="s">
        <v>1454</v>
      </c>
      <c r="AQ90" t="s">
        <v>1454</v>
      </c>
      <c r="AR90" t="s">
        <v>1454</v>
      </c>
      <c r="AS90" t="s">
        <v>1454</v>
      </c>
      <c r="AU90" t="s">
        <v>1454</v>
      </c>
      <c r="AV90" t="s">
        <v>1454</v>
      </c>
      <c r="AW90" t="s">
        <v>1454</v>
      </c>
      <c r="AY90" t="s">
        <v>1454</v>
      </c>
      <c r="AZ90" t="s">
        <v>1454</v>
      </c>
      <c r="BA90" t="s">
        <v>1454</v>
      </c>
      <c r="BC90" t="s">
        <v>1454</v>
      </c>
      <c r="BD90" t="s">
        <v>1454</v>
      </c>
      <c r="BE90" t="s">
        <v>1454</v>
      </c>
      <c r="BG90" t="s">
        <v>1454</v>
      </c>
      <c r="BH90" t="s">
        <v>1454</v>
      </c>
      <c r="BI90" t="s">
        <v>1454</v>
      </c>
      <c r="BK90" t="s">
        <v>617</v>
      </c>
      <c r="BL90" t="s">
        <v>1454</v>
      </c>
      <c r="BM90" t="s">
        <v>1454</v>
      </c>
      <c r="BO90" t="s">
        <v>618</v>
      </c>
      <c r="BP90" t="s">
        <v>1454</v>
      </c>
      <c r="BQ90" t="s">
        <v>1454</v>
      </c>
      <c r="BS90" t="s">
        <v>1454</v>
      </c>
      <c r="BT90" t="s">
        <v>1454</v>
      </c>
      <c r="BU90" t="s">
        <v>1454</v>
      </c>
      <c r="BW90" t="s">
        <v>620</v>
      </c>
      <c r="BX90" t="s">
        <v>1454</v>
      </c>
      <c r="BY90" t="s">
        <v>1454</v>
      </c>
      <c r="CA90" t="s">
        <v>1454</v>
      </c>
      <c r="CB90" t="s">
        <v>1454</v>
      </c>
      <c r="CC90" t="s">
        <v>1454</v>
      </c>
      <c r="CE90" t="s">
        <v>1454</v>
      </c>
      <c r="CF90" t="s">
        <v>1454</v>
      </c>
      <c r="CG90" t="s">
        <v>1454</v>
      </c>
      <c r="CI90" t="s">
        <v>623</v>
      </c>
      <c r="CJ90" t="s">
        <v>1454</v>
      </c>
      <c r="CK90" t="s">
        <v>1454</v>
      </c>
      <c r="CM90" t="s">
        <v>1454</v>
      </c>
      <c r="CN90" t="s">
        <v>1454</v>
      </c>
      <c r="CO90" t="s">
        <v>1454</v>
      </c>
      <c r="CQ90" t="s">
        <v>1454</v>
      </c>
      <c r="CR90" t="s">
        <v>1454</v>
      </c>
      <c r="CS90" t="s">
        <v>1454</v>
      </c>
      <c r="CU90" t="s">
        <v>1454</v>
      </c>
      <c r="CV90" t="s">
        <v>1454</v>
      </c>
      <c r="CW90" t="s">
        <v>1454</v>
      </c>
      <c r="CY90" t="s">
        <v>627</v>
      </c>
      <c r="CZ90" t="s">
        <v>1454</v>
      </c>
      <c r="DA90" t="s">
        <v>1454</v>
      </c>
      <c r="DC90" t="s">
        <v>1454</v>
      </c>
      <c r="DD90" t="s">
        <v>1454</v>
      </c>
      <c r="DE90" t="s">
        <v>1454</v>
      </c>
      <c r="DG90" t="s">
        <v>1454</v>
      </c>
      <c r="DH90" t="s">
        <v>1454</v>
      </c>
      <c r="DI90" t="s">
        <v>1454</v>
      </c>
      <c r="DK90" t="s">
        <v>630</v>
      </c>
      <c r="DL90" t="s">
        <v>1454</v>
      </c>
      <c r="DM90" t="s">
        <v>1454</v>
      </c>
      <c r="DO90" t="s">
        <v>1454</v>
      </c>
      <c r="DP90" t="s">
        <v>1454</v>
      </c>
      <c r="DQ90" t="s">
        <v>1454</v>
      </c>
      <c r="DS90" t="s">
        <v>1454</v>
      </c>
      <c r="DT90" t="s">
        <v>1454</v>
      </c>
      <c r="DU90" t="s">
        <v>1454</v>
      </c>
      <c r="DW90" t="s">
        <v>1454</v>
      </c>
      <c r="DX90" t="s">
        <v>1454</v>
      </c>
      <c r="DY90" t="s">
        <v>1454</v>
      </c>
      <c r="EA90" t="s">
        <v>1454</v>
      </c>
      <c r="EB90" t="s">
        <v>1454</v>
      </c>
      <c r="EC90" t="s">
        <v>1454</v>
      </c>
      <c r="EE90" t="s">
        <v>1454</v>
      </c>
      <c r="EF90" t="s">
        <v>1454</v>
      </c>
      <c r="EG90" t="s">
        <v>1454</v>
      </c>
      <c r="EI90" t="s">
        <v>1454</v>
      </c>
      <c r="EJ90" t="s">
        <v>1454</v>
      </c>
      <c r="EK90" t="s">
        <v>1454</v>
      </c>
      <c r="EM90" t="s">
        <v>1454</v>
      </c>
      <c r="EN90" t="s">
        <v>1454</v>
      </c>
      <c r="EO90" t="s">
        <v>1454</v>
      </c>
      <c r="EQ90" t="s">
        <v>1454</v>
      </c>
      <c r="ER90" t="s">
        <v>1454</v>
      </c>
      <c r="ES90" t="s">
        <v>1454</v>
      </c>
      <c r="EU90" t="s">
        <v>1454</v>
      </c>
      <c r="EV90" t="s">
        <v>1454</v>
      </c>
      <c r="EW90" t="s">
        <v>1454</v>
      </c>
      <c r="EY90" t="s">
        <v>1454</v>
      </c>
      <c r="EZ90" t="s">
        <v>1454</v>
      </c>
      <c r="FA90" t="s">
        <v>1454</v>
      </c>
      <c r="FC90" t="s">
        <v>1454</v>
      </c>
      <c r="FD90" t="s">
        <v>1454</v>
      </c>
      <c r="FE90" t="s">
        <v>1454</v>
      </c>
      <c r="FG90" t="s">
        <v>1454</v>
      </c>
      <c r="FH90" t="s">
        <v>1454</v>
      </c>
      <c r="FI90" t="s">
        <v>1454</v>
      </c>
      <c r="FK90" t="s">
        <v>1454</v>
      </c>
      <c r="FL90" t="s">
        <v>1454</v>
      </c>
      <c r="FM90" t="s">
        <v>1454</v>
      </c>
      <c r="FO90" t="s">
        <v>602</v>
      </c>
      <c r="FP90" t="s">
        <v>1454</v>
      </c>
      <c r="FQ90" t="s">
        <v>1454</v>
      </c>
      <c r="FS90" t="s">
        <v>1454</v>
      </c>
      <c r="FT90" t="s">
        <v>1454</v>
      </c>
      <c r="FU90" t="s">
        <v>1454</v>
      </c>
      <c r="FW90" t="s">
        <v>1454</v>
      </c>
      <c r="FX90" t="s">
        <v>1454</v>
      </c>
      <c r="FY90" t="s">
        <v>1454</v>
      </c>
      <c r="GA90" t="s">
        <v>1454</v>
      </c>
      <c r="GB90" t="s">
        <v>1454</v>
      </c>
      <c r="GC90" t="s">
        <v>1454</v>
      </c>
      <c r="GE90" t="s">
        <v>1454</v>
      </c>
      <c r="GF90" t="s">
        <v>1454</v>
      </c>
      <c r="GG90" t="s">
        <v>1454</v>
      </c>
      <c r="GI90" t="s">
        <v>648</v>
      </c>
      <c r="GJ90" t="s">
        <v>1454</v>
      </c>
      <c r="GK90" t="s">
        <v>1454</v>
      </c>
      <c r="GM90" t="s">
        <v>1454</v>
      </c>
      <c r="GN90" t="s">
        <v>1454</v>
      </c>
      <c r="GO90" t="s">
        <v>1454</v>
      </c>
      <c r="GQ90" t="s">
        <v>1593</v>
      </c>
    </row>
    <row r="91" spans="2:201" s="11" customFormat="1" x14ac:dyDescent="0.25">
      <c r="B91" t="s">
        <v>705</v>
      </c>
      <c r="C91" t="s">
        <v>1454</v>
      </c>
      <c r="D91" t="s">
        <v>1454</v>
      </c>
      <c r="E91" t="s">
        <v>1454</v>
      </c>
      <c r="F91"/>
      <c r="G91" t="s">
        <v>1454</v>
      </c>
      <c r="H91" t="s">
        <v>1454</v>
      </c>
      <c r="I91" t="s">
        <v>1454</v>
      </c>
      <c r="J91"/>
      <c r="K91" t="s">
        <v>1454</v>
      </c>
      <c r="L91" t="s">
        <v>1454</v>
      </c>
      <c r="M91" t="s">
        <v>1454</v>
      </c>
      <c r="N91"/>
      <c r="O91" t="s">
        <v>1454</v>
      </c>
      <c r="P91" t="s">
        <v>1454</v>
      </c>
      <c r="Q91" t="s">
        <v>1454</v>
      </c>
      <c r="R91"/>
      <c r="S91" t="s">
        <v>606</v>
      </c>
      <c r="T91" t="s">
        <v>1454</v>
      </c>
      <c r="U91" t="s">
        <v>1454</v>
      </c>
      <c r="V91"/>
      <c r="W91" t="s">
        <v>607</v>
      </c>
      <c r="X91" t="s">
        <v>1454</v>
      </c>
      <c r="Y91" t="s">
        <v>1454</v>
      </c>
      <c r="Z91"/>
      <c r="AA91" t="s">
        <v>1454</v>
      </c>
      <c r="AB91" t="s">
        <v>1454</v>
      </c>
      <c r="AC91" t="s">
        <v>1454</v>
      </c>
      <c r="AD91"/>
      <c r="AE91" t="s">
        <v>1454</v>
      </c>
      <c r="AF91" t="s">
        <v>1454</v>
      </c>
      <c r="AG91" t="s">
        <v>1454</v>
      </c>
      <c r="AH91"/>
      <c r="AI91" t="s">
        <v>1454</v>
      </c>
      <c r="AJ91" t="s">
        <v>1454</v>
      </c>
      <c r="AK91" t="s">
        <v>1454</v>
      </c>
      <c r="AL91"/>
      <c r="AM91" t="s">
        <v>1454</v>
      </c>
      <c r="AN91" t="s">
        <v>1454</v>
      </c>
      <c r="AO91" t="s">
        <v>1454</v>
      </c>
      <c r="AP91"/>
      <c r="AQ91" t="s">
        <v>612</v>
      </c>
      <c r="AR91" t="s">
        <v>1454</v>
      </c>
      <c r="AS91" t="s">
        <v>1454</v>
      </c>
      <c r="AT91"/>
      <c r="AU91" t="s">
        <v>1454</v>
      </c>
      <c r="AV91" t="s">
        <v>1454</v>
      </c>
      <c r="AW91" t="s">
        <v>1454</v>
      </c>
      <c r="AX91"/>
      <c r="AY91" t="s">
        <v>1454</v>
      </c>
      <c r="AZ91" t="s">
        <v>1454</v>
      </c>
      <c r="BA91" t="s">
        <v>1454</v>
      </c>
      <c r="BB91"/>
      <c r="BC91" t="s">
        <v>615</v>
      </c>
      <c r="BD91" t="s">
        <v>1454</v>
      </c>
      <c r="BE91" t="s">
        <v>1454</v>
      </c>
      <c r="BF91"/>
      <c r="BG91" t="s">
        <v>1454</v>
      </c>
      <c r="BH91" t="s">
        <v>1454</v>
      </c>
      <c r="BI91" t="s">
        <v>1454</v>
      </c>
      <c r="BJ91"/>
      <c r="BK91" t="s">
        <v>617</v>
      </c>
      <c r="BL91" t="s">
        <v>1454</v>
      </c>
      <c r="BM91" t="s">
        <v>1454</v>
      </c>
      <c r="BN91"/>
      <c r="BO91" t="s">
        <v>1454</v>
      </c>
      <c r="BP91" t="s">
        <v>1454</v>
      </c>
      <c r="BQ91" t="s">
        <v>1454</v>
      </c>
      <c r="BR91"/>
      <c r="BS91" t="s">
        <v>1454</v>
      </c>
      <c r="BT91" t="s">
        <v>1454</v>
      </c>
      <c r="BU91" t="s">
        <v>1454</v>
      </c>
      <c r="BV91"/>
      <c r="BW91" t="s">
        <v>1454</v>
      </c>
      <c r="BX91" t="s">
        <v>1454</v>
      </c>
      <c r="BY91" t="s">
        <v>1454</v>
      </c>
      <c r="BZ91"/>
      <c r="CA91" t="s">
        <v>1454</v>
      </c>
      <c r="CB91" t="s">
        <v>1454</v>
      </c>
      <c r="CC91" t="s">
        <v>1454</v>
      </c>
      <c r="CD91"/>
      <c r="CE91" t="s">
        <v>1454</v>
      </c>
      <c r="CF91" t="s">
        <v>1454</v>
      </c>
      <c r="CG91" t="s">
        <v>1454</v>
      </c>
      <c r="CH91"/>
      <c r="CI91" t="s">
        <v>1454</v>
      </c>
      <c r="CJ91" t="s">
        <v>1454</v>
      </c>
      <c r="CK91" t="s">
        <v>1454</v>
      </c>
      <c r="CL91"/>
      <c r="CM91" t="s">
        <v>1454</v>
      </c>
      <c r="CN91" t="s">
        <v>1454</v>
      </c>
      <c r="CO91" t="s">
        <v>1454</v>
      </c>
      <c r="CP91"/>
      <c r="CQ91" t="s">
        <v>625</v>
      </c>
      <c r="CR91" t="s">
        <v>1454</v>
      </c>
      <c r="CS91" t="s">
        <v>1454</v>
      </c>
      <c r="CT91"/>
      <c r="CU91" t="s">
        <v>1454</v>
      </c>
      <c r="CV91" t="s">
        <v>1454</v>
      </c>
      <c r="CW91" t="s">
        <v>1454</v>
      </c>
      <c r="CX91"/>
      <c r="CY91" t="s">
        <v>627</v>
      </c>
      <c r="CZ91" t="s">
        <v>1454</v>
      </c>
      <c r="DA91" t="s">
        <v>1454</v>
      </c>
      <c r="DB91"/>
      <c r="DC91" t="s">
        <v>1454</v>
      </c>
      <c r="DD91" t="s">
        <v>1454</v>
      </c>
      <c r="DE91" t="s">
        <v>1454</v>
      </c>
      <c r="DF91"/>
      <c r="DG91" t="s">
        <v>1454</v>
      </c>
      <c r="DH91" t="s">
        <v>1454</v>
      </c>
      <c r="DI91" t="s">
        <v>1454</v>
      </c>
      <c r="DJ91"/>
      <c r="DK91" t="s">
        <v>630</v>
      </c>
      <c r="DL91" t="s">
        <v>1454</v>
      </c>
      <c r="DM91" t="s">
        <v>1454</v>
      </c>
      <c r="DN91"/>
      <c r="DO91" t="s">
        <v>631</v>
      </c>
      <c r="DP91" t="s">
        <v>1454</v>
      </c>
      <c r="DQ91" t="s">
        <v>1454</v>
      </c>
      <c r="DR91"/>
      <c r="DS91" t="s">
        <v>1454</v>
      </c>
      <c r="DT91" t="s">
        <v>1454</v>
      </c>
      <c r="DU91" t="s">
        <v>1454</v>
      </c>
      <c r="DV91"/>
      <c r="DW91" t="s">
        <v>1454</v>
      </c>
      <c r="DX91" t="s">
        <v>1454</v>
      </c>
      <c r="DY91" t="s">
        <v>1454</v>
      </c>
      <c r="DZ91"/>
      <c r="EA91" t="s">
        <v>1454</v>
      </c>
      <c r="EB91" t="s">
        <v>1454</v>
      </c>
      <c r="EC91" t="s">
        <v>1454</v>
      </c>
      <c r="ED91"/>
      <c r="EE91" t="s">
        <v>1454</v>
      </c>
      <c r="EF91" t="s">
        <v>1454</v>
      </c>
      <c r="EG91" t="s">
        <v>1454</v>
      </c>
      <c r="EH91"/>
      <c r="EI91" t="s">
        <v>1454</v>
      </c>
      <c r="EJ91" t="s">
        <v>1454</v>
      </c>
      <c r="EK91" t="s">
        <v>1454</v>
      </c>
      <c r="EL91"/>
      <c r="EM91" t="s">
        <v>1454</v>
      </c>
      <c r="EN91" t="s">
        <v>1454</v>
      </c>
      <c r="EO91" t="s">
        <v>1454</v>
      </c>
      <c r="EP91"/>
      <c r="EQ91" t="s">
        <v>638</v>
      </c>
      <c r="ER91" t="s">
        <v>1454</v>
      </c>
      <c r="ES91" t="s">
        <v>1454</v>
      </c>
      <c r="ET91"/>
      <c r="EU91" t="s">
        <v>639</v>
      </c>
      <c r="EV91" t="s">
        <v>1454</v>
      </c>
      <c r="EW91" t="s">
        <v>1454</v>
      </c>
      <c r="EX91"/>
      <c r="EY91" t="s">
        <v>640</v>
      </c>
      <c r="EZ91" t="s">
        <v>1454</v>
      </c>
      <c r="FA91" t="s">
        <v>1454</v>
      </c>
      <c r="FB91"/>
      <c r="FC91" t="s">
        <v>1454</v>
      </c>
      <c r="FD91" t="s">
        <v>1454</v>
      </c>
      <c r="FE91" t="s">
        <v>1454</v>
      </c>
      <c r="FF91"/>
      <c r="FG91" t="s">
        <v>1454</v>
      </c>
      <c r="FH91" t="s">
        <v>1454</v>
      </c>
      <c r="FI91" t="s">
        <v>1454</v>
      </c>
      <c r="FJ91"/>
      <c r="FK91" t="s">
        <v>1454</v>
      </c>
      <c r="FL91" t="s">
        <v>1454</v>
      </c>
      <c r="FM91" t="s">
        <v>1454</v>
      </c>
      <c r="FN91"/>
      <c r="FO91" t="s">
        <v>1454</v>
      </c>
      <c r="FP91" t="s">
        <v>1454</v>
      </c>
      <c r="FQ91" t="s">
        <v>1454</v>
      </c>
      <c r="FR91"/>
      <c r="FS91" t="s">
        <v>1454</v>
      </c>
      <c r="FT91" t="s">
        <v>1454</v>
      </c>
      <c r="FU91" t="s">
        <v>1454</v>
      </c>
      <c r="FV91"/>
      <c r="FW91" t="s">
        <v>1454</v>
      </c>
      <c r="FX91" t="s">
        <v>1454</v>
      </c>
      <c r="FY91" t="s">
        <v>1454</v>
      </c>
      <c r="FZ91"/>
      <c r="GA91" t="s">
        <v>1454</v>
      </c>
      <c r="GB91" t="s">
        <v>1454</v>
      </c>
      <c r="GC91" t="s">
        <v>1454</v>
      </c>
      <c r="GD91"/>
      <c r="GE91" t="s">
        <v>1454</v>
      </c>
      <c r="GF91" t="s">
        <v>1454</v>
      </c>
      <c r="GG91" t="s">
        <v>1454</v>
      </c>
      <c r="GH91"/>
      <c r="GI91" t="s">
        <v>648</v>
      </c>
      <c r="GJ91" t="s">
        <v>1454</v>
      </c>
      <c r="GK91" t="s">
        <v>1454</v>
      </c>
      <c r="GL91"/>
      <c r="GM91" t="s">
        <v>1454</v>
      </c>
      <c r="GN91" t="s">
        <v>1454</v>
      </c>
      <c r="GO91" t="s">
        <v>1454</v>
      </c>
      <c r="GP91"/>
      <c r="GQ91" t="s">
        <v>1594</v>
      </c>
    </row>
    <row r="92" spans="2:201" x14ac:dyDescent="0.25">
      <c r="B92" t="s">
        <v>707</v>
      </c>
      <c r="C92" t="s">
        <v>1454</v>
      </c>
      <c r="D92" t="s">
        <v>1454</v>
      </c>
      <c r="E92" t="s">
        <v>1454</v>
      </c>
      <c r="G92" t="s">
        <v>1454</v>
      </c>
      <c r="H92" t="s">
        <v>1454</v>
      </c>
      <c r="I92" t="s">
        <v>1454</v>
      </c>
      <c r="K92" t="s">
        <v>1454</v>
      </c>
      <c r="L92" t="s">
        <v>1454</v>
      </c>
      <c r="M92" t="s">
        <v>1454</v>
      </c>
      <c r="O92" t="s">
        <v>1454</v>
      </c>
      <c r="P92" t="s">
        <v>1454</v>
      </c>
      <c r="Q92" t="s">
        <v>1454</v>
      </c>
      <c r="S92" t="s">
        <v>1454</v>
      </c>
      <c r="T92" t="s">
        <v>1454</v>
      </c>
      <c r="U92" t="s">
        <v>1454</v>
      </c>
      <c r="W92" t="s">
        <v>1454</v>
      </c>
      <c r="X92" t="s">
        <v>1454</v>
      </c>
      <c r="Y92" t="s">
        <v>1454</v>
      </c>
      <c r="AA92" t="s">
        <v>1454</v>
      </c>
      <c r="AB92" t="s">
        <v>1454</v>
      </c>
      <c r="AC92" t="s">
        <v>1454</v>
      </c>
      <c r="AE92" t="s">
        <v>1454</v>
      </c>
      <c r="AF92" t="s">
        <v>1454</v>
      </c>
      <c r="AG92" t="s">
        <v>1454</v>
      </c>
      <c r="AI92" t="s">
        <v>1454</v>
      </c>
      <c r="AJ92" t="s">
        <v>1454</v>
      </c>
      <c r="AK92" t="s">
        <v>1454</v>
      </c>
      <c r="AM92" t="s">
        <v>1454</v>
      </c>
      <c r="AN92" t="s">
        <v>1454</v>
      </c>
      <c r="AO92" t="s">
        <v>1454</v>
      </c>
      <c r="AQ92" t="s">
        <v>1454</v>
      </c>
      <c r="AR92" t="s">
        <v>1454</v>
      </c>
      <c r="AS92" t="s">
        <v>1454</v>
      </c>
      <c r="AU92" t="s">
        <v>1454</v>
      </c>
      <c r="AV92" t="s">
        <v>1454</v>
      </c>
      <c r="AW92" t="s">
        <v>1454</v>
      </c>
      <c r="AY92" t="s">
        <v>1454</v>
      </c>
      <c r="AZ92" t="s">
        <v>1454</v>
      </c>
      <c r="BA92" t="s">
        <v>1454</v>
      </c>
      <c r="BC92" t="s">
        <v>1454</v>
      </c>
      <c r="BD92" t="s">
        <v>1454</v>
      </c>
      <c r="BE92" t="s">
        <v>1454</v>
      </c>
      <c r="BG92" t="s">
        <v>1454</v>
      </c>
      <c r="BH92" t="s">
        <v>1454</v>
      </c>
      <c r="BI92" t="s">
        <v>1454</v>
      </c>
      <c r="BK92" t="s">
        <v>1454</v>
      </c>
      <c r="BL92" t="s">
        <v>1454</v>
      </c>
      <c r="BM92" t="s">
        <v>1454</v>
      </c>
      <c r="BO92" t="s">
        <v>1454</v>
      </c>
      <c r="BP92" t="s">
        <v>1454</v>
      </c>
      <c r="BQ92" t="s">
        <v>1454</v>
      </c>
      <c r="BS92" t="s">
        <v>1454</v>
      </c>
      <c r="BT92" t="s">
        <v>1454</v>
      </c>
      <c r="BU92" t="s">
        <v>1454</v>
      </c>
      <c r="BW92" t="s">
        <v>1454</v>
      </c>
      <c r="BX92" t="s">
        <v>1454</v>
      </c>
      <c r="BY92" t="s">
        <v>1454</v>
      </c>
      <c r="CA92" t="s">
        <v>1454</v>
      </c>
      <c r="CB92" t="s">
        <v>1454</v>
      </c>
      <c r="CC92" t="s">
        <v>1454</v>
      </c>
      <c r="CE92" t="s">
        <v>1454</v>
      </c>
      <c r="CF92" t="s">
        <v>1454</v>
      </c>
      <c r="CG92" t="s">
        <v>1454</v>
      </c>
      <c r="CI92" t="s">
        <v>1454</v>
      </c>
      <c r="CJ92" t="s">
        <v>1454</v>
      </c>
      <c r="CK92" t="s">
        <v>1454</v>
      </c>
      <c r="CM92" t="s">
        <v>1454</v>
      </c>
      <c r="CN92" t="s">
        <v>1454</v>
      </c>
      <c r="CO92" t="s">
        <v>1454</v>
      </c>
      <c r="CQ92" t="s">
        <v>1454</v>
      </c>
      <c r="CR92" t="s">
        <v>1454</v>
      </c>
      <c r="CS92" t="s">
        <v>1454</v>
      </c>
      <c r="CU92" t="s">
        <v>1454</v>
      </c>
      <c r="CV92" t="s">
        <v>1454</v>
      </c>
      <c r="CW92" t="s">
        <v>1454</v>
      </c>
      <c r="CY92" t="s">
        <v>1454</v>
      </c>
      <c r="CZ92" t="s">
        <v>1454</v>
      </c>
      <c r="DA92" t="s">
        <v>1454</v>
      </c>
      <c r="DC92" t="s">
        <v>1454</v>
      </c>
      <c r="DD92" t="s">
        <v>1454</v>
      </c>
      <c r="DE92" t="s">
        <v>1454</v>
      </c>
      <c r="DG92" t="s">
        <v>1454</v>
      </c>
      <c r="DH92" t="s">
        <v>1454</v>
      </c>
      <c r="DI92" t="s">
        <v>1454</v>
      </c>
      <c r="DK92" t="s">
        <v>1454</v>
      </c>
      <c r="DL92" t="s">
        <v>1454</v>
      </c>
      <c r="DM92" t="s">
        <v>1454</v>
      </c>
      <c r="DO92" t="s">
        <v>1454</v>
      </c>
      <c r="DP92" t="s">
        <v>1454</v>
      </c>
      <c r="DQ92" t="s">
        <v>1454</v>
      </c>
      <c r="DS92" t="s">
        <v>1454</v>
      </c>
      <c r="DT92" t="s">
        <v>1454</v>
      </c>
      <c r="DU92" t="s">
        <v>1454</v>
      </c>
      <c r="DW92" t="s">
        <v>1454</v>
      </c>
      <c r="DX92" t="s">
        <v>1454</v>
      </c>
      <c r="DY92" t="s">
        <v>1454</v>
      </c>
      <c r="EA92" t="s">
        <v>634</v>
      </c>
      <c r="EB92" t="s">
        <v>1454</v>
      </c>
      <c r="EC92" t="s">
        <v>1454</v>
      </c>
      <c r="EE92" t="s">
        <v>1454</v>
      </c>
      <c r="EF92" t="s">
        <v>1454</v>
      </c>
      <c r="EG92" t="s">
        <v>1454</v>
      </c>
      <c r="EI92" t="s">
        <v>1454</v>
      </c>
      <c r="EJ92" t="s">
        <v>1454</v>
      </c>
      <c r="EK92" t="s">
        <v>1454</v>
      </c>
      <c r="EM92" t="s">
        <v>637</v>
      </c>
      <c r="EN92" t="s">
        <v>1454</v>
      </c>
      <c r="EO92" t="s">
        <v>1454</v>
      </c>
      <c r="EQ92" t="s">
        <v>1454</v>
      </c>
      <c r="ER92" t="s">
        <v>1454</v>
      </c>
      <c r="ES92" t="s">
        <v>1454</v>
      </c>
      <c r="EU92" t="s">
        <v>1454</v>
      </c>
      <c r="EV92" t="s">
        <v>1454</v>
      </c>
      <c r="EW92" t="s">
        <v>1454</v>
      </c>
      <c r="EY92" t="s">
        <v>1454</v>
      </c>
      <c r="EZ92" t="s">
        <v>1454</v>
      </c>
      <c r="FA92" t="s">
        <v>1454</v>
      </c>
      <c r="FC92" t="s">
        <v>1454</v>
      </c>
      <c r="FD92" t="s">
        <v>1454</v>
      </c>
      <c r="FE92" t="s">
        <v>1454</v>
      </c>
      <c r="FG92" t="s">
        <v>1454</v>
      </c>
      <c r="FH92" t="s">
        <v>1454</v>
      </c>
      <c r="FI92" t="s">
        <v>1454</v>
      </c>
      <c r="FK92" t="s">
        <v>1454</v>
      </c>
      <c r="FL92" t="s">
        <v>1454</v>
      </c>
      <c r="FM92" t="s">
        <v>1454</v>
      </c>
      <c r="FO92" t="s">
        <v>1454</v>
      </c>
      <c r="FP92" t="s">
        <v>1454</v>
      </c>
      <c r="FQ92" t="s">
        <v>1454</v>
      </c>
      <c r="FS92" t="s">
        <v>1454</v>
      </c>
      <c r="FT92" t="s">
        <v>1454</v>
      </c>
      <c r="FU92" t="s">
        <v>1454</v>
      </c>
      <c r="FW92" t="s">
        <v>1454</v>
      </c>
      <c r="FX92" t="s">
        <v>1454</v>
      </c>
      <c r="FY92" t="s">
        <v>1454</v>
      </c>
      <c r="GA92" t="s">
        <v>1454</v>
      </c>
      <c r="GB92" t="s">
        <v>1454</v>
      </c>
      <c r="GC92" t="s">
        <v>1454</v>
      </c>
      <c r="GE92" t="s">
        <v>1454</v>
      </c>
      <c r="GF92" t="s">
        <v>1454</v>
      </c>
      <c r="GG92" t="s">
        <v>1454</v>
      </c>
      <c r="GI92" t="s">
        <v>648</v>
      </c>
      <c r="GJ92" t="s">
        <v>1454</v>
      </c>
      <c r="GK92" t="s">
        <v>1454</v>
      </c>
      <c r="GM92" t="s">
        <v>1454</v>
      </c>
      <c r="GN92" t="s">
        <v>1454</v>
      </c>
      <c r="GO92" t="s">
        <v>1454</v>
      </c>
      <c r="GQ92" t="s">
        <v>1595</v>
      </c>
    </row>
    <row r="93" spans="2:201" ht="16.5" customHeight="1" x14ac:dyDescent="0.25">
      <c r="B93" t="s">
        <v>395</v>
      </c>
      <c r="C93" t="s">
        <v>603</v>
      </c>
      <c r="D93" t="s">
        <v>1454</v>
      </c>
      <c r="E93" t="s">
        <v>1454</v>
      </c>
      <c r="G93" t="s">
        <v>1454</v>
      </c>
      <c r="H93" t="s">
        <v>1454</v>
      </c>
      <c r="I93" t="s">
        <v>1454</v>
      </c>
      <c r="K93" t="s">
        <v>392</v>
      </c>
      <c r="L93" t="s">
        <v>1454</v>
      </c>
      <c r="M93" t="s">
        <v>1454</v>
      </c>
      <c r="O93" t="s">
        <v>1454</v>
      </c>
      <c r="P93" t="s">
        <v>1454</v>
      </c>
      <c r="Q93" t="s">
        <v>1454</v>
      </c>
      <c r="S93" t="s">
        <v>606</v>
      </c>
      <c r="T93" t="s">
        <v>1454</v>
      </c>
      <c r="U93" t="s">
        <v>1454</v>
      </c>
      <c r="W93" t="s">
        <v>607</v>
      </c>
      <c r="X93" t="s">
        <v>1454</v>
      </c>
      <c r="Y93" t="s">
        <v>1454</v>
      </c>
      <c r="AA93" t="s">
        <v>1454</v>
      </c>
      <c r="AB93" t="s">
        <v>1454</v>
      </c>
      <c r="AC93" t="s">
        <v>1454</v>
      </c>
      <c r="AE93" t="s">
        <v>1454</v>
      </c>
      <c r="AF93" t="s">
        <v>1454</v>
      </c>
      <c r="AG93" t="s">
        <v>1454</v>
      </c>
      <c r="AI93" t="s">
        <v>1454</v>
      </c>
      <c r="AJ93" t="s">
        <v>1454</v>
      </c>
      <c r="AK93" t="s">
        <v>1454</v>
      </c>
      <c r="AM93" t="s">
        <v>1454</v>
      </c>
      <c r="AN93" t="s">
        <v>1454</v>
      </c>
      <c r="AO93" t="s">
        <v>1454</v>
      </c>
      <c r="AQ93" t="s">
        <v>1454</v>
      </c>
      <c r="AR93" t="s">
        <v>1454</v>
      </c>
      <c r="AS93" t="s">
        <v>1454</v>
      </c>
      <c r="AU93" t="s">
        <v>1454</v>
      </c>
      <c r="AV93" t="s">
        <v>1454</v>
      </c>
      <c r="AW93" t="s">
        <v>1454</v>
      </c>
      <c r="AY93" t="s">
        <v>1454</v>
      </c>
      <c r="AZ93" t="s">
        <v>1454</v>
      </c>
      <c r="BA93" t="s">
        <v>1454</v>
      </c>
      <c r="BC93" t="s">
        <v>1454</v>
      </c>
      <c r="BD93" t="s">
        <v>1454</v>
      </c>
      <c r="BE93" t="s">
        <v>1454</v>
      </c>
      <c r="BG93" t="s">
        <v>1454</v>
      </c>
      <c r="BH93" t="s">
        <v>1454</v>
      </c>
      <c r="BI93" t="s">
        <v>1454</v>
      </c>
      <c r="BK93" t="s">
        <v>1454</v>
      </c>
      <c r="BL93" t="s">
        <v>1454</v>
      </c>
      <c r="BM93" t="s">
        <v>1454</v>
      </c>
      <c r="BO93" t="s">
        <v>1454</v>
      </c>
      <c r="BP93" t="s">
        <v>1454</v>
      </c>
      <c r="BQ93" t="s">
        <v>1454</v>
      </c>
      <c r="BS93" t="s">
        <v>1454</v>
      </c>
      <c r="BT93" t="s">
        <v>1454</v>
      </c>
      <c r="BU93" t="s">
        <v>1454</v>
      </c>
      <c r="BW93" t="s">
        <v>620</v>
      </c>
      <c r="BX93" t="s">
        <v>1454</v>
      </c>
      <c r="BY93" t="s">
        <v>1454</v>
      </c>
      <c r="CA93" t="s">
        <v>1454</v>
      </c>
      <c r="CB93" t="s">
        <v>1454</v>
      </c>
      <c r="CC93" t="s">
        <v>1454</v>
      </c>
      <c r="CE93" t="s">
        <v>622</v>
      </c>
      <c r="CF93" t="s">
        <v>1454</v>
      </c>
      <c r="CG93" t="s">
        <v>1454</v>
      </c>
      <c r="CI93" t="s">
        <v>623</v>
      </c>
      <c r="CJ93" t="s">
        <v>1454</v>
      </c>
      <c r="CK93" t="s">
        <v>1454</v>
      </c>
      <c r="CM93" t="s">
        <v>624</v>
      </c>
      <c r="CN93" t="s">
        <v>1454</v>
      </c>
      <c r="CO93" t="s">
        <v>1454</v>
      </c>
      <c r="CQ93" t="s">
        <v>625</v>
      </c>
      <c r="CR93" t="s">
        <v>1454</v>
      </c>
      <c r="CS93" t="s">
        <v>1454</v>
      </c>
      <c r="CU93" t="s">
        <v>1454</v>
      </c>
      <c r="CV93" t="s">
        <v>1454</v>
      </c>
      <c r="CW93" t="s">
        <v>1454</v>
      </c>
      <c r="CY93" t="s">
        <v>1454</v>
      </c>
      <c r="CZ93" t="s">
        <v>1454</v>
      </c>
      <c r="DA93" t="s">
        <v>1454</v>
      </c>
      <c r="DC93" t="s">
        <v>1454</v>
      </c>
      <c r="DD93" t="s">
        <v>1454</v>
      </c>
      <c r="DE93" t="s">
        <v>1454</v>
      </c>
      <c r="DG93" t="s">
        <v>629</v>
      </c>
      <c r="DH93" t="s">
        <v>1454</v>
      </c>
      <c r="DI93" t="s">
        <v>1454</v>
      </c>
      <c r="DK93" t="s">
        <v>1454</v>
      </c>
      <c r="DL93" t="s">
        <v>1454</v>
      </c>
      <c r="DM93" t="s">
        <v>1454</v>
      </c>
      <c r="DO93" t="s">
        <v>631</v>
      </c>
      <c r="DP93" t="s">
        <v>1454</v>
      </c>
      <c r="DQ93" t="s">
        <v>1454</v>
      </c>
      <c r="DS93" t="s">
        <v>632</v>
      </c>
      <c r="DT93" t="s">
        <v>1454</v>
      </c>
      <c r="DU93" t="s">
        <v>1454</v>
      </c>
      <c r="DW93" t="s">
        <v>633</v>
      </c>
      <c r="DX93" t="s">
        <v>1454</v>
      </c>
      <c r="DY93" t="s">
        <v>1454</v>
      </c>
      <c r="EA93" t="s">
        <v>634</v>
      </c>
      <c r="EB93" t="s">
        <v>1454</v>
      </c>
      <c r="EC93" t="s">
        <v>1454</v>
      </c>
      <c r="EE93" t="s">
        <v>635</v>
      </c>
      <c r="EF93" t="s">
        <v>1454</v>
      </c>
      <c r="EG93" t="s">
        <v>1454</v>
      </c>
      <c r="EI93" t="s">
        <v>636</v>
      </c>
      <c r="EJ93" t="s">
        <v>1454</v>
      </c>
      <c r="EK93" t="s">
        <v>1454</v>
      </c>
      <c r="EM93" t="s">
        <v>637</v>
      </c>
      <c r="EN93" t="s">
        <v>1454</v>
      </c>
      <c r="EO93" t="s">
        <v>1454</v>
      </c>
      <c r="EQ93" t="s">
        <v>1454</v>
      </c>
      <c r="ER93" t="s">
        <v>1454</v>
      </c>
      <c r="ES93" t="s">
        <v>1454</v>
      </c>
      <c r="EU93" t="s">
        <v>1454</v>
      </c>
      <c r="EV93" t="s">
        <v>1454</v>
      </c>
      <c r="EW93" t="s">
        <v>1454</v>
      </c>
      <c r="EY93" t="s">
        <v>1454</v>
      </c>
      <c r="EZ93" t="s">
        <v>1454</v>
      </c>
      <c r="FA93" t="s">
        <v>1454</v>
      </c>
      <c r="FC93" t="s">
        <v>1454</v>
      </c>
      <c r="FD93" t="s">
        <v>1454</v>
      </c>
      <c r="FE93" t="s">
        <v>1454</v>
      </c>
      <c r="FG93" t="s">
        <v>1454</v>
      </c>
      <c r="FH93" t="s">
        <v>1454</v>
      </c>
      <c r="FI93" t="s">
        <v>1454</v>
      </c>
      <c r="FK93" t="s">
        <v>1454</v>
      </c>
      <c r="FL93" t="s">
        <v>1454</v>
      </c>
      <c r="FM93" t="s">
        <v>1454</v>
      </c>
      <c r="FO93" t="s">
        <v>1454</v>
      </c>
      <c r="FP93" t="s">
        <v>1454</v>
      </c>
      <c r="FQ93" t="s">
        <v>1454</v>
      </c>
      <c r="FS93" t="s">
        <v>644</v>
      </c>
      <c r="FT93" t="s">
        <v>1454</v>
      </c>
      <c r="FU93" t="s">
        <v>1454</v>
      </c>
      <c r="FW93" t="s">
        <v>645</v>
      </c>
      <c r="FX93" t="s">
        <v>1454</v>
      </c>
      <c r="FY93" t="s">
        <v>1454</v>
      </c>
      <c r="GA93" t="s">
        <v>1454</v>
      </c>
      <c r="GB93" t="s">
        <v>1454</v>
      </c>
      <c r="GC93" t="s">
        <v>1454</v>
      </c>
      <c r="GE93" t="s">
        <v>1454</v>
      </c>
      <c r="GF93" t="s">
        <v>1454</v>
      </c>
      <c r="GG93" t="s">
        <v>1454</v>
      </c>
      <c r="GI93" t="s">
        <v>648</v>
      </c>
      <c r="GJ93" t="s">
        <v>1454</v>
      </c>
      <c r="GK93" t="s">
        <v>1454</v>
      </c>
      <c r="GM93" t="s">
        <v>1454</v>
      </c>
      <c r="GN93" t="s">
        <v>1454</v>
      </c>
      <c r="GO93" t="s">
        <v>1454</v>
      </c>
      <c r="GQ93" t="s">
        <v>1596</v>
      </c>
    </row>
    <row r="94" spans="2:201" x14ac:dyDescent="0.25">
      <c r="B94" t="s">
        <v>357</v>
      </c>
      <c r="C94" t="s">
        <v>1454</v>
      </c>
      <c r="D94" t="s">
        <v>1454</v>
      </c>
      <c r="E94" t="s">
        <v>1454</v>
      </c>
      <c r="G94" t="s">
        <v>1454</v>
      </c>
      <c r="H94" t="s">
        <v>1454</v>
      </c>
      <c r="I94" t="s">
        <v>1454</v>
      </c>
      <c r="K94" t="s">
        <v>1454</v>
      </c>
      <c r="L94" t="s">
        <v>1454</v>
      </c>
      <c r="M94" t="s">
        <v>1454</v>
      </c>
      <c r="O94" t="s">
        <v>1454</v>
      </c>
      <c r="P94" t="s">
        <v>1454</v>
      </c>
      <c r="Q94" t="s">
        <v>1454</v>
      </c>
      <c r="S94" t="s">
        <v>1454</v>
      </c>
      <c r="T94" t="s">
        <v>1454</v>
      </c>
      <c r="U94" t="s">
        <v>1454</v>
      </c>
      <c r="W94" t="s">
        <v>1454</v>
      </c>
      <c r="X94" t="s">
        <v>1454</v>
      </c>
      <c r="Y94" t="s">
        <v>1454</v>
      </c>
      <c r="AA94" t="s">
        <v>1454</v>
      </c>
      <c r="AB94" t="s">
        <v>1454</v>
      </c>
      <c r="AC94" t="s">
        <v>1454</v>
      </c>
      <c r="AE94" t="s">
        <v>1454</v>
      </c>
      <c r="AF94" t="s">
        <v>1454</v>
      </c>
      <c r="AG94" t="s">
        <v>1454</v>
      </c>
      <c r="AI94" t="s">
        <v>1454</v>
      </c>
      <c r="AJ94" t="s">
        <v>1454</v>
      </c>
      <c r="AK94" t="s">
        <v>1454</v>
      </c>
      <c r="AM94" t="s">
        <v>1454</v>
      </c>
      <c r="AN94" t="s">
        <v>1454</v>
      </c>
      <c r="AO94" t="s">
        <v>1454</v>
      </c>
      <c r="AQ94" t="s">
        <v>1454</v>
      </c>
      <c r="AR94" t="s">
        <v>1454</v>
      </c>
      <c r="AS94" t="s">
        <v>1454</v>
      </c>
      <c r="AU94" t="s">
        <v>1454</v>
      </c>
      <c r="AV94" t="s">
        <v>1454</v>
      </c>
      <c r="AW94" t="s">
        <v>1454</v>
      </c>
      <c r="AY94" t="s">
        <v>1454</v>
      </c>
      <c r="AZ94" t="s">
        <v>1454</v>
      </c>
      <c r="BA94" t="s">
        <v>1454</v>
      </c>
      <c r="BC94" t="s">
        <v>1454</v>
      </c>
      <c r="BD94" t="s">
        <v>1454</v>
      </c>
      <c r="BE94" t="s">
        <v>1454</v>
      </c>
      <c r="BG94" t="s">
        <v>1454</v>
      </c>
      <c r="BH94" t="s">
        <v>1454</v>
      </c>
      <c r="BI94" t="s">
        <v>1454</v>
      </c>
      <c r="BK94" t="s">
        <v>1454</v>
      </c>
      <c r="BL94" t="s">
        <v>1454</v>
      </c>
      <c r="BM94" t="s">
        <v>1454</v>
      </c>
      <c r="BO94" t="s">
        <v>1454</v>
      </c>
      <c r="BP94" t="s">
        <v>1454</v>
      </c>
      <c r="BQ94" t="s">
        <v>1454</v>
      </c>
      <c r="BS94" t="s">
        <v>1454</v>
      </c>
      <c r="BT94" t="s">
        <v>1454</v>
      </c>
      <c r="BU94" t="s">
        <v>1454</v>
      </c>
      <c r="BW94" t="s">
        <v>1454</v>
      </c>
      <c r="BX94" t="s">
        <v>1454</v>
      </c>
      <c r="BY94" t="s">
        <v>1454</v>
      </c>
      <c r="CA94" t="s">
        <v>1454</v>
      </c>
      <c r="CB94" t="s">
        <v>1454</v>
      </c>
      <c r="CC94" t="s">
        <v>1454</v>
      </c>
      <c r="CE94" t="s">
        <v>1454</v>
      </c>
      <c r="CF94" t="s">
        <v>1454</v>
      </c>
      <c r="CG94" t="s">
        <v>1454</v>
      </c>
      <c r="CI94" t="s">
        <v>1454</v>
      </c>
      <c r="CJ94" t="s">
        <v>1454</v>
      </c>
      <c r="CK94" t="s">
        <v>1454</v>
      </c>
      <c r="CM94" t="s">
        <v>1454</v>
      </c>
      <c r="CN94" t="s">
        <v>1454</v>
      </c>
      <c r="CO94" t="s">
        <v>1454</v>
      </c>
      <c r="CQ94" t="s">
        <v>1454</v>
      </c>
      <c r="CR94" t="s">
        <v>1454</v>
      </c>
      <c r="CS94" t="s">
        <v>1454</v>
      </c>
      <c r="CU94" t="s">
        <v>1454</v>
      </c>
      <c r="CV94" t="s">
        <v>1454</v>
      </c>
      <c r="CW94" t="s">
        <v>1454</v>
      </c>
      <c r="CY94" t="s">
        <v>1454</v>
      </c>
      <c r="CZ94" t="s">
        <v>1454</v>
      </c>
      <c r="DA94" t="s">
        <v>1454</v>
      </c>
      <c r="DC94" t="s">
        <v>1454</v>
      </c>
      <c r="DD94" t="s">
        <v>1454</v>
      </c>
      <c r="DE94" t="s">
        <v>1454</v>
      </c>
      <c r="DG94" t="s">
        <v>1454</v>
      </c>
      <c r="DH94" t="s">
        <v>1454</v>
      </c>
      <c r="DI94" t="s">
        <v>1454</v>
      </c>
      <c r="DK94" t="s">
        <v>1454</v>
      </c>
      <c r="DL94" t="s">
        <v>1454</v>
      </c>
      <c r="DM94" t="s">
        <v>1454</v>
      </c>
      <c r="DO94" t="s">
        <v>1454</v>
      </c>
      <c r="DP94" t="s">
        <v>1454</v>
      </c>
      <c r="DQ94" t="s">
        <v>1454</v>
      </c>
      <c r="DS94" t="s">
        <v>1454</v>
      </c>
      <c r="DT94" t="s">
        <v>1454</v>
      </c>
      <c r="DU94" t="s">
        <v>1454</v>
      </c>
      <c r="DW94" t="s">
        <v>1454</v>
      </c>
      <c r="DX94" t="s">
        <v>1454</v>
      </c>
      <c r="DY94" t="s">
        <v>1454</v>
      </c>
      <c r="EA94" t="s">
        <v>1454</v>
      </c>
      <c r="EB94" t="s">
        <v>1454</v>
      </c>
      <c r="EC94" t="s">
        <v>1454</v>
      </c>
      <c r="EE94" t="s">
        <v>1454</v>
      </c>
      <c r="EF94" t="s">
        <v>1454</v>
      </c>
      <c r="EG94" t="s">
        <v>1454</v>
      </c>
      <c r="EI94" t="s">
        <v>636</v>
      </c>
      <c r="EJ94" t="s">
        <v>1454</v>
      </c>
      <c r="EK94" t="s">
        <v>1454</v>
      </c>
      <c r="EM94" t="s">
        <v>1454</v>
      </c>
      <c r="EN94" t="s">
        <v>1454</v>
      </c>
      <c r="EO94" t="s">
        <v>1454</v>
      </c>
      <c r="EQ94" t="s">
        <v>1454</v>
      </c>
      <c r="ER94" t="s">
        <v>1454</v>
      </c>
      <c r="ES94" t="s">
        <v>1454</v>
      </c>
      <c r="EU94" t="s">
        <v>1454</v>
      </c>
      <c r="EV94" t="s">
        <v>1454</v>
      </c>
      <c r="EW94" t="s">
        <v>1454</v>
      </c>
      <c r="EY94" t="s">
        <v>1454</v>
      </c>
      <c r="EZ94" t="s">
        <v>1454</v>
      </c>
      <c r="FA94" t="s">
        <v>1454</v>
      </c>
      <c r="FC94" t="s">
        <v>1454</v>
      </c>
      <c r="FD94" t="s">
        <v>1454</v>
      </c>
      <c r="FE94" t="s">
        <v>1454</v>
      </c>
      <c r="FG94" t="s">
        <v>1454</v>
      </c>
      <c r="FH94" t="s">
        <v>1454</v>
      </c>
      <c r="FI94" t="s">
        <v>1454</v>
      </c>
      <c r="FK94" t="s">
        <v>1454</v>
      </c>
      <c r="FL94" t="s">
        <v>1454</v>
      </c>
      <c r="FM94" t="s">
        <v>1454</v>
      </c>
      <c r="FO94" t="s">
        <v>1454</v>
      </c>
      <c r="FP94" t="s">
        <v>1454</v>
      </c>
      <c r="FQ94" t="s">
        <v>1454</v>
      </c>
      <c r="FS94" t="s">
        <v>1454</v>
      </c>
      <c r="FT94" t="s">
        <v>1454</v>
      </c>
      <c r="FU94" t="s">
        <v>1454</v>
      </c>
      <c r="FW94" t="s">
        <v>1454</v>
      </c>
      <c r="FX94" t="s">
        <v>1454</v>
      </c>
      <c r="FY94" t="s">
        <v>1454</v>
      </c>
      <c r="GA94" t="s">
        <v>1454</v>
      </c>
      <c r="GB94" t="s">
        <v>1454</v>
      </c>
      <c r="GC94" t="s">
        <v>1454</v>
      </c>
      <c r="GE94" t="s">
        <v>1454</v>
      </c>
      <c r="GF94" t="s">
        <v>1454</v>
      </c>
      <c r="GG94" t="s">
        <v>1454</v>
      </c>
      <c r="GI94" t="s">
        <v>1454</v>
      </c>
      <c r="GJ94" t="s">
        <v>1454</v>
      </c>
      <c r="GK94" t="s">
        <v>1454</v>
      </c>
      <c r="GM94" t="s">
        <v>1454</v>
      </c>
      <c r="GN94" t="s">
        <v>1454</v>
      </c>
      <c r="GO94" t="s">
        <v>1454</v>
      </c>
      <c r="GQ94" t="s">
        <v>1486</v>
      </c>
    </row>
    <row r="95" spans="2:201" s="11" customFormat="1" x14ac:dyDescent="0.25">
      <c r="B95" t="s">
        <v>358</v>
      </c>
      <c r="C95" t="s">
        <v>1454</v>
      </c>
      <c r="D95" t="s">
        <v>1454</v>
      </c>
      <c r="E95" t="s">
        <v>1454</v>
      </c>
      <c r="F95"/>
      <c r="G95" t="s">
        <v>1454</v>
      </c>
      <c r="H95" t="s">
        <v>1454</v>
      </c>
      <c r="I95" t="s">
        <v>1454</v>
      </c>
      <c r="J95"/>
      <c r="K95" t="s">
        <v>1454</v>
      </c>
      <c r="L95" t="s">
        <v>1454</v>
      </c>
      <c r="M95" t="s">
        <v>1454</v>
      </c>
      <c r="N95"/>
      <c r="O95" t="s">
        <v>1454</v>
      </c>
      <c r="P95" t="s">
        <v>1454</v>
      </c>
      <c r="Q95" t="s">
        <v>1454</v>
      </c>
      <c r="R95"/>
      <c r="S95" t="s">
        <v>1454</v>
      </c>
      <c r="T95" t="s">
        <v>1454</v>
      </c>
      <c r="U95" t="s">
        <v>1454</v>
      </c>
      <c r="V95"/>
      <c r="W95" t="s">
        <v>1454</v>
      </c>
      <c r="X95" t="s">
        <v>1454</v>
      </c>
      <c r="Y95" t="s">
        <v>1454</v>
      </c>
      <c r="Z95"/>
      <c r="AA95" t="s">
        <v>1454</v>
      </c>
      <c r="AB95" t="s">
        <v>1454</v>
      </c>
      <c r="AC95" t="s">
        <v>1454</v>
      </c>
      <c r="AD95"/>
      <c r="AE95" t="s">
        <v>1454</v>
      </c>
      <c r="AF95" t="s">
        <v>1454</v>
      </c>
      <c r="AG95" t="s">
        <v>1454</v>
      </c>
      <c r="AH95"/>
      <c r="AI95" t="s">
        <v>1454</v>
      </c>
      <c r="AJ95" t="s">
        <v>1454</v>
      </c>
      <c r="AK95" t="s">
        <v>1454</v>
      </c>
      <c r="AL95"/>
      <c r="AM95" t="s">
        <v>1454</v>
      </c>
      <c r="AN95" t="s">
        <v>1454</v>
      </c>
      <c r="AO95" t="s">
        <v>1454</v>
      </c>
      <c r="AP95"/>
      <c r="AQ95" t="s">
        <v>1454</v>
      </c>
      <c r="AR95" t="s">
        <v>1454</v>
      </c>
      <c r="AS95" t="s">
        <v>1454</v>
      </c>
      <c r="AT95"/>
      <c r="AU95" t="s">
        <v>613</v>
      </c>
      <c r="AV95" t="s">
        <v>1454</v>
      </c>
      <c r="AW95" t="s">
        <v>1454</v>
      </c>
      <c r="AX95"/>
      <c r="AY95" t="s">
        <v>1454</v>
      </c>
      <c r="AZ95" t="s">
        <v>1454</v>
      </c>
      <c r="BA95" t="s">
        <v>1454</v>
      </c>
      <c r="BB95"/>
      <c r="BC95" t="s">
        <v>1454</v>
      </c>
      <c r="BD95" t="s">
        <v>1454</v>
      </c>
      <c r="BE95" t="s">
        <v>1454</v>
      </c>
      <c r="BF95"/>
      <c r="BG95" t="s">
        <v>1454</v>
      </c>
      <c r="BH95" t="s">
        <v>1454</v>
      </c>
      <c r="BI95" t="s">
        <v>1454</v>
      </c>
      <c r="BJ95"/>
      <c r="BK95" t="s">
        <v>1454</v>
      </c>
      <c r="BL95" t="s">
        <v>1454</v>
      </c>
      <c r="BM95" t="s">
        <v>1454</v>
      </c>
      <c r="BN95"/>
      <c r="BO95" t="s">
        <v>1454</v>
      </c>
      <c r="BP95" t="s">
        <v>1454</v>
      </c>
      <c r="BQ95" t="s">
        <v>1454</v>
      </c>
      <c r="BR95"/>
      <c r="BS95" t="s">
        <v>1454</v>
      </c>
      <c r="BT95" t="s">
        <v>1454</v>
      </c>
      <c r="BU95" t="s">
        <v>1454</v>
      </c>
      <c r="BV95"/>
      <c r="BW95" t="s">
        <v>1454</v>
      </c>
      <c r="BX95" t="s">
        <v>1454</v>
      </c>
      <c r="BY95" t="s">
        <v>1454</v>
      </c>
      <c r="BZ95"/>
      <c r="CA95" t="s">
        <v>1454</v>
      </c>
      <c r="CB95" t="s">
        <v>1454</v>
      </c>
      <c r="CC95" t="s">
        <v>1454</v>
      </c>
      <c r="CD95"/>
      <c r="CE95" t="s">
        <v>1454</v>
      </c>
      <c r="CF95" t="s">
        <v>1454</v>
      </c>
      <c r="CG95" t="s">
        <v>1454</v>
      </c>
      <c r="CH95"/>
      <c r="CI95" t="s">
        <v>1454</v>
      </c>
      <c r="CJ95" t="s">
        <v>1454</v>
      </c>
      <c r="CK95" t="s">
        <v>1454</v>
      </c>
      <c r="CL95"/>
      <c r="CM95" t="s">
        <v>1454</v>
      </c>
      <c r="CN95" t="s">
        <v>1454</v>
      </c>
      <c r="CO95" t="s">
        <v>1454</v>
      </c>
      <c r="CP95"/>
      <c r="CQ95" t="s">
        <v>1454</v>
      </c>
      <c r="CR95" t="s">
        <v>1454</v>
      </c>
      <c r="CS95" t="s">
        <v>1454</v>
      </c>
      <c r="CT95"/>
      <c r="CU95" t="s">
        <v>1454</v>
      </c>
      <c r="CV95" t="s">
        <v>1454</v>
      </c>
      <c r="CW95" t="s">
        <v>1454</v>
      </c>
      <c r="CX95"/>
      <c r="CY95" t="s">
        <v>1454</v>
      </c>
      <c r="CZ95" t="s">
        <v>1454</v>
      </c>
      <c r="DA95" t="s">
        <v>1454</v>
      </c>
      <c r="DB95"/>
      <c r="DC95" t="s">
        <v>1454</v>
      </c>
      <c r="DD95" t="s">
        <v>1454</v>
      </c>
      <c r="DE95" t="s">
        <v>1454</v>
      </c>
      <c r="DF95"/>
      <c r="DG95" t="s">
        <v>1454</v>
      </c>
      <c r="DH95" t="s">
        <v>1454</v>
      </c>
      <c r="DI95" t="s">
        <v>1454</v>
      </c>
      <c r="DJ95"/>
      <c r="DK95" t="s">
        <v>1454</v>
      </c>
      <c r="DL95" t="s">
        <v>1454</v>
      </c>
      <c r="DM95" t="s">
        <v>1454</v>
      </c>
      <c r="DN95"/>
      <c r="DO95" t="s">
        <v>1454</v>
      </c>
      <c r="DP95" t="s">
        <v>1454</v>
      </c>
      <c r="DQ95" t="s">
        <v>1454</v>
      </c>
      <c r="DR95"/>
      <c r="DS95" t="s">
        <v>1454</v>
      </c>
      <c r="DT95" t="s">
        <v>1454</v>
      </c>
      <c r="DU95" t="s">
        <v>1454</v>
      </c>
      <c r="DV95"/>
      <c r="DW95" t="s">
        <v>1454</v>
      </c>
      <c r="DX95" t="s">
        <v>1454</v>
      </c>
      <c r="DY95" t="s">
        <v>1454</v>
      </c>
      <c r="DZ95"/>
      <c r="EA95" t="s">
        <v>1454</v>
      </c>
      <c r="EB95" t="s">
        <v>1454</v>
      </c>
      <c r="EC95" t="s">
        <v>1454</v>
      </c>
      <c r="ED95"/>
      <c r="EE95" t="s">
        <v>1454</v>
      </c>
      <c r="EF95" t="s">
        <v>1454</v>
      </c>
      <c r="EG95" t="s">
        <v>1454</v>
      </c>
      <c r="EH95"/>
      <c r="EI95" t="s">
        <v>1454</v>
      </c>
      <c r="EJ95" t="s">
        <v>1454</v>
      </c>
      <c r="EK95" t="s">
        <v>1454</v>
      </c>
      <c r="EL95"/>
      <c r="EM95" t="s">
        <v>1454</v>
      </c>
      <c r="EN95" t="s">
        <v>1454</v>
      </c>
      <c r="EO95" t="s">
        <v>1454</v>
      </c>
      <c r="EP95"/>
      <c r="EQ95" t="s">
        <v>1454</v>
      </c>
      <c r="ER95" t="s">
        <v>1454</v>
      </c>
      <c r="ES95" t="s">
        <v>1454</v>
      </c>
      <c r="ET95"/>
      <c r="EU95" t="s">
        <v>1454</v>
      </c>
      <c r="EV95" t="s">
        <v>1454</v>
      </c>
      <c r="EW95" t="s">
        <v>1454</v>
      </c>
      <c r="EX95"/>
      <c r="EY95" t="s">
        <v>1454</v>
      </c>
      <c r="EZ95" t="s">
        <v>1454</v>
      </c>
      <c r="FA95" t="s">
        <v>1454</v>
      </c>
      <c r="FB95"/>
      <c r="FC95" t="s">
        <v>1454</v>
      </c>
      <c r="FD95" t="s">
        <v>1454</v>
      </c>
      <c r="FE95" t="s">
        <v>1454</v>
      </c>
      <c r="FF95"/>
      <c r="FG95" t="s">
        <v>1454</v>
      </c>
      <c r="FH95" t="s">
        <v>1454</v>
      </c>
      <c r="FI95" t="s">
        <v>1454</v>
      </c>
      <c r="FJ95"/>
      <c r="FK95" t="s">
        <v>1454</v>
      </c>
      <c r="FL95" t="s">
        <v>1454</v>
      </c>
      <c r="FM95" t="s">
        <v>1454</v>
      </c>
      <c r="FN95"/>
      <c r="FO95" t="s">
        <v>1454</v>
      </c>
      <c r="FP95" t="s">
        <v>1454</v>
      </c>
      <c r="FQ95" t="s">
        <v>1454</v>
      </c>
      <c r="FR95"/>
      <c r="FS95" t="s">
        <v>1454</v>
      </c>
      <c r="FT95" t="s">
        <v>1454</v>
      </c>
      <c r="FU95" t="s">
        <v>1454</v>
      </c>
      <c r="FV95"/>
      <c r="FW95" t="s">
        <v>1454</v>
      </c>
      <c r="FX95" t="s">
        <v>1454</v>
      </c>
      <c r="FY95" t="s">
        <v>1454</v>
      </c>
      <c r="FZ95"/>
      <c r="GA95" t="s">
        <v>1454</v>
      </c>
      <c r="GB95" t="s">
        <v>1454</v>
      </c>
      <c r="GC95" t="s">
        <v>1454</v>
      </c>
      <c r="GD95"/>
      <c r="GE95" t="s">
        <v>1454</v>
      </c>
      <c r="GF95" t="s">
        <v>1454</v>
      </c>
      <c r="GG95" t="s">
        <v>1454</v>
      </c>
      <c r="GH95"/>
      <c r="GI95" t="s">
        <v>1454</v>
      </c>
      <c r="GJ95" t="s">
        <v>1454</v>
      </c>
      <c r="GK95" t="s">
        <v>1454</v>
      </c>
      <c r="GL95"/>
      <c r="GM95" t="s">
        <v>1454</v>
      </c>
      <c r="GN95" t="s">
        <v>1454</v>
      </c>
      <c r="GO95" t="s">
        <v>1454</v>
      </c>
      <c r="GP95"/>
      <c r="GQ95" t="s">
        <v>1522</v>
      </c>
    </row>
    <row r="96" spans="2:201" x14ac:dyDescent="0.25">
      <c r="B96" t="s">
        <v>359</v>
      </c>
      <c r="C96" t="s">
        <v>1454</v>
      </c>
      <c r="D96" t="s">
        <v>1454</v>
      </c>
      <c r="E96" t="s">
        <v>1454</v>
      </c>
      <c r="G96" t="s">
        <v>1454</v>
      </c>
      <c r="H96" t="s">
        <v>1454</v>
      </c>
      <c r="I96" t="s">
        <v>1454</v>
      </c>
      <c r="K96" t="s">
        <v>1454</v>
      </c>
      <c r="L96" t="s">
        <v>1454</v>
      </c>
      <c r="M96" t="s">
        <v>1454</v>
      </c>
      <c r="O96" t="s">
        <v>1454</v>
      </c>
      <c r="P96" t="s">
        <v>1454</v>
      </c>
      <c r="Q96" t="s">
        <v>1454</v>
      </c>
      <c r="S96" t="s">
        <v>1454</v>
      </c>
      <c r="T96" t="s">
        <v>1454</v>
      </c>
      <c r="U96" t="s">
        <v>1454</v>
      </c>
      <c r="W96" t="s">
        <v>1454</v>
      </c>
      <c r="X96" t="s">
        <v>1454</v>
      </c>
      <c r="Y96" t="s">
        <v>1454</v>
      </c>
      <c r="AA96" t="s">
        <v>1454</v>
      </c>
      <c r="AB96" t="s">
        <v>1454</v>
      </c>
      <c r="AC96" t="s">
        <v>1454</v>
      </c>
      <c r="AE96" t="s">
        <v>1454</v>
      </c>
      <c r="AF96" t="s">
        <v>1454</v>
      </c>
      <c r="AG96" t="s">
        <v>1454</v>
      </c>
      <c r="AI96" t="s">
        <v>1454</v>
      </c>
      <c r="AJ96" t="s">
        <v>1454</v>
      </c>
      <c r="AK96" t="s">
        <v>1454</v>
      </c>
      <c r="AM96" t="s">
        <v>1454</v>
      </c>
      <c r="AN96" t="s">
        <v>1454</v>
      </c>
      <c r="AO96" t="s">
        <v>1454</v>
      </c>
      <c r="AQ96" t="s">
        <v>612</v>
      </c>
      <c r="AR96" t="s">
        <v>1454</v>
      </c>
      <c r="AS96" t="s">
        <v>1454</v>
      </c>
      <c r="AU96" t="s">
        <v>1454</v>
      </c>
      <c r="AV96" t="s">
        <v>1454</v>
      </c>
      <c r="AW96" t="s">
        <v>1454</v>
      </c>
      <c r="AY96" t="s">
        <v>1454</v>
      </c>
      <c r="AZ96" t="s">
        <v>1454</v>
      </c>
      <c r="BA96" t="s">
        <v>1454</v>
      </c>
      <c r="BC96" t="s">
        <v>615</v>
      </c>
      <c r="BD96" t="s">
        <v>1454</v>
      </c>
      <c r="BE96" t="s">
        <v>1454</v>
      </c>
      <c r="BG96" t="s">
        <v>1454</v>
      </c>
      <c r="BH96" t="s">
        <v>1454</v>
      </c>
      <c r="BI96" t="s">
        <v>1454</v>
      </c>
      <c r="BK96" t="s">
        <v>1454</v>
      </c>
      <c r="BL96" t="s">
        <v>1454</v>
      </c>
      <c r="BM96" t="s">
        <v>1454</v>
      </c>
      <c r="BO96" t="s">
        <v>1454</v>
      </c>
      <c r="BP96" t="s">
        <v>1454</v>
      </c>
      <c r="BQ96" t="s">
        <v>1454</v>
      </c>
      <c r="BS96" t="s">
        <v>619</v>
      </c>
      <c r="BT96" t="s">
        <v>1454</v>
      </c>
      <c r="BU96" t="s">
        <v>1454</v>
      </c>
      <c r="BW96" t="s">
        <v>1454</v>
      </c>
      <c r="BX96" t="s">
        <v>1454</v>
      </c>
      <c r="BY96" t="s">
        <v>1454</v>
      </c>
      <c r="CA96" t="s">
        <v>1454</v>
      </c>
      <c r="CB96" t="s">
        <v>1454</v>
      </c>
      <c r="CC96" t="s">
        <v>1454</v>
      </c>
      <c r="CE96" t="s">
        <v>1454</v>
      </c>
      <c r="CF96" t="s">
        <v>1454</v>
      </c>
      <c r="CG96" t="s">
        <v>1454</v>
      </c>
      <c r="CI96" t="s">
        <v>1454</v>
      </c>
      <c r="CJ96" t="s">
        <v>1454</v>
      </c>
      <c r="CK96" t="s">
        <v>1454</v>
      </c>
      <c r="CM96" t="s">
        <v>1454</v>
      </c>
      <c r="CN96" t="s">
        <v>1454</v>
      </c>
      <c r="CO96" t="s">
        <v>1454</v>
      </c>
      <c r="CQ96" t="s">
        <v>1454</v>
      </c>
      <c r="CR96" t="s">
        <v>1454</v>
      </c>
      <c r="CS96" t="s">
        <v>1454</v>
      </c>
      <c r="CU96" t="s">
        <v>1454</v>
      </c>
      <c r="CV96" t="s">
        <v>1454</v>
      </c>
      <c r="CW96" t="s">
        <v>1454</v>
      </c>
      <c r="CY96" t="s">
        <v>1454</v>
      </c>
      <c r="CZ96" t="s">
        <v>1454</v>
      </c>
      <c r="DA96" t="s">
        <v>1454</v>
      </c>
      <c r="DC96" t="s">
        <v>1454</v>
      </c>
      <c r="DD96" t="s">
        <v>1454</v>
      </c>
      <c r="DE96" t="s">
        <v>1454</v>
      </c>
      <c r="DG96" t="s">
        <v>1454</v>
      </c>
      <c r="DH96" t="s">
        <v>1454</v>
      </c>
      <c r="DI96" t="s">
        <v>1454</v>
      </c>
      <c r="DK96" t="s">
        <v>1454</v>
      </c>
      <c r="DL96" t="s">
        <v>1454</v>
      </c>
      <c r="DM96" t="s">
        <v>1454</v>
      </c>
      <c r="DO96" t="s">
        <v>1454</v>
      </c>
      <c r="DP96" t="s">
        <v>1454</v>
      </c>
      <c r="DQ96" t="s">
        <v>1454</v>
      </c>
      <c r="DS96" t="s">
        <v>1454</v>
      </c>
      <c r="DT96" t="s">
        <v>1454</v>
      </c>
      <c r="DU96" t="s">
        <v>1454</v>
      </c>
      <c r="DW96" t="s">
        <v>1454</v>
      </c>
      <c r="DX96" t="s">
        <v>1454</v>
      </c>
      <c r="DY96" t="s">
        <v>1454</v>
      </c>
      <c r="EA96" t="s">
        <v>1454</v>
      </c>
      <c r="EB96" t="s">
        <v>1454</v>
      </c>
      <c r="EC96" t="s">
        <v>1454</v>
      </c>
      <c r="EE96" t="s">
        <v>1454</v>
      </c>
      <c r="EF96" t="s">
        <v>1454</v>
      </c>
      <c r="EG96" t="s">
        <v>1454</v>
      </c>
      <c r="EI96" t="s">
        <v>1454</v>
      </c>
      <c r="EJ96" t="s">
        <v>1454</v>
      </c>
      <c r="EK96" t="s">
        <v>1454</v>
      </c>
      <c r="EM96" t="s">
        <v>1454</v>
      </c>
      <c r="EN96" t="s">
        <v>1454</v>
      </c>
      <c r="EO96" t="s">
        <v>1454</v>
      </c>
      <c r="EQ96" t="s">
        <v>1454</v>
      </c>
      <c r="ER96" t="s">
        <v>1454</v>
      </c>
      <c r="ES96" t="s">
        <v>1454</v>
      </c>
      <c r="EU96" t="s">
        <v>1454</v>
      </c>
      <c r="EV96" t="s">
        <v>1454</v>
      </c>
      <c r="EW96" t="s">
        <v>1454</v>
      </c>
      <c r="EY96" t="s">
        <v>1454</v>
      </c>
      <c r="EZ96" t="s">
        <v>1454</v>
      </c>
      <c r="FA96" t="s">
        <v>1454</v>
      </c>
      <c r="FC96" t="s">
        <v>1454</v>
      </c>
      <c r="FD96" t="s">
        <v>1454</v>
      </c>
      <c r="FE96" t="s">
        <v>1454</v>
      </c>
      <c r="FG96" t="s">
        <v>1454</v>
      </c>
      <c r="FH96" t="s">
        <v>1454</v>
      </c>
      <c r="FI96" t="s">
        <v>1454</v>
      </c>
      <c r="FK96" t="s">
        <v>1454</v>
      </c>
      <c r="FL96" t="s">
        <v>1454</v>
      </c>
      <c r="FM96" t="s">
        <v>1454</v>
      </c>
      <c r="FO96" t="s">
        <v>1454</v>
      </c>
      <c r="FP96" t="s">
        <v>1454</v>
      </c>
      <c r="FQ96" t="s">
        <v>1454</v>
      </c>
      <c r="FS96" t="s">
        <v>1454</v>
      </c>
      <c r="FT96" t="s">
        <v>1454</v>
      </c>
      <c r="FU96" t="s">
        <v>1454</v>
      </c>
      <c r="FW96" t="s">
        <v>1454</v>
      </c>
      <c r="FX96" t="s">
        <v>1454</v>
      </c>
      <c r="FY96" t="s">
        <v>1454</v>
      </c>
      <c r="GA96" t="s">
        <v>1454</v>
      </c>
      <c r="GB96" t="s">
        <v>1454</v>
      </c>
      <c r="GC96" t="s">
        <v>1454</v>
      </c>
      <c r="GE96" t="s">
        <v>1454</v>
      </c>
      <c r="GF96" t="s">
        <v>1454</v>
      </c>
      <c r="GG96" t="s">
        <v>1454</v>
      </c>
      <c r="GI96" t="s">
        <v>1454</v>
      </c>
      <c r="GJ96" t="s">
        <v>1454</v>
      </c>
      <c r="GK96" t="s">
        <v>1454</v>
      </c>
      <c r="GM96" t="s">
        <v>1454</v>
      </c>
      <c r="GN96" t="s">
        <v>1454</v>
      </c>
      <c r="GO96" t="s">
        <v>1454</v>
      </c>
      <c r="GQ96" t="s">
        <v>1536</v>
      </c>
    </row>
    <row r="97" spans="2:199" x14ac:dyDescent="0.25">
      <c r="B97" t="s">
        <v>360</v>
      </c>
      <c r="C97" t="s">
        <v>1454</v>
      </c>
      <c r="D97" t="s">
        <v>1454</v>
      </c>
      <c r="E97" t="s">
        <v>1454</v>
      </c>
      <c r="G97" t="s">
        <v>1454</v>
      </c>
      <c r="H97" t="s">
        <v>1454</v>
      </c>
      <c r="I97" t="s">
        <v>1454</v>
      </c>
      <c r="K97" t="s">
        <v>1454</v>
      </c>
      <c r="L97" t="s">
        <v>1454</v>
      </c>
      <c r="M97" t="s">
        <v>1454</v>
      </c>
      <c r="O97" t="s">
        <v>1454</v>
      </c>
      <c r="P97" t="s">
        <v>1454</v>
      </c>
      <c r="Q97" t="s">
        <v>1454</v>
      </c>
      <c r="S97" t="s">
        <v>1454</v>
      </c>
      <c r="T97" t="s">
        <v>1454</v>
      </c>
      <c r="U97" t="s">
        <v>1454</v>
      </c>
      <c r="W97" t="s">
        <v>1454</v>
      </c>
      <c r="X97" t="s">
        <v>1454</v>
      </c>
      <c r="Y97" t="s">
        <v>1454</v>
      </c>
      <c r="AA97" t="s">
        <v>1454</v>
      </c>
      <c r="AB97" t="s">
        <v>1454</v>
      </c>
      <c r="AC97" t="s">
        <v>1454</v>
      </c>
      <c r="AE97" t="s">
        <v>1454</v>
      </c>
      <c r="AF97" t="s">
        <v>1454</v>
      </c>
      <c r="AG97" t="s">
        <v>1454</v>
      </c>
      <c r="AI97" t="s">
        <v>1454</v>
      </c>
      <c r="AJ97" t="s">
        <v>1454</v>
      </c>
      <c r="AK97" t="s">
        <v>1454</v>
      </c>
      <c r="AM97" t="s">
        <v>1454</v>
      </c>
      <c r="AN97" t="s">
        <v>1454</v>
      </c>
      <c r="AO97" t="s">
        <v>1454</v>
      </c>
      <c r="AQ97" t="s">
        <v>1454</v>
      </c>
      <c r="AR97" t="s">
        <v>1454</v>
      </c>
      <c r="AS97" t="s">
        <v>1454</v>
      </c>
      <c r="AU97" t="s">
        <v>1454</v>
      </c>
      <c r="AV97" t="s">
        <v>1454</v>
      </c>
      <c r="AW97" t="s">
        <v>1454</v>
      </c>
      <c r="AY97" t="s">
        <v>1454</v>
      </c>
      <c r="AZ97" t="s">
        <v>1454</v>
      </c>
      <c r="BA97" t="s">
        <v>1454</v>
      </c>
      <c r="BC97" t="s">
        <v>1454</v>
      </c>
      <c r="BD97" t="s">
        <v>1454</v>
      </c>
      <c r="BE97" t="s">
        <v>1454</v>
      </c>
      <c r="BG97" t="s">
        <v>1454</v>
      </c>
      <c r="BH97" t="s">
        <v>1454</v>
      </c>
      <c r="BI97" t="s">
        <v>1454</v>
      </c>
      <c r="BK97" t="s">
        <v>1454</v>
      </c>
      <c r="BL97" t="s">
        <v>1454</v>
      </c>
      <c r="BM97" t="s">
        <v>1454</v>
      </c>
      <c r="BO97" t="s">
        <v>1454</v>
      </c>
      <c r="BP97" t="s">
        <v>1454</v>
      </c>
      <c r="BQ97" t="s">
        <v>1454</v>
      </c>
      <c r="BS97" t="s">
        <v>1454</v>
      </c>
      <c r="BT97" t="s">
        <v>1454</v>
      </c>
      <c r="BU97" t="s">
        <v>1454</v>
      </c>
      <c r="BW97" t="s">
        <v>1454</v>
      </c>
      <c r="BX97" t="s">
        <v>1454</v>
      </c>
      <c r="BY97" t="s">
        <v>1454</v>
      </c>
      <c r="CA97" t="s">
        <v>1454</v>
      </c>
      <c r="CB97" t="s">
        <v>1454</v>
      </c>
      <c r="CC97" t="s">
        <v>1454</v>
      </c>
      <c r="CE97" t="s">
        <v>1454</v>
      </c>
      <c r="CF97" t="s">
        <v>1454</v>
      </c>
      <c r="CG97" t="s">
        <v>1454</v>
      </c>
      <c r="CI97" t="s">
        <v>1454</v>
      </c>
      <c r="CJ97" t="s">
        <v>1454</v>
      </c>
      <c r="CK97" t="s">
        <v>1454</v>
      </c>
      <c r="CM97" t="s">
        <v>1454</v>
      </c>
      <c r="CN97" t="s">
        <v>1454</v>
      </c>
      <c r="CO97" t="s">
        <v>1454</v>
      </c>
      <c r="CQ97" t="s">
        <v>1454</v>
      </c>
      <c r="CR97" t="s">
        <v>1454</v>
      </c>
      <c r="CS97" t="s">
        <v>1454</v>
      </c>
      <c r="CU97" t="s">
        <v>1454</v>
      </c>
      <c r="CV97" t="s">
        <v>1454</v>
      </c>
      <c r="CW97" t="s">
        <v>1454</v>
      </c>
      <c r="CY97" t="s">
        <v>1454</v>
      </c>
      <c r="CZ97" t="s">
        <v>1454</v>
      </c>
      <c r="DA97" t="s">
        <v>1454</v>
      </c>
      <c r="DC97" t="s">
        <v>1454</v>
      </c>
      <c r="DD97" t="s">
        <v>1454</v>
      </c>
      <c r="DE97" t="s">
        <v>1454</v>
      </c>
      <c r="DG97" t="s">
        <v>1454</v>
      </c>
      <c r="DH97" t="s">
        <v>1454</v>
      </c>
      <c r="DI97" t="s">
        <v>1454</v>
      </c>
      <c r="DK97" t="s">
        <v>630</v>
      </c>
      <c r="DL97" t="s">
        <v>1454</v>
      </c>
      <c r="DM97" t="s">
        <v>1454</v>
      </c>
      <c r="DO97" t="s">
        <v>1454</v>
      </c>
      <c r="DP97" t="s">
        <v>1454</v>
      </c>
      <c r="DQ97" t="s">
        <v>1454</v>
      </c>
      <c r="DS97" t="s">
        <v>1454</v>
      </c>
      <c r="DT97" t="s">
        <v>1454</v>
      </c>
      <c r="DU97" t="s">
        <v>1454</v>
      </c>
      <c r="DW97" t="s">
        <v>1454</v>
      </c>
      <c r="DX97" t="s">
        <v>1454</v>
      </c>
      <c r="DY97" t="s">
        <v>1454</v>
      </c>
      <c r="EA97" t="s">
        <v>1454</v>
      </c>
      <c r="EB97" t="s">
        <v>1454</v>
      </c>
      <c r="EC97" t="s">
        <v>1454</v>
      </c>
      <c r="EE97" t="s">
        <v>1454</v>
      </c>
      <c r="EF97" t="s">
        <v>1454</v>
      </c>
      <c r="EG97" t="s">
        <v>1454</v>
      </c>
      <c r="EI97" t="s">
        <v>1454</v>
      </c>
      <c r="EJ97" t="s">
        <v>1454</v>
      </c>
      <c r="EK97" t="s">
        <v>1454</v>
      </c>
      <c r="EM97" t="s">
        <v>1454</v>
      </c>
      <c r="EN97" t="s">
        <v>1454</v>
      </c>
      <c r="EO97" t="s">
        <v>1454</v>
      </c>
      <c r="EQ97" t="s">
        <v>1454</v>
      </c>
      <c r="ER97" t="s">
        <v>1454</v>
      </c>
      <c r="ES97" t="s">
        <v>1454</v>
      </c>
      <c r="EU97" t="s">
        <v>1454</v>
      </c>
      <c r="EV97" t="s">
        <v>1454</v>
      </c>
      <c r="EW97" t="s">
        <v>1454</v>
      </c>
      <c r="EY97" t="s">
        <v>1454</v>
      </c>
      <c r="EZ97" t="s">
        <v>1454</v>
      </c>
      <c r="FA97" t="s">
        <v>1454</v>
      </c>
      <c r="FC97" t="s">
        <v>1454</v>
      </c>
      <c r="FD97" t="s">
        <v>1454</v>
      </c>
      <c r="FE97" t="s">
        <v>1454</v>
      </c>
      <c r="FG97" t="s">
        <v>1454</v>
      </c>
      <c r="FH97" t="s">
        <v>1454</v>
      </c>
      <c r="FI97" t="s">
        <v>1454</v>
      </c>
      <c r="FK97" t="s">
        <v>1454</v>
      </c>
      <c r="FL97" t="s">
        <v>1454</v>
      </c>
      <c r="FM97" t="s">
        <v>1454</v>
      </c>
      <c r="FO97" t="s">
        <v>1454</v>
      </c>
      <c r="FP97" t="s">
        <v>1454</v>
      </c>
      <c r="FQ97" t="s">
        <v>1454</v>
      </c>
      <c r="FS97" t="s">
        <v>1454</v>
      </c>
      <c r="FT97" t="s">
        <v>1454</v>
      </c>
      <c r="FU97" t="s">
        <v>1454</v>
      </c>
      <c r="FW97" t="s">
        <v>1454</v>
      </c>
      <c r="FX97" t="s">
        <v>1454</v>
      </c>
      <c r="FY97" t="s">
        <v>1454</v>
      </c>
      <c r="GA97" t="s">
        <v>646</v>
      </c>
      <c r="GB97" t="s">
        <v>1454</v>
      </c>
      <c r="GC97" t="s">
        <v>1454</v>
      </c>
      <c r="GE97" t="s">
        <v>647</v>
      </c>
      <c r="GF97" t="s">
        <v>1454</v>
      </c>
      <c r="GG97" t="s">
        <v>1454</v>
      </c>
      <c r="GI97" t="s">
        <v>1454</v>
      </c>
      <c r="GJ97" t="s">
        <v>1454</v>
      </c>
      <c r="GK97" t="s">
        <v>1454</v>
      </c>
      <c r="GM97" t="s">
        <v>1454</v>
      </c>
      <c r="GN97" t="s">
        <v>1454</v>
      </c>
      <c r="GO97" t="s">
        <v>1454</v>
      </c>
      <c r="GQ97" t="s">
        <v>1597</v>
      </c>
    </row>
    <row r="98" spans="2:199" x14ac:dyDescent="0.25">
      <c r="B98" t="s">
        <v>362</v>
      </c>
      <c r="C98" t="s">
        <v>1454</v>
      </c>
      <c r="D98" t="s">
        <v>1454</v>
      </c>
      <c r="E98" t="s">
        <v>1454</v>
      </c>
      <c r="G98" t="s">
        <v>1454</v>
      </c>
      <c r="H98" t="s">
        <v>1454</v>
      </c>
      <c r="I98" t="s">
        <v>1454</v>
      </c>
      <c r="K98" t="s">
        <v>1454</v>
      </c>
      <c r="L98" t="s">
        <v>1454</v>
      </c>
      <c r="M98" t="s">
        <v>1454</v>
      </c>
      <c r="O98" t="s">
        <v>1454</v>
      </c>
      <c r="P98" t="s">
        <v>1454</v>
      </c>
      <c r="Q98" t="s">
        <v>1454</v>
      </c>
      <c r="S98" t="s">
        <v>1454</v>
      </c>
      <c r="T98" t="s">
        <v>1454</v>
      </c>
      <c r="U98" t="s">
        <v>1454</v>
      </c>
      <c r="W98" t="s">
        <v>1454</v>
      </c>
      <c r="X98" t="s">
        <v>1454</v>
      </c>
      <c r="Y98" t="s">
        <v>1454</v>
      </c>
      <c r="AA98" t="s">
        <v>1454</v>
      </c>
      <c r="AB98" t="s">
        <v>1454</v>
      </c>
      <c r="AC98" t="s">
        <v>1454</v>
      </c>
      <c r="AE98" t="s">
        <v>1454</v>
      </c>
      <c r="AF98" t="s">
        <v>1454</v>
      </c>
      <c r="AG98" t="s">
        <v>1454</v>
      </c>
      <c r="AI98" t="s">
        <v>1454</v>
      </c>
      <c r="AJ98" t="s">
        <v>1454</v>
      </c>
      <c r="AK98" t="s">
        <v>1454</v>
      </c>
      <c r="AM98" t="s">
        <v>1454</v>
      </c>
      <c r="AN98" t="s">
        <v>1454</v>
      </c>
      <c r="AO98" t="s">
        <v>1454</v>
      </c>
      <c r="AQ98" t="s">
        <v>1454</v>
      </c>
      <c r="AR98" t="s">
        <v>1454</v>
      </c>
      <c r="AS98" t="s">
        <v>1454</v>
      </c>
      <c r="AU98" t="s">
        <v>1454</v>
      </c>
      <c r="AV98" t="s">
        <v>1454</v>
      </c>
      <c r="AW98" t="s">
        <v>1454</v>
      </c>
      <c r="AY98" t="s">
        <v>1454</v>
      </c>
      <c r="AZ98" t="s">
        <v>1454</v>
      </c>
      <c r="BA98" t="s">
        <v>1454</v>
      </c>
      <c r="BC98" t="s">
        <v>1454</v>
      </c>
      <c r="BD98" t="s">
        <v>1454</v>
      </c>
      <c r="BE98" t="s">
        <v>1454</v>
      </c>
      <c r="BG98" t="s">
        <v>1454</v>
      </c>
      <c r="BH98" t="s">
        <v>1454</v>
      </c>
      <c r="BI98" t="s">
        <v>1454</v>
      </c>
      <c r="BK98" t="s">
        <v>1454</v>
      </c>
      <c r="BL98" t="s">
        <v>1454</v>
      </c>
      <c r="BM98" t="s">
        <v>1454</v>
      </c>
      <c r="BO98" t="s">
        <v>1454</v>
      </c>
      <c r="BP98" t="s">
        <v>1454</v>
      </c>
      <c r="BQ98" t="s">
        <v>1454</v>
      </c>
      <c r="BS98" t="s">
        <v>1454</v>
      </c>
      <c r="BT98" t="s">
        <v>1454</v>
      </c>
      <c r="BU98" t="s">
        <v>1454</v>
      </c>
      <c r="BW98" t="s">
        <v>1454</v>
      </c>
      <c r="BX98" t="s">
        <v>1454</v>
      </c>
      <c r="BY98" t="s">
        <v>1454</v>
      </c>
      <c r="CA98" t="s">
        <v>1454</v>
      </c>
      <c r="CB98" t="s">
        <v>1454</v>
      </c>
      <c r="CC98" t="s">
        <v>1454</v>
      </c>
      <c r="CE98" t="s">
        <v>1454</v>
      </c>
      <c r="CF98" t="s">
        <v>1454</v>
      </c>
      <c r="CG98" t="s">
        <v>1454</v>
      </c>
      <c r="CI98" t="s">
        <v>1454</v>
      </c>
      <c r="CJ98" t="s">
        <v>1454</v>
      </c>
      <c r="CK98" t="s">
        <v>1454</v>
      </c>
      <c r="CM98" t="s">
        <v>1454</v>
      </c>
      <c r="CN98" t="s">
        <v>1454</v>
      </c>
      <c r="CO98" t="s">
        <v>1454</v>
      </c>
      <c r="CQ98" t="s">
        <v>1454</v>
      </c>
      <c r="CR98" t="s">
        <v>1454</v>
      </c>
      <c r="CS98" t="s">
        <v>1454</v>
      </c>
      <c r="CU98" t="s">
        <v>1454</v>
      </c>
      <c r="CV98" t="s">
        <v>1454</v>
      </c>
      <c r="CW98" t="s">
        <v>1454</v>
      </c>
      <c r="CY98" t="s">
        <v>1454</v>
      </c>
      <c r="CZ98" t="s">
        <v>1454</v>
      </c>
      <c r="DA98" t="s">
        <v>1454</v>
      </c>
      <c r="DC98" t="s">
        <v>1454</v>
      </c>
      <c r="DD98" t="s">
        <v>1454</v>
      </c>
      <c r="DE98" t="s">
        <v>1454</v>
      </c>
      <c r="DG98" t="s">
        <v>1454</v>
      </c>
      <c r="DH98" t="s">
        <v>1454</v>
      </c>
      <c r="DI98" t="s">
        <v>1454</v>
      </c>
      <c r="DK98" t="s">
        <v>1454</v>
      </c>
      <c r="DL98" t="s">
        <v>1454</v>
      </c>
      <c r="DM98" t="s">
        <v>1454</v>
      </c>
      <c r="DO98" t="s">
        <v>1454</v>
      </c>
      <c r="DP98" t="s">
        <v>1454</v>
      </c>
      <c r="DQ98" t="s">
        <v>1454</v>
      </c>
      <c r="DS98" t="s">
        <v>1454</v>
      </c>
      <c r="DT98" t="s">
        <v>1454</v>
      </c>
      <c r="DU98" t="s">
        <v>1454</v>
      </c>
      <c r="DW98" t="s">
        <v>1454</v>
      </c>
      <c r="DX98" t="s">
        <v>1454</v>
      </c>
      <c r="DY98" t="s">
        <v>1454</v>
      </c>
      <c r="EA98" t="s">
        <v>1454</v>
      </c>
      <c r="EB98" t="s">
        <v>1454</v>
      </c>
      <c r="EC98" t="s">
        <v>1454</v>
      </c>
      <c r="EE98" t="s">
        <v>1454</v>
      </c>
      <c r="EF98" t="s">
        <v>1454</v>
      </c>
      <c r="EG98" t="s">
        <v>1454</v>
      </c>
      <c r="EI98" t="s">
        <v>636</v>
      </c>
      <c r="EJ98" t="s">
        <v>1454</v>
      </c>
      <c r="EK98" t="s">
        <v>1454</v>
      </c>
      <c r="EM98" t="s">
        <v>1454</v>
      </c>
      <c r="EN98" t="s">
        <v>1454</v>
      </c>
      <c r="EO98" t="s">
        <v>1454</v>
      </c>
      <c r="EQ98" t="s">
        <v>1454</v>
      </c>
      <c r="ER98" t="s">
        <v>1454</v>
      </c>
      <c r="ES98" t="s">
        <v>1454</v>
      </c>
      <c r="EU98" t="s">
        <v>1454</v>
      </c>
      <c r="EV98" t="s">
        <v>1454</v>
      </c>
      <c r="EW98" t="s">
        <v>1454</v>
      </c>
      <c r="EY98" t="s">
        <v>1454</v>
      </c>
      <c r="EZ98" t="s">
        <v>1454</v>
      </c>
      <c r="FA98" t="s">
        <v>1454</v>
      </c>
      <c r="FC98" t="s">
        <v>1454</v>
      </c>
      <c r="FD98" t="s">
        <v>1454</v>
      </c>
      <c r="FE98" t="s">
        <v>1454</v>
      </c>
      <c r="FG98" t="s">
        <v>1454</v>
      </c>
      <c r="FH98" t="s">
        <v>1454</v>
      </c>
      <c r="FI98" t="s">
        <v>1454</v>
      </c>
      <c r="FK98" t="s">
        <v>1454</v>
      </c>
      <c r="FL98" t="s">
        <v>1454</v>
      </c>
      <c r="FM98" t="s">
        <v>1454</v>
      </c>
      <c r="FO98" t="s">
        <v>1454</v>
      </c>
      <c r="FP98" t="s">
        <v>1454</v>
      </c>
      <c r="FQ98" t="s">
        <v>1454</v>
      </c>
      <c r="FS98" t="s">
        <v>1454</v>
      </c>
      <c r="FT98" t="s">
        <v>1454</v>
      </c>
      <c r="FU98" t="s">
        <v>1454</v>
      </c>
      <c r="FW98" t="s">
        <v>1454</v>
      </c>
      <c r="FX98" t="s">
        <v>1454</v>
      </c>
      <c r="FY98" t="s">
        <v>1454</v>
      </c>
      <c r="GA98" t="s">
        <v>1454</v>
      </c>
      <c r="GB98" t="s">
        <v>1454</v>
      </c>
      <c r="GC98" t="s">
        <v>1454</v>
      </c>
      <c r="GE98" t="s">
        <v>1454</v>
      </c>
      <c r="GF98" t="s">
        <v>1454</v>
      </c>
      <c r="GG98" t="s">
        <v>1454</v>
      </c>
      <c r="GI98" t="s">
        <v>1454</v>
      </c>
      <c r="GJ98" t="s">
        <v>1454</v>
      </c>
      <c r="GK98" t="s">
        <v>1454</v>
      </c>
      <c r="GM98" t="s">
        <v>1454</v>
      </c>
      <c r="GN98" t="s">
        <v>1454</v>
      </c>
      <c r="GO98" t="s">
        <v>1454</v>
      </c>
      <c r="GQ98" t="s">
        <v>1486</v>
      </c>
    </row>
    <row r="99" spans="2:199" s="11" customFormat="1" x14ac:dyDescent="0.25">
      <c r="B99" t="s">
        <v>590</v>
      </c>
      <c r="C99" t="s">
        <v>1454</v>
      </c>
      <c r="D99" t="s">
        <v>1454</v>
      </c>
      <c r="E99" t="s">
        <v>1454</v>
      </c>
      <c r="F99"/>
      <c r="G99" t="s">
        <v>1454</v>
      </c>
      <c r="H99" t="s">
        <v>1454</v>
      </c>
      <c r="I99" t="s">
        <v>1454</v>
      </c>
      <c r="J99"/>
      <c r="K99" t="s">
        <v>1454</v>
      </c>
      <c r="L99" t="s">
        <v>1454</v>
      </c>
      <c r="M99" t="s">
        <v>1454</v>
      </c>
      <c r="N99"/>
      <c r="O99" t="s">
        <v>1454</v>
      </c>
      <c r="P99" t="s">
        <v>1454</v>
      </c>
      <c r="Q99" t="s">
        <v>1454</v>
      </c>
      <c r="R99"/>
      <c r="S99" t="s">
        <v>1454</v>
      </c>
      <c r="T99" t="s">
        <v>1454</v>
      </c>
      <c r="U99" t="s">
        <v>1454</v>
      </c>
      <c r="V99"/>
      <c r="W99" t="s">
        <v>1454</v>
      </c>
      <c r="X99" t="s">
        <v>1454</v>
      </c>
      <c r="Y99" t="s">
        <v>1454</v>
      </c>
      <c r="Z99"/>
      <c r="AA99" t="s">
        <v>1454</v>
      </c>
      <c r="AB99" t="s">
        <v>1454</v>
      </c>
      <c r="AC99" t="s">
        <v>1454</v>
      </c>
      <c r="AD99"/>
      <c r="AE99" t="s">
        <v>1454</v>
      </c>
      <c r="AF99" t="s">
        <v>1454</v>
      </c>
      <c r="AG99" t="s">
        <v>1454</v>
      </c>
      <c r="AH99"/>
      <c r="AI99" t="s">
        <v>1454</v>
      </c>
      <c r="AJ99" t="s">
        <v>1454</v>
      </c>
      <c r="AK99" t="s">
        <v>1454</v>
      </c>
      <c r="AL99"/>
      <c r="AM99" t="s">
        <v>1454</v>
      </c>
      <c r="AN99" t="s">
        <v>1454</v>
      </c>
      <c r="AO99" t="s">
        <v>1454</v>
      </c>
      <c r="AP99"/>
      <c r="AQ99" t="s">
        <v>612</v>
      </c>
      <c r="AR99" t="s">
        <v>1454</v>
      </c>
      <c r="AS99" t="s">
        <v>1454</v>
      </c>
      <c r="AT99"/>
      <c r="AU99" t="s">
        <v>1454</v>
      </c>
      <c r="AV99" t="s">
        <v>1454</v>
      </c>
      <c r="AW99" t="s">
        <v>1454</v>
      </c>
      <c r="AX99"/>
      <c r="AY99" t="s">
        <v>1454</v>
      </c>
      <c r="AZ99" t="s">
        <v>1454</v>
      </c>
      <c r="BA99" t="s">
        <v>1454</v>
      </c>
      <c r="BB99"/>
      <c r="BC99" t="s">
        <v>615</v>
      </c>
      <c r="BD99" t="s">
        <v>1454</v>
      </c>
      <c r="BE99" t="s">
        <v>1454</v>
      </c>
      <c r="BF99"/>
      <c r="BG99" t="s">
        <v>1454</v>
      </c>
      <c r="BH99" t="s">
        <v>1454</v>
      </c>
      <c r="BI99" t="s">
        <v>1454</v>
      </c>
      <c r="BJ99"/>
      <c r="BK99" t="s">
        <v>1454</v>
      </c>
      <c r="BL99" t="s">
        <v>1454</v>
      </c>
      <c r="BM99" t="s">
        <v>1454</v>
      </c>
      <c r="BN99"/>
      <c r="BO99" t="s">
        <v>1454</v>
      </c>
      <c r="BP99" t="s">
        <v>1454</v>
      </c>
      <c r="BQ99" t="s">
        <v>1454</v>
      </c>
      <c r="BR99"/>
      <c r="BS99" t="s">
        <v>619</v>
      </c>
      <c r="BT99" t="s">
        <v>1454</v>
      </c>
      <c r="BU99" t="s">
        <v>1454</v>
      </c>
      <c r="BV99"/>
      <c r="BW99" t="s">
        <v>1454</v>
      </c>
      <c r="BX99" t="s">
        <v>1454</v>
      </c>
      <c r="BY99" t="s">
        <v>1454</v>
      </c>
      <c r="BZ99"/>
      <c r="CA99" t="s">
        <v>1454</v>
      </c>
      <c r="CB99" t="s">
        <v>1454</v>
      </c>
      <c r="CC99" t="s">
        <v>1454</v>
      </c>
      <c r="CD99"/>
      <c r="CE99" t="s">
        <v>1454</v>
      </c>
      <c r="CF99" t="s">
        <v>1454</v>
      </c>
      <c r="CG99" t="s">
        <v>1454</v>
      </c>
      <c r="CH99"/>
      <c r="CI99" t="s">
        <v>1454</v>
      </c>
      <c r="CJ99" t="s">
        <v>1454</v>
      </c>
      <c r="CK99" t="s">
        <v>1454</v>
      </c>
      <c r="CL99"/>
      <c r="CM99" t="s">
        <v>1454</v>
      </c>
      <c r="CN99" t="s">
        <v>1454</v>
      </c>
      <c r="CO99" t="s">
        <v>1454</v>
      </c>
      <c r="CP99"/>
      <c r="CQ99" t="s">
        <v>1454</v>
      </c>
      <c r="CR99" t="s">
        <v>1454</v>
      </c>
      <c r="CS99" t="s">
        <v>1454</v>
      </c>
      <c r="CT99"/>
      <c r="CU99" t="s">
        <v>1454</v>
      </c>
      <c r="CV99" t="s">
        <v>1454</v>
      </c>
      <c r="CW99" t="s">
        <v>1454</v>
      </c>
      <c r="CX99"/>
      <c r="CY99" t="s">
        <v>1454</v>
      </c>
      <c r="CZ99" t="s">
        <v>1454</v>
      </c>
      <c r="DA99" t="s">
        <v>1454</v>
      </c>
      <c r="DB99"/>
      <c r="DC99" t="s">
        <v>1454</v>
      </c>
      <c r="DD99" t="s">
        <v>1454</v>
      </c>
      <c r="DE99" t="s">
        <v>1454</v>
      </c>
      <c r="DF99"/>
      <c r="DG99" t="s">
        <v>1454</v>
      </c>
      <c r="DH99" t="s">
        <v>1454</v>
      </c>
      <c r="DI99" t="s">
        <v>1454</v>
      </c>
      <c r="DJ99"/>
      <c r="DK99" t="s">
        <v>1454</v>
      </c>
      <c r="DL99" t="s">
        <v>1454</v>
      </c>
      <c r="DM99" t="s">
        <v>1454</v>
      </c>
      <c r="DN99"/>
      <c r="DO99" t="s">
        <v>1454</v>
      </c>
      <c r="DP99" t="s">
        <v>1454</v>
      </c>
      <c r="DQ99" t="s">
        <v>1454</v>
      </c>
      <c r="DR99"/>
      <c r="DS99" t="s">
        <v>1454</v>
      </c>
      <c r="DT99" t="s">
        <v>1454</v>
      </c>
      <c r="DU99" t="s">
        <v>1454</v>
      </c>
      <c r="DV99"/>
      <c r="DW99" t="s">
        <v>1454</v>
      </c>
      <c r="DX99" t="s">
        <v>1454</v>
      </c>
      <c r="DY99" t="s">
        <v>1454</v>
      </c>
      <c r="DZ99"/>
      <c r="EA99" t="s">
        <v>1454</v>
      </c>
      <c r="EB99" t="s">
        <v>1454</v>
      </c>
      <c r="EC99" t="s">
        <v>1454</v>
      </c>
      <c r="ED99"/>
      <c r="EE99" t="s">
        <v>1454</v>
      </c>
      <c r="EF99" t="s">
        <v>1454</v>
      </c>
      <c r="EG99" t="s">
        <v>1454</v>
      </c>
      <c r="EH99"/>
      <c r="EI99" t="s">
        <v>1454</v>
      </c>
      <c r="EJ99" t="s">
        <v>1454</v>
      </c>
      <c r="EK99" t="s">
        <v>1454</v>
      </c>
      <c r="EL99"/>
      <c r="EM99" t="s">
        <v>1454</v>
      </c>
      <c r="EN99" t="s">
        <v>1454</v>
      </c>
      <c r="EO99" t="s">
        <v>1454</v>
      </c>
      <c r="EP99"/>
      <c r="EQ99" t="s">
        <v>1454</v>
      </c>
      <c r="ER99" t="s">
        <v>1454</v>
      </c>
      <c r="ES99" t="s">
        <v>1454</v>
      </c>
      <c r="ET99"/>
      <c r="EU99" t="s">
        <v>1454</v>
      </c>
      <c r="EV99" t="s">
        <v>1454</v>
      </c>
      <c r="EW99" t="s">
        <v>1454</v>
      </c>
      <c r="EX99"/>
      <c r="EY99" t="s">
        <v>1454</v>
      </c>
      <c r="EZ99" t="s">
        <v>1454</v>
      </c>
      <c r="FA99" t="s">
        <v>1454</v>
      </c>
      <c r="FB99"/>
      <c r="FC99" t="s">
        <v>1454</v>
      </c>
      <c r="FD99" t="s">
        <v>1454</v>
      </c>
      <c r="FE99" t="s">
        <v>1454</v>
      </c>
      <c r="FF99"/>
      <c r="FG99" t="s">
        <v>1454</v>
      </c>
      <c r="FH99" t="s">
        <v>1454</v>
      </c>
      <c r="FI99" t="s">
        <v>1454</v>
      </c>
      <c r="FJ99"/>
      <c r="FK99" t="s">
        <v>1454</v>
      </c>
      <c r="FL99" t="s">
        <v>1454</v>
      </c>
      <c r="FM99" t="s">
        <v>1454</v>
      </c>
      <c r="FN99"/>
      <c r="FO99" t="s">
        <v>1454</v>
      </c>
      <c r="FP99" t="s">
        <v>1454</v>
      </c>
      <c r="FQ99" t="s">
        <v>1454</v>
      </c>
      <c r="FR99"/>
      <c r="FS99" t="s">
        <v>1454</v>
      </c>
      <c r="FT99" t="s">
        <v>1454</v>
      </c>
      <c r="FU99" t="s">
        <v>1454</v>
      </c>
      <c r="FV99"/>
      <c r="FW99" t="s">
        <v>1454</v>
      </c>
      <c r="FX99" t="s">
        <v>1454</v>
      </c>
      <c r="FY99" t="s">
        <v>1454</v>
      </c>
      <c r="FZ99"/>
      <c r="GA99" t="s">
        <v>1454</v>
      </c>
      <c r="GB99" t="s">
        <v>1454</v>
      </c>
      <c r="GC99" t="s">
        <v>1454</v>
      </c>
      <c r="GD99"/>
      <c r="GE99" t="s">
        <v>1454</v>
      </c>
      <c r="GF99" t="s">
        <v>1454</v>
      </c>
      <c r="GG99" t="s">
        <v>1454</v>
      </c>
      <c r="GH99"/>
      <c r="GI99" t="s">
        <v>1454</v>
      </c>
      <c r="GJ99" t="s">
        <v>1454</v>
      </c>
      <c r="GK99" t="s">
        <v>1454</v>
      </c>
      <c r="GL99"/>
      <c r="GM99" t="s">
        <v>1454</v>
      </c>
      <c r="GN99" t="s">
        <v>1454</v>
      </c>
      <c r="GO99" t="s">
        <v>1454</v>
      </c>
      <c r="GP99"/>
      <c r="GQ99" t="s">
        <v>1536</v>
      </c>
    </row>
    <row r="100" spans="2:199" x14ac:dyDescent="0.25">
      <c r="B100" t="s">
        <v>363</v>
      </c>
      <c r="C100" t="s">
        <v>1454</v>
      </c>
      <c r="D100" t="s">
        <v>1454</v>
      </c>
      <c r="E100" t="s">
        <v>1454</v>
      </c>
      <c r="G100" t="s">
        <v>1454</v>
      </c>
      <c r="H100" t="s">
        <v>1454</v>
      </c>
      <c r="I100" t="s">
        <v>1454</v>
      </c>
      <c r="K100" t="s">
        <v>1454</v>
      </c>
      <c r="L100" t="s">
        <v>1454</v>
      </c>
      <c r="M100" t="s">
        <v>1454</v>
      </c>
      <c r="O100" t="s">
        <v>1454</v>
      </c>
      <c r="P100" t="s">
        <v>1454</v>
      </c>
      <c r="Q100" t="s">
        <v>1454</v>
      </c>
      <c r="S100" t="s">
        <v>1454</v>
      </c>
      <c r="T100" t="s">
        <v>1454</v>
      </c>
      <c r="U100" t="s">
        <v>1454</v>
      </c>
      <c r="W100" t="s">
        <v>1454</v>
      </c>
      <c r="X100" t="s">
        <v>1454</v>
      </c>
      <c r="Y100" t="s">
        <v>1454</v>
      </c>
      <c r="AA100" t="s">
        <v>1454</v>
      </c>
      <c r="AB100" t="s">
        <v>1454</v>
      </c>
      <c r="AC100" t="s">
        <v>1454</v>
      </c>
      <c r="AE100" t="s">
        <v>1454</v>
      </c>
      <c r="AF100" t="s">
        <v>1454</v>
      </c>
      <c r="AG100" t="s">
        <v>1454</v>
      </c>
      <c r="AI100" t="s">
        <v>1454</v>
      </c>
      <c r="AJ100" t="s">
        <v>1454</v>
      </c>
      <c r="AK100" t="s">
        <v>1454</v>
      </c>
      <c r="AM100" t="s">
        <v>1454</v>
      </c>
      <c r="AN100" t="s">
        <v>1454</v>
      </c>
      <c r="AO100" t="s">
        <v>1454</v>
      </c>
      <c r="AQ100" t="s">
        <v>1454</v>
      </c>
      <c r="AR100" t="s">
        <v>1454</v>
      </c>
      <c r="AS100" t="s">
        <v>1454</v>
      </c>
      <c r="AU100" t="s">
        <v>1454</v>
      </c>
      <c r="AV100" t="s">
        <v>1454</v>
      </c>
      <c r="AW100" t="s">
        <v>1454</v>
      </c>
      <c r="AY100" t="s">
        <v>1454</v>
      </c>
      <c r="AZ100" t="s">
        <v>1454</v>
      </c>
      <c r="BA100" t="s">
        <v>1454</v>
      </c>
      <c r="BC100" t="s">
        <v>1454</v>
      </c>
      <c r="BD100" t="s">
        <v>1454</v>
      </c>
      <c r="BE100" t="s">
        <v>1454</v>
      </c>
      <c r="BG100" t="s">
        <v>1454</v>
      </c>
      <c r="BH100" t="s">
        <v>1454</v>
      </c>
      <c r="BI100" t="s">
        <v>1454</v>
      </c>
      <c r="BK100" t="s">
        <v>1454</v>
      </c>
      <c r="BL100" t="s">
        <v>1454</v>
      </c>
      <c r="BM100" t="s">
        <v>1454</v>
      </c>
      <c r="BO100" t="s">
        <v>1454</v>
      </c>
      <c r="BP100" t="s">
        <v>1454</v>
      </c>
      <c r="BQ100" t="s">
        <v>1454</v>
      </c>
      <c r="BS100" t="s">
        <v>1454</v>
      </c>
      <c r="BT100" t="s">
        <v>1454</v>
      </c>
      <c r="BU100" t="s">
        <v>1454</v>
      </c>
      <c r="BW100" t="s">
        <v>1454</v>
      </c>
      <c r="BX100" t="s">
        <v>1454</v>
      </c>
      <c r="BY100" t="s">
        <v>1454</v>
      </c>
      <c r="CA100" t="s">
        <v>1454</v>
      </c>
      <c r="CB100" t="s">
        <v>1454</v>
      </c>
      <c r="CC100" t="s">
        <v>1454</v>
      </c>
      <c r="CE100" t="s">
        <v>1454</v>
      </c>
      <c r="CF100" t="s">
        <v>1454</v>
      </c>
      <c r="CG100" t="s">
        <v>1454</v>
      </c>
      <c r="CI100" t="s">
        <v>1454</v>
      </c>
      <c r="CJ100" t="s">
        <v>1454</v>
      </c>
      <c r="CK100" t="s">
        <v>1454</v>
      </c>
      <c r="CM100" t="s">
        <v>1454</v>
      </c>
      <c r="CN100" t="s">
        <v>1454</v>
      </c>
      <c r="CO100" t="s">
        <v>1454</v>
      </c>
      <c r="CQ100" t="s">
        <v>1454</v>
      </c>
      <c r="CR100" t="s">
        <v>1454</v>
      </c>
      <c r="CS100" t="s">
        <v>1454</v>
      </c>
      <c r="CU100" t="s">
        <v>1454</v>
      </c>
      <c r="CV100" t="s">
        <v>1454</v>
      </c>
      <c r="CW100" t="s">
        <v>1454</v>
      </c>
      <c r="CY100" t="s">
        <v>1454</v>
      </c>
      <c r="CZ100" t="s">
        <v>1454</v>
      </c>
      <c r="DA100" t="s">
        <v>1454</v>
      </c>
      <c r="DC100" t="s">
        <v>1454</v>
      </c>
      <c r="DD100" t="s">
        <v>1454</v>
      </c>
      <c r="DE100" t="s">
        <v>1454</v>
      </c>
      <c r="DG100" t="s">
        <v>1454</v>
      </c>
      <c r="DH100" t="s">
        <v>1454</v>
      </c>
      <c r="DI100" t="s">
        <v>1454</v>
      </c>
      <c r="DK100" t="s">
        <v>1454</v>
      </c>
      <c r="DL100" t="s">
        <v>1454</v>
      </c>
      <c r="DM100" t="s">
        <v>1454</v>
      </c>
      <c r="DO100" t="s">
        <v>1454</v>
      </c>
      <c r="DP100" t="s">
        <v>1454</v>
      </c>
      <c r="DQ100" t="s">
        <v>1454</v>
      </c>
      <c r="DS100" t="s">
        <v>1454</v>
      </c>
      <c r="DT100" t="s">
        <v>1454</v>
      </c>
      <c r="DU100" t="s">
        <v>1454</v>
      </c>
      <c r="DW100" t="s">
        <v>1454</v>
      </c>
      <c r="DX100" t="s">
        <v>1454</v>
      </c>
      <c r="DY100" t="s">
        <v>1454</v>
      </c>
      <c r="EA100" t="s">
        <v>1454</v>
      </c>
      <c r="EB100" t="s">
        <v>1454</v>
      </c>
      <c r="EC100" t="s">
        <v>1454</v>
      </c>
      <c r="EE100" t="s">
        <v>1454</v>
      </c>
      <c r="EF100" t="s">
        <v>1454</v>
      </c>
      <c r="EG100" t="s">
        <v>1454</v>
      </c>
      <c r="EI100" t="s">
        <v>1454</v>
      </c>
      <c r="EJ100" t="s">
        <v>1454</v>
      </c>
      <c r="EK100" t="s">
        <v>1454</v>
      </c>
      <c r="EM100" t="s">
        <v>1454</v>
      </c>
      <c r="EN100" t="s">
        <v>1454</v>
      </c>
      <c r="EO100" t="s">
        <v>1454</v>
      </c>
      <c r="EQ100" t="s">
        <v>1454</v>
      </c>
      <c r="ER100" t="s">
        <v>1454</v>
      </c>
      <c r="ES100" t="s">
        <v>1454</v>
      </c>
      <c r="EU100" t="s">
        <v>639</v>
      </c>
      <c r="EV100" t="s">
        <v>1454</v>
      </c>
      <c r="EW100" t="s">
        <v>1454</v>
      </c>
      <c r="EY100" t="s">
        <v>1454</v>
      </c>
      <c r="EZ100" t="s">
        <v>1454</v>
      </c>
      <c r="FA100" t="s">
        <v>1454</v>
      </c>
      <c r="FC100" t="s">
        <v>1454</v>
      </c>
      <c r="FD100" t="s">
        <v>1454</v>
      </c>
      <c r="FE100" t="s">
        <v>1454</v>
      </c>
      <c r="FG100" t="s">
        <v>1454</v>
      </c>
      <c r="FH100" t="s">
        <v>1454</v>
      </c>
      <c r="FI100" t="s">
        <v>1454</v>
      </c>
      <c r="FK100" t="s">
        <v>1454</v>
      </c>
      <c r="FL100" t="s">
        <v>1454</v>
      </c>
      <c r="FM100" t="s">
        <v>1454</v>
      </c>
      <c r="FO100" t="s">
        <v>1454</v>
      </c>
      <c r="FP100" t="s">
        <v>1454</v>
      </c>
      <c r="FQ100" t="s">
        <v>1454</v>
      </c>
      <c r="FS100" t="s">
        <v>1454</v>
      </c>
      <c r="FT100" t="s">
        <v>1454</v>
      </c>
      <c r="FU100" t="s">
        <v>1454</v>
      </c>
      <c r="FW100" t="s">
        <v>1454</v>
      </c>
      <c r="FX100" t="s">
        <v>1454</v>
      </c>
      <c r="FY100" t="s">
        <v>1454</v>
      </c>
      <c r="GA100" t="s">
        <v>1454</v>
      </c>
      <c r="GB100" t="s">
        <v>1454</v>
      </c>
      <c r="GC100" t="s">
        <v>1454</v>
      </c>
      <c r="GE100" t="s">
        <v>1454</v>
      </c>
      <c r="GF100" t="s">
        <v>1454</v>
      </c>
      <c r="GG100" t="s">
        <v>1454</v>
      </c>
      <c r="GI100" t="s">
        <v>1454</v>
      </c>
      <c r="GJ100" t="s">
        <v>1454</v>
      </c>
      <c r="GK100" t="s">
        <v>1454</v>
      </c>
      <c r="GM100" t="s">
        <v>1454</v>
      </c>
      <c r="GN100" t="s">
        <v>1454</v>
      </c>
      <c r="GO100" t="s">
        <v>1454</v>
      </c>
      <c r="GQ100" t="s">
        <v>1473</v>
      </c>
    </row>
    <row r="101" spans="2:199" x14ac:dyDescent="0.25">
      <c r="B101" t="s">
        <v>364</v>
      </c>
      <c r="C101" t="s">
        <v>1454</v>
      </c>
      <c r="D101" t="s">
        <v>1454</v>
      </c>
      <c r="E101" t="s">
        <v>1454</v>
      </c>
      <c r="G101" t="s">
        <v>1454</v>
      </c>
      <c r="H101" t="s">
        <v>1454</v>
      </c>
      <c r="I101" t="s">
        <v>1454</v>
      </c>
      <c r="K101" t="s">
        <v>1454</v>
      </c>
      <c r="L101" t="s">
        <v>1454</v>
      </c>
      <c r="M101" t="s">
        <v>1454</v>
      </c>
      <c r="O101" t="s">
        <v>1454</v>
      </c>
      <c r="P101" t="s">
        <v>1454</v>
      </c>
      <c r="Q101" t="s">
        <v>1454</v>
      </c>
      <c r="S101" t="s">
        <v>1454</v>
      </c>
      <c r="T101" t="s">
        <v>1454</v>
      </c>
      <c r="U101" t="s">
        <v>1454</v>
      </c>
      <c r="W101" t="s">
        <v>1454</v>
      </c>
      <c r="X101" t="s">
        <v>1454</v>
      </c>
      <c r="Y101" t="s">
        <v>1454</v>
      </c>
      <c r="AA101" t="s">
        <v>1454</v>
      </c>
      <c r="AB101" t="s">
        <v>1454</v>
      </c>
      <c r="AC101" t="s">
        <v>1454</v>
      </c>
      <c r="AE101" t="s">
        <v>1454</v>
      </c>
      <c r="AF101" t="s">
        <v>1454</v>
      </c>
      <c r="AG101" t="s">
        <v>1454</v>
      </c>
      <c r="AI101" t="s">
        <v>1454</v>
      </c>
      <c r="AJ101" t="s">
        <v>1454</v>
      </c>
      <c r="AK101" t="s">
        <v>1454</v>
      </c>
      <c r="AM101" t="s">
        <v>1454</v>
      </c>
      <c r="AN101" t="s">
        <v>1454</v>
      </c>
      <c r="AO101" t="s">
        <v>1454</v>
      </c>
      <c r="AQ101" t="s">
        <v>1454</v>
      </c>
      <c r="AR101" t="s">
        <v>1454</v>
      </c>
      <c r="AS101" t="s">
        <v>1454</v>
      </c>
      <c r="AU101" t="s">
        <v>1454</v>
      </c>
      <c r="AV101" t="s">
        <v>1454</v>
      </c>
      <c r="AW101" t="s">
        <v>1454</v>
      </c>
      <c r="AY101" t="s">
        <v>1454</v>
      </c>
      <c r="AZ101" t="s">
        <v>1454</v>
      </c>
      <c r="BA101" t="s">
        <v>1454</v>
      </c>
      <c r="BC101" t="s">
        <v>1454</v>
      </c>
      <c r="BD101" t="s">
        <v>1454</v>
      </c>
      <c r="BE101" t="s">
        <v>1454</v>
      </c>
      <c r="BG101" t="s">
        <v>1454</v>
      </c>
      <c r="BH101" t="s">
        <v>1454</v>
      </c>
      <c r="BI101" t="s">
        <v>1454</v>
      </c>
      <c r="BK101" t="s">
        <v>1454</v>
      </c>
      <c r="BL101" t="s">
        <v>1454</v>
      </c>
      <c r="BM101" t="s">
        <v>1454</v>
      </c>
      <c r="BO101" t="s">
        <v>1454</v>
      </c>
      <c r="BP101" t="s">
        <v>1454</v>
      </c>
      <c r="BQ101" t="s">
        <v>1454</v>
      </c>
      <c r="BS101" t="s">
        <v>1454</v>
      </c>
      <c r="BT101" t="s">
        <v>1454</v>
      </c>
      <c r="BU101" t="s">
        <v>1454</v>
      </c>
      <c r="BW101" t="s">
        <v>1454</v>
      </c>
      <c r="BX101" t="s">
        <v>1454</v>
      </c>
      <c r="BY101" t="s">
        <v>1454</v>
      </c>
      <c r="CA101" t="s">
        <v>1454</v>
      </c>
      <c r="CB101" t="s">
        <v>1454</v>
      </c>
      <c r="CC101" t="s">
        <v>1454</v>
      </c>
      <c r="CE101" t="s">
        <v>1454</v>
      </c>
      <c r="CF101" t="s">
        <v>1454</v>
      </c>
      <c r="CG101" t="s">
        <v>1454</v>
      </c>
      <c r="CI101" t="s">
        <v>1454</v>
      </c>
      <c r="CJ101" t="s">
        <v>1454</v>
      </c>
      <c r="CK101" t="s">
        <v>1454</v>
      </c>
      <c r="CM101" t="s">
        <v>1454</v>
      </c>
      <c r="CN101" t="s">
        <v>1454</v>
      </c>
      <c r="CO101" t="s">
        <v>1454</v>
      </c>
      <c r="CQ101" t="s">
        <v>1454</v>
      </c>
      <c r="CR101" t="s">
        <v>1454</v>
      </c>
      <c r="CS101" t="s">
        <v>1454</v>
      </c>
      <c r="CU101" t="s">
        <v>1454</v>
      </c>
      <c r="CV101" t="s">
        <v>1454</v>
      </c>
      <c r="CW101" t="s">
        <v>1454</v>
      </c>
      <c r="CY101" t="s">
        <v>1454</v>
      </c>
      <c r="CZ101" t="s">
        <v>1454</v>
      </c>
      <c r="DA101" t="s">
        <v>1454</v>
      </c>
      <c r="DC101" t="s">
        <v>1454</v>
      </c>
      <c r="DD101" t="s">
        <v>1454</v>
      </c>
      <c r="DE101" t="s">
        <v>1454</v>
      </c>
      <c r="DG101" t="s">
        <v>1454</v>
      </c>
      <c r="DH101" t="s">
        <v>1454</v>
      </c>
      <c r="DI101" t="s">
        <v>1454</v>
      </c>
      <c r="DK101" t="s">
        <v>1454</v>
      </c>
      <c r="DL101" t="s">
        <v>1454</v>
      </c>
      <c r="DM101" t="s">
        <v>1454</v>
      </c>
      <c r="DO101" t="s">
        <v>1454</v>
      </c>
      <c r="DP101" t="s">
        <v>1454</v>
      </c>
      <c r="DQ101" t="s">
        <v>1454</v>
      </c>
      <c r="DS101" t="s">
        <v>1454</v>
      </c>
      <c r="DT101" t="s">
        <v>1454</v>
      </c>
      <c r="DU101" t="s">
        <v>1454</v>
      </c>
      <c r="DW101" t="s">
        <v>1454</v>
      </c>
      <c r="DX101" t="s">
        <v>1454</v>
      </c>
      <c r="DY101" t="s">
        <v>1454</v>
      </c>
      <c r="EA101" t="s">
        <v>1454</v>
      </c>
      <c r="EB101" t="s">
        <v>1454</v>
      </c>
      <c r="EC101" t="s">
        <v>1454</v>
      </c>
      <c r="EE101" t="s">
        <v>1454</v>
      </c>
      <c r="EF101" t="s">
        <v>1454</v>
      </c>
      <c r="EG101" t="s">
        <v>1454</v>
      </c>
      <c r="EI101" t="s">
        <v>1454</v>
      </c>
      <c r="EJ101" t="s">
        <v>1454</v>
      </c>
      <c r="EK101" t="s">
        <v>1454</v>
      </c>
      <c r="EM101" t="s">
        <v>1454</v>
      </c>
      <c r="EN101" t="s">
        <v>1454</v>
      </c>
      <c r="EO101" t="s">
        <v>1454</v>
      </c>
      <c r="EQ101" t="s">
        <v>1454</v>
      </c>
      <c r="ER101" t="s">
        <v>1454</v>
      </c>
      <c r="ES101" t="s">
        <v>1454</v>
      </c>
      <c r="EU101" t="s">
        <v>1454</v>
      </c>
      <c r="EV101" t="s">
        <v>1454</v>
      </c>
      <c r="EW101" t="s">
        <v>1454</v>
      </c>
      <c r="EY101" t="s">
        <v>1454</v>
      </c>
      <c r="EZ101" t="s">
        <v>1454</v>
      </c>
      <c r="FA101" t="s">
        <v>1454</v>
      </c>
      <c r="FC101" t="s">
        <v>1454</v>
      </c>
      <c r="FD101" t="s">
        <v>1454</v>
      </c>
      <c r="FE101" t="s">
        <v>1454</v>
      </c>
      <c r="FG101" t="s">
        <v>1454</v>
      </c>
      <c r="FH101" t="s">
        <v>1454</v>
      </c>
      <c r="FI101" t="s">
        <v>1454</v>
      </c>
      <c r="FK101" t="s">
        <v>1454</v>
      </c>
      <c r="FL101" t="s">
        <v>1454</v>
      </c>
      <c r="FM101" t="s">
        <v>1454</v>
      </c>
      <c r="FO101" t="s">
        <v>1454</v>
      </c>
      <c r="FP101" t="s">
        <v>1454</v>
      </c>
      <c r="FQ101" t="s">
        <v>1454</v>
      </c>
      <c r="FS101" t="s">
        <v>1454</v>
      </c>
      <c r="FT101" t="s">
        <v>1454</v>
      </c>
      <c r="FU101" t="s">
        <v>1454</v>
      </c>
      <c r="FW101" t="s">
        <v>1454</v>
      </c>
      <c r="FX101" t="s">
        <v>1454</v>
      </c>
      <c r="FY101" t="s">
        <v>1454</v>
      </c>
      <c r="GA101" t="s">
        <v>1454</v>
      </c>
      <c r="GB101" t="s">
        <v>1454</v>
      </c>
      <c r="GC101" t="s">
        <v>1454</v>
      </c>
      <c r="GE101" t="s">
        <v>647</v>
      </c>
      <c r="GF101" t="s">
        <v>1454</v>
      </c>
      <c r="GG101" t="s">
        <v>1454</v>
      </c>
      <c r="GI101" t="s">
        <v>1454</v>
      </c>
      <c r="GJ101" t="s">
        <v>1454</v>
      </c>
      <c r="GK101" t="s">
        <v>1454</v>
      </c>
      <c r="GM101" t="s">
        <v>1454</v>
      </c>
      <c r="GN101" t="s">
        <v>1454</v>
      </c>
      <c r="GO101" t="s">
        <v>1454</v>
      </c>
      <c r="GQ101" t="s">
        <v>1464</v>
      </c>
    </row>
    <row r="102" spans="2:199" x14ac:dyDescent="0.25">
      <c r="B102" t="s">
        <v>591</v>
      </c>
      <c r="C102" t="s">
        <v>1454</v>
      </c>
      <c r="D102" t="s">
        <v>1454</v>
      </c>
      <c r="E102" t="s">
        <v>1454</v>
      </c>
      <c r="G102" t="s">
        <v>1454</v>
      </c>
      <c r="H102" t="s">
        <v>1454</v>
      </c>
      <c r="I102" t="s">
        <v>1454</v>
      </c>
      <c r="K102" t="s">
        <v>1454</v>
      </c>
      <c r="L102" t="s">
        <v>1454</v>
      </c>
      <c r="M102" t="s">
        <v>1454</v>
      </c>
      <c r="O102" t="s">
        <v>1454</v>
      </c>
      <c r="P102" t="s">
        <v>1454</v>
      </c>
      <c r="Q102" t="s">
        <v>1454</v>
      </c>
      <c r="S102" t="s">
        <v>1454</v>
      </c>
      <c r="T102" t="s">
        <v>1454</v>
      </c>
      <c r="U102" t="s">
        <v>1454</v>
      </c>
      <c r="W102" t="s">
        <v>1454</v>
      </c>
      <c r="X102" t="s">
        <v>1454</v>
      </c>
      <c r="Y102" t="s">
        <v>1454</v>
      </c>
      <c r="AA102" t="s">
        <v>1454</v>
      </c>
      <c r="AB102" t="s">
        <v>1454</v>
      </c>
      <c r="AC102" t="s">
        <v>1454</v>
      </c>
      <c r="AE102" t="s">
        <v>1454</v>
      </c>
      <c r="AF102" t="s">
        <v>1454</v>
      </c>
      <c r="AG102" t="s">
        <v>1454</v>
      </c>
      <c r="AI102" t="s">
        <v>1454</v>
      </c>
      <c r="AJ102" t="s">
        <v>1454</v>
      </c>
      <c r="AK102" t="s">
        <v>1454</v>
      </c>
      <c r="AM102" t="s">
        <v>1454</v>
      </c>
      <c r="AN102" t="s">
        <v>1454</v>
      </c>
      <c r="AO102" t="s">
        <v>1454</v>
      </c>
      <c r="AQ102" t="s">
        <v>1454</v>
      </c>
      <c r="AR102" t="s">
        <v>1454</v>
      </c>
      <c r="AS102" t="s">
        <v>1454</v>
      </c>
      <c r="AU102" t="s">
        <v>1454</v>
      </c>
      <c r="AV102" t="s">
        <v>1454</v>
      </c>
      <c r="AW102" t="s">
        <v>1454</v>
      </c>
      <c r="AY102" t="s">
        <v>1454</v>
      </c>
      <c r="AZ102" t="s">
        <v>1454</v>
      </c>
      <c r="BA102" t="s">
        <v>1454</v>
      </c>
      <c r="BC102" t="s">
        <v>1454</v>
      </c>
      <c r="BD102" t="s">
        <v>1454</v>
      </c>
      <c r="BE102" t="s">
        <v>1454</v>
      </c>
      <c r="BG102" t="s">
        <v>1454</v>
      </c>
      <c r="BH102" t="s">
        <v>1454</v>
      </c>
      <c r="BI102" t="s">
        <v>1454</v>
      </c>
      <c r="BK102" t="s">
        <v>1454</v>
      </c>
      <c r="BL102" t="s">
        <v>1454</v>
      </c>
      <c r="BM102" t="s">
        <v>1454</v>
      </c>
      <c r="BO102" t="s">
        <v>1454</v>
      </c>
      <c r="BP102" t="s">
        <v>1454</v>
      </c>
      <c r="BQ102" t="s">
        <v>1454</v>
      </c>
      <c r="BS102" t="s">
        <v>1454</v>
      </c>
      <c r="BT102" t="s">
        <v>1454</v>
      </c>
      <c r="BU102" t="s">
        <v>1454</v>
      </c>
      <c r="BW102" t="s">
        <v>1454</v>
      </c>
      <c r="BX102" t="s">
        <v>1454</v>
      </c>
      <c r="BY102" t="s">
        <v>1454</v>
      </c>
      <c r="CA102" t="s">
        <v>1454</v>
      </c>
      <c r="CB102" t="s">
        <v>1454</v>
      </c>
      <c r="CC102" t="s">
        <v>1454</v>
      </c>
      <c r="CE102" t="s">
        <v>1454</v>
      </c>
      <c r="CF102" t="s">
        <v>1454</v>
      </c>
      <c r="CG102" t="s">
        <v>1454</v>
      </c>
      <c r="CI102" t="s">
        <v>1454</v>
      </c>
      <c r="CJ102" t="s">
        <v>1454</v>
      </c>
      <c r="CK102" t="s">
        <v>1454</v>
      </c>
      <c r="CM102" t="s">
        <v>1454</v>
      </c>
      <c r="CN102" t="s">
        <v>1454</v>
      </c>
      <c r="CO102" t="s">
        <v>1454</v>
      </c>
      <c r="CQ102" t="s">
        <v>1454</v>
      </c>
      <c r="CR102" t="s">
        <v>1454</v>
      </c>
      <c r="CS102" t="s">
        <v>1454</v>
      </c>
      <c r="CU102" t="s">
        <v>1454</v>
      </c>
      <c r="CV102" t="s">
        <v>1454</v>
      </c>
      <c r="CW102" t="s">
        <v>1454</v>
      </c>
      <c r="CY102" t="s">
        <v>1454</v>
      </c>
      <c r="CZ102" t="s">
        <v>1454</v>
      </c>
      <c r="DA102" t="s">
        <v>1454</v>
      </c>
      <c r="DC102" t="s">
        <v>1454</v>
      </c>
      <c r="DD102" t="s">
        <v>1454</v>
      </c>
      <c r="DE102" t="s">
        <v>1454</v>
      </c>
      <c r="DG102" t="s">
        <v>1454</v>
      </c>
      <c r="DH102" t="s">
        <v>1454</v>
      </c>
      <c r="DI102" t="s">
        <v>1454</v>
      </c>
      <c r="DK102" t="s">
        <v>1454</v>
      </c>
      <c r="DL102" t="s">
        <v>1454</v>
      </c>
      <c r="DM102" t="s">
        <v>1454</v>
      </c>
      <c r="DO102" t="s">
        <v>1454</v>
      </c>
      <c r="DP102" t="s">
        <v>1454</v>
      </c>
      <c r="DQ102" t="s">
        <v>1454</v>
      </c>
      <c r="DS102" t="s">
        <v>632</v>
      </c>
      <c r="DT102" t="s">
        <v>1454</v>
      </c>
      <c r="DU102" t="s">
        <v>1454</v>
      </c>
      <c r="DW102" t="s">
        <v>1454</v>
      </c>
      <c r="DX102" t="s">
        <v>1454</v>
      </c>
      <c r="DY102" t="s">
        <v>1454</v>
      </c>
      <c r="EA102" t="s">
        <v>1454</v>
      </c>
      <c r="EB102" t="s">
        <v>1454</v>
      </c>
      <c r="EC102" t="s">
        <v>1454</v>
      </c>
      <c r="EE102" t="s">
        <v>1454</v>
      </c>
      <c r="EF102" t="s">
        <v>1454</v>
      </c>
      <c r="EG102" t="s">
        <v>1454</v>
      </c>
      <c r="EI102" t="s">
        <v>1454</v>
      </c>
      <c r="EJ102" t="s">
        <v>1454</v>
      </c>
      <c r="EK102" t="s">
        <v>1454</v>
      </c>
      <c r="EM102" t="s">
        <v>1454</v>
      </c>
      <c r="EN102" t="s">
        <v>1454</v>
      </c>
      <c r="EO102" t="s">
        <v>1454</v>
      </c>
      <c r="EQ102" t="s">
        <v>1454</v>
      </c>
      <c r="ER102" t="s">
        <v>1454</v>
      </c>
      <c r="ES102" t="s">
        <v>1454</v>
      </c>
      <c r="EU102" t="s">
        <v>1454</v>
      </c>
      <c r="EV102" t="s">
        <v>1454</v>
      </c>
      <c r="EW102" t="s">
        <v>1454</v>
      </c>
      <c r="EY102" t="s">
        <v>1454</v>
      </c>
      <c r="EZ102" t="s">
        <v>1454</v>
      </c>
      <c r="FA102" t="s">
        <v>1454</v>
      </c>
      <c r="FC102" t="s">
        <v>1454</v>
      </c>
      <c r="FD102" t="s">
        <v>1454</v>
      </c>
      <c r="FE102" t="s">
        <v>1454</v>
      </c>
      <c r="FG102" t="s">
        <v>1454</v>
      </c>
      <c r="FH102" t="s">
        <v>1454</v>
      </c>
      <c r="FI102" t="s">
        <v>1454</v>
      </c>
      <c r="FK102" t="s">
        <v>1454</v>
      </c>
      <c r="FL102" t="s">
        <v>1454</v>
      </c>
      <c r="FM102" t="s">
        <v>1454</v>
      </c>
      <c r="FO102" t="s">
        <v>1454</v>
      </c>
      <c r="FP102" t="s">
        <v>1454</v>
      </c>
      <c r="FQ102" t="s">
        <v>1454</v>
      </c>
      <c r="FS102" t="s">
        <v>1454</v>
      </c>
      <c r="FT102" t="s">
        <v>1454</v>
      </c>
      <c r="FU102" t="s">
        <v>1454</v>
      </c>
      <c r="FW102" t="s">
        <v>1454</v>
      </c>
      <c r="FX102" t="s">
        <v>1454</v>
      </c>
      <c r="FY102" t="s">
        <v>1454</v>
      </c>
      <c r="GA102" t="s">
        <v>1454</v>
      </c>
      <c r="GB102" t="s">
        <v>1454</v>
      </c>
      <c r="GC102" t="s">
        <v>1454</v>
      </c>
      <c r="GE102" t="s">
        <v>1454</v>
      </c>
      <c r="GF102" t="s">
        <v>1454</v>
      </c>
      <c r="GG102" t="s">
        <v>1454</v>
      </c>
      <c r="GI102" t="s">
        <v>1454</v>
      </c>
      <c r="GJ102" t="s">
        <v>1454</v>
      </c>
      <c r="GK102" t="s">
        <v>1454</v>
      </c>
      <c r="GM102" t="s">
        <v>1454</v>
      </c>
      <c r="GN102" t="s">
        <v>1454</v>
      </c>
      <c r="GO102" t="s">
        <v>1454</v>
      </c>
      <c r="GQ102" t="s">
        <v>1482</v>
      </c>
    </row>
    <row r="103" spans="2:199" s="11" customFormat="1" x14ac:dyDescent="0.25">
      <c r="B103" t="s">
        <v>366</v>
      </c>
      <c r="C103" t="s">
        <v>1454</v>
      </c>
      <c r="D103" t="s">
        <v>1454</v>
      </c>
      <c r="E103" t="s">
        <v>1454</v>
      </c>
      <c r="F103"/>
      <c r="G103" t="s">
        <v>1454</v>
      </c>
      <c r="H103" t="s">
        <v>1454</v>
      </c>
      <c r="I103" t="s">
        <v>1454</v>
      </c>
      <c r="J103"/>
      <c r="K103" t="s">
        <v>1454</v>
      </c>
      <c r="L103" t="s">
        <v>1454</v>
      </c>
      <c r="M103" t="s">
        <v>1454</v>
      </c>
      <c r="N103"/>
      <c r="O103" t="s">
        <v>1454</v>
      </c>
      <c r="P103" t="s">
        <v>1454</v>
      </c>
      <c r="Q103" t="s">
        <v>1454</v>
      </c>
      <c r="R103"/>
      <c r="S103" t="s">
        <v>1454</v>
      </c>
      <c r="T103" t="s">
        <v>1454</v>
      </c>
      <c r="U103" t="s">
        <v>1454</v>
      </c>
      <c r="V103"/>
      <c r="W103" t="s">
        <v>1454</v>
      </c>
      <c r="X103" t="s">
        <v>1454</v>
      </c>
      <c r="Y103" t="s">
        <v>1454</v>
      </c>
      <c r="Z103"/>
      <c r="AA103" t="s">
        <v>1454</v>
      </c>
      <c r="AB103" t="s">
        <v>1454</v>
      </c>
      <c r="AC103" t="s">
        <v>1454</v>
      </c>
      <c r="AD103"/>
      <c r="AE103" t="s">
        <v>1454</v>
      </c>
      <c r="AF103" t="s">
        <v>1454</v>
      </c>
      <c r="AG103" t="s">
        <v>1454</v>
      </c>
      <c r="AH103"/>
      <c r="AI103" t="s">
        <v>1454</v>
      </c>
      <c r="AJ103" t="s">
        <v>1454</v>
      </c>
      <c r="AK103" t="s">
        <v>1454</v>
      </c>
      <c r="AL103"/>
      <c r="AM103" t="s">
        <v>1454</v>
      </c>
      <c r="AN103" t="s">
        <v>1454</v>
      </c>
      <c r="AO103" t="s">
        <v>1454</v>
      </c>
      <c r="AP103"/>
      <c r="AQ103" t="s">
        <v>1454</v>
      </c>
      <c r="AR103" t="s">
        <v>1454</v>
      </c>
      <c r="AS103" t="s">
        <v>1454</v>
      </c>
      <c r="AT103"/>
      <c r="AU103" t="s">
        <v>1454</v>
      </c>
      <c r="AV103" t="s">
        <v>1454</v>
      </c>
      <c r="AW103" t="s">
        <v>1454</v>
      </c>
      <c r="AX103"/>
      <c r="AY103" t="s">
        <v>1454</v>
      </c>
      <c r="AZ103" t="s">
        <v>1454</v>
      </c>
      <c r="BA103" t="s">
        <v>1454</v>
      </c>
      <c r="BB103"/>
      <c r="BC103" t="s">
        <v>1454</v>
      </c>
      <c r="BD103" t="s">
        <v>1454</v>
      </c>
      <c r="BE103" t="s">
        <v>1454</v>
      </c>
      <c r="BF103"/>
      <c r="BG103" t="s">
        <v>1454</v>
      </c>
      <c r="BH103" t="s">
        <v>1454</v>
      </c>
      <c r="BI103" t="s">
        <v>1454</v>
      </c>
      <c r="BJ103"/>
      <c r="BK103" t="s">
        <v>1454</v>
      </c>
      <c r="BL103" t="s">
        <v>1454</v>
      </c>
      <c r="BM103" t="s">
        <v>1454</v>
      </c>
      <c r="BN103"/>
      <c r="BO103" t="s">
        <v>1454</v>
      </c>
      <c r="BP103" t="s">
        <v>1454</v>
      </c>
      <c r="BQ103" t="s">
        <v>1454</v>
      </c>
      <c r="BR103"/>
      <c r="BS103" t="s">
        <v>1454</v>
      </c>
      <c r="BT103" t="s">
        <v>1454</v>
      </c>
      <c r="BU103" t="s">
        <v>1454</v>
      </c>
      <c r="BV103"/>
      <c r="BW103" t="s">
        <v>620</v>
      </c>
      <c r="BX103" t="s">
        <v>1454</v>
      </c>
      <c r="BY103" t="s">
        <v>1454</v>
      </c>
      <c r="BZ103"/>
      <c r="CA103" t="s">
        <v>1454</v>
      </c>
      <c r="CB103" t="s">
        <v>1454</v>
      </c>
      <c r="CC103" t="s">
        <v>1454</v>
      </c>
      <c r="CD103"/>
      <c r="CE103" t="s">
        <v>1454</v>
      </c>
      <c r="CF103" t="s">
        <v>1454</v>
      </c>
      <c r="CG103" t="s">
        <v>1454</v>
      </c>
      <c r="CH103"/>
      <c r="CI103" t="s">
        <v>1454</v>
      </c>
      <c r="CJ103" t="s">
        <v>1454</v>
      </c>
      <c r="CK103" t="s">
        <v>1454</v>
      </c>
      <c r="CL103"/>
      <c r="CM103" t="s">
        <v>1454</v>
      </c>
      <c r="CN103" t="s">
        <v>1454</v>
      </c>
      <c r="CO103" t="s">
        <v>1454</v>
      </c>
      <c r="CP103"/>
      <c r="CQ103" t="s">
        <v>1454</v>
      </c>
      <c r="CR103" t="s">
        <v>1454</v>
      </c>
      <c r="CS103" t="s">
        <v>1454</v>
      </c>
      <c r="CT103"/>
      <c r="CU103" t="s">
        <v>1454</v>
      </c>
      <c r="CV103" t="s">
        <v>1454</v>
      </c>
      <c r="CW103" t="s">
        <v>1454</v>
      </c>
      <c r="CX103"/>
      <c r="CY103" t="s">
        <v>1454</v>
      </c>
      <c r="CZ103" t="s">
        <v>1454</v>
      </c>
      <c r="DA103" t="s">
        <v>1454</v>
      </c>
      <c r="DB103"/>
      <c r="DC103" t="s">
        <v>1454</v>
      </c>
      <c r="DD103" t="s">
        <v>1454</v>
      </c>
      <c r="DE103" t="s">
        <v>1454</v>
      </c>
      <c r="DF103"/>
      <c r="DG103" t="s">
        <v>1454</v>
      </c>
      <c r="DH103" t="s">
        <v>1454</v>
      </c>
      <c r="DI103" t="s">
        <v>1454</v>
      </c>
      <c r="DJ103"/>
      <c r="DK103" t="s">
        <v>1454</v>
      </c>
      <c r="DL103" t="s">
        <v>1454</v>
      </c>
      <c r="DM103" t="s">
        <v>1454</v>
      </c>
      <c r="DN103"/>
      <c r="DO103" t="s">
        <v>1454</v>
      </c>
      <c r="DP103" t="s">
        <v>1454</v>
      </c>
      <c r="DQ103" t="s">
        <v>1454</v>
      </c>
      <c r="DR103"/>
      <c r="DS103" t="s">
        <v>1454</v>
      </c>
      <c r="DT103" t="s">
        <v>1454</v>
      </c>
      <c r="DU103" t="s">
        <v>1454</v>
      </c>
      <c r="DV103"/>
      <c r="DW103" t="s">
        <v>1454</v>
      </c>
      <c r="DX103" t="s">
        <v>1454</v>
      </c>
      <c r="DY103" t="s">
        <v>1454</v>
      </c>
      <c r="DZ103"/>
      <c r="EA103" t="s">
        <v>634</v>
      </c>
      <c r="EB103" t="s">
        <v>1454</v>
      </c>
      <c r="EC103" t="s">
        <v>1454</v>
      </c>
      <c r="ED103"/>
      <c r="EE103" t="s">
        <v>1454</v>
      </c>
      <c r="EF103" t="s">
        <v>1454</v>
      </c>
      <c r="EG103" t="s">
        <v>1454</v>
      </c>
      <c r="EH103"/>
      <c r="EI103" t="s">
        <v>1454</v>
      </c>
      <c r="EJ103" t="s">
        <v>1454</v>
      </c>
      <c r="EK103" t="s">
        <v>1454</v>
      </c>
      <c r="EL103"/>
      <c r="EM103" t="s">
        <v>1454</v>
      </c>
      <c r="EN103" t="s">
        <v>1454</v>
      </c>
      <c r="EO103" t="s">
        <v>1454</v>
      </c>
      <c r="EP103"/>
      <c r="EQ103" t="s">
        <v>1454</v>
      </c>
      <c r="ER103" t="s">
        <v>1454</v>
      </c>
      <c r="ES103" t="s">
        <v>1454</v>
      </c>
      <c r="ET103"/>
      <c r="EU103" t="s">
        <v>1454</v>
      </c>
      <c r="EV103" t="s">
        <v>1454</v>
      </c>
      <c r="EW103" t="s">
        <v>1454</v>
      </c>
      <c r="EX103"/>
      <c r="EY103" t="s">
        <v>1454</v>
      </c>
      <c r="EZ103" t="s">
        <v>1454</v>
      </c>
      <c r="FA103" t="s">
        <v>1454</v>
      </c>
      <c r="FB103"/>
      <c r="FC103" t="s">
        <v>1454</v>
      </c>
      <c r="FD103" t="s">
        <v>1454</v>
      </c>
      <c r="FE103" t="s">
        <v>1454</v>
      </c>
      <c r="FF103"/>
      <c r="FG103" t="s">
        <v>1454</v>
      </c>
      <c r="FH103" t="s">
        <v>1454</v>
      </c>
      <c r="FI103" t="s">
        <v>1454</v>
      </c>
      <c r="FJ103"/>
      <c r="FK103" t="s">
        <v>1454</v>
      </c>
      <c r="FL103" t="s">
        <v>1454</v>
      </c>
      <c r="FM103" t="s">
        <v>1454</v>
      </c>
      <c r="FN103"/>
      <c r="FO103" t="s">
        <v>1454</v>
      </c>
      <c r="FP103" t="s">
        <v>1454</v>
      </c>
      <c r="FQ103" t="s">
        <v>1454</v>
      </c>
      <c r="FR103"/>
      <c r="FS103" t="s">
        <v>1454</v>
      </c>
      <c r="FT103" t="s">
        <v>1454</v>
      </c>
      <c r="FU103" t="s">
        <v>1454</v>
      </c>
      <c r="FV103"/>
      <c r="FW103" t="s">
        <v>1454</v>
      </c>
      <c r="FX103" t="s">
        <v>1454</v>
      </c>
      <c r="FY103" t="s">
        <v>1454</v>
      </c>
      <c r="FZ103"/>
      <c r="GA103" t="s">
        <v>1454</v>
      </c>
      <c r="GB103" t="s">
        <v>1454</v>
      </c>
      <c r="GC103" t="s">
        <v>1454</v>
      </c>
      <c r="GD103"/>
      <c r="GE103" t="s">
        <v>1454</v>
      </c>
      <c r="GF103" t="s">
        <v>1454</v>
      </c>
      <c r="GG103" t="s">
        <v>1454</v>
      </c>
      <c r="GH103"/>
      <c r="GI103" t="s">
        <v>1454</v>
      </c>
      <c r="GJ103" t="s">
        <v>1454</v>
      </c>
      <c r="GK103" t="s">
        <v>1454</v>
      </c>
      <c r="GL103"/>
      <c r="GM103" t="s">
        <v>1454</v>
      </c>
      <c r="GN103" t="s">
        <v>1454</v>
      </c>
      <c r="GO103" t="s">
        <v>1454</v>
      </c>
      <c r="GP103"/>
      <c r="GQ103" t="s">
        <v>1598</v>
      </c>
    </row>
    <row r="104" spans="2:199" x14ac:dyDescent="0.25">
      <c r="B104" t="s">
        <v>367</v>
      </c>
      <c r="C104" t="s">
        <v>1454</v>
      </c>
      <c r="D104" t="s">
        <v>1454</v>
      </c>
      <c r="E104" t="s">
        <v>1454</v>
      </c>
      <c r="G104" t="s">
        <v>1454</v>
      </c>
      <c r="H104" t="s">
        <v>1454</v>
      </c>
      <c r="I104" t="s">
        <v>1454</v>
      </c>
      <c r="K104" t="s">
        <v>1454</v>
      </c>
      <c r="L104" t="s">
        <v>1454</v>
      </c>
      <c r="M104" t="s">
        <v>1454</v>
      </c>
      <c r="O104" t="s">
        <v>1454</v>
      </c>
      <c r="P104" t="s">
        <v>1454</v>
      </c>
      <c r="Q104" t="s">
        <v>1454</v>
      </c>
      <c r="S104" t="s">
        <v>1454</v>
      </c>
      <c r="T104" t="s">
        <v>1454</v>
      </c>
      <c r="U104" t="s">
        <v>1454</v>
      </c>
      <c r="W104" t="s">
        <v>1454</v>
      </c>
      <c r="X104" t="s">
        <v>1454</v>
      </c>
      <c r="Y104" t="s">
        <v>1454</v>
      </c>
      <c r="AA104" t="s">
        <v>1454</v>
      </c>
      <c r="AB104" t="s">
        <v>1454</v>
      </c>
      <c r="AC104" t="s">
        <v>1454</v>
      </c>
      <c r="AE104" t="s">
        <v>1454</v>
      </c>
      <c r="AF104" t="s">
        <v>1454</v>
      </c>
      <c r="AG104" t="s">
        <v>1454</v>
      </c>
      <c r="AI104" t="s">
        <v>1454</v>
      </c>
      <c r="AJ104" t="s">
        <v>1454</v>
      </c>
      <c r="AK104" t="s">
        <v>1454</v>
      </c>
      <c r="AM104" t="s">
        <v>1454</v>
      </c>
      <c r="AN104" t="s">
        <v>1454</v>
      </c>
      <c r="AO104" t="s">
        <v>1454</v>
      </c>
      <c r="AQ104" t="s">
        <v>1454</v>
      </c>
      <c r="AR104" t="s">
        <v>1454</v>
      </c>
      <c r="AS104" t="s">
        <v>1454</v>
      </c>
      <c r="AU104" t="s">
        <v>1454</v>
      </c>
      <c r="AV104" t="s">
        <v>1454</v>
      </c>
      <c r="AW104" t="s">
        <v>1454</v>
      </c>
      <c r="AY104" t="s">
        <v>1454</v>
      </c>
      <c r="AZ104" t="s">
        <v>1454</v>
      </c>
      <c r="BA104" t="s">
        <v>1454</v>
      </c>
      <c r="BC104" t="s">
        <v>1454</v>
      </c>
      <c r="BD104" t="s">
        <v>1454</v>
      </c>
      <c r="BE104" t="s">
        <v>1454</v>
      </c>
      <c r="BG104" t="s">
        <v>1454</v>
      </c>
      <c r="BH104" t="s">
        <v>1454</v>
      </c>
      <c r="BI104" t="s">
        <v>1454</v>
      </c>
      <c r="BK104" t="s">
        <v>1454</v>
      </c>
      <c r="BL104" t="s">
        <v>1454</v>
      </c>
      <c r="BM104" t="s">
        <v>1454</v>
      </c>
      <c r="BO104" t="s">
        <v>1454</v>
      </c>
      <c r="BP104" t="s">
        <v>1454</v>
      </c>
      <c r="BQ104" t="s">
        <v>1454</v>
      </c>
      <c r="BS104" t="s">
        <v>1454</v>
      </c>
      <c r="BT104" t="s">
        <v>1454</v>
      </c>
      <c r="BU104" t="s">
        <v>1454</v>
      </c>
      <c r="BW104" t="s">
        <v>620</v>
      </c>
      <c r="BX104" t="s">
        <v>1454</v>
      </c>
      <c r="BY104" t="s">
        <v>1454</v>
      </c>
      <c r="CA104" t="s">
        <v>1454</v>
      </c>
      <c r="CB104" t="s">
        <v>1454</v>
      </c>
      <c r="CC104" t="s">
        <v>1454</v>
      </c>
      <c r="CE104" t="s">
        <v>1454</v>
      </c>
      <c r="CF104" t="s">
        <v>1454</v>
      </c>
      <c r="CG104" t="s">
        <v>1454</v>
      </c>
      <c r="CI104" t="s">
        <v>1454</v>
      </c>
      <c r="CJ104" t="s">
        <v>1454</v>
      </c>
      <c r="CK104" t="s">
        <v>1454</v>
      </c>
      <c r="CM104" t="s">
        <v>1454</v>
      </c>
      <c r="CN104" t="s">
        <v>1454</v>
      </c>
      <c r="CO104" t="s">
        <v>1454</v>
      </c>
      <c r="CQ104" t="s">
        <v>1454</v>
      </c>
      <c r="CR104" t="s">
        <v>1454</v>
      </c>
      <c r="CS104" t="s">
        <v>1454</v>
      </c>
      <c r="CU104" t="s">
        <v>1454</v>
      </c>
      <c r="CV104" t="s">
        <v>1454</v>
      </c>
      <c r="CW104" t="s">
        <v>1454</v>
      </c>
      <c r="CY104" t="s">
        <v>1454</v>
      </c>
      <c r="CZ104" t="s">
        <v>1454</v>
      </c>
      <c r="DA104" t="s">
        <v>1454</v>
      </c>
      <c r="DC104" t="s">
        <v>1454</v>
      </c>
      <c r="DD104" t="s">
        <v>1454</v>
      </c>
      <c r="DE104" t="s">
        <v>1454</v>
      </c>
      <c r="DG104" t="s">
        <v>1454</v>
      </c>
      <c r="DH104" t="s">
        <v>1454</v>
      </c>
      <c r="DI104" t="s">
        <v>1454</v>
      </c>
      <c r="DK104" t="s">
        <v>1454</v>
      </c>
      <c r="DL104" t="s">
        <v>1454</v>
      </c>
      <c r="DM104" t="s">
        <v>1454</v>
      </c>
      <c r="DO104" t="s">
        <v>1454</v>
      </c>
      <c r="DP104" t="s">
        <v>1454</v>
      </c>
      <c r="DQ104" t="s">
        <v>1454</v>
      </c>
      <c r="DS104" t="s">
        <v>1454</v>
      </c>
      <c r="DT104" t="s">
        <v>1454</v>
      </c>
      <c r="DU104" t="s">
        <v>1454</v>
      </c>
      <c r="DW104" t="s">
        <v>1454</v>
      </c>
      <c r="DX104" t="s">
        <v>1454</v>
      </c>
      <c r="DY104" t="s">
        <v>1454</v>
      </c>
      <c r="EA104" t="s">
        <v>1454</v>
      </c>
      <c r="EB104" t="s">
        <v>1454</v>
      </c>
      <c r="EC104" t="s">
        <v>1454</v>
      </c>
      <c r="EE104" t="s">
        <v>1454</v>
      </c>
      <c r="EF104" t="s">
        <v>1454</v>
      </c>
      <c r="EG104" t="s">
        <v>1454</v>
      </c>
      <c r="EI104" t="s">
        <v>1454</v>
      </c>
      <c r="EJ104" t="s">
        <v>1454</v>
      </c>
      <c r="EK104" t="s">
        <v>1454</v>
      </c>
      <c r="EM104" t="s">
        <v>1454</v>
      </c>
      <c r="EN104" t="s">
        <v>1454</v>
      </c>
      <c r="EO104" t="s">
        <v>1454</v>
      </c>
      <c r="EQ104" t="s">
        <v>1454</v>
      </c>
      <c r="ER104" t="s">
        <v>1454</v>
      </c>
      <c r="ES104" t="s">
        <v>1454</v>
      </c>
      <c r="EU104" t="s">
        <v>1454</v>
      </c>
      <c r="EV104" t="s">
        <v>1454</v>
      </c>
      <c r="EW104" t="s">
        <v>1454</v>
      </c>
      <c r="EY104" t="s">
        <v>1454</v>
      </c>
      <c r="EZ104" t="s">
        <v>1454</v>
      </c>
      <c r="FA104" t="s">
        <v>1454</v>
      </c>
      <c r="FC104" t="s">
        <v>1454</v>
      </c>
      <c r="FD104" t="s">
        <v>1454</v>
      </c>
      <c r="FE104" t="s">
        <v>1454</v>
      </c>
      <c r="FG104" t="s">
        <v>1454</v>
      </c>
      <c r="FH104" t="s">
        <v>1454</v>
      </c>
      <c r="FI104" t="s">
        <v>1454</v>
      </c>
      <c r="FK104" t="s">
        <v>1454</v>
      </c>
      <c r="FL104" t="s">
        <v>1454</v>
      </c>
      <c r="FM104" t="s">
        <v>1454</v>
      </c>
      <c r="FO104" t="s">
        <v>1454</v>
      </c>
      <c r="FP104" t="s">
        <v>1454</v>
      </c>
      <c r="FQ104" t="s">
        <v>1454</v>
      </c>
      <c r="FS104" t="s">
        <v>1454</v>
      </c>
      <c r="FT104" t="s">
        <v>1454</v>
      </c>
      <c r="FU104" t="s">
        <v>1454</v>
      </c>
      <c r="FW104" t="s">
        <v>1454</v>
      </c>
      <c r="FX104" t="s">
        <v>1454</v>
      </c>
      <c r="FY104" t="s">
        <v>1454</v>
      </c>
      <c r="GA104" t="s">
        <v>1454</v>
      </c>
      <c r="GB104" t="s">
        <v>1454</v>
      </c>
      <c r="GC104" t="s">
        <v>1454</v>
      </c>
      <c r="GE104" t="s">
        <v>1454</v>
      </c>
      <c r="GF104" t="s">
        <v>1454</v>
      </c>
      <c r="GG104" t="s">
        <v>1454</v>
      </c>
      <c r="GI104" t="s">
        <v>1454</v>
      </c>
      <c r="GJ104" t="s">
        <v>1454</v>
      </c>
      <c r="GK104" t="s">
        <v>1454</v>
      </c>
      <c r="GM104" t="s">
        <v>1454</v>
      </c>
      <c r="GN104" t="s">
        <v>1454</v>
      </c>
      <c r="GO104" t="s">
        <v>1454</v>
      </c>
      <c r="GQ104" t="s">
        <v>1506</v>
      </c>
    </row>
    <row r="105" spans="2:199" x14ac:dyDescent="0.25">
      <c r="B105" t="s">
        <v>369</v>
      </c>
      <c r="C105" t="s">
        <v>1454</v>
      </c>
      <c r="D105" t="s">
        <v>1454</v>
      </c>
      <c r="E105" t="s">
        <v>1454</v>
      </c>
      <c r="G105" t="s">
        <v>1454</v>
      </c>
      <c r="H105" t="s">
        <v>1454</v>
      </c>
      <c r="I105" t="s">
        <v>1454</v>
      </c>
      <c r="K105" t="s">
        <v>1454</v>
      </c>
      <c r="L105" t="s">
        <v>1454</v>
      </c>
      <c r="M105" t="s">
        <v>1454</v>
      </c>
      <c r="O105" t="s">
        <v>1454</v>
      </c>
      <c r="P105" t="s">
        <v>1454</v>
      </c>
      <c r="Q105" t="s">
        <v>1454</v>
      </c>
      <c r="S105" t="s">
        <v>1454</v>
      </c>
      <c r="T105" t="s">
        <v>1454</v>
      </c>
      <c r="U105" t="s">
        <v>1454</v>
      </c>
      <c r="W105" t="s">
        <v>1454</v>
      </c>
      <c r="X105" t="s">
        <v>1454</v>
      </c>
      <c r="Y105" t="s">
        <v>1454</v>
      </c>
      <c r="AA105" t="s">
        <v>1454</v>
      </c>
      <c r="AB105" t="s">
        <v>1454</v>
      </c>
      <c r="AC105" t="s">
        <v>1454</v>
      </c>
      <c r="AE105" t="s">
        <v>1454</v>
      </c>
      <c r="AF105" t="s">
        <v>1454</v>
      </c>
      <c r="AG105" t="s">
        <v>1454</v>
      </c>
      <c r="AI105" t="s">
        <v>1454</v>
      </c>
      <c r="AJ105" t="s">
        <v>1454</v>
      </c>
      <c r="AK105" t="s">
        <v>1454</v>
      </c>
      <c r="AM105" t="s">
        <v>1454</v>
      </c>
      <c r="AN105" t="s">
        <v>1454</v>
      </c>
      <c r="AO105" t="s">
        <v>1454</v>
      </c>
      <c r="AQ105" t="s">
        <v>1454</v>
      </c>
      <c r="AR105" t="s">
        <v>1454</v>
      </c>
      <c r="AS105" t="s">
        <v>1454</v>
      </c>
      <c r="AU105" t="s">
        <v>1454</v>
      </c>
      <c r="AV105" t="s">
        <v>1454</v>
      </c>
      <c r="AW105" t="s">
        <v>1454</v>
      </c>
      <c r="AY105" t="s">
        <v>1454</v>
      </c>
      <c r="AZ105" t="s">
        <v>1454</v>
      </c>
      <c r="BA105" t="s">
        <v>1454</v>
      </c>
      <c r="BC105" t="s">
        <v>1454</v>
      </c>
      <c r="BD105" t="s">
        <v>1454</v>
      </c>
      <c r="BE105" t="s">
        <v>1454</v>
      </c>
      <c r="BG105" t="s">
        <v>1454</v>
      </c>
      <c r="BH105" t="s">
        <v>1454</v>
      </c>
      <c r="BI105" t="s">
        <v>1454</v>
      </c>
      <c r="BK105" t="s">
        <v>1454</v>
      </c>
      <c r="BL105" t="s">
        <v>1454</v>
      </c>
      <c r="BM105" t="s">
        <v>1454</v>
      </c>
      <c r="BO105" t="s">
        <v>1454</v>
      </c>
      <c r="BP105" t="s">
        <v>1454</v>
      </c>
      <c r="BQ105" t="s">
        <v>1454</v>
      </c>
      <c r="BS105" t="s">
        <v>1454</v>
      </c>
      <c r="BT105" t="s">
        <v>1454</v>
      </c>
      <c r="BU105" t="s">
        <v>1454</v>
      </c>
      <c r="BW105" t="s">
        <v>620</v>
      </c>
      <c r="BX105" t="s">
        <v>1454</v>
      </c>
      <c r="BY105" t="s">
        <v>1454</v>
      </c>
      <c r="CA105" t="s">
        <v>1454</v>
      </c>
      <c r="CB105" t="s">
        <v>1454</v>
      </c>
      <c r="CC105" t="s">
        <v>1454</v>
      </c>
      <c r="CE105" t="s">
        <v>1454</v>
      </c>
      <c r="CF105" t="s">
        <v>1454</v>
      </c>
      <c r="CG105" t="s">
        <v>1454</v>
      </c>
      <c r="CI105" t="s">
        <v>1454</v>
      </c>
      <c r="CJ105" t="s">
        <v>1454</v>
      </c>
      <c r="CK105" t="s">
        <v>1454</v>
      </c>
      <c r="CM105" t="s">
        <v>1454</v>
      </c>
      <c r="CN105" t="s">
        <v>1454</v>
      </c>
      <c r="CO105" t="s">
        <v>1454</v>
      </c>
      <c r="CQ105" t="s">
        <v>1454</v>
      </c>
      <c r="CR105" t="s">
        <v>1454</v>
      </c>
      <c r="CS105" t="s">
        <v>1454</v>
      </c>
      <c r="CU105" t="s">
        <v>1454</v>
      </c>
      <c r="CV105" t="s">
        <v>1454</v>
      </c>
      <c r="CW105" t="s">
        <v>1454</v>
      </c>
      <c r="CY105" t="s">
        <v>1454</v>
      </c>
      <c r="CZ105" t="s">
        <v>1454</v>
      </c>
      <c r="DA105" t="s">
        <v>1454</v>
      </c>
      <c r="DC105" t="s">
        <v>1454</v>
      </c>
      <c r="DD105" t="s">
        <v>1454</v>
      </c>
      <c r="DE105" t="s">
        <v>1454</v>
      </c>
      <c r="DG105" t="s">
        <v>1454</v>
      </c>
      <c r="DH105" t="s">
        <v>1454</v>
      </c>
      <c r="DI105" t="s">
        <v>1454</v>
      </c>
      <c r="DK105" t="s">
        <v>1454</v>
      </c>
      <c r="DL105" t="s">
        <v>1454</v>
      </c>
      <c r="DM105" t="s">
        <v>1454</v>
      </c>
      <c r="DO105" t="s">
        <v>1454</v>
      </c>
      <c r="DP105" t="s">
        <v>1454</v>
      </c>
      <c r="DQ105" t="s">
        <v>1454</v>
      </c>
      <c r="DS105" t="s">
        <v>1454</v>
      </c>
      <c r="DT105" t="s">
        <v>1454</v>
      </c>
      <c r="DU105" t="s">
        <v>1454</v>
      </c>
      <c r="DW105" t="s">
        <v>1454</v>
      </c>
      <c r="DX105" t="s">
        <v>1454</v>
      </c>
      <c r="DY105" t="s">
        <v>1454</v>
      </c>
      <c r="EA105" t="s">
        <v>1454</v>
      </c>
      <c r="EB105" t="s">
        <v>1454</v>
      </c>
      <c r="EC105" t="s">
        <v>1454</v>
      </c>
      <c r="EE105" t="s">
        <v>1454</v>
      </c>
      <c r="EF105" t="s">
        <v>1454</v>
      </c>
      <c r="EG105" t="s">
        <v>1454</v>
      </c>
      <c r="EI105" t="s">
        <v>1454</v>
      </c>
      <c r="EJ105" t="s">
        <v>1454</v>
      </c>
      <c r="EK105" t="s">
        <v>1454</v>
      </c>
      <c r="EM105" t="s">
        <v>1454</v>
      </c>
      <c r="EN105" t="s">
        <v>1454</v>
      </c>
      <c r="EO105" t="s">
        <v>1454</v>
      </c>
      <c r="EQ105" t="s">
        <v>1454</v>
      </c>
      <c r="ER105" t="s">
        <v>1454</v>
      </c>
      <c r="ES105" t="s">
        <v>1454</v>
      </c>
      <c r="EU105" t="s">
        <v>1454</v>
      </c>
      <c r="EV105" t="s">
        <v>1454</v>
      </c>
      <c r="EW105" t="s">
        <v>1454</v>
      </c>
      <c r="EY105" t="s">
        <v>1454</v>
      </c>
      <c r="EZ105" t="s">
        <v>1454</v>
      </c>
      <c r="FA105" t="s">
        <v>1454</v>
      </c>
      <c r="FC105" t="s">
        <v>1454</v>
      </c>
      <c r="FD105" t="s">
        <v>1454</v>
      </c>
      <c r="FE105" t="s">
        <v>1454</v>
      </c>
      <c r="FG105" t="s">
        <v>1454</v>
      </c>
      <c r="FH105" t="s">
        <v>1454</v>
      </c>
      <c r="FI105" t="s">
        <v>1454</v>
      </c>
      <c r="FK105" t="s">
        <v>1454</v>
      </c>
      <c r="FL105" t="s">
        <v>1454</v>
      </c>
      <c r="FM105" t="s">
        <v>1454</v>
      </c>
      <c r="FO105" t="s">
        <v>1454</v>
      </c>
      <c r="FP105" t="s">
        <v>1454</v>
      </c>
      <c r="FQ105" t="s">
        <v>1454</v>
      </c>
      <c r="FS105" t="s">
        <v>1454</v>
      </c>
      <c r="FT105" t="s">
        <v>1454</v>
      </c>
      <c r="FU105" t="s">
        <v>1454</v>
      </c>
      <c r="FW105" t="s">
        <v>1454</v>
      </c>
      <c r="FX105" t="s">
        <v>1454</v>
      </c>
      <c r="FY105" t="s">
        <v>1454</v>
      </c>
      <c r="GA105" t="s">
        <v>1454</v>
      </c>
      <c r="GB105" t="s">
        <v>1454</v>
      </c>
      <c r="GC105" t="s">
        <v>1454</v>
      </c>
      <c r="GE105" t="s">
        <v>1454</v>
      </c>
      <c r="GF105" t="s">
        <v>1454</v>
      </c>
      <c r="GG105" t="s">
        <v>1454</v>
      </c>
      <c r="GI105" t="s">
        <v>1454</v>
      </c>
      <c r="GJ105" t="s">
        <v>1454</v>
      </c>
      <c r="GK105" t="s">
        <v>1454</v>
      </c>
      <c r="GM105" t="s">
        <v>1454</v>
      </c>
      <c r="GN105" t="s">
        <v>1454</v>
      </c>
      <c r="GO105" t="s">
        <v>1454</v>
      </c>
      <c r="GQ105" t="s">
        <v>1506</v>
      </c>
    </row>
    <row r="106" spans="2:199" x14ac:dyDescent="0.25">
      <c r="B106" t="s">
        <v>371</v>
      </c>
      <c r="C106" t="s">
        <v>1454</v>
      </c>
      <c r="D106" t="s">
        <v>1454</v>
      </c>
      <c r="E106" t="s">
        <v>1454</v>
      </c>
      <c r="G106" t="s">
        <v>1454</v>
      </c>
      <c r="H106" t="s">
        <v>1454</v>
      </c>
      <c r="I106" t="s">
        <v>1454</v>
      </c>
      <c r="K106" t="s">
        <v>1454</v>
      </c>
      <c r="L106" t="s">
        <v>1454</v>
      </c>
      <c r="M106" t="s">
        <v>1454</v>
      </c>
      <c r="O106" t="s">
        <v>1454</v>
      </c>
      <c r="P106" t="s">
        <v>1454</v>
      </c>
      <c r="Q106" t="s">
        <v>1454</v>
      </c>
      <c r="S106" t="s">
        <v>1454</v>
      </c>
      <c r="T106" t="s">
        <v>1454</v>
      </c>
      <c r="U106" t="s">
        <v>1454</v>
      </c>
      <c r="W106" t="s">
        <v>1454</v>
      </c>
      <c r="X106" t="s">
        <v>1454</v>
      </c>
      <c r="Y106" t="s">
        <v>1454</v>
      </c>
      <c r="AA106" t="s">
        <v>1454</v>
      </c>
      <c r="AB106" t="s">
        <v>1454</v>
      </c>
      <c r="AC106" t="s">
        <v>1454</v>
      </c>
      <c r="AE106" t="s">
        <v>1454</v>
      </c>
      <c r="AF106" t="s">
        <v>1454</v>
      </c>
      <c r="AG106" t="s">
        <v>1454</v>
      </c>
      <c r="AI106" t="s">
        <v>1454</v>
      </c>
      <c r="AJ106" t="s">
        <v>1454</v>
      </c>
      <c r="AK106" t="s">
        <v>1454</v>
      </c>
      <c r="AM106" t="s">
        <v>1454</v>
      </c>
      <c r="AN106" t="s">
        <v>1454</v>
      </c>
      <c r="AO106" t="s">
        <v>1454</v>
      </c>
      <c r="AQ106" t="s">
        <v>1454</v>
      </c>
      <c r="AR106" t="s">
        <v>1454</v>
      </c>
      <c r="AS106" t="s">
        <v>1454</v>
      </c>
      <c r="AU106" t="s">
        <v>1454</v>
      </c>
      <c r="AV106" t="s">
        <v>1454</v>
      </c>
      <c r="AW106" t="s">
        <v>1454</v>
      </c>
      <c r="AY106" t="s">
        <v>1454</v>
      </c>
      <c r="AZ106" t="s">
        <v>1454</v>
      </c>
      <c r="BA106" t="s">
        <v>1454</v>
      </c>
      <c r="BC106" t="s">
        <v>1454</v>
      </c>
      <c r="BD106" t="s">
        <v>1454</v>
      </c>
      <c r="BE106" t="s">
        <v>1454</v>
      </c>
      <c r="BG106" t="s">
        <v>1454</v>
      </c>
      <c r="BH106" t="s">
        <v>1454</v>
      </c>
      <c r="BI106" t="s">
        <v>1454</v>
      </c>
      <c r="BK106" t="s">
        <v>1454</v>
      </c>
      <c r="BL106" t="s">
        <v>1454</v>
      </c>
      <c r="BM106" t="s">
        <v>1454</v>
      </c>
      <c r="BO106" t="s">
        <v>1454</v>
      </c>
      <c r="BP106" t="s">
        <v>1454</v>
      </c>
      <c r="BQ106" t="s">
        <v>1454</v>
      </c>
      <c r="BS106" t="s">
        <v>1454</v>
      </c>
      <c r="BT106" t="s">
        <v>1454</v>
      </c>
      <c r="BU106" t="s">
        <v>1454</v>
      </c>
      <c r="BW106" t="s">
        <v>620</v>
      </c>
      <c r="BX106" t="s">
        <v>1454</v>
      </c>
      <c r="BY106" t="s">
        <v>1454</v>
      </c>
      <c r="CA106" t="s">
        <v>1454</v>
      </c>
      <c r="CB106" t="s">
        <v>1454</v>
      </c>
      <c r="CC106" t="s">
        <v>1454</v>
      </c>
      <c r="CE106" t="s">
        <v>1454</v>
      </c>
      <c r="CF106" t="s">
        <v>1454</v>
      </c>
      <c r="CG106" t="s">
        <v>1454</v>
      </c>
      <c r="CI106" t="s">
        <v>1454</v>
      </c>
      <c r="CJ106" t="s">
        <v>1454</v>
      </c>
      <c r="CK106" t="s">
        <v>1454</v>
      </c>
      <c r="CM106" t="s">
        <v>1454</v>
      </c>
      <c r="CN106" t="s">
        <v>1454</v>
      </c>
      <c r="CO106" t="s">
        <v>1454</v>
      </c>
      <c r="CQ106" t="s">
        <v>1454</v>
      </c>
      <c r="CR106" t="s">
        <v>1454</v>
      </c>
      <c r="CS106" t="s">
        <v>1454</v>
      </c>
      <c r="CU106" t="s">
        <v>1454</v>
      </c>
      <c r="CV106" t="s">
        <v>1454</v>
      </c>
      <c r="CW106" t="s">
        <v>1454</v>
      </c>
      <c r="CY106" t="s">
        <v>1454</v>
      </c>
      <c r="CZ106" t="s">
        <v>1454</v>
      </c>
      <c r="DA106" t="s">
        <v>1454</v>
      </c>
      <c r="DC106" t="s">
        <v>1454</v>
      </c>
      <c r="DD106" t="s">
        <v>1454</v>
      </c>
      <c r="DE106" t="s">
        <v>1454</v>
      </c>
      <c r="DG106" t="s">
        <v>1454</v>
      </c>
      <c r="DH106" t="s">
        <v>1454</v>
      </c>
      <c r="DI106" t="s">
        <v>1454</v>
      </c>
      <c r="DK106" t="s">
        <v>1454</v>
      </c>
      <c r="DL106" t="s">
        <v>1454</v>
      </c>
      <c r="DM106" t="s">
        <v>1454</v>
      </c>
      <c r="DO106" t="s">
        <v>1454</v>
      </c>
      <c r="DP106" t="s">
        <v>1454</v>
      </c>
      <c r="DQ106" t="s">
        <v>1454</v>
      </c>
      <c r="DS106" t="s">
        <v>632</v>
      </c>
      <c r="DT106" t="s">
        <v>1454</v>
      </c>
      <c r="DU106" t="s">
        <v>1454</v>
      </c>
      <c r="DW106" t="s">
        <v>1454</v>
      </c>
      <c r="DX106" t="s">
        <v>1454</v>
      </c>
      <c r="DY106" t="s">
        <v>1454</v>
      </c>
      <c r="EA106" t="s">
        <v>634</v>
      </c>
      <c r="EB106" t="s">
        <v>1454</v>
      </c>
      <c r="EC106" t="s">
        <v>1454</v>
      </c>
      <c r="EE106" t="s">
        <v>1454</v>
      </c>
      <c r="EF106" t="s">
        <v>1454</v>
      </c>
      <c r="EG106" t="s">
        <v>1454</v>
      </c>
      <c r="EI106" t="s">
        <v>1454</v>
      </c>
      <c r="EJ106" t="s">
        <v>1454</v>
      </c>
      <c r="EK106" t="s">
        <v>1454</v>
      </c>
      <c r="EM106" t="s">
        <v>1454</v>
      </c>
      <c r="EN106" t="s">
        <v>1454</v>
      </c>
      <c r="EO106" t="s">
        <v>1454</v>
      </c>
      <c r="EQ106" t="s">
        <v>1454</v>
      </c>
      <c r="ER106" t="s">
        <v>1454</v>
      </c>
      <c r="ES106" t="s">
        <v>1454</v>
      </c>
      <c r="EU106" t="s">
        <v>1454</v>
      </c>
      <c r="EV106" t="s">
        <v>1454</v>
      </c>
      <c r="EW106" t="s">
        <v>1454</v>
      </c>
      <c r="EY106" t="s">
        <v>1454</v>
      </c>
      <c r="EZ106" t="s">
        <v>1454</v>
      </c>
      <c r="FA106" t="s">
        <v>1454</v>
      </c>
      <c r="FC106" t="s">
        <v>1454</v>
      </c>
      <c r="FD106" t="s">
        <v>1454</v>
      </c>
      <c r="FE106" t="s">
        <v>1454</v>
      </c>
      <c r="FG106" t="s">
        <v>1454</v>
      </c>
      <c r="FH106" t="s">
        <v>1454</v>
      </c>
      <c r="FI106" t="s">
        <v>1454</v>
      </c>
      <c r="FK106" t="s">
        <v>1454</v>
      </c>
      <c r="FL106" t="s">
        <v>1454</v>
      </c>
      <c r="FM106" t="s">
        <v>1454</v>
      </c>
      <c r="FO106" t="s">
        <v>1454</v>
      </c>
      <c r="FP106" t="s">
        <v>1454</v>
      </c>
      <c r="FQ106" t="s">
        <v>1454</v>
      </c>
      <c r="FS106" t="s">
        <v>1454</v>
      </c>
      <c r="FT106" t="s">
        <v>1454</v>
      </c>
      <c r="FU106" t="s">
        <v>1454</v>
      </c>
      <c r="FW106" t="s">
        <v>1454</v>
      </c>
      <c r="FX106" t="s">
        <v>1454</v>
      </c>
      <c r="FY106" t="s">
        <v>1454</v>
      </c>
      <c r="GA106" t="s">
        <v>1454</v>
      </c>
      <c r="GB106" t="s">
        <v>1454</v>
      </c>
      <c r="GC106" t="s">
        <v>1454</v>
      </c>
      <c r="GE106" t="s">
        <v>1454</v>
      </c>
      <c r="GF106" t="s">
        <v>1454</v>
      </c>
      <c r="GG106" t="s">
        <v>1454</v>
      </c>
      <c r="GI106" t="s">
        <v>1454</v>
      </c>
      <c r="GJ106" t="s">
        <v>1454</v>
      </c>
      <c r="GK106" t="s">
        <v>1454</v>
      </c>
      <c r="GM106" t="s">
        <v>1454</v>
      </c>
      <c r="GN106" t="s">
        <v>1454</v>
      </c>
      <c r="GO106" t="s">
        <v>1454</v>
      </c>
      <c r="GQ106" t="s">
        <v>1599</v>
      </c>
    </row>
    <row r="107" spans="2:199" s="11" customFormat="1" x14ac:dyDescent="0.25">
      <c r="B107" t="s">
        <v>372</v>
      </c>
      <c r="C107" t="s">
        <v>1454</v>
      </c>
      <c r="D107" t="s">
        <v>1454</v>
      </c>
      <c r="E107" t="s">
        <v>1454</v>
      </c>
      <c r="F107"/>
      <c r="G107" t="s">
        <v>1454</v>
      </c>
      <c r="H107" t="s">
        <v>1454</v>
      </c>
      <c r="I107" t="s">
        <v>1454</v>
      </c>
      <c r="J107"/>
      <c r="K107" t="s">
        <v>1454</v>
      </c>
      <c r="L107" t="s">
        <v>1454</v>
      </c>
      <c r="M107" t="s">
        <v>1454</v>
      </c>
      <c r="N107"/>
      <c r="O107" t="s">
        <v>1454</v>
      </c>
      <c r="P107" t="s">
        <v>1454</v>
      </c>
      <c r="Q107" t="s">
        <v>1454</v>
      </c>
      <c r="R107"/>
      <c r="S107" t="s">
        <v>606</v>
      </c>
      <c r="T107" t="s">
        <v>1454</v>
      </c>
      <c r="U107" t="s">
        <v>1454</v>
      </c>
      <c r="V107"/>
      <c r="W107" t="s">
        <v>1454</v>
      </c>
      <c r="X107" t="s">
        <v>1454</v>
      </c>
      <c r="Y107" t="s">
        <v>1454</v>
      </c>
      <c r="Z107"/>
      <c r="AA107" t="s">
        <v>1454</v>
      </c>
      <c r="AB107" t="s">
        <v>1454</v>
      </c>
      <c r="AC107" t="s">
        <v>1454</v>
      </c>
      <c r="AD107"/>
      <c r="AE107" t="s">
        <v>1454</v>
      </c>
      <c r="AF107" t="s">
        <v>1454</v>
      </c>
      <c r="AG107" t="s">
        <v>1454</v>
      </c>
      <c r="AH107"/>
      <c r="AI107" t="s">
        <v>1454</v>
      </c>
      <c r="AJ107" t="s">
        <v>1454</v>
      </c>
      <c r="AK107" t="s">
        <v>1454</v>
      </c>
      <c r="AL107"/>
      <c r="AM107" t="s">
        <v>1454</v>
      </c>
      <c r="AN107" t="s">
        <v>1454</v>
      </c>
      <c r="AO107" t="s">
        <v>1454</v>
      </c>
      <c r="AP107"/>
      <c r="AQ107" t="s">
        <v>1454</v>
      </c>
      <c r="AR107" t="s">
        <v>1454</v>
      </c>
      <c r="AS107" t="s">
        <v>1454</v>
      </c>
      <c r="AT107"/>
      <c r="AU107" t="s">
        <v>1454</v>
      </c>
      <c r="AV107" t="s">
        <v>1454</v>
      </c>
      <c r="AW107" t="s">
        <v>1454</v>
      </c>
      <c r="AX107"/>
      <c r="AY107" t="s">
        <v>1454</v>
      </c>
      <c r="AZ107" t="s">
        <v>1454</v>
      </c>
      <c r="BA107" t="s">
        <v>1454</v>
      </c>
      <c r="BB107"/>
      <c r="BC107" t="s">
        <v>1454</v>
      </c>
      <c r="BD107" t="s">
        <v>1454</v>
      </c>
      <c r="BE107" t="s">
        <v>1454</v>
      </c>
      <c r="BF107"/>
      <c r="BG107" t="s">
        <v>1454</v>
      </c>
      <c r="BH107" t="s">
        <v>1454</v>
      </c>
      <c r="BI107" t="s">
        <v>1454</v>
      </c>
      <c r="BJ107"/>
      <c r="BK107" t="s">
        <v>1454</v>
      </c>
      <c r="BL107" t="s">
        <v>1454</v>
      </c>
      <c r="BM107" t="s">
        <v>1454</v>
      </c>
      <c r="BN107"/>
      <c r="BO107" t="s">
        <v>1454</v>
      </c>
      <c r="BP107" t="s">
        <v>1454</v>
      </c>
      <c r="BQ107" t="s">
        <v>1454</v>
      </c>
      <c r="BR107"/>
      <c r="BS107" t="s">
        <v>1454</v>
      </c>
      <c r="BT107" t="s">
        <v>1454</v>
      </c>
      <c r="BU107" t="s">
        <v>1454</v>
      </c>
      <c r="BV107"/>
      <c r="BW107" t="s">
        <v>1454</v>
      </c>
      <c r="BX107" t="s">
        <v>1454</v>
      </c>
      <c r="BY107" t="s">
        <v>1454</v>
      </c>
      <c r="BZ107"/>
      <c r="CA107" t="s">
        <v>1454</v>
      </c>
      <c r="CB107" t="s">
        <v>1454</v>
      </c>
      <c r="CC107" t="s">
        <v>1454</v>
      </c>
      <c r="CD107"/>
      <c r="CE107" t="s">
        <v>1454</v>
      </c>
      <c r="CF107" t="s">
        <v>1454</v>
      </c>
      <c r="CG107" t="s">
        <v>1454</v>
      </c>
      <c r="CH107"/>
      <c r="CI107" t="s">
        <v>1454</v>
      </c>
      <c r="CJ107" t="s">
        <v>1454</v>
      </c>
      <c r="CK107" t="s">
        <v>1454</v>
      </c>
      <c r="CL107"/>
      <c r="CM107" t="s">
        <v>1454</v>
      </c>
      <c r="CN107" t="s">
        <v>1454</v>
      </c>
      <c r="CO107" t="s">
        <v>1454</v>
      </c>
      <c r="CP107"/>
      <c r="CQ107" t="s">
        <v>1454</v>
      </c>
      <c r="CR107" t="s">
        <v>1454</v>
      </c>
      <c r="CS107" t="s">
        <v>1454</v>
      </c>
      <c r="CT107"/>
      <c r="CU107" t="s">
        <v>1454</v>
      </c>
      <c r="CV107" t="s">
        <v>1454</v>
      </c>
      <c r="CW107" t="s">
        <v>1454</v>
      </c>
      <c r="CX107"/>
      <c r="CY107" t="s">
        <v>1454</v>
      </c>
      <c r="CZ107" t="s">
        <v>1454</v>
      </c>
      <c r="DA107" t="s">
        <v>1454</v>
      </c>
      <c r="DB107"/>
      <c r="DC107" t="s">
        <v>1454</v>
      </c>
      <c r="DD107" t="s">
        <v>1454</v>
      </c>
      <c r="DE107" t="s">
        <v>1454</v>
      </c>
      <c r="DF107"/>
      <c r="DG107" t="s">
        <v>1454</v>
      </c>
      <c r="DH107" t="s">
        <v>1454</v>
      </c>
      <c r="DI107" t="s">
        <v>1454</v>
      </c>
      <c r="DJ107"/>
      <c r="DK107" t="s">
        <v>1454</v>
      </c>
      <c r="DL107" t="s">
        <v>1454</v>
      </c>
      <c r="DM107" t="s">
        <v>1454</v>
      </c>
      <c r="DN107"/>
      <c r="DO107" t="s">
        <v>1454</v>
      </c>
      <c r="DP107" t="s">
        <v>1454</v>
      </c>
      <c r="DQ107" t="s">
        <v>1454</v>
      </c>
      <c r="DR107"/>
      <c r="DS107" t="s">
        <v>1454</v>
      </c>
      <c r="DT107" t="s">
        <v>1454</v>
      </c>
      <c r="DU107" t="s">
        <v>1454</v>
      </c>
      <c r="DV107"/>
      <c r="DW107" t="s">
        <v>1454</v>
      </c>
      <c r="DX107" t="s">
        <v>1454</v>
      </c>
      <c r="DY107" t="s">
        <v>1454</v>
      </c>
      <c r="DZ107"/>
      <c r="EA107" t="s">
        <v>1454</v>
      </c>
      <c r="EB107" t="s">
        <v>1454</v>
      </c>
      <c r="EC107" t="s">
        <v>1454</v>
      </c>
      <c r="ED107"/>
      <c r="EE107" t="s">
        <v>1454</v>
      </c>
      <c r="EF107" t="s">
        <v>1454</v>
      </c>
      <c r="EG107" t="s">
        <v>1454</v>
      </c>
      <c r="EH107"/>
      <c r="EI107" t="s">
        <v>1454</v>
      </c>
      <c r="EJ107" t="s">
        <v>1454</v>
      </c>
      <c r="EK107" t="s">
        <v>1454</v>
      </c>
      <c r="EL107"/>
      <c r="EM107" t="s">
        <v>1454</v>
      </c>
      <c r="EN107" t="s">
        <v>1454</v>
      </c>
      <c r="EO107" t="s">
        <v>1454</v>
      </c>
      <c r="EP107"/>
      <c r="EQ107" t="s">
        <v>1454</v>
      </c>
      <c r="ER107" t="s">
        <v>1454</v>
      </c>
      <c r="ES107" t="s">
        <v>1454</v>
      </c>
      <c r="ET107"/>
      <c r="EU107" t="s">
        <v>1454</v>
      </c>
      <c r="EV107" t="s">
        <v>1454</v>
      </c>
      <c r="EW107" t="s">
        <v>1454</v>
      </c>
      <c r="EX107"/>
      <c r="EY107" t="s">
        <v>1454</v>
      </c>
      <c r="EZ107" t="s">
        <v>1454</v>
      </c>
      <c r="FA107" t="s">
        <v>1454</v>
      </c>
      <c r="FB107"/>
      <c r="FC107" t="s">
        <v>1454</v>
      </c>
      <c r="FD107" t="s">
        <v>1454</v>
      </c>
      <c r="FE107" t="s">
        <v>1454</v>
      </c>
      <c r="FF107"/>
      <c r="FG107" t="s">
        <v>1454</v>
      </c>
      <c r="FH107" t="s">
        <v>1454</v>
      </c>
      <c r="FI107" t="s">
        <v>1454</v>
      </c>
      <c r="FJ107"/>
      <c r="FK107" t="s">
        <v>1454</v>
      </c>
      <c r="FL107" t="s">
        <v>1454</v>
      </c>
      <c r="FM107" t="s">
        <v>1454</v>
      </c>
      <c r="FN107"/>
      <c r="FO107" t="s">
        <v>1454</v>
      </c>
      <c r="FP107" t="s">
        <v>1454</v>
      </c>
      <c r="FQ107" t="s">
        <v>1454</v>
      </c>
      <c r="FR107"/>
      <c r="FS107" t="s">
        <v>1454</v>
      </c>
      <c r="FT107" t="s">
        <v>1454</v>
      </c>
      <c r="FU107" t="s">
        <v>1454</v>
      </c>
      <c r="FV107"/>
      <c r="FW107" t="s">
        <v>1454</v>
      </c>
      <c r="FX107" t="s">
        <v>1454</v>
      </c>
      <c r="FY107" t="s">
        <v>1454</v>
      </c>
      <c r="FZ107"/>
      <c r="GA107" t="s">
        <v>1454</v>
      </c>
      <c r="GB107" t="s">
        <v>1454</v>
      </c>
      <c r="GC107" t="s">
        <v>1454</v>
      </c>
      <c r="GD107"/>
      <c r="GE107" t="s">
        <v>1454</v>
      </c>
      <c r="GF107" t="s">
        <v>1454</v>
      </c>
      <c r="GG107" t="s">
        <v>1454</v>
      </c>
      <c r="GH107"/>
      <c r="GI107" t="s">
        <v>1454</v>
      </c>
      <c r="GJ107" t="s">
        <v>1454</v>
      </c>
      <c r="GK107" t="s">
        <v>1454</v>
      </c>
      <c r="GL107"/>
      <c r="GM107" t="s">
        <v>1454</v>
      </c>
      <c r="GN107" t="s">
        <v>1454</v>
      </c>
      <c r="GO107" t="s">
        <v>1454</v>
      </c>
      <c r="GP107"/>
      <c r="GQ107" t="s">
        <v>1570</v>
      </c>
    </row>
    <row r="108" spans="2:199" x14ac:dyDescent="0.25">
      <c r="B108" t="s">
        <v>373</v>
      </c>
      <c r="C108" t="s">
        <v>1454</v>
      </c>
      <c r="D108" t="s">
        <v>1454</v>
      </c>
      <c r="E108" t="s">
        <v>1454</v>
      </c>
      <c r="G108" t="s">
        <v>1454</v>
      </c>
      <c r="H108" t="s">
        <v>1454</v>
      </c>
      <c r="I108" t="s">
        <v>1454</v>
      </c>
      <c r="K108" t="s">
        <v>1454</v>
      </c>
      <c r="L108" t="s">
        <v>1454</v>
      </c>
      <c r="M108" t="s">
        <v>1454</v>
      </c>
      <c r="O108" t="s">
        <v>1454</v>
      </c>
      <c r="P108" t="s">
        <v>1454</v>
      </c>
      <c r="Q108" t="s">
        <v>1454</v>
      </c>
      <c r="S108" t="s">
        <v>1454</v>
      </c>
      <c r="T108" t="s">
        <v>1454</v>
      </c>
      <c r="U108" t="s">
        <v>1454</v>
      </c>
      <c r="W108" t="s">
        <v>1454</v>
      </c>
      <c r="X108" t="s">
        <v>1454</v>
      </c>
      <c r="Y108" t="s">
        <v>1454</v>
      </c>
      <c r="AA108" t="s">
        <v>1454</v>
      </c>
      <c r="AB108" t="s">
        <v>1454</v>
      </c>
      <c r="AC108" t="s">
        <v>1454</v>
      </c>
      <c r="AE108" t="s">
        <v>1454</v>
      </c>
      <c r="AF108" t="s">
        <v>1454</v>
      </c>
      <c r="AG108" t="s">
        <v>1454</v>
      </c>
      <c r="AI108" t="s">
        <v>1454</v>
      </c>
      <c r="AJ108" t="s">
        <v>1454</v>
      </c>
      <c r="AK108" t="s">
        <v>1454</v>
      </c>
      <c r="AM108" t="s">
        <v>1454</v>
      </c>
      <c r="AN108" t="s">
        <v>1454</v>
      </c>
      <c r="AO108" t="s">
        <v>1454</v>
      </c>
      <c r="AQ108" t="s">
        <v>1454</v>
      </c>
      <c r="AR108" t="s">
        <v>1454</v>
      </c>
      <c r="AS108" t="s">
        <v>1454</v>
      </c>
      <c r="AU108" t="s">
        <v>1454</v>
      </c>
      <c r="AV108" t="s">
        <v>1454</v>
      </c>
      <c r="AW108" t="s">
        <v>1454</v>
      </c>
      <c r="AY108" t="s">
        <v>1454</v>
      </c>
      <c r="AZ108" t="s">
        <v>1454</v>
      </c>
      <c r="BA108" t="s">
        <v>1454</v>
      </c>
      <c r="BC108" t="s">
        <v>1454</v>
      </c>
      <c r="BD108" t="s">
        <v>1454</v>
      </c>
      <c r="BE108" t="s">
        <v>1454</v>
      </c>
      <c r="BG108" t="s">
        <v>1454</v>
      </c>
      <c r="BH108" t="s">
        <v>1454</v>
      </c>
      <c r="BI108" t="s">
        <v>1454</v>
      </c>
      <c r="BK108" t="s">
        <v>1454</v>
      </c>
      <c r="BL108" t="s">
        <v>1454</v>
      </c>
      <c r="BM108" t="s">
        <v>1454</v>
      </c>
      <c r="BO108" t="s">
        <v>1454</v>
      </c>
      <c r="BP108" t="s">
        <v>1454</v>
      </c>
      <c r="BQ108" t="s">
        <v>1454</v>
      </c>
      <c r="BS108" t="s">
        <v>1454</v>
      </c>
      <c r="BT108" t="s">
        <v>1454</v>
      </c>
      <c r="BU108" t="s">
        <v>1454</v>
      </c>
      <c r="BW108" t="s">
        <v>1454</v>
      </c>
      <c r="BX108" t="s">
        <v>1454</v>
      </c>
      <c r="BY108" t="s">
        <v>1454</v>
      </c>
      <c r="CA108" t="s">
        <v>1454</v>
      </c>
      <c r="CB108" t="s">
        <v>1454</v>
      </c>
      <c r="CC108" t="s">
        <v>1454</v>
      </c>
      <c r="CE108" t="s">
        <v>1454</v>
      </c>
      <c r="CF108" t="s">
        <v>1454</v>
      </c>
      <c r="CG108" t="s">
        <v>1454</v>
      </c>
      <c r="CI108" t="s">
        <v>1454</v>
      </c>
      <c r="CJ108" t="s">
        <v>1454</v>
      </c>
      <c r="CK108" t="s">
        <v>1454</v>
      </c>
      <c r="CM108" t="s">
        <v>1454</v>
      </c>
      <c r="CN108" t="s">
        <v>1454</v>
      </c>
      <c r="CO108" t="s">
        <v>1454</v>
      </c>
      <c r="CQ108" t="s">
        <v>625</v>
      </c>
      <c r="CR108" t="s">
        <v>1454</v>
      </c>
      <c r="CS108" t="s">
        <v>1454</v>
      </c>
      <c r="CU108" t="s">
        <v>1454</v>
      </c>
      <c r="CV108" t="s">
        <v>1454</v>
      </c>
      <c r="CW108" t="s">
        <v>1454</v>
      </c>
      <c r="CY108" t="s">
        <v>1454</v>
      </c>
      <c r="CZ108" t="s">
        <v>1454</v>
      </c>
      <c r="DA108" t="s">
        <v>1454</v>
      </c>
      <c r="DC108" t="s">
        <v>1454</v>
      </c>
      <c r="DD108" t="s">
        <v>1454</v>
      </c>
      <c r="DE108" t="s">
        <v>1454</v>
      </c>
      <c r="DG108" t="s">
        <v>1454</v>
      </c>
      <c r="DH108" t="s">
        <v>1454</v>
      </c>
      <c r="DI108" t="s">
        <v>1454</v>
      </c>
      <c r="DK108" t="s">
        <v>1454</v>
      </c>
      <c r="DL108" t="s">
        <v>1454</v>
      </c>
      <c r="DM108" t="s">
        <v>1454</v>
      </c>
      <c r="DO108" t="s">
        <v>1454</v>
      </c>
      <c r="DP108" t="s">
        <v>1454</v>
      </c>
      <c r="DQ108" t="s">
        <v>1454</v>
      </c>
      <c r="DS108" t="s">
        <v>1454</v>
      </c>
      <c r="DT108" t="s">
        <v>1454</v>
      </c>
      <c r="DU108" t="s">
        <v>1454</v>
      </c>
      <c r="DW108" t="s">
        <v>1454</v>
      </c>
      <c r="DX108" t="s">
        <v>1454</v>
      </c>
      <c r="DY108" t="s">
        <v>1454</v>
      </c>
      <c r="EA108" t="s">
        <v>1454</v>
      </c>
      <c r="EB108" t="s">
        <v>1454</v>
      </c>
      <c r="EC108" t="s">
        <v>1454</v>
      </c>
      <c r="EE108" t="s">
        <v>1454</v>
      </c>
      <c r="EF108" t="s">
        <v>1454</v>
      </c>
      <c r="EG108" t="s">
        <v>1454</v>
      </c>
      <c r="EI108" t="s">
        <v>1454</v>
      </c>
      <c r="EJ108" t="s">
        <v>1454</v>
      </c>
      <c r="EK108" t="s">
        <v>1454</v>
      </c>
      <c r="EM108" t="s">
        <v>1454</v>
      </c>
      <c r="EN108" t="s">
        <v>1454</v>
      </c>
      <c r="EO108" t="s">
        <v>1454</v>
      </c>
      <c r="EQ108" t="s">
        <v>1454</v>
      </c>
      <c r="ER108" t="s">
        <v>1454</v>
      </c>
      <c r="ES108" t="s">
        <v>1454</v>
      </c>
      <c r="EU108" t="s">
        <v>1454</v>
      </c>
      <c r="EV108" t="s">
        <v>1454</v>
      </c>
      <c r="EW108" t="s">
        <v>1454</v>
      </c>
      <c r="EY108" t="s">
        <v>1454</v>
      </c>
      <c r="EZ108" t="s">
        <v>1454</v>
      </c>
      <c r="FA108" t="s">
        <v>1454</v>
      </c>
      <c r="FC108" t="s">
        <v>1454</v>
      </c>
      <c r="FD108" t="s">
        <v>1454</v>
      </c>
      <c r="FE108" t="s">
        <v>1454</v>
      </c>
      <c r="FG108" t="s">
        <v>1454</v>
      </c>
      <c r="FH108" t="s">
        <v>1454</v>
      </c>
      <c r="FI108" t="s">
        <v>1454</v>
      </c>
      <c r="FK108" t="s">
        <v>1454</v>
      </c>
      <c r="FL108" t="s">
        <v>1454</v>
      </c>
      <c r="FM108" t="s">
        <v>1454</v>
      </c>
      <c r="FO108" t="s">
        <v>1454</v>
      </c>
      <c r="FP108" t="s">
        <v>1454</v>
      </c>
      <c r="FQ108" t="s">
        <v>1454</v>
      </c>
      <c r="FS108" t="s">
        <v>1454</v>
      </c>
      <c r="FT108" t="s">
        <v>1454</v>
      </c>
      <c r="FU108" t="s">
        <v>1454</v>
      </c>
      <c r="FW108" t="s">
        <v>1454</v>
      </c>
      <c r="FX108" t="s">
        <v>1454</v>
      </c>
      <c r="FY108" t="s">
        <v>1454</v>
      </c>
      <c r="GA108" t="s">
        <v>1454</v>
      </c>
      <c r="GB108" t="s">
        <v>1454</v>
      </c>
      <c r="GC108" t="s">
        <v>1454</v>
      </c>
      <c r="GE108" t="s">
        <v>1454</v>
      </c>
      <c r="GF108" t="s">
        <v>1454</v>
      </c>
      <c r="GG108" t="s">
        <v>1454</v>
      </c>
      <c r="GI108" t="s">
        <v>1454</v>
      </c>
      <c r="GJ108" t="s">
        <v>1454</v>
      </c>
      <c r="GK108" t="s">
        <v>1454</v>
      </c>
      <c r="GM108" t="s">
        <v>1454</v>
      </c>
      <c r="GN108" t="s">
        <v>1454</v>
      </c>
      <c r="GO108" t="s">
        <v>1454</v>
      </c>
      <c r="GQ108" t="s">
        <v>1600</v>
      </c>
    </row>
    <row r="109" spans="2:199" x14ac:dyDescent="0.25">
      <c r="B109" t="s">
        <v>374</v>
      </c>
      <c r="C109" t="s">
        <v>1454</v>
      </c>
      <c r="D109" t="s">
        <v>1454</v>
      </c>
      <c r="E109" t="s">
        <v>1454</v>
      </c>
      <c r="G109" t="s">
        <v>1454</v>
      </c>
      <c r="H109" t="s">
        <v>1454</v>
      </c>
      <c r="I109" t="s">
        <v>1454</v>
      </c>
      <c r="K109" t="s">
        <v>1454</v>
      </c>
      <c r="L109" t="s">
        <v>1454</v>
      </c>
      <c r="M109" t="s">
        <v>1454</v>
      </c>
      <c r="O109" t="s">
        <v>1454</v>
      </c>
      <c r="P109" t="s">
        <v>1454</v>
      </c>
      <c r="Q109" t="s">
        <v>1454</v>
      </c>
      <c r="S109" t="s">
        <v>1454</v>
      </c>
      <c r="T109" t="s">
        <v>1454</v>
      </c>
      <c r="U109" t="s">
        <v>1454</v>
      </c>
      <c r="W109" t="s">
        <v>1454</v>
      </c>
      <c r="X109" t="s">
        <v>1454</v>
      </c>
      <c r="Y109" t="s">
        <v>1454</v>
      </c>
      <c r="AA109" t="s">
        <v>1454</v>
      </c>
      <c r="AB109" t="s">
        <v>1454</v>
      </c>
      <c r="AC109" t="s">
        <v>1454</v>
      </c>
      <c r="AE109" t="s">
        <v>1454</v>
      </c>
      <c r="AF109" t="s">
        <v>1454</v>
      </c>
      <c r="AG109" t="s">
        <v>1454</v>
      </c>
      <c r="AI109" t="s">
        <v>1454</v>
      </c>
      <c r="AJ109" t="s">
        <v>1454</v>
      </c>
      <c r="AK109" t="s">
        <v>1454</v>
      </c>
      <c r="AM109" t="s">
        <v>1454</v>
      </c>
      <c r="AN109" t="s">
        <v>1454</v>
      </c>
      <c r="AO109" t="s">
        <v>1454</v>
      </c>
      <c r="AQ109" t="s">
        <v>1454</v>
      </c>
      <c r="AR109" t="s">
        <v>1454</v>
      </c>
      <c r="AS109" t="s">
        <v>1454</v>
      </c>
      <c r="AU109" t="s">
        <v>1454</v>
      </c>
      <c r="AV109" t="s">
        <v>1454</v>
      </c>
      <c r="AW109" t="s">
        <v>1454</v>
      </c>
      <c r="AY109" t="s">
        <v>1454</v>
      </c>
      <c r="AZ109" t="s">
        <v>1454</v>
      </c>
      <c r="BA109" t="s">
        <v>1454</v>
      </c>
      <c r="BC109" t="s">
        <v>1454</v>
      </c>
      <c r="BD109" t="s">
        <v>1454</v>
      </c>
      <c r="BE109" t="s">
        <v>1454</v>
      </c>
      <c r="BG109" t="s">
        <v>616</v>
      </c>
      <c r="BH109" t="s">
        <v>1454</v>
      </c>
      <c r="BI109" t="s">
        <v>1454</v>
      </c>
      <c r="BK109" t="s">
        <v>1454</v>
      </c>
      <c r="BL109" t="s">
        <v>1454</v>
      </c>
      <c r="BM109" t="s">
        <v>1454</v>
      </c>
      <c r="BO109" t="s">
        <v>1454</v>
      </c>
      <c r="BP109" t="s">
        <v>1454</v>
      </c>
      <c r="BQ109" t="s">
        <v>1454</v>
      </c>
      <c r="BS109" t="s">
        <v>1454</v>
      </c>
      <c r="BT109" t="s">
        <v>1454</v>
      </c>
      <c r="BU109" t="s">
        <v>1454</v>
      </c>
      <c r="BW109" t="s">
        <v>1454</v>
      </c>
      <c r="BX109" t="s">
        <v>1454</v>
      </c>
      <c r="BY109" t="s">
        <v>1454</v>
      </c>
      <c r="CA109" t="s">
        <v>1454</v>
      </c>
      <c r="CB109" t="s">
        <v>1454</v>
      </c>
      <c r="CC109" t="s">
        <v>1454</v>
      </c>
      <c r="CE109" t="s">
        <v>1454</v>
      </c>
      <c r="CF109" t="s">
        <v>1454</v>
      </c>
      <c r="CG109" t="s">
        <v>1454</v>
      </c>
      <c r="CI109" t="s">
        <v>1454</v>
      </c>
      <c r="CJ109" t="s">
        <v>1454</v>
      </c>
      <c r="CK109" t="s">
        <v>1454</v>
      </c>
      <c r="CM109" t="s">
        <v>1454</v>
      </c>
      <c r="CN109" t="s">
        <v>1454</v>
      </c>
      <c r="CO109" t="s">
        <v>1454</v>
      </c>
      <c r="CQ109" t="s">
        <v>1454</v>
      </c>
      <c r="CR109" t="s">
        <v>1454</v>
      </c>
      <c r="CS109" t="s">
        <v>1454</v>
      </c>
      <c r="CU109" t="s">
        <v>1454</v>
      </c>
      <c r="CV109" t="s">
        <v>1454</v>
      </c>
      <c r="CW109" t="s">
        <v>1454</v>
      </c>
      <c r="CY109" t="s">
        <v>1454</v>
      </c>
      <c r="CZ109" t="s">
        <v>1454</v>
      </c>
      <c r="DA109" t="s">
        <v>1454</v>
      </c>
      <c r="DC109" t="s">
        <v>1454</v>
      </c>
      <c r="DD109" t="s">
        <v>1454</v>
      </c>
      <c r="DE109" t="s">
        <v>1454</v>
      </c>
      <c r="DG109" t="s">
        <v>1454</v>
      </c>
      <c r="DH109" t="s">
        <v>1454</v>
      </c>
      <c r="DI109" t="s">
        <v>1454</v>
      </c>
      <c r="DK109" t="s">
        <v>1454</v>
      </c>
      <c r="DL109" t="s">
        <v>1454</v>
      </c>
      <c r="DM109" t="s">
        <v>1454</v>
      </c>
      <c r="DO109" t="s">
        <v>1454</v>
      </c>
      <c r="DP109" t="s">
        <v>1454</v>
      </c>
      <c r="DQ109" t="s">
        <v>1454</v>
      </c>
      <c r="DS109" t="s">
        <v>1454</v>
      </c>
      <c r="DT109" t="s">
        <v>1454</v>
      </c>
      <c r="DU109" t="s">
        <v>1454</v>
      </c>
      <c r="DW109" t="s">
        <v>1454</v>
      </c>
      <c r="DX109" t="s">
        <v>1454</v>
      </c>
      <c r="DY109" t="s">
        <v>1454</v>
      </c>
      <c r="EA109" t="s">
        <v>1454</v>
      </c>
      <c r="EB109" t="s">
        <v>1454</v>
      </c>
      <c r="EC109" t="s">
        <v>1454</v>
      </c>
      <c r="EE109" t="s">
        <v>1454</v>
      </c>
      <c r="EF109" t="s">
        <v>1454</v>
      </c>
      <c r="EG109" t="s">
        <v>1454</v>
      </c>
      <c r="EI109" t="s">
        <v>1454</v>
      </c>
      <c r="EJ109" t="s">
        <v>1454</v>
      </c>
      <c r="EK109" t="s">
        <v>1454</v>
      </c>
      <c r="EM109" t="s">
        <v>1454</v>
      </c>
      <c r="EN109" t="s">
        <v>1454</v>
      </c>
      <c r="EO109" t="s">
        <v>1454</v>
      </c>
      <c r="EQ109" t="s">
        <v>1454</v>
      </c>
      <c r="ER109" t="s">
        <v>1454</v>
      </c>
      <c r="ES109" t="s">
        <v>1454</v>
      </c>
      <c r="EU109" t="s">
        <v>1454</v>
      </c>
      <c r="EV109" t="s">
        <v>1454</v>
      </c>
      <c r="EW109" t="s">
        <v>1454</v>
      </c>
      <c r="EY109" t="s">
        <v>1454</v>
      </c>
      <c r="EZ109" t="s">
        <v>1454</v>
      </c>
      <c r="FA109" t="s">
        <v>1454</v>
      </c>
      <c r="FC109" t="s">
        <v>1454</v>
      </c>
      <c r="FD109" t="s">
        <v>1454</v>
      </c>
      <c r="FE109" t="s">
        <v>1454</v>
      </c>
      <c r="FG109" t="s">
        <v>1454</v>
      </c>
      <c r="FH109" t="s">
        <v>1454</v>
      </c>
      <c r="FI109" t="s">
        <v>1454</v>
      </c>
      <c r="FK109" t="s">
        <v>1454</v>
      </c>
      <c r="FL109" t="s">
        <v>1454</v>
      </c>
      <c r="FM109" t="s">
        <v>1454</v>
      </c>
      <c r="FO109" t="s">
        <v>1454</v>
      </c>
      <c r="FP109" t="s">
        <v>1454</v>
      </c>
      <c r="FQ109" t="s">
        <v>1454</v>
      </c>
      <c r="FS109" t="s">
        <v>1454</v>
      </c>
      <c r="FT109" t="s">
        <v>1454</v>
      </c>
      <c r="FU109" t="s">
        <v>1454</v>
      </c>
      <c r="FW109" t="s">
        <v>1454</v>
      </c>
      <c r="FX109" t="s">
        <v>1454</v>
      </c>
      <c r="FY109" t="s">
        <v>1454</v>
      </c>
      <c r="GA109" t="s">
        <v>1454</v>
      </c>
      <c r="GB109" t="s">
        <v>1454</v>
      </c>
      <c r="GC109" t="s">
        <v>1454</v>
      </c>
      <c r="GE109" t="s">
        <v>1454</v>
      </c>
      <c r="GF109" t="s">
        <v>1454</v>
      </c>
      <c r="GG109" t="s">
        <v>1454</v>
      </c>
      <c r="GI109" t="s">
        <v>1454</v>
      </c>
      <c r="GJ109" t="s">
        <v>1454</v>
      </c>
      <c r="GK109" t="s">
        <v>1454</v>
      </c>
      <c r="GM109" t="s">
        <v>1454</v>
      </c>
      <c r="GN109" t="s">
        <v>1454</v>
      </c>
      <c r="GO109" t="s">
        <v>1454</v>
      </c>
      <c r="GQ109" t="s">
        <v>1484</v>
      </c>
    </row>
    <row r="110" spans="2:199" x14ac:dyDescent="0.25">
      <c r="B110" t="s">
        <v>376</v>
      </c>
      <c r="C110" t="s">
        <v>1454</v>
      </c>
      <c r="D110" t="s">
        <v>1454</v>
      </c>
      <c r="E110" t="s">
        <v>1454</v>
      </c>
      <c r="G110" t="s">
        <v>1454</v>
      </c>
      <c r="H110" t="s">
        <v>1454</v>
      </c>
      <c r="I110" t="s">
        <v>1454</v>
      </c>
      <c r="K110" t="s">
        <v>1454</v>
      </c>
      <c r="L110" t="s">
        <v>1454</v>
      </c>
      <c r="M110" t="s">
        <v>1454</v>
      </c>
      <c r="O110" t="s">
        <v>1454</v>
      </c>
      <c r="P110" t="s">
        <v>1454</v>
      </c>
      <c r="Q110" t="s">
        <v>1454</v>
      </c>
      <c r="S110" t="s">
        <v>1454</v>
      </c>
      <c r="T110" t="s">
        <v>1454</v>
      </c>
      <c r="U110" t="s">
        <v>1454</v>
      </c>
      <c r="W110" t="s">
        <v>1454</v>
      </c>
      <c r="X110" t="s">
        <v>1454</v>
      </c>
      <c r="Y110" t="s">
        <v>1454</v>
      </c>
      <c r="AA110" t="s">
        <v>1454</v>
      </c>
      <c r="AB110" t="s">
        <v>1454</v>
      </c>
      <c r="AC110" t="s">
        <v>1454</v>
      </c>
      <c r="AE110" t="s">
        <v>1454</v>
      </c>
      <c r="AF110" t="s">
        <v>1454</v>
      </c>
      <c r="AG110" t="s">
        <v>1454</v>
      </c>
      <c r="AI110" t="s">
        <v>1454</v>
      </c>
      <c r="AJ110" t="s">
        <v>1454</v>
      </c>
      <c r="AK110" t="s">
        <v>1454</v>
      </c>
      <c r="AM110" t="s">
        <v>1454</v>
      </c>
      <c r="AN110" t="s">
        <v>1454</v>
      </c>
      <c r="AO110" t="s">
        <v>1454</v>
      </c>
      <c r="AQ110" t="s">
        <v>1454</v>
      </c>
      <c r="AR110" t="s">
        <v>1454</v>
      </c>
      <c r="AS110" t="s">
        <v>1454</v>
      </c>
      <c r="AU110" t="s">
        <v>613</v>
      </c>
      <c r="AV110" t="s">
        <v>1454</v>
      </c>
      <c r="AW110" t="s">
        <v>1454</v>
      </c>
      <c r="AY110" t="s">
        <v>1454</v>
      </c>
      <c r="AZ110" t="s">
        <v>1454</v>
      </c>
      <c r="BA110" t="s">
        <v>1454</v>
      </c>
      <c r="BC110" t="s">
        <v>1454</v>
      </c>
      <c r="BD110" t="s">
        <v>1454</v>
      </c>
      <c r="BE110" t="s">
        <v>1454</v>
      </c>
      <c r="BG110" t="s">
        <v>1454</v>
      </c>
      <c r="BH110" t="s">
        <v>1454</v>
      </c>
      <c r="BI110" t="s">
        <v>1454</v>
      </c>
      <c r="BK110" t="s">
        <v>1454</v>
      </c>
      <c r="BL110" t="s">
        <v>1454</v>
      </c>
      <c r="BM110" t="s">
        <v>1454</v>
      </c>
      <c r="BO110" t="s">
        <v>1454</v>
      </c>
      <c r="BP110" t="s">
        <v>1454</v>
      </c>
      <c r="BQ110" t="s">
        <v>1454</v>
      </c>
      <c r="BS110" t="s">
        <v>1454</v>
      </c>
      <c r="BT110" t="s">
        <v>1454</v>
      </c>
      <c r="BU110" t="s">
        <v>1454</v>
      </c>
      <c r="BW110" t="s">
        <v>1454</v>
      </c>
      <c r="BX110" t="s">
        <v>1454</v>
      </c>
      <c r="BY110" t="s">
        <v>1454</v>
      </c>
      <c r="CA110" t="s">
        <v>1454</v>
      </c>
      <c r="CB110" t="s">
        <v>1454</v>
      </c>
      <c r="CC110" t="s">
        <v>1454</v>
      </c>
      <c r="CE110" t="s">
        <v>1454</v>
      </c>
      <c r="CF110" t="s">
        <v>1454</v>
      </c>
      <c r="CG110" t="s">
        <v>1454</v>
      </c>
      <c r="CI110" t="s">
        <v>1454</v>
      </c>
      <c r="CJ110" t="s">
        <v>1454</v>
      </c>
      <c r="CK110" t="s">
        <v>1454</v>
      </c>
      <c r="CM110" t="s">
        <v>1454</v>
      </c>
      <c r="CN110" t="s">
        <v>1454</v>
      </c>
      <c r="CO110" t="s">
        <v>1454</v>
      </c>
      <c r="CQ110" t="s">
        <v>1454</v>
      </c>
      <c r="CR110" t="s">
        <v>1454</v>
      </c>
      <c r="CS110" t="s">
        <v>1454</v>
      </c>
      <c r="CU110" t="s">
        <v>1454</v>
      </c>
      <c r="CV110" t="s">
        <v>1454</v>
      </c>
      <c r="CW110" t="s">
        <v>1454</v>
      </c>
      <c r="CY110" t="s">
        <v>1454</v>
      </c>
      <c r="CZ110" t="s">
        <v>1454</v>
      </c>
      <c r="DA110" t="s">
        <v>1454</v>
      </c>
      <c r="DC110" t="s">
        <v>1454</v>
      </c>
      <c r="DD110" t="s">
        <v>1454</v>
      </c>
      <c r="DE110" t="s">
        <v>1454</v>
      </c>
      <c r="DG110" t="s">
        <v>1454</v>
      </c>
      <c r="DH110" t="s">
        <v>1454</v>
      </c>
      <c r="DI110" t="s">
        <v>1454</v>
      </c>
      <c r="DK110" t="s">
        <v>1454</v>
      </c>
      <c r="DL110" t="s">
        <v>1454</v>
      </c>
      <c r="DM110" t="s">
        <v>1454</v>
      </c>
      <c r="DO110" t="s">
        <v>1454</v>
      </c>
      <c r="DP110" t="s">
        <v>1454</v>
      </c>
      <c r="DQ110" t="s">
        <v>1454</v>
      </c>
      <c r="DS110" t="s">
        <v>1454</v>
      </c>
      <c r="DT110" t="s">
        <v>1454</v>
      </c>
      <c r="DU110" t="s">
        <v>1454</v>
      </c>
      <c r="DW110" t="s">
        <v>1454</v>
      </c>
      <c r="DX110" t="s">
        <v>1454</v>
      </c>
      <c r="DY110" t="s">
        <v>1454</v>
      </c>
      <c r="EA110" t="s">
        <v>1454</v>
      </c>
      <c r="EB110" t="s">
        <v>1454</v>
      </c>
      <c r="EC110" t="s">
        <v>1454</v>
      </c>
      <c r="EE110" t="s">
        <v>1454</v>
      </c>
      <c r="EF110" t="s">
        <v>1454</v>
      </c>
      <c r="EG110" t="s">
        <v>1454</v>
      </c>
      <c r="EI110" t="s">
        <v>1454</v>
      </c>
      <c r="EJ110" t="s">
        <v>1454</v>
      </c>
      <c r="EK110" t="s">
        <v>1454</v>
      </c>
      <c r="EM110" t="s">
        <v>1454</v>
      </c>
      <c r="EN110" t="s">
        <v>1454</v>
      </c>
      <c r="EO110" t="s">
        <v>1454</v>
      </c>
      <c r="EQ110" t="s">
        <v>1454</v>
      </c>
      <c r="ER110" t="s">
        <v>1454</v>
      </c>
      <c r="ES110" t="s">
        <v>1454</v>
      </c>
      <c r="EU110" t="s">
        <v>1454</v>
      </c>
      <c r="EV110" t="s">
        <v>1454</v>
      </c>
      <c r="EW110" t="s">
        <v>1454</v>
      </c>
      <c r="EY110" t="s">
        <v>1454</v>
      </c>
      <c r="EZ110" t="s">
        <v>1454</v>
      </c>
      <c r="FA110" t="s">
        <v>1454</v>
      </c>
      <c r="FC110" t="s">
        <v>1454</v>
      </c>
      <c r="FD110" t="s">
        <v>1454</v>
      </c>
      <c r="FE110" t="s">
        <v>1454</v>
      </c>
      <c r="FG110" t="s">
        <v>642</v>
      </c>
      <c r="FH110" t="s">
        <v>1454</v>
      </c>
      <c r="FI110" t="s">
        <v>1454</v>
      </c>
      <c r="FK110" t="s">
        <v>1454</v>
      </c>
      <c r="FL110" t="s">
        <v>1454</v>
      </c>
      <c r="FM110" t="s">
        <v>1454</v>
      </c>
      <c r="FO110" t="s">
        <v>1454</v>
      </c>
      <c r="FP110" t="s">
        <v>1454</v>
      </c>
      <c r="FQ110" t="s">
        <v>1454</v>
      </c>
      <c r="FS110" t="s">
        <v>1454</v>
      </c>
      <c r="FT110" t="s">
        <v>1454</v>
      </c>
      <c r="FU110" t="s">
        <v>1454</v>
      </c>
      <c r="FW110" t="s">
        <v>1454</v>
      </c>
      <c r="FX110" t="s">
        <v>1454</v>
      </c>
      <c r="FY110" t="s">
        <v>1454</v>
      </c>
      <c r="GA110" t="s">
        <v>1454</v>
      </c>
      <c r="GB110" t="s">
        <v>1454</v>
      </c>
      <c r="GC110" t="s">
        <v>1454</v>
      </c>
      <c r="GE110" t="s">
        <v>1454</v>
      </c>
      <c r="GF110" t="s">
        <v>1454</v>
      </c>
      <c r="GG110" t="s">
        <v>1454</v>
      </c>
      <c r="GI110" t="s">
        <v>1454</v>
      </c>
      <c r="GJ110" t="s">
        <v>1454</v>
      </c>
      <c r="GK110" t="s">
        <v>1454</v>
      </c>
      <c r="GM110" t="s">
        <v>1454</v>
      </c>
      <c r="GN110" t="s">
        <v>1454</v>
      </c>
      <c r="GO110" t="s">
        <v>1454</v>
      </c>
      <c r="GQ110" t="s">
        <v>1601</v>
      </c>
    </row>
    <row r="111" spans="2:199" s="11" customFormat="1" x14ac:dyDescent="0.25">
      <c r="B111" t="s">
        <v>468</v>
      </c>
      <c r="C111" t="s">
        <v>1454</v>
      </c>
      <c r="D111" t="s">
        <v>1454</v>
      </c>
      <c r="E111" t="s">
        <v>1454</v>
      </c>
      <c r="F111"/>
      <c r="G111" t="s">
        <v>1454</v>
      </c>
      <c r="H111" t="s">
        <v>1454</v>
      </c>
      <c r="I111" t="s">
        <v>1454</v>
      </c>
      <c r="J111"/>
      <c r="K111" t="s">
        <v>1454</v>
      </c>
      <c r="L111" t="s">
        <v>1454</v>
      </c>
      <c r="M111" t="s">
        <v>1454</v>
      </c>
      <c r="N111"/>
      <c r="O111" t="s">
        <v>1454</v>
      </c>
      <c r="P111" t="s">
        <v>1454</v>
      </c>
      <c r="Q111" t="s">
        <v>1454</v>
      </c>
      <c r="R111"/>
      <c r="S111" t="s">
        <v>1454</v>
      </c>
      <c r="T111" t="s">
        <v>1454</v>
      </c>
      <c r="U111" t="s">
        <v>1454</v>
      </c>
      <c r="V111"/>
      <c r="W111" t="s">
        <v>1454</v>
      </c>
      <c r="X111" t="s">
        <v>1454</v>
      </c>
      <c r="Y111" t="s">
        <v>1454</v>
      </c>
      <c r="Z111"/>
      <c r="AA111" t="s">
        <v>608</v>
      </c>
      <c r="AB111" t="s">
        <v>1454</v>
      </c>
      <c r="AC111" t="s">
        <v>1454</v>
      </c>
      <c r="AD111"/>
      <c r="AE111" t="s">
        <v>1454</v>
      </c>
      <c r="AF111" t="s">
        <v>1454</v>
      </c>
      <c r="AG111" t="s">
        <v>1454</v>
      </c>
      <c r="AH111"/>
      <c r="AI111" t="s">
        <v>610</v>
      </c>
      <c r="AJ111" t="s">
        <v>1454</v>
      </c>
      <c r="AK111" t="s">
        <v>1454</v>
      </c>
      <c r="AL111"/>
      <c r="AM111" t="s">
        <v>1454</v>
      </c>
      <c r="AN111" t="s">
        <v>1454</v>
      </c>
      <c r="AO111" t="s">
        <v>1454</v>
      </c>
      <c r="AP111"/>
      <c r="AQ111" t="s">
        <v>1454</v>
      </c>
      <c r="AR111" t="s">
        <v>1454</v>
      </c>
      <c r="AS111" t="s">
        <v>1454</v>
      </c>
      <c r="AT111"/>
      <c r="AU111" t="s">
        <v>1454</v>
      </c>
      <c r="AV111" t="s">
        <v>1454</v>
      </c>
      <c r="AW111" t="s">
        <v>1454</v>
      </c>
      <c r="AX111"/>
      <c r="AY111" t="s">
        <v>1454</v>
      </c>
      <c r="AZ111" t="s">
        <v>1454</v>
      </c>
      <c r="BA111" t="s">
        <v>1454</v>
      </c>
      <c r="BB111"/>
      <c r="BC111" t="s">
        <v>1454</v>
      </c>
      <c r="BD111" t="s">
        <v>1454</v>
      </c>
      <c r="BE111" t="s">
        <v>1454</v>
      </c>
      <c r="BF111"/>
      <c r="BG111" t="s">
        <v>1454</v>
      </c>
      <c r="BH111" t="s">
        <v>1454</v>
      </c>
      <c r="BI111" t="s">
        <v>1454</v>
      </c>
      <c r="BJ111"/>
      <c r="BK111" t="s">
        <v>1454</v>
      </c>
      <c r="BL111" t="s">
        <v>1454</v>
      </c>
      <c r="BM111" t="s">
        <v>1454</v>
      </c>
      <c r="BN111"/>
      <c r="BO111" t="s">
        <v>1454</v>
      </c>
      <c r="BP111" t="s">
        <v>1454</v>
      </c>
      <c r="BQ111" t="s">
        <v>1454</v>
      </c>
      <c r="BR111"/>
      <c r="BS111" t="s">
        <v>1454</v>
      </c>
      <c r="BT111" t="s">
        <v>1454</v>
      </c>
      <c r="BU111" t="s">
        <v>1454</v>
      </c>
      <c r="BV111"/>
      <c r="BW111" t="s">
        <v>1454</v>
      </c>
      <c r="BX111" t="s">
        <v>1454</v>
      </c>
      <c r="BY111" t="s">
        <v>1454</v>
      </c>
      <c r="BZ111"/>
      <c r="CA111" t="s">
        <v>1454</v>
      </c>
      <c r="CB111" t="s">
        <v>1454</v>
      </c>
      <c r="CC111" t="s">
        <v>1454</v>
      </c>
      <c r="CD111"/>
      <c r="CE111" t="s">
        <v>1454</v>
      </c>
      <c r="CF111" t="s">
        <v>1454</v>
      </c>
      <c r="CG111" t="s">
        <v>1454</v>
      </c>
      <c r="CH111"/>
      <c r="CI111" t="s">
        <v>1454</v>
      </c>
      <c r="CJ111" t="s">
        <v>1454</v>
      </c>
      <c r="CK111" t="s">
        <v>1454</v>
      </c>
      <c r="CL111"/>
      <c r="CM111" t="s">
        <v>1454</v>
      </c>
      <c r="CN111" t="s">
        <v>1454</v>
      </c>
      <c r="CO111" t="s">
        <v>1454</v>
      </c>
      <c r="CP111"/>
      <c r="CQ111" t="s">
        <v>1454</v>
      </c>
      <c r="CR111" t="s">
        <v>1454</v>
      </c>
      <c r="CS111" t="s">
        <v>1454</v>
      </c>
      <c r="CT111"/>
      <c r="CU111" t="s">
        <v>1454</v>
      </c>
      <c r="CV111" t="s">
        <v>1454</v>
      </c>
      <c r="CW111" t="s">
        <v>1454</v>
      </c>
      <c r="CX111"/>
      <c r="CY111" t="s">
        <v>1454</v>
      </c>
      <c r="CZ111" t="s">
        <v>1454</v>
      </c>
      <c r="DA111" t="s">
        <v>1454</v>
      </c>
      <c r="DB111"/>
      <c r="DC111" t="s">
        <v>1454</v>
      </c>
      <c r="DD111" t="s">
        <v>1454</v>
      </c>
      <c r="DE111" t="s">
        <v>1454</v>
      </c>
      <c r="DF111"/>
      <c r="DG111" t="s">
        <v>1454</v>
      </c>
      <c r="DH111" t="s">
        <v>1454</v>
      </c>
      <c r="DI111" t="s">
        <v>1454</v>
      </c>
      <c r="DJ111"/>
      <c r="DK111" t="s">
        <v>1454</v>
      </c>
      <c r="DL111" t="s">
        <v>1454</v>
      </c>
      <c r="DM111" t="s">
        <v>1454</v>
      </c>
      <c r="DN111"/>
      <c r="DO111" t="s">
        <v>1454</v>
      </c>
      <c r="DP111" t="s">
        <v>1454</v>
      </c>
      <c r="DQ111" t="s">
        <v>1454</v>
      </c>
      <c r="DR111"/>
      <c r="DS111" t="s">
        <v>1454</v>
      </c>
      <c r="DT111" t="s">
        <v>1454</v>
      </c>
      <c r="DU111" t="s">
        <v>1454</v>
      </c>
      <c r="DV111"/>
      <c r="DW111" t="s">
        <v>1454</v>
      </c>
      <c r="DX111" t="s">
        <v>1454</v>
      </c>
      <c r="DY111" t="s">
        <v>1454</v>
      </c>
      <c r="DZ111"/>
      <c r="EA111" t="s">
        <v>1454</v>
      </c>
      <c r="EB111" t="s">
        <v>1454</v>
      </c>
      <c r="EC111" t="s">
        <v>1454</v>
      </c>
      <c r="ED111"/>
      <c r="EE111" t="s">
        <v>1454</v>
      </c>
      <c r="EF111" t="s">
        <v>1454</v>
      </c>
      <c r="EG111" t="s">
        <v>1454</v>
      </c>
      <c r="EH111"/>
      <c r="EI111" t="s">
        <v>1454</v>
      </c>
      <c r="EJ111" t="s">
        <v>1454</v>
      </c>
      <c r="EK111" t="s">
        <v>1454</v>
      </c>
      <c r="EL111"/>
      <c r="EM111" t="s">
        <v>1454</v>
      </c>
      <c r="EN111" t="s">
        <v>1454</v>
      </c>
      <c r="EO111" t="s">
        <v>1454</v>
      </c>
      <c r="EP111"/>
      <c r="EQ111" t="s">
        <v>1454</v>
      </c>
      <c r="ER111" t="s">
        <v>1454</v>
      </c>
      <c r="ES111" t="s">
        <v>1454</v>
      </c>
      <c r="ET111"/>
      <c r="EU111" t="s">
        <v>1454</v>
      </c>
      <c r="EV111" t="s">
        <v>1454</v>
      </c>
      <c r="EW111" t="s">
        <v>1454</v>
      </c>
      <c r="EX111"/>
      <c r="EY111" t="s">
        <v>1454</v>
      </c>
      <c r="EZ111" t="s">
        <v>1454</v>
      </c>
      <c r="FA111" t="s">
        <v>1454</v>
      </c>
      <c r="FB111"/>
      <c r="FC111" t="s">
        <v>1454</v>
      </c>
      <c r="FD111" t="s">
        <v>1454</v>
      </c>
      <c r="FE111" t="s">
        <v>1454</v>
      </c>
      <c r="FF111"/>
      <c r="FG111" t="s">
        <v>1454</v>
      </c>
      <c r="FH111" t="s">
        <v>1454</v>
      </c>
      <c r="FI111" t="s">
        <v>1454</v>
      </c>
      <c r="FJ111"/>
      <c r="FK111" t="s">
        <v>1454</v>
      </c>
      <c r="FL111" t="s">
        <v>1454</v>
      </c>
      <c r="FM111" t="s">
        <v>1454</v>
      </c>
      <c r="FN111"/>
      <c r="FO111" t="s">
        <v>1454</v>
      </c>
      <c r="FP111" t="s">
        <v>1454</v>
      </c>
      <c r="FQ111" t="s">
        <v>1454</v>
      </c>
      <c r="FR111"/>
      <c r="FS111" t="s">
        <v>1454</v>
      </c>
      <c r="FT111" t="s">
        <v>1454</v>
      </c>
      <c r="FU111" t="s">
        <v>1454</v>
      </c>
      <c r="FV111"/>
      <c r="FW111" t="s">
        <v>1454</v>
      </c>
      <c r="FX111" t="s">
        <v>1454</v>
      </c>
      <c r="FY111" t="s">
        <v>1454</v>
      </c>
      <c r="FZ111"/>
      <c r="GA111" t="s">
        <v>1454</v>
      </c>
      <c r="GB111" t="s">
        <v>1454</v>
      </c>
      <c r="GC111" t="s">
        <v>1454</v>
      </c>
      <c r="GD111"/>
      <c r="GE111" t="s">
        <v>1454</v>
      </c>
      <c r="GF111" t="s">
        <v>1454</v>
      </c>
      <c r="GG111" t="s">
        <v>1454</v>
      </c>
      <c r="GH111"/>
      <c r="GI111" t="s">
        <v>1454</v>
      </c>
      <c r="GJ111" t="s">
        <v>1454</v>
      </c>
      <c r="GK111" t="s">
        <v>1454</v>
      </c>
      <c r="GL111"/>
      <c r="GM111" t="s">
        <v>1454</v>
      </c>
      <c r="GN111" t="s">
        <v>1454</v>
      </c>
      <c r="GO111" t="s">
        <v>1454</v>
      </c>
      <c r="GP111"/>
      <c r="GQ111" t="s">
        <v>1602</v>
      </c>
    </row>
    <row r="112" spans="2:199" x14ac:dyDescent="0.25">
      <c r="B112" t="s">
        <v>560</v>
      </c>
      <c r="C112" t="s">
        <v>1454</v>
      </c>
      <c r="D112" t="s">
        <v>1454</v>
      </c>
      <c r="E112" t="s">
        <v>1454</v>
      </c>
      <c r="G112" t="s">
        <v>1454</v>
      </c>
      <c r="H112" t="s">
        <v>1454</v>
      </c>
      <c r="I112" t="s">
        <v>1454</v>
      </c>
      <c r="K112" t="s">
        <v>1454</v>
      </c>
      <c r="L112" t="s">
        <v>1454</v>
      </c>
      <c r="M112" t="s">
        <v>1454</v>
      </c>
      <c r="O112" t="s">
        <v>1454</v>
      </c>
      <c r="P112" t="s">
        <v>1454</v>
      </c>
      <c r="Q112" t="s">
        <v>1454</v>
      </c>
      <c r="S112" t="s">
        <v>1454</v>
      </c>
      <c r="T112" t="s">
        <v>1454</v>
      </c>
      <c r="U112" t="s">
        <v>1454</v>
      </c>
      <c r="W112" t="s">
        <v>1454</v>
      </c>
      <c r="X112" t="s">
        <v>1454</v>
      </c>
      <c r="Y112" t="s">
        <v>1454</v>
      </c>
      <c r="AA112" t="s">
        <v>1454</v>
      </c>
      <c r="AB112" t="s">
        <v>1454</v>
      </c>
      <c r="AC112" t="s">
        <v>1454</v>
      </c>
      <c r="AE112" t="s">
        <v>1454</v>
      </c>
      <c r="AF112" t="s">
        <v>1454</v>
      </c>
      <c r="AG112" t="s">
        <v>1454</v>
      </c>
      <c r="AI112" t="s">
        <v>1454</v>
      </c>
      <c r="AJ112" t="s">
        <v>1454</v>
      </c>
      <c r="AK112" t="s">
        <v>1454</v>
      </c>
      <c r="AM112" t="s">
        <v>611</v>
      </c>
      <c r="AN112" t="s">
        <v>1454</v>
      </c>
      <c r="AO112" t="s">
        <v>1454</v>
      </c>
      <c r="AQ112" t="s">
        <v>1454</v>
      </c>
      <c r="AR112" t="s">
        <v>1454</v>
      </c>
      <c r="AS112" t="s">
        <v>1454</v>
      </c>
      <c r="AU112" t="s">
        <v>1454</v>
      </c>
      <c r="AV112" t="s">
        <v>1454</v>
      </c>
      <c r="AW112" t="s">
        <v>1454</v>
      </c>
      <c r="AY112" t="s">
        <v>1454</v>
      </c>
      <c r="AZ112" t="s">
        <v>1454</v>
      </c>
      <c r="BA112" t="s">
        <v>1454</v>
      </c>
      <c r="BC112" t="s">
        <v>1454</v>
      </c>
      <c r="BD112" t="s">
        <v>1454</v>
      </c>
      <c r="BE112" t="s">
        <v>1454</v>
      </c>
      <c r="BG112" t="s">
        <v>1454</v>
      </c>
      <c r="BH112" t="s">
        <v>1454</v>
      </c>
      <c r="BI112" t="s">
        <v>1454</v>
      </c>
      <c r="BK112" t="s">
        <v>1454</v>
      </c>
      <c r="BL112" t="s">
        <v>1454</v>
      </c>
      <c r="BM112" t="s">
        <v>1454</v>
      </c>
      <c r="BO112" t="s">
        <v>1454</v>
      </c>
      <c r="BP112" t="s">
        <v>1454</v>
      </c>
      <c r="BQ112" t="s">
        <v>1454</v>
      </c>
      <c r="BS112" t="s">
        <v>1454</v>
      </c>
      <c r="BT112" t="s">
        <v>1454</v>
      </c>
      <c r="BU112" t="s">
        <v>1454</v>
      </c>
      <c r="BW112" t="s">
        <v>1454</v>
      </c>
      <c r="BX112" t="s">
        <v>1454</v>
      </c>
      <c r="BY112" t="s">
        <v>1454</v>
      </c>
      <c r="CA112" t="s">
        <v>1454</v>
      </c>
      <c r="CB112" t="s">
        <v>1454</v>
      </c>
      <c r="CC112" t="s">
        <v>1454</v>
      </c>
      <c r="CE112" t="s">
        <v>1454</v>
      </c>
      <c r="CF112" t="s">
        <v>1454</v>
      </c>
      <c r="CG112" t="s">
        <v>1454</v>
      </c>
      <c r="CI112" t="s">
        <v>1454</v>
      </c>
      <c r="CJ112" t="s">
        <v>1454</v>
      </c>
      <c r="CK112" t="s">
        <v>1454</v>
      </c>
      <c r="CM112" t="s">
        <v>1454</v>
      </c>
      <c r="CN112" t="s">
        <v>1454</v>
      </c>
      <c r="CO112" t="s">
        <v>1454</v>
      </c>
      <c r="CQ112" t="s">
        <v>1454</v>
      </c>
      <c r="CR112" t="s">
        <v>1454</v>
      </c>
      <c r="CS112" t="s">
        <v>1454</v>
      </c>
      <c r="CU112" t="s">
        <v>1454</v>
      </c>
      <c r="CV112" t="s">
        <v>1454</v>
      </c>
      <c r="CW112" t="s">
        <v>1454</v>
      </c>
      <c r="CY112" t="s">
        <v>1454</v>
      </c>
      <c r="CZ112" t="s">
        <v>1454</v>
      </c>
      <c r="DA112" t="s">
        <v>1454</v>
      </c>
      <c r="DC112" t="s">
        <v>1454</v>
      </c>
      <c r="DD112" t="s">
        <v>1454</v>
      </c>
      <c r="DE112" t="s">
        <v>1454</v>
      </c>
      <c r="DG112" t="s">
        <v>1454</v>
      </c>
      <c r="DH112" t="s">
        <v>1454</v>
      </c>
      <c r="DI112" t="s">
        <v>1454</v>
      </c>
      <c r="DK112" t="s">
        <v>1454</v>
      </c>
      <c r="DL112" t="s">
        <v>1454</v>
      </c>
      <c r="DM112" t="s">
        <v>1454</v>
      </c>
      <c r="DO112" t="s">
        <v>1454</v>
      </c>
      <c r="DP112" t="s">
        <v>1454</v>
      </c>
      <c r="DQ112" t="s">
        <v>1454</v>
      </c>
      <c r="DS112" t="s">
        <v>1454</v>
      </c>
      <c r="DT112" t="s">
        <v>1454</v>
      </c>
      <c r="DU112" t="s">
        <v>1454</v>
      </c>
      <c r="DW112" t="s">
        <v>1454</v>
      </c>
      <c r="DX112" t="s">
        <v>1454</v>
      </c>
      <c r="DY112" t="s">
        <v>1454</v>
      </c>
      <c r="EA112" t="s">
        <v>1454</v>
      </c>
      <c r="EB112" t="s">
        <v>1454</v>
      </c>
      <c r="EC112" t="s">
        <v>1454</v>
      </c>
      <c r="EE112" t="s">
        <v>1454</v>
      </c>
      <c r="EF112" t="s">
        <v>1454</v>
      </c>
      <c r="EG112" t="s">
        <v>1454</v>
      </c>
      <c r="EI112" t="s">
        <v>1454</v>
      </c>
      <c r="EJ112" t="s">
        <v>1454</v>
      </c>
      <c r="EK112" t="s">
        <v>1454</v>
      </c>
      <c r="EM112" t="s">
        <v>1454</v>
      </c>
      <c r="EN112" t="s">
        <v>1454</v>
      </c>
      <c r="EO112" t="s">
        <v>1454</v>
      </c>
      <c r="EQ112" t="s">
        <v>1454</v>
      </c>
      <c r="ER112" t="s">
        <v>1454</v>
      </c>
      <c r="ES112" t="s">
        <v>1454</v>
      </c>
      <c r="EU112" t="s">
        <v>1454</v>
      </c>
      <c r="EV112" t="s">
        <v>1454</v>
      </c>
      <c r="EW112" t="s">
        <v>1454</v>
      </c>
      <c r="EY112" t="s">
        <v>1454</v>
      </c>
      <c r="EZ112" t="s">
        <v>1454</v>
      </c>
      <c r="FA112" t="s">
        <v>1454</v>
      </c>
      <c r="FC112" t="s">
        <v>1454</v>
      </c>
      <c r="FD112" t="s">
        <v>1454</v>
      </c>
      <c r="FE112" t="s">
        <v>1454</v>
      </c>
      <c r="FG112" t="s">
        <v>1454</v>
      </c>
      <c r="FH112" t="s">
        <v>1454</v>
      </c>
      <c r="FI112" t="s">
        <v>1454</v>
      </c>
      <c r="FK112" t="s">
        <v>1454</v>
      </c>
      <c r="FL112" t="s">
        <v>1454</v>
      </c>
      <c r="FM112" t="s">
        <v>1454</v>
      </c>
      <c r="FO112" t="s">
        <v>1454</v>
      </c>
      <c r="FP112" t="s">
        <v>1454</v>
      </c>
      <c r="FQ112" t="s">
        <v>1454</v>
      </c>
      <c r="FS112" t="s">
        <v>1454</v>
      </c>
      <c r="FT112" t="s">
        <v>1454</v>
      </c>
      <c r="FU112" t="s">
        <v>1454</v>
      </c>
      <c r="FW112" t="s">
        <v>1454</v>
      </c>
      <c r="FX112" t="s">
        <v>1454</v>
      </c>
      <c r="FY112" t="s">
        <v>1454</v>
      </c>
      <c r="GA112" t="s">
        <v>1454</v>
      </c>
      <c r="GB112" t="s">
        <v>1454</v>
      </c>
      <c r="GC112" t="s">
        <v>1454</v>
      </c>
      <c r="GE112" t="s">
        <v>1454</v>
      </c>
      <c r="GF112" t="s">
        <v>1454</v>
      </c>
      <c r="GG112" t="s">
        <v>1454</v>
      </c>
      <c r="GI112" t="s">
        <v>1454</v>
      </c>
      <c r="GJ112" t="s">
        <v>1454</v>
      </c>
      <c r="GK112" t="s">
        <v>1454</v>
      </c>
      <c r="GM112" t="s">
        <v>1454</v>
      </c>
      <c r="GN112" t="s">
        <v>1454</v>
      </c>
      <c r="GO112" t="s">
        <v>1454</v>
      </c>
      <c r="GQ112" t="s">
        <v>1561</v>
      </c>
    </row>
    <row r="113" spans="2:199" x14ac:dyDescent="0.25">
      <c r="B113" t="s">
        <v>592</v>
      </c>
      <c r="C113" t="s">
        <v>1454</v>
      </c>
      <c r="D113" t="s">
        <v>1454</v>
      </c>
      <c r="E113" t="s">
        <v>1454</v>
      </c>
      <c r="G113" t="s">
        <v>1454</v>
      </c>
      <c r="H113" t="s">
        <v>1454</v>
      </c>
      <c r="I113" t="s">
        <v>1454</v>
      </c>
      <c r="K113" t="s">
        <v>1454</v>
      </c>
      <c r="L113" t="s">
        <v>1454</v>
      </c>
      <c r="M113" t="s">
        <v>1454</v>
      </c>
      <c r="O113" t="s">
        <v>1454</v>
      </c>
      <c r="P113" t="s">
        <v>1454</v>
      </c>
      <c r="Q113" t="s">
        <v>1454</v>
      </c>
      <c r="S113" t="s">
        <v>1454</v>
      </c>
      <c r="T113" t="s">
        <v>1454</v>
      </c>
      <c r="U113" t="s">
        <v>1454</v>
      </c>
      <c r="W113" t="s">
        <v>1454</v>
      </c>
      <c r="X113" t="s">
        <v>1454</v>
      </c>
      <c r="Y113" t="s">
        <v>1454</v>
      </c>
      <c r="AA113" t="s">
        <v>1454</v>
      </c>
      <c r="AB113" t="s">
        <v>1454</v>
      </c>
      <c r="AC113" t="s">
        <v>1454</v>
      </c>
      <c r="AE113" t="s">
        <v>1454</v>
      </c>
      <c r="AF113" t="s">
        <v>1454</v>
      </c>
      <c r="AG113" t="s">
        <v>1454</v>
      </c>
      <c r="AI113" t="s">
        <v>1454</v>
      </c>
      <c r="AJ113" t="s">
        <v>1454</v>
      </c>
      <c r="AK113" t="s">
        <v>1454</v>
      </c>
      <c r="AM113" t="s">
        <v>1454</v>
      </c>
      <c r="AN113" t="s">
        <v>1454</v>
      </c>
      <c r="AO113" t="s">
        <v>1454</v>
      </c>
      <c r="AQ113" t="s">
        <v>1454</v>
      </c>
      <c r="AR113" t="s">
        <v>1454</v>
      </c>
      <c r="AS113" t="s">
        <v>1454</v>
      </c>
      <c r="AU113" t="s">
        <v>1454</v>
      </c>
      <c r="AV113" t="s">
        <v>1454</v>
      </c>
      <c r="AW113" t="s">
        <v>1454</v>
      </c>
      <c r="AY113" t="s">
        <v>1454</v>
      </c>
      <c r="AZ113" t="s">
        <v>1454</v>
      </c>
      <c r="BA113" t="s">
        <v>1454</v>
      </c>
      <c r="BC113" t="s">
        <v>1454</v>
      </c>
      <c r="BD113" t="s">
        <v>1454</v>
      </c>
      <c r="BE113" t="s">
        <v>1454</v>
      </c>
      <c r="BG113" t="s">
        <v>1454</v>
      </c>
      <c r="BH113" t="s">
        <v>1454</v>
      </c>
      <c r="BI113" t="s">
        <v>1454</v>
      </c>
      <c r="BK113" t="s">
        <v>1454</v>
      </c>
      <c r="BL113" t="s">
        <v>1454</v>
      </c>
      <c r="BM113" t="s">
        <v>1454</v>
      </c>
      <c r="BO113" t="s">
        <v>1454</v>
      </c>
      <c r="BP113" t="s">
        <v>1454</v>
      </c>
      <c r="BQ113" t="s">
        <v>1454</v>
      </c>
      <c r="BS113" t="s">
        <v>1454</v>
      </c>
      <c r="BT113" t="s">
        <v>1454</v>
      </c>
      <c r="BU113" t="s">
        <v>1454</v>
      </c>
      <c r="BW113" t="s">
        <v>1454</v>
      </c>
      <c r="BX113" t="s">
        <v>1454</v>
      </c>
      <c r="BY113" t="s">
        <v>1454</v>
      </c>
      <c r="CA113" t="s">
        <v>1454</v>
      </c>
      <c r="CB113" t="s">
        <v>1454</v>
      </c>
      <c r="CC113" t="s">
        <v>1454</v>
      </c>
      <c r="CE113" t="s">
        <v>1454</v>
      </c>
      <c r="CF113" t="s">
        <v>1454</v>
      </c>
      <c r="CG113" t="s">
        <v>1454</v>
      </c>
      <c r="CI113" t="s">
        <v>1454</v>
      </c>
      <c r="CJ113" t="s">
        <v>1454</v>
      </c>
      <c r="CK113" t="s">
        <v>1454</v>
      </c>
      <c r="CM113" t="s">
        <v>1454</v>
      </c>
      <c r="CN113" t="s">
        <v>1454</v>
      </c>
      <c r="CO113" t="s">
        <v>1454</v>
      </c>
      <c r="CQ113" t="s">
        <v>1454</v>
      </c>
      <c r="CR113" t="s">
        <v>1454</v>
      </c>
      <c r="CS113" t="s">
        <v>1454</v>
      </c>
      <c r="CU113" t="s">
        <v>1454</v>
      </c>
      <c r="CV113" t="s">
        <v>1454</v>
      </c>
      <c r="CW113" t="s">
        <v>1454</v>
      </c>
      <c r="CY113" t="s">
        <v>1454</v>
      </c>
      <c r="CZ113" t="s">
        <v>1454</v>
      </c>
      <c r="DA113" t="s">
        <v>1454</v>
      </c>
      <c r="DC113" t="s">
        <v>1454</v>
      </c>
      <c r="DD113" t="s">
        <v>1454</v>
      </c>
      <c r="DE113" t="s">
        <v>1454</v>
      </c>
      <c r="DG113" t="s">
        <v>1454</v>
      </c>
      <c r="DH113" t="s">
        <v>1454</v>
      </c>
      <c r="DI113" t="s">
        <v>1454</v>
      </c>
      <c r="DK113" t="s">
        <v>630</v>
      </c>
      <c r="DL113" t="s">
        <v>1454</v>
      </c>
      <c r="DM113" t="s">
        <v>1454</v>
      </c>
      <c r="DO113" t="s">
        <v>1454</v>
      </c>
      <c r="DP113" t="s">
        <v>1454</v>
      </c>
      <c r="DQ113" t="s">
        <v>1454</v>
      </c>
      <c r="DS113" t="s">
        <v>1454</v>
      </c>
      <c r="DT113" t="s">
        <v>1454</v>
      </c>
      <c r="DU113" t="s">
        <v>1454</v>
      </c>
      <c r="DW113" t="s">
        <v>1454</v>
      </c>
      <c r="DX113" t="s">
        <v>1454</v>
      </c>
      <c r="DY113" t="s">
        <v>1454</v>
      </c>
      <c r="EA113" t="s">
        <v>1454</v>
      </c>
      <c r="EB113" t="s">
        <v>1454</v>
      </c>
      <c r="EC113" t="s">
        <v>1454</v>
      </c>
      <c r="EE113" t="s">
        <v>1454</v>
      </c>
      <c r="EF113" t="s">
        <v>1454</v>
      </c>
      <c r="EG113" t="s">
        <v>1454</v>
      </c>
      <c r="EI113" t="s">
        <v>1454</v>
      </c>
      <c r="EJ113" t="s">
        <v>1454</v>
      </c>
      <c r="EK113" t="s">
        <v>1454</v>
      </c>
      <c r="EM113" t="s">
        <v>1454</v>
      </c>
      <c r="EN113" t="s">
        <v>1454</v>
      </c>
      <c r="EO113" t="s">
        <v>1454</v>
      </c>
      <c r="EQ113" t="s">
        <v>1454</v>
      </c>
      <c r="ER113" t="s">
        <v>1454</v>
      </c>
      <c r="ES113" t="s">
        <v>1454</v>
      </c>
      <c r="EU113" t="s">
        <v>1454</v>
      </c>
      <c r="EV113" t="s">
        <v>1454</v>
      </c>
      <c r="EW113" t="s">
        <v>1454</v>
      </c>
      <c r="EY113" t="s">
        <v>1454</v>
      </c>
      <c r="EZ113" t="s">
        <v>1454</v>
      </c>
      <c r="FA113" t="s">
        <v>1454</v>
      </c>
      <c r="FC113" t="s">
        <v>1454</v>
      </c>
      <c r="FD113" t="s">
        <v>1454</v>
      </c>
      <c r="FE113" t="s">
        <v>1454</v>
      </c>
      <c r="FG113" t="s">
        <v>1454</v>
      </c>
      <c r="FH113" t="s">
        <v>1454</v>
      </c>
      <c r="FI113" t="s">
        <v>1454</v>
      </c>
      <c r="FK113" t="s">
        <v>1454</v>
      </c>
      <c r="FL113" t="s">
        <v>1454</v>
      </c>
      <c r="FM113" t="s">
        <v>1454</v>
      </c>
      <c r="FO113" t="s">
        <v>1454</v>
      </c>
      <c r="FP113" t="s">
        <v>1454</v>
      </c>
      <c r="FQ113" t="s">
        <v>1454</v>
      </c>
      <c r="FS113" t="s">
        <v>1454</v>
      </c>
      <c r="FT113" t="s">
        <v>1454</v>
      </c>
      <c r="FU113" t="s">
        <v>1454</v>
      </c>
      <c r="FW113" t="s">
        <v>1454</v>
      </c>
      <c r="FX113" t="s">
        <v>1454</v>
      </c>
      <c r="FY113" t="s">
        <v>1454</v>
      </c>
      <c r="GA113" t="s">
        <v>1454</v>
      </c>
      <c r="GB113" t="s">
        <v>1454</v>
      </c>
      <c r="GC113" t="s">
        <v>1454</v>
      </c>
      <c r="GE113" t="s">
        <v>1454</v>
      </c>
      <c r="GF113" t="s">
        <v>1454</v>
      </c>
      <c r="GG113" t="s">
        <v>1454</v>
      </c>
      <c r="GI113" t="s">
        <v>1454</v>
      </c>
      <c r="GJ113" t="s">
        <v>1454</v>
      </c>
      <c r="GK113" t="s">
        <v>1454</v>
      </c>
      <c r="GM113" t="s">
        <v>1454</v>
      </c>
      <c r="GN113" t="s">
        <v>1454</v>
      </c>
      <c r="GO113" t="s">
        <v>1454</v>
      </c>
      <c r="GQ113" t="s">
        <v>1568</v>
      </c>
    </row>
    <row r="114" spans="2:199" x14ac:dyDescent="0.25">
      <c r="B114" t="s">
        <v>469</v>
      </c>
      <c r="C114" t="s">
        <v>603</v>
      </c>
      <c r="D114" t="s">
        <v>1454</v>
      </c>
      <c r="E114" t="s">
        <v>1454</v>
      </c>
      <c r="G114" t="s">
        <v>604</v>
      </c>
      <c r="H114" t="s">
        <v>1454</v>
      </c>
      <c r="I114" t="s">
        <v>1454</v>
      </c>
      <c r="K114" t="s">
        <v>392</v>
      </c>
      <c r="L114" t="s">
        <v>1454</v>
      </c>
      <c r="M114" t="s">
        <v>1454</v>
      </c>
      <c r="O114" t="s">
        <v>605</v>
      </c>
      <c r="P114" t="s">
        <v>1454</v>
      </c>
      <c r="Q114" t="s">
        <v>1454</v>
      </c>
      <c r="S114" t="s">
        <v>606</v>
      </c>
      <c r="T114" t="s">
        <v>1454</v>
      </c>
      <c r="U114" t="s">
        <v>1454</v>
      </c>
      <c r="W114" t="s">
        <v>607</v>
      </c>
      <c r="X114" t="s">
        <v>1454</v>
      </c>
      <c r="Y114" t="s">
        <v>1454</v>
      </c>
      <c r="AA114" t="s">
        <v>608</v>
      </c>
      <c r="AB114" t="s">
        <v>1454</v>
      </c>
      <c r="AC114" t="s">
        <v>1454</v>
      </c>
      <c r="AE114" t="s">
        <v>609</v>
      </c>
      <c r="AF114" t="s">
        <v>1454</v>
      </c>
      <c r="AG114" t="s">
        <v>1454</v>
      </c>
      <c r="AI114" t="s">
        <v>610</v>
      </c>
      <c r="AJ114" t="s">
        <v>1454</v>
      </c>
      <c r="AK114" t="s">
        <v>1454</v>
      </c>
      <c r="AM114" t="s">
        <v>1454</v>
      </c>
      <c r="AN114" t="s">
        <v>1454</v>
      </c>
      <c r="AO114" t="s">
        <v>1454</v>
      </c>
      <c r="AQ114" t="s">
        <v>612</v>
      </c>
      <c r="AR114" t="s">
        <v>1454</v>
      </c>
      <c r="AS114" t="s">
        <v>1454</v>
      </c>
      <c r="AU114" t="s">
        <v>1454</v>
      </c>
      <c r="AV114" t="s">
        <v>1454</v>
      </c>
      <c r="AW114" t="s">
        <v>1454</v>
      </c>
      <c r="AY114" t="s">
        <v>614</v>
      </c>
      <c r="AZ114" t="s">
        <v>1454</v>
      </c>
      <c r="BA114" t="s">
        <v>1454</v>
      </c>
      <c r="BC114" t="s">
        <v>615</v>
      </c>
      <c r="BD114" t="s">
        <v>1454</v>
      </c>
      <c r="BE114" t="s">
        <v>1454</v>
      </c>
      <c r="BG114" t="s">
        <v>616</v>
      </c>
      <c r="BH114" t="s">
        <v>1454</v>
      </c>
      <c r="BI114" t="s">
        <v>1454</v>
      </c>
      <c r="BK114" t="s">
        <v>617</v>
      </c>
      <c r="BL114" t="s">
        <v>1454</v>
      </c>
      <c r="BM114" t="s">
        <v>1454</v>
      </c>
      <c r="BO114" t="s">
        <v>618</v>
      </c>
      <c r="BP114" t="s">
        <v>1454</v>
      </c>
      <c r="BQ114" t="s">
        <v>1454</v>
      </c>
      <c r="BS114" t="s">
        <v>619</v>
      </c>
      <c r="BT114" t="s">
        <v>1454</v>
      </c>
      <c r="BU114" t="s">
        <v>1454</v>
      </c>
      <c r="BW114" t="s">
        <v>620</v>
      </c>
      <c r="BX114" t="s">
        <v>1454</v>
      </c>
      <c r="BY114" t="s">
        <v>1454</v>
      </c>
      <c r="CA114" t="s">
        <v>621</v>
      </c>
      <c r="CB114" t="s">
        <v>1454</v>
      </c>
      <c r="CC114" t="s">
        <v>1454</v>
      </c>
      <c r="CE114" t="s">
        <v>622</v>
      </c>
      <c r="CF114" t="s">
        <v>1454</v>
      </c>
      <c r="CG114" t="s">
        <v>1454</v>
      </c>
      <c r="CI114" t="s">
        <v>623</v>
      </c>
      <c r="CJ114" t="s">
        <v>1454</v>
      </c>
      <c r="CK114" t="s">
        <v>1454</v>
      </c>
      <c r="CM114" t="s">
        <v>624</v>
      </c>
      <c r="CN114" t="s">
        <v>1454</v>
      </c>
      <c r="CO114" t="s">
        <v>1454</v>
      </c>
      <c r="CQ114" t="s">
        <v>625</v>
      </c>
      <c r="CR114" t="s">
        <v>1454</v>
      </c>
      <c r="CS114" t="s">
        <v>1454</v>
      </c>
      <c r="CU114" t="s">
        <v>626</v>
      </c>
      <c r="CV114" t="s">
        <v>1454</v>
      </c>
      <c r="CW114" t="s">
        <v>1454</v>
      </c>
      <c r="CY114" t="s">
        <v>627</v>
      </c>
      <c r="CZ114" t="s">
        <v>1454</v>
      </c>
      <c r="DA114" t="s">
        <v>1454</v>
      </c>
      <c r="DC114" t="s">
        <v>628</v>
      </c>
      <c r="DD114" t="s">
        <v>1454</v>
      </c>
      <c r="DE114" t="s">
        <v>1454</v>
      </c>
      <c r="DG114" t="s">
        <v>629</v>
      </c>
      <c r="DH114" t="s">
        <v>1454</v>
      </c>
      <c r="DI114" t="s">
        <v>1454</v>
      </c>
      <c r="DK114" t="s">
        <v>1454</v>
      </c>
      <c r="DL114" t="s">
        <v>1454</v>
      </c>
      <c r="DM114" t="s">
        <v>1454</v>
      </c>
      <c r="DO114" t="s">
        <v>1454</v>
      </c>
      <c r="DP114" t="s">
        <v>1454</v>
      </c>
      <c r="DQ114" t="s">
        <v>1454</v>
      </c>
      <c r="DS114" t="s">
        <v>1454</v>
      </c>
      <c r="DT114" t="s">
        <v>1454</v>
      </c>
      <c r="DU114" t="s">
        <v>1454</v>
      </c>
      <c r="DW114" t="s">
        <v>1454</v>
      </c>
      <c r="DX114" t="s">
        <v>1454</v>
      </c>
      <c r="DY114" t="s">
        <v>1454</v>
      </c>
      <c r="EA114" t="s">
        <v>1454</v>
      </c>
      <c r="EB114" t="s">
        <v>1454</v>
      </c>
      <c r="EC114" t="s">
        <v>1454</v>
      </c>
      <c r="EE114" t="s">
        <v>635</v>
      </c>
      <c r="EF114" t="s">
        <v>1454</v>
      </c>
      <c r="EG114" t="s">
        <v>1454</v>
      </c>
      <c r="EI114" t="s">
        <v>636</v>
      </c>
      <c r="EJ114" t="s">
        <v>1454</v>
      </c>
      <c r="EK114" t="s">
        <v>1454</v>
      </c>
      <c r="EM114" t="s">
        <v>637</v>
      </c>
      <c r="EN114" t="s">
        <v>1454</v>
      </c>
      <c r="EO114" t="s">
        <v>1454</v>
      </c>
      <c r="EQ114" t="s">
        <v>638</v>
      </c>
      <c r="ER114" t="s">
        <v>1454</v>
      </c>
      <c r="ES114" t="s">
        <v>1454</v>
      </c>
      <c r="EU114" t="s">
        <v>639</v>
      </c>
      <c r="EV114" t="s">
        <v>1454</v>
      </c>
      <c r="EW114" t="s">
        <v>1454</v>
      </c>
      <c r="EY114" t="s">
        <v>1454</v>
      </c>
      <c r="EZ114" t="s">
        <v>1454</v>
      </c>
      <c r="FA114" t="s">
        <v>1454</v>
      </c>
      <c r="FC114" t="s">
        <v>1454</v>
      </c>
      <c r="FD114" t="s">
        <v>1454</v>
      </c>
      <c r="FE114" t="s">
        <v>1454</v>
      </c>
      <c r="FG114" t="s">
        <v>1454</v>
      </c>
      <c r="FH114" t="s">
        <v>1454</v>
      </c>
      <c r="FI114" t="s">
        <v>1454</v>
      </c>
      <c r="FK114" t="s">
        <v>643</v>
      </c>
      <c r="FL114" t="s">
        <v>1454</v>
      </c>
      <c r="FM114" t="s">
        <v>1454</v>
      </c>
      <c r="FO114" t="s">
        <v>1454</v>
      </c>
      <c r="FP114" t="s">
        <v>1454</v>
      </c>
      <c r="FQ114" t="s">
        <v>1454</v>
      </c>
      <c r="FS114" t="s">
        <v>1454</v>
      </c>
      <c r="FT114" t="s">
        <v>1454</v>
      </c>
      <c r="FU114" t="s">
        <v>1454</v>
      </c>
      <c r="FW114" t="s">
        <v>645</v>
      </c>
      <c r="FX114" t="s">
        <v>1454</v>
      </c>
      <c r="FY114" t="s">
        <v>1454</v>
      </c>
      <c r="GA114" t="s">
        <v>1454</v>
      </c>
      <c r="GB114" t="s">
        <v>1454</v>
      </c>
      <c r="GC114" t="s">
        <v>1454</v>
      </c>
      <c r="GE114" t="s">
        <v>647</v>
      </c>
      <c r="GF114" t="s">
        <v>1454</v>
      </c>
      <c r="GG114" t="s">
        <v>1454</v>
      </c>
      <c r="GI114" t="s">
        <v>1454</v>
      </c>
      <c r="GJ114" t="s">
        <v>1454</v>
      </c>
      <c r="GK114" t="s">
        <v>1454</v>
      </c>
      <c r="GM114" t="s">
        <v>649</v>
      </c>
      <c r="GN114" t="s">
        <v>1454</v>
      </c>
      <c r="GO114" t="s">
        <v>1454</v>
      </c>
      <c r="GQ114" t="s">
        <v>1603</v>
      </c>
    </row>
    <row r="115" spans="2:199" s="11" customFormat="1" x14ac:dyDescent="0.25">
      <c r="B115" t="s">
        <v>470</v>
      </c>
      <c r="C115" t="s">
        <v>1454</v>
      </c>
      <c r="D115" t="s">
        <v>1454</v>
      </c>
      <c r="E115" t="s">
        <v>1454</v>
      </c>
      <c r="F115"/>
      <c r="G115" t="s">
        <v>1454</v>
      </c>
      <c r="H115" t="s">
        <v>1454</v>
      </c>
      <c r="I115" t="s">
        <v>1454</v>
      </c>
      <c r="J115"/>
      <c r="K115" t="s">
        <v>1454</v>
      </c>
      <c r="L115" t="s">
        <v>1454</v>
      </c>
      <c r="M115" t="s">
        <v>1454</v>
      </c>
      <c r="N115"/>
      <c r="O115" t="s">
        <v>1454</v>
      </c>
      <c r="P115" t="s">
        <v>1454</v>
      </c>
      <c r="Q115" t="s">
        <v>1454</v>
      </c>
      <c r="R115"/>
      <c r="S115" t="s">
        <v>1454</v>
      </c>
      <c r="T115" t="s">
        <v>1454</v>
      </c>
      <c r="U115" t="s">
        <v>1454</v>
      </c>
      <c r="V115"/>
      <c r="W115" t="s">
        <v>1454</v>
      </c>
      <c r="X115" t="s">
        <v>1454</v>
      </c>
      <c r="Y115" t="s">
        <v>1454</v>
      </c>
      <c r="Z115"/>
      <c r="AA115" t="s">
        <v>1454</v>
      </c>
      <c r="AB115" t="s">
        <v>1454</v>
      </c>
      <c r="AC115" t="s">
        <v>1454</v>
      </c>
      <c r="AD115"/>
      <c r="AE115" t="s">
        <v>1454</v>
      </c>
      <c r="AF115" t="s">
        <v>1454</v>
      </c>
      <c r="AG115" t="s">
        <v>1454</v>
      </c>
      <c r="AH115"/>
      <c r="AI115" t="s">
        <v>1454</v>
      </c>
      <c r="AJ115" t="s">
        <v>1454</v>
      </c>
      <c r="AK115" t="s">
        <v>1454</v>
      </c>
      <c r="AL115"/>
      <c r="AM115" t="s">
        <v>1454</v>
      </c>
      <c r="AN115" t="s">
        <v>1454</v>
      </c>
      <c r="AO115" t="s">
        <v>1454</v>
      </c>
      <c r="AP115"/>
      <c r="AQ115" t="s">
        <v>1454</v>
      </c>
      <c r="AR115" t="s">
        <v>1454</v>
      </c>
      <c r="AS115" t="s">
        <v>1454</v>
      </c>
      <c r="AT115"/>
      <c r="AU115" t="s">
        <v>1454</v>
      </c>
      <c r="AV115" t="s">
        <v>1454</v>
      </c>
      <c r="AW115" t="s">
        <v>1454</v>
      </c>
      <c r="AX115"/>
      <c r="AY115" t="s">
        <v>1454</v>
      </c>
      <c r="AZ115" t="s">
        <v>1454</v>
      </c>
      <c r="BA115" t="s">
        <v>1454</v>
      </c>
      <c r="BB115"/>
      <c r="BC115" t="s">
        <v>1454</v>
      </c>
      <c r="BD115" t="s">
        <v>1454</v>
      </c>
      <c r="BE115" t="s">
        <v>1454</v>
      </c>
      <c r="BF115"/>
      <c r="BG115" t="s">
        <v>616</v>
      </c>
      <c r="BH115" t="s">
        <v>1454</v>
      </c>
      <c r="BI115" t="s">
        <v>1454</v>
      </c>
      <c r="BJ115"/>
      <c r="BK115" t="s">
        <v>1454</v>
      </c>
      <c r="BL115" t="s">
        <v>1454</v>
      </c>
      <c r="BM115" t="s">
        <v>1454</v>
      </c>
      <c r="BN115"/>
      <c r="BO115" t="s">
        <v>1454</v>
      </c>
      <c r="BP115" t="s">
        <v>1454</v>
      </c>
      <c r="BQ115" t="s">
        <v>1454</v>
      </c>
      <c r="BR115"/>
      <c r="BS115" t="s">
        <v>1454</v>
      </c>
      <c r="BT115" t="s">
        <v>1454</v>
      </c>
      <c r="BU115" t="s">
        <v>1454</v>
      </c>
      <c r="BV115"/>
      <c r="BW115" t="s">
        <v>1454</v>
      </c>
      <c r="BX115" t="s">
        <v>1454</v>
      </c>
      <c r="BY115" t="s">
        <v>1454</v>
      </c>
      <c r="BZ115"/>
      <c r="CA115" t="s">
        <v>1454</v>
      </c>
      <c r="CB115" t="s">
        <v>1454</v>
      </c>
      <c r="CC115" t="s">
        <v>1454</v>
      </c>
      <c r="CD115"/>
      <c r="CE115" t="s">
        <v>1454</v>
      </c>
      <c r="CF115" t="s">
        <v>1454</v>
      </c>
      <c r="CG115" t="s">
        <v>1454</v>
      </c>
      <c r="CH115"/>
      <c r="CI115" t="s">
        <v>1454</v>
      </c>
      <c r="CJ115" t="s">
        <v>1454</v>
      </c>
      <c r="CK115" t="s">
        <v>1454</v>
      </c>
      <c r="CL115"/>
      <c r="CM115" t="s">
        <v>1454</v>
      </c>
      <c r="CN115" t="s">
        <v>1454</v>
      </c>
      <c r="CO115" t="s">
        <v>1454</v>
      </c>
      <c r="CP115"/>
      <c r="CQ115" t="s">
        <v>1454</v>
      </c>
      <c r="CR115" t="s">
        <v>1454</v>
      </c>
      <c r="CS115" t="s">
        <v>1454</v>
      </c>
      <c r="CT115"/>
      <c r="CU115" t="s">
        <v>1454</v>
      </c>
      <c r="CV115" t="s">
        <v>1454</v>
      </c>
      <c r="CW115" t="s">
        <v>1454</v>
      </c>
      <c r="CX115"/>
      <c r="CY115" t="s">
        <v>1454</v>
      </c>
      <c r="CZ115" t="s">
        <v>1454</v>
      </c>
      <c r="DA115" t="s">
        <v>1454</v>
      </c>
      <c r="DB115"/>
      <c r="DC115" t="s">
        <v>1454</v>
      </c>
      <c r="DD115" t="s">
        <v>1454</v>
      </c>
      <c r="DE115" t="s">
        <v>1454</v>
      </c>
      <c r="DF115"/>
      <c r="DG115" t="s">
        <v>1454</v>
      </c>
      <c r="DH115" t="s">
        <v>1454</v>
      </c>
      <c r="DI115" t="s">
        <v>1454</v>
      </c>
      <c r="DJ115"/>
      <c r="DK115" t="s">
        <v>1454</v>
      </c>
      <c r="DL115" t="s">
        <v>1454</v>
      </c>
      <c r="DM115" t="s">
        <v>1454</v>
      </c>
      <c r="DN115"/>
      <c r="DO115" t="s">
        <v>1454</v>
      </c>
      <c r="DP115" t="s">
        <v>1454</v>
      </c>
      <c r="DQ115" t="s">
        <v>1454</v>
      </c>
      <c r="DR115"/>
      <c r="DS115" t="s">
        <v>1454</v>
      </c>
      <c r="DT115" t="s">
        <v>1454</v>
      </c>
      <c r="DU115" t="s">
        <v>1454</v>
      </c>
      <c r="DV115"/>
      <c r="DW115" t="s">
        <v>1454</v>
      </c>
      <c r="DX115" t="s">
        <v>1454</v>
      </c>
      <c r="DY115" t="s">
        <v>1454</v>
      </c>
      <c r="DZ115"/>
      <c r="EA115" t="s">
        <v>1454</v>
      </c>
      <c r="EB115" t="s">
        <v>1454</v>
      </c>
      <c r="EC115" t="s">
        <v>1454</v>
      </c>
      <c r="ED115"/>
      <c r="EE115" t="s">
        <v>1454</v>
      </c>
      <c r="EF115" t="s">
        <v>1454</v>
      </c>
      <c r="EG115" t="s">
        <v>1454</v>
      </c>
      <c r="EH115"/>
      <c r="EI115" t="s">
        <v>1454</v>
      </c>
      <c r="EJ115" t="s">
        <v>1454</v>
      </c>
      <c r="EK115" t="s">
        <v>1454</v>
      </c>
      <c r="EL115"/>
      <c r="EM115" t="s">
        <v>1454</v>
      </c>
      <c r="EN115" t="s">
        <v>1454</v>
      </c>
      <c r="EO115" t="s">
        <v>1454</v>
      </c>
      <c r="EP115"/>
      <c r="EQ115" t="s">
        <v>1454</v>
      </c>
      <c r="ER115" t="s">
        <v>1454</v>
      </c>
      <c r="ES115" t="s">
        <v>1454</v>
      </c>
      <c r="ET115"/>
      <c r="EU115" t="s">
        <v>1454</v>
      </c>
      <c r="EV115" t="s">
        <v>1454</v>
      </c>
      <c r="EW115" t="s">
        <v>1454</v>
      </c>
      <c r="EX115"/>
      <c r="EY115" t="s">
        <v>1454</v>
      </c>
      <c r="EZ115" t="s">
        <v>1454</v>
      </c>
      <c r="FA115" t="s">
        <v>1454</v>
      </c>
      <c r="FB115"/>
      <c r="FC115" t="s">
        <v>1454</v>
      </c>
      <c r="FD115" t="s">
        <v>1454</v>
      </c>
      <c r="FE115" t="s">
        <v>1454</v>
      </c>
      <c r="FF115"/>
      <c r="FG115" t="s">
        <v>1454</v>
      </c>
      <c r="FH115" t="s">
        <v>1454</v>
      </c>
      <c r="FI115" t="s">
        <v>1454</v>
      </c>
      <c r="FJ115"/>
      <c r="FK115" t="s">
        <v>1454</v>
      </c>
      <c r="FL115" t="s">
        <v>1454</v>
      </c>
      <c r="FM115" t="s">
        <v>1454</v>
      </c>
      <c r="FN115"/>
      <c r="FO115" t="s">
        <v>1454</v>
      </c>
      <c r="FP115" t="s">
        <v>1454</v>
      </c>
      <c r="FQ115" t="s">
        <v>1454</v>
      </c>
      <c r="FR115"/>
      <c r="FS115" t="s">
        <v>1454</v>
      </c>
      <c r="FT115" t="s">
        <v>1454</v>
      </c>
      <c r="FU115" t="s">
        <v>1454</v>
      </c>
      <c r="FV115"/>
      <c r="FW115" t="s">
        <v>1454</v>
      </c>
      <c r="FX115" t="s">
        <v>1454</v>
      </c>
      <c r="FY115" t="s">
        <v>1454</v>
      </c>
      <c r="FZ115"/>
      <c r="GA115" t="s">
        <v>1454</v>
      </c>
      <c r="GB115" t="s">
        <v>1454</v>
      </c>
      <c r="GC115" t="s">
        <v>1454</v>
      </c>
      <c r="GD115"/>
      <c r="GE115" t="s">
        <v>1454</v>
      </c>
      <c r="GF115" t="s">
        <v>1454</v>
      </c>
      <c r="GG115" t="s">
        <v>1454</v>
      </c>
      <c r="GH115"/>
      <c r="GI115" t="s">
        <v>1454</v>
      </c>
      <c r="GJ115" t="s">
        <v>1454</v>
      </c>
      <c r="GK115" t="s">
        <v>1454</v>
      </c>
      <c r="GL115"/>
      <c r="GM115" t="s">
        <v>1454</v>
      </c>
      <c r="GN115" t="s">
        <v>1454</v>
      </c>
      <c r="GO115" t="s">
        <v>1454</v>
      </c>
      <c r="GP115"/>
      <c r="GQ115" t="s">
        <v>1484</v>
      </c>
    </row>
    <row r="116" spans="2:199" x14ac:dyDescent="0.25">
      <c r="B116" t="s">
        <v>471</v>
      </c>
      <c r="C116" t="s">
        <v>1454</v>
      </c>
      <c r="D116" t="s">
        <v>1454</v>
      </c>
      <c r="E116" t="s">
        <v>1454</v>
      </c>
      <c r="G116" t="s">
        <v>1454</v>
      </c>
      <c r="H116" t="s">
        <v>1454</v>
      </c>
      <c r="I116" t="s">
        <v>1454</v>
      </c>
      <c r="K116" t="s">
        <v>1454</v>
      </c>
      <c r="L116" t="s">
        <v>1454</v>
      </c>
      <c r="M116" t="s">
        <v>1454</v>
      </c>
      <c r="O116" t="s">
        <v>1454</v>
      </c>
      <c r="P116" t="s">
        <v>1454</v>
      </c>
      <c r="Q116" t="s">
        <v>1454</v>
      </c>
      <c r="S116" t="s">
        <v>1454</v>
      </c>
      <c r="T116" t="s">
        <v>1454</v>
      </c>
      <c r="U116" t="s">
        <v>1454</v>
      </c>
      <c r="W116" t="s">
        <v>1454</v>
      </c>
      <c r="X116" t="s">
        <v>1454</v>
      </c>
      <c r="Y116" t="s">
        <v>1454</v>
      </c>
      <c r="AA116" t="s">
        <v>1454</v>
      </c>
      <c r="AB116" t="s">
        <v>1454</v>
      </c>
      <c r="AC116" t="s">
        <v>1454</v>
      </c>
      <c r="AE116" t="s">
        <v>1454</v>
      </c>
      <c r="AF116" t="s">
        <v>1454</v>
      </c>
      <c r="AG116" t="s">
        <v>1454</v>
      </c>
      <c r="AI116" t="s">
        <v>1454</v>
      </c>
      <c r="AJ116" t="s">
        <v>1454</v>
      </c>
      <c r="AK116" t="s">
        <v>1454</v>
      </c>
      <c r="AM116" t="s">
        <v>1454</v>
      </c>
      <c r="AN116" t="s">
        <v>1454</v>
      </c>
      <c r="AO116" t="s">
        <v>1454</v>
      </c>
      <c r="AQ116" t="s">
        <v>1454</v>
      </c>
      <c r="AR116" t="s">
        <v>1454</v>
      </c>
      <c r="AS116" t="s">
        <v>1454</v>
      </c>
      <c r="AU116" t="s">
        <v>1454</v>
      </c>
      <c r="AV116" t="s">
        <v>1454</v>
      </c>
      <c r="AW116" t="s">
        <v>1454</v>
      </c>
      <c r="AY116" t="s">
        <v>1454</v>
      </c>
      <c r="AZ116" t="s">
        <v>1454</v>
      </c>
      <c r="BA116" t="s">
        <v>1454</v>
      </c>
      <c r="BC116" t="s">
        <v>1454</v>
      </c>
      <c r="BD116" t="s">
        <v>1454</v>
      </c>
      <c r="BE116" t="s">
        <v>1454</v>
      </c>
      <c r="BG116" t="s">
        <v>616</v>
      </c>
      <c r="BH116" t="s">
        <v>1454</v>
      </c>
      <c r="BI116" t="s">
        <v>1454</v>
      </c>
      <c r="BK116" t="s">
        <v>1454</v>
      </c>
      <c r="BL116" t="s">
        <v>1454</v>
      </c>
      <c r="BM116" t="s">
        <v>1454</v>
      </c>
      <c r="BO116" t="s">
        <v>1454</v>
      </c>
      <c r="BP116" t="s">
        <v>1454</v>
      </c>
      <c r="BQ116" t="s">
        <v>1454</v>
      </c>
      <c r="BS116" t="s">
        <v>1454</v>
      </c>
      <c r="BT116" t="s">
        <v>1454</v>
      </c>
      <c r="BU116" t="s">
        <v>1454</v>
      </c>
      <c r="BW116" t="s">
        <v>1454</v>
      </c>
      <c r="BX116" t="s">
        <v>1454</v>
      </c>
      <c r="BY116" t="s">
        <v>1454</v>
      </c>
      <c r="CA116" t="s">
        <v>1454</v>
      </c>
      <c r="CB116" t="s">
        <v>1454</v>
      </c>
      <c r="CC116" t="s">
        <v>1454</v>
      </c>
      <c r="CE116" t="s">
        <v>1454</v>
      </c>
      <c r="CF116" t="s">
        <v>1454</v>
      </c>
      <c r="CG116" t="s">
        <v>1454</v>
      </c>
      <c r="CI116" t="s">
        <v>1454</v>
      </c>
      <c r="CJ116" t="s">
        <v>1454</v>
      </c>
      <c r="CK116" t="s">
        <v>1454</v>
      </c>
      <c r="CM116" t="s">
        <v>1454</v>
      </c>
      <c r="CN116" t="s">
        <v>1454</v>
      </c>
      <c r="CO116" t="s">
        <v>1454</v>
      </c>
      <c r="CQ116" t="s">
        <v>1454</v>
      </c>
      <c r="CR116" t="s">
        <v>1454</v>
      </c>
      <c r="CS116" t="s">
        <v>1454</v>
      </c>
      <c r="CU116" t="s">
        <v>1454</v>
      </c>
      <c r="CV116" t="s">
        <v>1454</v>
      </c>
      <c r="CW116" t="s">
        <v>1454</v>
      </c>
      <c r="CY116" t="s">
        <v>1454</v>
      </c>
      <c r="CZ116" t="s">
        <v>1454</v>
      </c>
      <c r="DA116" t="s">
        <v>1454</v>
      </c>
      <c r="DC116" t="s">
        <v>1454</v>
      </c>
      <c r="DD116" t="s">
        <v>1454</v>
      </c>
      <c r="DE116" t="s">
        <v>1454</v>
      </c>
      <c r="DG116" t="s">
        <v>1454</v>
      </c>
      <c r="DH116" t="s">
        <v>1454</v>
      </c>
      <c r="DI116" t="s">
        <v>1454</v>
      </c>
      <c r="DK116" t="s">
        <v>1454</v>
      </c>
      <c r="DL116" t="s">
        <v>1454</v>
      </c>
      <c r="DM116" t="s">
        <v>1454</v>
      </c>
      <c r="DO116" t="s">
        <v>1454</v>
      </c>
      <c r="DP116" t="s">
        <v>1454</v>
      </c>
      <c r="DQ116" t="s">
        <v>1454</v>
      </c>
      <c r="DS116" t="s">
        <v>1454</v>
      </c>
      <c r="DT116" t="s">
        <v>1454</v>
      </c>
      <c r="DU116" t="s">
        <v>1454</v>
      </c>
      <c r="DW116" t="s">
        <v>1454</v>
      </c>
      <c r="DX116" t="s">
        <v>1454</v>
      </c>
      <c r="DY116" t="s">
        <v>1454</v>
      </c>
      <c r="EA116" t="s">
        <v>1454</v>
      </c>
      <c r="EB116" t="s">
        <v>1454</v>
      </c>
      <c r="EC116" t="s">
        <v>1454</v>
      </c>
      <c r="EE116" t="s">
        <v>1454</v>
      </c>
      <c r="EF116" t="s">
        <v>1454</v>
      </c>
      <c r="EG116" t="s">
        <v>1454</v>
      </c>
      <c r="EI116" t="s">
        <v>1454</v>
      </c>
      <c r="EJ116" t="s">
        <v>1454</v>
      </c>
      <c r="EK116" t="s">
        <v>1454</v>
      </c>
      <c r="EM116" t="s">
        <v>1454</v>
      </c>
      <c r="EN116" t="s">
        <v>1454</v>
      </c>
      <c r="EO116" t="s">
        <v>1454</v>
      </c>
      <c r="EQ116" t="s">
        <v>1454</v>
      </c>
      <c r="ER116" t="s">
        <v>1454</v>
      </c>
      <c r="ES116" t="s">
        <v>1454</v>
      </c>
      <c r="EU116" t="s">
        <v>1454</v>
      </c>
      <c r="EV116" t="s">
        <v>1454</v>
      </c>
      <c r="EW116" t="s">
        <v>1454</v>
      </c>
      <c r="EY116" t="s">
        <v>1454</v>
      </c>
      <c r="EZ116" t="s">
        <v>1454</v>
      </c>
      <c r="FA116" t="s">
        <v>1454</v>
      </c>
      <c r="FC116" t="s">
        <v>1454</v>
      </c>
      <c r="FD116" t="s">
        <v>1454</v>
      </c>
      <c r="FE116" t="s">
        <v>1454</v>
      </c>
      <c r="FG116" t="s">
        <v>1454</v>
      </c>
      <c r="FH116" t="s">
        <v>1454</v>
      </c>
      <c r="FI116" t="s">
        <v>1454</v>
      </c>
      <c r="FK116" t="s">
        <v>1454</v>
      </c>
      <c r="FL116" t="s">
        <v>1454</v>
      </c>
      <c r="FM116" t="s">
        <v>1454</v>
      </c>
      <c r="FO116" t="s">
        <v>1454</v>
      </c>
      <c r="FP116" t="s">
        <v>1454</v>
      </c>
      <c r="FQ116" t="s">
        <v>1454</v>
      </c>
      <c r="FS116" t="s">
        <v>1454</v>
      </c>
      <c r="FT116" t="s">
        <v>1454</v>
      </c>
      <c r="FU116" t="s">
        <v>1454</v>
      </c>
      <c r="FW116" t="s">
        <v>1454</v>
      </c>
      <c r="FX116" t="s">
        <v>1454</v>
      </c>
      <c r="FY116" t="s">
        <v>1454</v>
      </c>
      <c r="GA116" t="s">
        <v>1454</v>
      </c>
      <c r="GB116" t="s">
        <v>1454</v>
      </c>
      <c r="GC116" t="s">
        <v>1454</v>
      </c>
      <c r="GE116" t="s">
        <v>1454</v>
      </c>
      <c r="GF116" t="s">
        <v>1454</v>
      </c>
      <c r="GG116" t="s">
        <v>1454</v>
      </c>
      <c r="GI116" t="s">
        <v>1454</v>
      </c>
      <c r="GJ116" t="s">
        <v>1454</v>
      </c>
      <c r="GK116" t="s">
        <v>1454</v>
      </c>
      <c r="GM116" t="s">
        <v>1454</v>
      </c>
      <c r="GN116" t="s">
        <v>1454</v>
      </c>
      <c r="GO116" t="s">
        <v>1454</v>
      </c>
      <c r="GQ116" t="s">
        <v>1484</v>
      </c>
    </row>
    <row r="117" spans="2:199" x14ac:dyDescent="0.25">
      <c r="B117" t="s">
        <v>472</v>
      </c>
      <c r="C117" t="s">
        <v>1454</v>
      </c>
      <c r="D117" t="s">
        <v>1454</v>
      </c>
      <c r="E117" t="s">
        <v>1454</v>
      </c>
      <c r="G117" t="s">
        <v>1454</v>
      </c>
      <c r="H117" t="s">
        <v>1454</v>
      </c>
      <c r="I117" t="s">
        <v>1454</v>
      </c>
      <c r="K117" t="s">
        <v>1454</v>
      </c>
      <c r="L117" t="s">
        <v>1454</v>
      </c>
      <c r="M117" t="s">
        <v>1454</v>
      </c>
      <c r="O117" t="s">
        <v>1454</v>
      </c>
      <c r="P117" t="s">
        <v>1454</v>
      </c>
      <c r="Q117" t="s">
        <v>1454</v>
      </c>
      <c r="S117" t="s">
        <v>1454</v>
      </c>
      <c r="T117" t="s">
        <v>1454</v>
      </c>
      <c r="U117" t="s">
        <v>1454</v>
      </c>
      <c r="W117" t="s">
        <v>1454</v>
      </c>
      <c r="X117" t="s">
        <v>1454</v>
      </c>
      <c r="Y117" t="s">
        <v>1454</v>
      </c>
      <c r="AA117" t="s">
        <v>1454</v>
      </c>
      <c r="AB117" t="s">
        <v>1454</v>
      </c>
      <c r="AC117" t="s">
        <v>1454</v>
      </c>
      <c r="AE117" t="s">
        <v>1454</v>
      </c>
      <c r="AF117" t="s">
        <v>1454</v>
      </c>
      <c r="AG117" t="s">
        <v>1454</v>
      </c>
      <c r="AI117" t="s">
        <v>1454</v>
      </c>
      <c r="AJ117" t="s">
        <v>1454</v>
      </c>
      <c r="AK117" t="s">
        <v>1454</v>
      </c>
      <c r="AM117" t="s">
        <v>1454</v>
      </c>
      <c r="AN117" t="s">
        <v>1454</v>
      </c>
      <c r="AO117" t="s">
        <v>1454</v>
      </c>
      <c r="AQ117" t="s">
        <v>1454</v>
      </c>
      <c r="AR117" t="s">
        <v>1454</v>
      </c>
      <c r="AS117" t="s">
        <v>1454</v>
      </c>
      <c r="AU117" t="s">
        <v>1454</v>
      </c>
      <c r="AV117" t="s">
        <v>1454</v>
      </c>
      <c r="AW117" t="s">
        <v>1454</v>
      </c>
      <c r="AY117" t="s">
        <v>1454</v>
      </c>
      <c r="AZ117" t="s">
        <v>1454</v>
      </c>
      <c r="BA117" t="s">
        <v>1454</v>
      </c>
      <c r="BC117" t="s">
        <v>1454</v>
      </c>
      <c r="BD117" t="s">
        <v>1454</v>
      </c>
      <c r="BE117" t="s">
        <v>1454</v>
      </c>
      <c r="BG117" t="s">
        <v>1454</v>
      </c>
      <c r="BH117" t="s">
        <v>1454</v>
      </c>
      <c r="BI117" t="s">
        <v>1454</v>
      </c>
      <c r="BK117" t="s">
        <v>1454</v>
      </c>
      <c r="BL117" t="s">
        <v>1454</v>
      </c>
      <c r="BM117" t="s">
        <v>1454</v>
      </c>
      <c r="BO117" t="s">
        <v>1454</v>
      </c>
      <c r="BP117" t="s">
        <v>1454</v>
      </c>
      <c r="BQ117" t="s">
        <v>1454</v>
      </c>
      <c r="BS117" t="s">
        <v>1454</v>
      </c>
      <c r="BT117" t="s">
        <v>1454</v>
      </c>
      <c r="BU117" t="s">
        <v>1454</v>
      </c>
      <c r="BW117" t="s">
        <v>1454</v>
      </c>
      <c r="BX117" t="s">
        <v>1454</v>
      </c>
      <c r="BY117" t="s">
        <v>1454</v>
      </c>
      <c r="CA117" t="s">
        <v>1454</v>
      </c>
      <c r="CB117" t="s">
        <v>1454</v>
      </c>
      <c r="CC117" t="s">
        <v>1454</v>
      </c>
      <c r="CE117" t="s">
        <v>1454</v>
      </c>
      <c r="CF117" t="s">
        <v>1454</v>
      </c>
      <c r="CG117" t="s">
        <v>1454</v>
      </c>
      <c r="CI117" t="s">
        <v>1454</v>
      </c>
      <c r="CJ117" t="s">
        <v>1454</v>
      </c>
      <c r="CK117" t="s">
        <v>1454</v>
      </c>
      <c r="CM117" t="s">
        <v>1454</v>
      </c>
      <c r="CN117" t="s">
        <v>1454</v>
      </c>
      <c r="CO117" t="s">
        <v>1454</v>
      </c>
      <c r="CQ117" t="s">
        <v>1454</v>
      </c>
      <c r="CR117" t="s">
        <v>1454</v>
      </c>
      <c r="CS117" t="s">
        <v>1454</v>
      </c>
      <c r="CU117" t="s">
        <v>1454</v>
      </c>
      <c r="CV117" t="s">
        <v>1454</v>
      </c>
      <c r="CW117" t="s">
        <v>1454</v>
      </c>
      <c r="CY117" t="s">
        <v>1454</v>
      </c>
      <c r="CZ117" t="s">
        <v>1454</v>
      </c>
      <c r="DA117" t="s">
        <v>1454</v>
      </c>
      <c r="DC117" t="s">
        <v>1454</v>
      </c>
      <c r="DD117" t="s">
        <v>1454</v>
      </c>
      <c r="DE117" t="s">
        <v>1454</v>
      </c>
      <c r="DG117" t="s">
        <v>1454</v>
      </c>
      <c r="DH117" t="s">
        <v>1454</v>
      </c>
      <c r="DI117" t="s">
        <v>1454</v>
      </c>
      <c r="DK117" t="s">
        <v>1454</v>
      </c>
      <c r="DL117" t="s">
        <v>1454</v>
      </c>
      <c r="DM117" t="s">
        <v>1454</v>
      </c>
      <c r="DO117" t="s">
        <v>1454</v>
      </c>
      <c r="DP117" t="s">
        <v>1454</v>
      </c>
      <c r="DQ117" t="s">
        <v>1454</v>
      </c>
      <c r="DS117" t="s">
        <v>1454</v>
      </c>
      <c r="DT117" t="s">
        <v>1454</v>
      </c>
      <c r="DU117" t="s">
        <v>1454</v>
      </c>
      <c r="DW117" t="s">
        <v>1454</v>
      </c>
      <c r="DX117" t="s">
        <v>1454</v>
      </c>
      <c r="DY117" t="s">
        <v>1454</v>
      </c>
      <c r="EA117" t="s">
        <v>1454</v>
      </c>
      <c r="EB117" t="s">
        <v>1454</v>
      </c>
      <c r="EC117" t="s">
        <v>1454</v>
      </c>
      <c r="EE117" t="s">
        <v>1454</v>
      </c>
      <c r="EF117" t="s">
        <v>1454</v>
      </c>
      <c r="EG117" t="s">
        <v>1454</v>
      </c>
      <c r="EI117" t="s">
        <v>1454</v>
      </c>
      <c r="EJ117" t="s">
        <v>1454</v>
      </c>
      <c r="EK117" t="s">
        <v>1454</v>
      </c>
      <c r="EM117" t="s">
        <v>637</v>
      </c>
      <c r="EN117" t="s">
        <v>1454</v>
      </c>
      <c r="EO117" t="s">
        <v>1454</v>
      </c>
      <c r="EQ117" t="s">
        <v>1454</v>
      </c>
      <c r="ER117" t="s">
        <v>1454</v>
      </c>
      <c r="ES117" t="s">
        <v>1454</v>
      </c>
      <c r="EU117" t="s">
        <v>1454</v>
      </c>
      <c r="EV117" t="s">
        <v>1454</v>
      </c>
      <c r="EW117" t="s">
        <v>1454</v>
      </c>
      <c r="EY117" t="s">
        <v>1454</v>
      </c>
      <c r="EZ117" t="s">
        <v>1454</v>
      </c>
      <c r="FA117" t="s">
        <v>1454</v>
      </c>
      <c r="FC117" t="s">
        <v>1454</v>
      </c>
      <c r="FD117" t="s">
        <v>1454</v>
      </c>
      <c r="FE117" t="s">
        <v>1454</v>
      </c>
      <c r="FG117" t="s">
        <v>1454</v>
      </c>
      <c r="FH117" t="s">
        <v>1454</v>
      </c>
      <c r="FI117" t="s">
        <v>1454</v>
      </c>
      <c r="FK117" t="s">
        <v>1454</v>
      </c>
      <c r="FL117" t="s">
        <v>1454</v>
      </c>
      <c r="FM117" t="s">
        <v>1454</v>
      </c>
      <c r="FO117" t="s">
        <v>1454</v>
      </c>
      <c r="FP117" t="s">
        <v>1454</v>
      </c>
      <c r="FQ117" t="s">
        <v>1454</v>
      </c>
      <c r="FS117" t="s">
        <v>1454</v>
      </c>
      <c r="FT117" t="s">
        <v>1454</v>
      </c>
      <c r="FU117" t="s">
        <v>1454</v>
      </c>
      <c r="FW117" t="s">
        <v>1454</v>
      </c>
      <c r="FX117" t="s">
        <v>1454</v>
      </c>
      <c r="FY117" t="s">
        <v>1454</v>
      </c>
      <c r="GA117" t="s">
        <v>1454</v>
      </c>
      <c r="GB117" t="s">
        <v>1454</v>
      </c>
      <c r="GC117" t="s">
        <v>1454</v>
      </c>
      <c r="GE117" t="s">
        <v>1454</v>
      </c>
      <c r="GF117" t="s">
        <v>1454</v>
      </c>
      <c r="GG117" t="s">
        <v>1454</v>
      </c>
      <c r="GI117" t="s">
        <v>1454</v>
      </c>
      <c r="GJ117" t="s">
        <v>1454</v>
      </c>
      <c r="GK117" t="s">
        <v>1454</v>
      </c>
      <c r="GM117" t="s">
        <v>1454</v>
      </c>
      <c r="GN117" t="s">
        <v>1454</v>
      </c>
      <c r="GO117" t="s">
        <v>1454</v>
      </c>
      <c r="GQ117" t="s">
        <v>1604</v>
      </c>
    </row>
    <row r="118" spans="2:199" x14ac:dyDescent="0.25">
      <c r="B118" t="s">
        <v>473</v>
      </c>
      <c r="C118" t="s">
        <v>1454</v>
      </c>
      <c r="D118" t="s">
        <v>1454</v>
      </c>
      <c r="E118" t="s">
        <v>1454</v>
      </c>
      <c r="G118" t="s">
        <v>1454</v>
      </c>
      <c r="H118" t="s">
        <v>1454</v>
      </c>
      <c r="I118" t="s">
        <v>1454</v>
      </c>
      <c r="K118" t="s">
        <v>1454</v>
      </c>
      <c r="L118" t="s">
        <v>1454</v>
      </c>
      <c r="M118" t="s">
        <v>1454</v>
      </c>
      <c r="O118" t="s">
        <v>1454</v>
      </c>
      <c r="P118" t="s">
        <v>1454</v>
      </c>
      <c r="Q118" t="s">
        <v>1454</v>
      </c>
      <c r="S118" t="s">
        <v>1454</v>
      </c>
      <c r="T118" t="s">
        <v>1454</v>
      </c>
      <c r="U118" t="s">
        <v>1454</v>
      </c>
      <c r="W118" t="s">
        <v>1454</v>
      </c>
      <c r="X118" t="s">
        <v>1454</v>
      </c>
      <c r="Y118" t="s">
        <v>1454</v>
      </c>
      <c r="AA118" t="s">
        <v>1454</v>
      </c>
      <c r="AB118" t="s">
        <v>1454</v>
      </c>
      <c r="AC118" t="s">
        <v>1454</v>
      </c>
      <c r="AE118" t="s">
        <v>1454</v>
      </c>
      <c r="AF118" t="s">
        <v>1454</v>
      </c>
      <c r="AG118" t="s">
        <v>1454</v>
      </c>
      <c r="AI118" t="s">
        <v>1454</v>
      </c>
      <c r="AJ118" t="s">
        <v>1454</v>
      </c>
      <c r="AK118" t="s">
        <v>1454</v>
      </c>
      <c r="AM118" t="s">
        <v>1454</v>
      </c>
      <c r="AN118" t="s">
        <v>1454</v>
      </c>
      <c r="AO118" t="s">
        <v>1454</v>
      </c>
      <c r="AQ118" t="s">
        <v>1454</v>
      </c>
      <c r="AR118" t="s">
        <v>1454</v>
      </c>
      <c r="AS118" t="s">
        <v>1454</v>
      </c>
      <c r="AU118" t="s">
        <v>1454</v>
      </c>
      <c r="AV118" t="s">
        <v>1454</v>
      </c>
      <c r="AW118" t="s">
        <v>1454</v>
      </c>
      <c r="AY118" t="s">
        <v>1454</v>
      </c>
      <c r="AZ118" t="s">
        <v>1454</v>
      </c>
      <c r="BA118" t="s">
        <v>1454</v>
      </c>
      <c r="BC118" t="s">
        <v>1454</v>
      </c>
      <c r="BD118" t="s">
        <v>1454</v>
      </c>
      <c r="BE118" t="s">
        <v>1454</v>
      </c>
      <c r="BG118" t="s">
        <v>616</v>
      </c>
      <c r="BH118" t="s">
        <v>1454</v>
      </c>
      <c r="BI118" t="s">
        <v>1454</v>
      </c>
      <c r="BK118" t="s">
        <v>1454</v>
      </c>
      <c r="BL118" t="s">
        <v>1454</v>
      </c>
      <c r="BM118" t="s">
        <v>1454</v>
      </c>
      <c r="BO118" t="s">
        <v>1454</v>
      </c>
      <c r="BP118" t="s">
        <v>1454</v>
      </c>
      <c r="BQ118" t="s">
        <v>1454</v>
      </c>
      <c r="BS118" t="s">
        <v>1454</v>
      </c>
      <c r="BT118" t="s">
        <v>1454</v>
      </c>
      <c r="BU118" t="s">
        <v>1454</v>
      </c>
      <c r="BW118" t="s">
        <v>1454</v>
      </c>
      <c r="BX118" t="s">
        <v>1454</v>
      </c>
      <c r="BY118" t="s">
        <v>1454</v>
      </c>
      <c r="CA118" t="s">
        <v>1454</v>
      </c>
      <c r="CB118" t="s">
        <v>1454</v>
      </c>
      <c r="CC118" t="s">
        <v>1454</v>
      </c>
      <c r="CE118" t="s">
        <v>1454</v>
      </c>
      <c r="CF118" t="s">
        <v>1454</v>
      </c>
      <c r="CG118" t="s">
        <v>1454</v>
      </c>
      <c r="CI118" t="s">
        <v>1454</v>
      </c>
      <c r="CJ118" t="s">
        <v>1454</v>
      </c>
      <c r="CK118" t="s">
        <v>1454</v>
      </c>
      <c r="CM118" t="s">
        <v>1454</v>
      </c>
      <c r="CN118" t="s">
        <v>1454</v>
      </c>
      <c r="CO118" t="s">
        <v>1454</v>
      </c>
      <c r="CQ118" t="s">
        <v>1454</v>
      </c>
      <c r="CR118" t="s">
        <v>1454</v>
      </c>
      <c r="CS118" t="s">
        <v>1454</v>
      </c>
      <c r="CU118" t="s">
        <v>1454</v>
      </c>
      <c r="CV118" t="s">
        <v>1454</v>
      </c>
      <c r="CW118" t="s">
        <v>1454</v>
      </c>
      <c r="CY118" t="s">
        <v>1454</v>
      </c>
      <c r="CZ118" t="s">
        <v>1454</v>
      </c>
      <c r="DA118" t="s">
        <v>1454</v>
      </c>
      <c r="DC118" t="s">
        <v>1454</v>
      </c>
      <c r="DD118" t="s">
        <v>1454</v>
      </c>
      <c r="DE118" t="s">
        <v>1454</v>
      </c>
      <c r="DG118" t="s">
        <v>1454</v>
      </c>
      <c r="DH118" t="s">
        <v>1454</v>
      </c>
      <c r="DI118" t="s">
        <v>1454</v>
      </c>
      <c r="DK118" t="s">
        <v>1454</v>
      </c>
      <c r="DL118" t="s">
        <v>1454</v>
      </c>
      <c r="DM118" t="s">
        <v>1454</v>
      </c>
      <c r="DO118" t="s">
        <v>1454</v>
      </c>
      <c r="DP118" t="s">
        <v>1454</v>
      </c>
      <c r="DQ118" t="s">
        <v>1454</v>
      </c>
      <c r="DS118" t="s">
        <v>1454</v>
      </c>
      <c r="DT118" t="s">
        <v>1454</v>
      </c>
      <c r="DU118" t="s">
        <v>1454</v>
      </c>
      <c r="DW118" t="s">
        <v>1454</v>
      </c>
      <c r="DX118" t="s">
        <v>1454</v>
      </c>
      <c r="DY118" t="s">
        <v>1454</v>
      </c>
      <c r="EA118" t="s">
        <v>1454</v>
      </c>
      <c r="EB118" t="s">
        <v>1454</v>
      </c>
      <c r="EC118" t="s">
        <v>1454</v>
      </c>
      <c r="EE118" t="s">
        <v>1454</v>
      </c>
      <c r="EF118" t="s">
        <v>1454</v>
      </c>
      <c r="EG118" t="s">
        <v>1454</v>
      </c>
      <c r="EI118" t="s">
        <v>1454</v>
      </c>
      <c r="EJ118" t="s">
        <v>1454</v>
      </c>
      <c r="EK118" t="s">
        <v>1454</v>
      </c>
      <c r="EM118" t="s">
        <v>1454</v>
      </c>
      <c r="EN118" t="s">
        <v>1454</v>
      </c>
      <c r="EO118" t="s">
        <v>1454</v>
      </c>
      <c r="EQ118" t="s">
        <v>1454</v>
      </c>
      <c r="ER118" t="s">
        <v>1454</v>
      </c>
      <c r="ES118" t="s">
        <v>1454</v>
      </c>
      <c r="EU118" t="s">
        <v>1454</v>
      </c>
      <c r="EV118" t="s">
        <v>1454</v>
      </c>
      <c r="EW118" t="s">
        <v>1454</v>
      </c>
      <c r="EY118" t="s">
        <v>1454</v>
      </c>
      <c r="EZ118" t="s">
        <v>1454</v>
      </c>
      <c r="FA118" t="s">
        <v>1454</v>
      </c>
      <c r="FC118" t="s">
        <v>1454</v>
      </c>
      <c r="FD118" t="s">
        <v>1454</v>
      </c>
      <c r="FE118" t="s">
        <v>1454</v>
      </c>
      <c r="FG118" t="s">
        <v>1454</v>
      </c>
      <c r="FH118" t="s">
        <v>1454</v>
      </c>
      <c r="FI118" t="s">
        <v>1454</v>
      </c>
      <c r="FK118" t="s">
        <v>1454</v>
      </c>
      <c r="FL118" t="s">
        <v>1454</v>
      </c>
      <c r="FM118" t="s">
        <v>1454</v>
      </c>
      <c r="FO118" t="s">
        <v>1454</v>
      </c>
      <c r="FP118" t="s">
        <v>1454</v>
      </c>
      <c r="FQ118" t="s">
        <v>1454</v>
      </c>
      <c r="FS118" t="s">
        <v>1454</v>
      </c>
      <c r="FT118" t="s">
        <v>1454</v>
      </c>
      <c r="FU118" t="s">
        <v>1454</v>
      </c>
      <c r="FW118" t="s">
        <v>1454</v>
      </c>
      <c r="FX118" t="s">
        <v>1454</v>
      </c>
      <c r="FY118" t="s">
        <v>1454</v>
      </c>
      <c r="GA118" t="s">
        <v>1454</v>
      </c>
      <c r="GB118" t="s">
        <v>1454</v>
      </c>
      <c r="GC118" t="s">
        <v>1454</v>
      </c>
      <c r="GE118" t="s">
        <v>1454</v>
      </c>
      <c r="GF118" t="s">
        <v>1454</v>
      </c>
      <c r="GG118" t="s">
        <v>1454</v>
      </c>
      <c r="GI118" t="s">
        <v>1454</v>
      </c>
      <c r="GJ118" t="s">
        <v>1454</v>
      </c>
      <c r="GK118" t="s">
        <v>1454</v>
      </c>
      <c r="GM118" t="s">
        <v>1454</v>
      </c>
      <c r="GN118" t="s">
        <v>1454</v>
      </c>
      <c r="GO118" t="s">
        <v>1454</v>
      </c>
      <c r="GQ118" t="s">
        <v>1484</v>
      </c>
    </row>
    <row r="119" spans="2:199" s="11" customFormat="1" x14ac:dyDescent="0.25">
      <c r="B119" t="s">
        <v>474</v>
      </c>
      <c r="C119" t="s">
        <v>1454</v>
      </c>
      <c r="D119" t="s">
        <v>1454</v>
      </c>
      <c r="E119" t="s">
        <v>1454</v>
      </c>
      <c r="F119"/>
      <c r="G119" t="s">
        <v>1454</v>
      </c>
      <c r="H119" t="s">
        <v>1454</v>
      </c>
      <c r="I119" t="s">
        <v>1454</v>
      </c>
      <c r="J119"/>
      <c r="K119" t="s">
        <v>1454</v>
      </c>
      <c r="L119" t="s">
        <v>1454</v>
      </c>
      <c r="M119" t="s">
        <v>1454</v>
      </c>
      <c r="N119"/>
      <c r="O119" t="s">
        <v>1454</v>
      </c>
      <c r="P119" t="s">
        <v>1454</v>
      </c>
      <c r="Q119" t="s">
        <v>1454</v>
      </c>
      <c r="R119"/>
      <c r="S119" t="s">
        <v>1454</v>
      </c>
      <c r="T119" t="s">
        <v>1454</v>
      </c>
      <c r="U119" t="s">
        <v>1454</v>
      </c>
      <c r="V119"/>
      <c r="W119" t="s">
        <v>1454</v>
      </c>
      <c r="X119" t="s">
        <v>1454</v>
      </c>
      <c r="Y119" t="s">
        <v>1454</v>
      </c>
      <c r="Z119"/>
      <c r="AA119" t="s">
        <v>1454</v>
      </c>
      <c r="AB119" t="s">
        <v>1454</v>
      </c>
      <c r="AC119" t="s">
        <v>1454</v>
      </c>
      <c r="AD119"/>
      <c r="AE119" t="s">
        <v>1454</v>
      </c>
      <c r="AF119" t="s">
        <v>1454</v>
      </c>
      <c r="AG119" t="s">
        <v>1454</v>
      </c>
      <c r="AH119"/>
      <c r="AI119" t="s">
        <v>1454</v>
      </c>
      <c r="AJ119" t="s">
        <v>1454</v>
      </c>
      <c r="AK119" t="s">
        <v>1454</v>
      </c>
      <c r="AL119"/>
      <c r="AM119" t="s">
        <v>1454</v>
      </c>
      <c r="AN119" t="s">
        <v>1454</v>
      </c>
      <c r="AO119" t="s">
        <v>1454</v>
      </c>
      <c r="AP119"/>
      <c r="AQ119" t="s">
        <v>1454</v>
      </c>
      <c r="AR119" t="s">
        <v>1454</v>
      </c>
      <c r="AS119" t="s">
        <v>1454</v>
      </c>
      <c r="AT119"/>
      <c r="AU119" t="s">
        <v>1454</v>
      </c>
      <c r="AV119" t="s">
        <v>1454</v>
      </c>
      <c r="AW119" t="s">
        <v>1454</v>
      </c>
      <c r="AX119"/>
      <c r="AY119" t="s">
        <v>1454</v>
      </c>
      <c r="AZ119" t="s">
        <v>1454</v>
      </c>
      <c r="BA119" t="s">
        <v>1454</v>
      </c>
      <c r="BB119"/>
      <c r="BC119" t="s">
        <v>1454</v>
      </c>
      <c r="BD119" t="s">
        <v>1454</v>
      </c>
      <c r="BE119" t="s">
        <v>1454</v>
      </c>
      <c r="BF119"/>
      <c r="BG119" t="s">
        <v>1454</v>
      </c>
      <c r="BH119" t="s">
        <v>1454</v>
      </c>
      <c r="BI119" t="s">
        <v>1454</v>
      </c>
      <c r="BJ119"/>
      <c r="BK119" t="s">
        <v>1454</v>
      </c>
      <c r="BL119" t="s">
        <v>1454</v>
      </c>
      <c r="BM119" t="s">
        <v>1454</v>
      </c>
      <c r="BN119"/>
      <c r="BO119" t="s">
        <v>1454</v>
      </c>
      <c r="BP119" t="s">
        <v>1454</v>
      </c>
      <c r="BQ119" t="s">
        <v>1454</v>
      </c>
      <c r="BR119"/>
      <c r="BS119" t="s">
        <v>1454</v>
      </c>
      <c r="BT119" t="s">
        <v>1454</v>
      </c>
      <c r="BU119" t="s">
        <v>1454</v>
      </c>
      <c r="BV119"/>
      <c r="BW119" t="s">
        <v>1454</v>
      </c>
      <c r="BX119" t="s">
        <v>1454</v>
      </c>
      <c r="BY119" t="s">
        <v>1454</v>
      </c>
      <c r="BZ119"/>
      <c r="CA119" t="s">
        <v>1454</v>
      </c>
      <c r="CB119" t="s">
        <v>1454</v>
      </c>
      <c r="CC119" t="s">
        <v>1454</v>
      </c>
      <c r="CD119"/>
      <c r="CE119" t="s">
        <v>1454</v>
      </c>
      <c r="CF119" t="s">
        <v>1454</v>
      </c>
      <c r="CG119" t="s">
        <v>1454</v>
      </c>
      <c r="CH119"/>
      <c r="CI119" t="s">
        <v>1454</v>
      </c>
      <c r="CJ119" t="s">
        <v>1454</v>
      </c>
      <c r="CK119" t="s">
        <v>1454</v>
      </c>
      <c r="CL119"/>
      <c r="CM119" t="s">
        <v>1454</v>
      </c>
      <c r="CN119" t="s">
        <v>1454</v>
      </c>
      <c r="CO119" t="s">
        <v>1454</v>
      </c>
      <c r="CP119"/>
      <c r="CQ119" t="s">
        <v>1454</v>
      </c>
      <c r="CR119" t="s">
        <v>1454</v>
      </c>
      <c r="CS119" t="s">
        <v>1454</v>
      </c>
      <c r="CT119"/>
      <c r="CU119" t="s">
        <v>1454</v>
      </c>
      <c r="CV119" t="s">
        <v>1454</v>
      </c>
      <c r="CW119" t="s">
        <v>1454</v>
      </c>
      <c r="CX119"/>
      <c r="CY119" t="s">
        <v>1454</v>
      </c>
      <c r="CZ119" t="s">
        <v>1454</v>
      </c>
      <c r="DA119" t="s">
        <v>1454</v>
      </c>
      <c r="DB119"/>
      <c r="DC119" t="s">
        <v>1454</v>
      </c>
      <c r="DD119" t="s">
        <v>1454</v>
      </c>
      <c r="DE119" t="s">
        <v>1454</v>
      </c>
      <c r="DF119"/>
      <c r="DG119" t="s">
        <v>1454</v>
      </c>
      <c r="DH119" t="s">
        <v>1454</v>
      </c>
      <c r="DI119" t="s">
        <v>1454</v>
      </c>
      <c r="DJ119"/>
      <c r="DK119" t="s">
        <v>1454</v>
      </c>
      <c r="DL119" t="s">
        <v>1454</v>
      </c>
      <c r="DM119" t="s">
        <v>1454</v>
      </c>
      <c r="DN119"/>
      <c r="DO119" t="s">
        <v>1454</v>
      </c>
      <c r="DP119" t="s">
        <v>1454</v>
      </c>
      <c r="DQ119" t="s">
        <v>1454</v>
      </c>
      <c r="DR119"/>
      <c r="DS119" t="s">
        <v>632</v>
      </c>
      <c r="DT119" t="s">
        <v>1454</v>
      </c>
      <c r="DU119" t="s">
        <v>1454</v>
      </c>
      <c r="DV119"/>
      <c r="DW119" t="s">
        <v>1454</v>
      </c>
      <c r="DX119" t="s">
        <v>1454</v>
      </c>
      <c r="DY119" t="s">
        <v>1454</v>
      </c>
      <c r="DZ119"/>
      <c r="EA119" t="s">
        <v>1454</v>
      </c>
      <c r="EB119" t="s">
        <v>1454</v>
      </c>
      <c r="EC119" t="s">
        <v>1454</v>
      </c>
      <c r="ED119"/>
      <c r="EE119" t="s">
        <v>1454</v>
      </c>
      <c r="EF119" t="s">
        <v>1454</v>
      </c>
      <c r="EG119" t="s">
        <v>1454</v>
      </c>
      <c r="EH119"/>
      <c r="EI119" t="s">
        <v>1454</v>
      </c>
      <c r="EJ119" t="s">
        <v>1454</v>
      </c>
      <c r="EK119" t="s">
        <v>1454</v>
      </c>
      <c r="EL119"/>
      <c r="EM119" t="s">
        <v>1454</v>
      </c>
      <c r="EN119" t="s">
        <v>1454</v>
      </c>
      <c r="EO119" t="s">
        <v>1454</v>
      </c>
      <c r="EP119"/>
      <c r="EQ119" t="s">
        <v>1454</v>
      </c>
      <c r="ER119" t="s">
        <v>1454</v>
      </c>
      <c r="ES119" t="s">
        <v>1454</v>
      </c>
      <c r="ET119"/>
      <c r="EU119" t="s">
        <v>1454</v>
      </c>
      <c r="EV119" t="s">
        <v>1454</v>
      </c>
      <c r="EW119" t="s">
        <v>1454</v>
      </c>
      <c r="EX119"/>
      <c r="EY119" t="s">
        <v>1454</v>
      </c>
      <c r="EZ119" t="s">
        <v>1454</v>
      </c>
      <c r="FA119" t="s">
        <v>1454</v>
      </c>
      <c r="FB119"/>
      <c r="FC119" t="s">
        <v>1454</v>
      </c>
      <c r="FD119" t="s">
        <v>1454</v>
      </c>
      <c r="FE119" t="s">
        <v>1454</v>
      </c>
      <c r="FF119"/>
      <c r="FG119" t="s">
        <v>1454</v>
      </c>
      <c r="FH119" t="s">
        <v>1454</v>
      </c>
      <c r="FI119" t="s">
        <v>1454</v>
      </c>
      <c r="FJ119"/>
      <c r="FK119" t="s">
        <v>1454</v>
      </c>
      <c r="FL119" t="s">
        <v>1454</v>
      </c>
      <c r="FM119" t="s">
        <v>1454</v>
      </c>
      <c r="FN119"/>
      <c r="FO119" t="s">
        <v>1454</v>
      </c>
      <c r="FP119" t="s">
        <v>1454</v>
      </c>
      <c r="FQ119" t="s">
        <v>1454</v>
      </c>
      <c r="FR119"/>
      <c r="FS119" t="s">
        <v>1454</v>
      </c>
      <c r="FT119" t="s">
        <v>1454</v>
      </c>
      <c r="FU119" t="s">
        <v>1454</v>
      </c>
      <c r="FV119"/>
      <c r="FW119" t="s">
        <v>1454</v>
      </c>
      <c r="FX119" t="s">
        <v>1454</v>
      </c>
      <c r="FY119" t="s">
        <v>1454</v>
      </c>
      <c r="FZ119"/>
      <c r="GA119" t="s">
        <v>1454</v>
      </c>
      <c r="GB119" t="s">
        <v>1454</v>
      </c>
      <c r="GC119" t="s">
        <v>1454</v>
      </c>
      <c r="GD119"/>
      <c r="GE119" t="s">
        <v>1454</v>
      </c>
      <c r="GF119" t="s">
        <v>1454</v>
      </c>
      <c r="GG119" t="s">
        <v>1454</v>
      </c>
      <c r="GH119"/>
      <c r="GI119" t="s">
        <v>1454</v>
      </c>
      <c r="GJ119" t="s">
        <v>1454</v>
      </c>
      <c r="GK119" t="s">
        <v>1454</v>
      </c>
      <c r="GL119"/>
      <c r="GM119" t="s">
        <v>1454</v>
      </c>
      <c r="GN119" t="s">
        <v>1454</v>
      </c>
      <c r="GO119" t="s">
        <v>1454</v>
      </c>
      <c r="GP119"/>
      <c r="GQ119" t="s">
        <v>1482</v>
      </c>
    </row>
    <row r="120" spans="2:199" x14ac:dyDescent="0.25">
      <c r="B120" t="s">
        <v>475</v>
      </c>
      <c r="C120" t="s">
        <v>1454</v>
      </c>
      <c r="D120" t="s">
        <v>1454</v>
      </c>
      <c r="E120" t="s">
        <v>1454</v>
      </c>
      <c r="G120" t="s">
        <v>1454</v>
      </c>
      <c r="H120" t="s">
        <v>1454</v>
      </c>
      <c r="I120" t="s">
        <v>1454</v>
      </c>
      <c r="K120" t="s">
        <v>1454</v>
      </c>
      <c r="L120" t="s">
        <v>1454</v>
      </c>
      <c r="M120" t="s">
        <v>1454</v>
      </c>
      <c r="O120" t="s">
        <v>1454</v>
      </c>
      <c r="P120" t="s">
        <v>1454</v>
      </c>
      <c r="Q120" t="s">
        <v>1454</v>
      </c>
      <c r="S120" t="s">
        <v>1454</v>
      </c>
      <c r="T120" t="s">
        <v>1454</v>
      </c>
      <c r="U120" t="s">
        <v>1454</v>
      </c>
      <c r="W120" t="s">
        <v>1454</v>
      </c>
      <c r="X120" t="s">
        <v>1454</v>
      </c>
      <c r="Y120" t="s">
        <v>1454</v>
      </c>
      <c r="AA120" t="s">
        <v>1454</v>
      </c>
      <c r="AB120" t="s">
        <v>1454</v>
      </c>
      <c r="AC120" t="s">
        <v>1454</v>
      </c>
      <c r="AE120" t="s">
        <v>1454</v>
      </c>
      <c r="AF120" t="s">
        <v>1454</v>
      </c>
      <c r="AG120" t="s">
        <v>1454</v>
      </c>
      <c r="AI120" t="s">
        <v>1454</v>
      </c>
      <c r="AJ120" t="s">
        <v>1454</v>
      </c>
      <c r="AK120" t="s">
        <v>1454</v>
      </c>
      <c r="AM120" t="s">
        <v>1454</v>
      </c>
      <c r="AN120" t="s">
        <v>1454</v>
      </c>
      <c r="AO120" t="s">
        <v>1454</v>
      </c>
      <c r="AQ120" t="s">
        <v>1454</v>
      </c>
      <c r="AR120" t="s">
        <v>1454</v>
      </c>
      <c r="AS120" t="s">
        <v>1454</v>
      </c>
      <c r="AU120" t="s">
        <v>1454</v>
      </c>
      <c r="AV120" t="s">
        <v>1454</v>
      </c>
      <c r="AW120" t="s">
        <v>1454</v>
      </c>
      <c r="AY120" t="s">
        <v>1454</v>
      </c>
      <c r="AZ120" t="s">
        <v>1454</v>
      </c>
      <c r="BA120" t="s">
        <v>1454</v>
      </c>
      <c r="BC120" t="s">
        <v>1454</v>
      </c>
      <c r="BD120" t="s">
        <v>1454</v>
      </c>
      <c r="BE120" t="s">
        <v>1454</v>
      </c>
      <c r="BG120" t="s">
        <v>1454</v>
      </c>
      <c r="BH120" t="s">
        <v>1454</v>
      </c>
      <c r="BI120" t="s">
        <v>1454</v>
      </c>
      <c r="BK120" t="s">
        <v>1454</v>
      </c>
      <c r="BL120" t="s">
        <v>1454</v>
      </c>
      <c r="BM120" t="s">
        <v>1454</v>
      </c>
      <c r="BO120" t="s">
        <v>1454</v>
      </c>
      <c r="BP120" t="s">
        <v>1454</v>
      </c>
      <c r="BQ120" t="s">
        <v>1454</v>
      </c>
      <c r="BS120" t="s">
        <v>1454</v>
      </c>
      <c r="BT120" t="s">
        <v>1454</v>
      </c>
      <c r="BU120" t="s">
        <v>1454</v>
      </c>
      <c r="BW120" t="s">
        <v>1454</v>
      </c>
      <c r="BX120" t="s">
        <v>1454</v>
      </c>
      <c r="BY120" t="s">
        <v>1454</v>
      </c>
      <c r="CA120" t="s">
        <v>1454</v>
      </c>
      <c r="CB120" t="s">
        <v>1454</v>
      </c>
      <c r="CC120" t="s">
        <v>1454</v>
      </c>
      <c r="CE120" t="s">
        <v>1454</v>
      </c>
      <c r="CF120" t="s">
        <v>1454</v>
      </c>
      <c r="CG120" t="s">
        <v>1454</v>
      </c>
      <c r="CI120" t="s">
        <v>1454</v>
      </c>
      <c r="CJ120" t="s">
        <v>1454</v>
      </c>
      <c r="CK120" t="s">
        <v>1454</v>
      </c>
      <c r="CM120" t="s">
        <v>1454</v>
      </c>
      <c r="CN120" t="s">
        <v>1454</v>
      </c>
      <c r="CO120" t="s">
        <v>1454</v>
      </c>
      <c r="CQ120" t="s">
        <v>1454</v>
      </c>
      <c r="CR120" t="s">
        <v>1454</v>
      </c>
      <c r="CS120" t="s">
        <v>1454</v>
      </c>
      <c r="CU120" t="s">
        <v>1454</v>
      </c>
      <c r="CV120" t="s">
        <v>1454</v>
      </c>
      <c r="CW120" t="s">
        <v>1454</v>
      </c>
      <c r="CY120" t="s">
        <v>1454</v>
      </c>
      <c r="CZ120" t="s">
        <v>1454</v>
      </c>
      <c r="DA120" t="s">
        <v>1454</v>
      </c>
      <c r="DC120" t="s">
        <v>1454</v>
      </c>
      <c r="DD120" t="s">
        <v>1454</v>
      </c>
      <c r="DE120" t="s">
        <v>1454</v>
      </c>
      <c r="DG120" t="s">
        <v>629</v>
      </c>
      <c r="DH120" t="s">
        <v>1454</v>
      </c>
      <c r="DI120" t="s">
        <v>1454</v>
      </c>
      <c r="DK120" t="s">
        <v>1454</v>
      </c>
      <c r="DL120" t="s">
        <v>1454</v>
      </c>
      <c r="DM120" t="s">
        <v>1454</v>
      </c>
      <c r="DO120" t="s">
        <v>1454</v>
      </c>
      <c r="DP120" t="s">
        <v>1454</v>
      </c>
      <c r="DQ120" t="s">
        <v>1454</v>
      </c>
      <c r="DS120" t="s">
        <v>1454</v>
      </c>
      <c r="DT120" t="s">
        <v>1454</v>
      </c>
      <c r="DU120" t="s">
        <v>1454</v>
      </c>
      <c r="DW120" t="s">
        <v>1454</v>
      </c>
      <c r="DX120" t="s">
        <v>1454</v>
      </c>
      <c r="DY120" t="s">
        <v>1454</v>
      </c>
      <c r="EA120" t="s">
        <v>1454</v>
      </c>
      <c r="EB120" t="s">
        <v>1454</v>
      </c>
      <c r="EC120" t="s">
        <v>1454</v>
      </c>
      <c r="EE120" t="s">
        <v>1454</v>
      </c>
      <c r="EF120" t="s">
        <v>1454</v>
      </c>
      <c r="EG120" t="s">
        <v>1454</v>
      </c>
      <c r="EI120" t="s">
        <v>1454</v>
      </c>
      <c r="EJ120" t="s">
        <v>1454</v>
      </c>
      <c r="EK120" t="s">
        <v>1454</v>
      </c>
      <c r="EM120" t="s">
        <v>1454</v>
      </c>
      <c r="EN120" t="s">
        <v>1454</v>
      </c>
      <c r="EO120" t="s">
        <v>1454</v>
      </c>
      <c r="EQ120" t="s">
        <v>1454</v>
      </c>
      <c r="ER120" t="s">
        <v>1454</v>
      </c>
      <c r="ES120" t="s">
        <v>1454</v>
      </c>
      <c r="EU120" t="s">
        <v>1454</v>
      </c>
      <c r="EV120" t="s">
        <v>1454</v>
      </c>
      <c r="EW120" t="s">
        <v>1454</v>
      </c>
      <c r="EY120" t="s">
        <v>1454</v>
      </c>
      <c r="EZ120" t="s">
        <v>1454</v>
      </c>
      <c r="FA120" t="s">
        <v>1454</v>
      </c>
      <c r="FC120" t="s">
        <v>1454</v>
      </c>
      <c r="FD120" t="s">
        <v>1454</v>
      </c>
      <c r="FE120" t="s">
        <v>1454</v>
      </c>
      <c r="FG120" t="s">
        <v>1454</v>
      </c>
      <c r="FH120" t="s">
        <v>1454</v>
      </c>
      <c r="FI120" t="s">
        <v>1454</v>
      </c>
      <c r="FK120" t="s">
        <v>1454</v>
      </c>
      <c r="FL120" t="s">
        <v>1454</v>
      </c>
      <c r="FM120" t="s">
        <v>1454</v>
      </c>
      <c r="FO120" t="s">
        <v>1454</v>
      </c>
      <c r="FP120" t="s">
        <v>1454</v>
      </c>
      <c r="FQ120" t="s">
        <v>1454</v>
      </c>
      <c r="FS120" t="s">
        <v>1454</v>
      </c>
      <c r="FT120" t="s">
        <v>1454</v>
      </c>
      <c r="FU120" t="s">
        <v>1454</v>
      </c>
      <c r="FW120" t="s">
        <v>1454</v>
      </c>
      <c r="FX120" t="s">
        <v>1454</v>
      </c>
      <c r="FY120" t="s">
        <v>1454</v>
      </c>
      <c r="GA120" t="s">
        <v>1454</v>
      </c>
      <c r="GB120" t="s">
        <v>1454</v>
      </c>
      <c r="GC120" t="s">
        <v>1454</v>
      </c>
      <c r="GE120" t="s">
        <v>1454</v>
      </c>
      <c r="GF120" t="s">
        <v>1454</v>
      </c>
      <c r="GG120" t="s">
        <v>1454</v>
      </c>
      <c r="GI120" t="s">
        <v>1454</v>
      </c>
      <c r="GJ120" t="s">
        <v>1454</v>
      </c>
      <c r="GK120" t="s">
        <v>1454</v>
      </c>
      <c r="GM120" t="s">
        <v>1454</v>
      </c>
      <c r="GN120" t="s">
        <v>1454</v>
      </c>
      <c r="GO120" t="s">
        <v>1454</v>
      </c>
      <c r="GQ120" t="s">
        <v>1550</v>
      </c>
    </row>
    <row r="121" spans="2:199" x14ac:dyDescent="0.25">
      <c r="B121" t="s">
        <v>476</v>
      </c>
      <c r="C121" t="s">
        <v>1454</v>
      </c>
      <c r="D121" t="s">
        <v>1454</v>
      </c>
      <c r="E121" t="s">
        <v>1454</v>
      </c>
      <c r="G121" t="s">
        <v>1454</v>
      </c>
      <c r="H121" t="s">
        <v>1454</v>
      </c>
      <c r="I121" t="s">
        <v>1454</v>
      </c>
      <c r="K121" t="s">
        <v>1454</v>
      </c>
      <c r="L121" t="s">
        <v>1454</v>
      </c>
      <c r="M121" t="s">
        <v>1454</v>
      </c>
      <c r="O121" t="s">
        <v>1454</v>
      </c>
      <c r="P121" t="s">
        <v>1454</v>
      </c>
      <c r="Q121" t="s">
        <v>1454</v>
      </c>
      <c r="S121" t="s">
        <v>1454</v>
      </c>
      <c r="T121" t="s">
        <v>1454</v>
      </c>
      <c r="U121" t="s">
        <v>1454</v>
      </c>
      <c r="W121" t="s">
        <v>1454</v>
      </c>
      <c r="X121" t="s">
        <v>1454</v>
      </c>
      <c r="Y121" t="s">
        <v>1454</v>
      </c>
      <c r="AA121" t="s">
        <v>1454</v>
      </c>
      <c r="AB121" t="s">
        <v>1454</v>
      </c>
      <c r="AC121" t="s">
        <v>1454</v>
      </c>
      <c r="AE121" t="s">
        <v>1454</v>
      </c>
      <c r="AF121" t="s">
        <v>1454</v>
      </c>
      <c r="AG121" t="s">
        <v>1454</v>
      </c>
      <c r="AI121" t="s">
        <v>1454</v>
      </c>
      <c r="AJ121" t="s">
        <v>1454</v>
      </c>
      <c r="AK121" t="s">
        <v>1454</v>
      </c>
      <c r="AM121" t="s">
        <v>1454</v>
      </c>
      <c r="AN121" t="s">
        <v>1454</v>
      </c>
      <c r="AO121" t="s">
        <v>1454</v>
      </c>
      <c r="AQ121" t="s">
        <v>1454</v>
      </c>
      <c r="AR121" t="s">
        <v>1454</v>
      </c>
      <c r="AS121" t="s">
        <v>1454</v>
      </c>
      <c r="AU121" t="s">
        <v>1454</v>
      </c>
      <c r="AV121" t="s">
        <v>1454</v>
      </c>
      <c r="AW121" t="s">
        <v>1454</v>
      </c>
      <c r="AY121" t="s">
        <v>1454</v>
      </c>
      <c r="AZ121" t="s">
        <v>1454</v>
      </c>
      <c r="BA121" t="s">
        <v>1454</v>
      </c>
      <c r="BC121" t="s">
        <v>1454</v>
      </c>
      <c r="BD121" t="s">
        <v>1454</v>
      </c>
      <c r="BE121" t="s">
        <v>1454</v>
      </c>
      <c r="BG121" t="s">
        <v>1454</v>
      </c>
      <c r="BH121" t="s">
        <v>1454</v>
      </c>
      <c r="BI121" t="s">
        <v>1454</v>
      </c>
      <c r="BK121" t="s">
        <v>1454</v>
      </c>
      <c r="BL121" t="s">
        <v>1454</v>
      </c>
      <c r="BM121" t="s">
        <v>1454</v>
      </c>
      <c r="BO121" t="s">
        <v>1454</v>
      </c>
      <c r="BP121" t="s">
        <v>1454</v>
      </c>
      <c r="BQ121" t="s">
        <v>1454</v>
      </c>
      <c r="BS121" t="s">
        <v>1454</v>
      </c>
      <c r="BT121" t="s">
        <v>1454</v>
      </c>
      <c r="BU121" t="s">
        <v>1454</v>
      </c>
      <c r="BW121" t="s">
        <v>1454</v>
      </c>
      <c r="BX121" t="s">
        <v>1454</v>
      </c>
      <c r="BY121" t="s">
        <v>1454</v>
      </c>
      <c r="CA121" t="s">
        <v>1454</v>
      </c>
      <c r="CB121" t="s">
        <v>1454</v>
      </c>
      <c r="CC121" t="s">
        <v>1454</v>
      </c>
      <c r="CE121" t="s">
        <v>1454</v>
      </c>
      <c r="CF121" t="s">
        <v>1454</v>
      </c>
      <c r="CG121" t="s">
        <v>1454</v>
      </c>
      <c r="CI121" t="s">
        <v>1454</v>
      </c>
      <c r="CJ121" t="s">
        <v>1454</v>
      </c>
      <c r="CK121" t="s">
        <v>1454</v>
      </c>
      <c r="CM121" t="s">
        <v>1454</v>
      </c>
      <c r="CN121" t="s">
        <v>1454</v>
      </c>
      <c r="CO121" t="s">
        <v>1454</v>
      </c>
      <c r="CQ121" t="s">
        <v>1454</v>
      </c>
      <c r="CR121" t="s">
        <v>1454</v>
      </c>
      <c r="CS121" t="s">
        <v>1454</v>
      </c>
      <c r="CU121" t="s">
        <v>1454</v>
      </c>
      <c r="CV121" t="s">
        <v>1454</v>
      </c>
      <c r="CW121" t="s">
        <v>1454</v>
      </c>
      <c r="CY121" t="s">
        <v>1454</v>
      </c>
      <c r="CZ121" t="s">
        <v>1454</v>
      </c>
      <c r="DA121" t="s">
        <v>1454</v>
      </c>
      <c r="DC121" t="s">
        <v>1454</v>
      </c>
      <c r="DD121" t="s">
        <v>1454</v>
      </c>
      <c r="DE121" t="s">
        <v>1454</v>
      </c>
      <c r="DG121" t="s">
        <v>1454</v>
      </c>
      <c r="DH121" t="s">
        <v>1454</v>
      </c>
      <c r="DI121" t="s">
        <v>1454</v>
      </c>
      <c r="DK121" t="s">
        <v>1454</v>
      </c>
      <c r="DL121" t="s">
        <v>1454</v>
      </c>
      <c r="DM121" t="s">
        <v>1454</v>
      </c>
      <c r="DO121" t="s">
        <v>1454</v>
      </c>
      <c r="DP121" t="s">
        <v>1454</v>
      </c>
      <c r="DQ121" t="s">
        <v>1454</v>
      </c>
      <c r="DS121" t="s">
        <v>1454</v>
      </c>
      <c r="DT121" t="s">
        <v>1454</v>
      </c>
      <c r="DU121" t="s">
        <v>1454</v>
      </c>
      <c r="DW121" t="s">
        <v>1454</v>
      </c>
      <c r="DX121" t="s">
        <v>1454</v>
      </c>
      <c r="DY121" t="s">
        <v>1454</v>
      </c>
      <c r="EA121" t="s">
        <v>1454</v>
      </c>
      <c r="EB121" t="s">
        <v>1454</v>
      </c>
      <c r="EC121" t="s">
        <v>1454</v>
      </c>
      <c r="EE121" t="s">
        <v>1454</v>
      </c>
      <c r="EF121" t="s">
        <v>1454</v>
      </c>
      <c r="EG121" t="s">
        <v>1454</v>
      </c>
      <c r="EI121" t="s">
        <v>1454</v>
      </c>
      <c r="EJ121" t="s">
        <v>1454</v>
      </c>
      <c r="EK121" t="s">
        <v>1454</v>
      </c>
      <c r="EM121" t="s">
        <v>1454</v>
      </c>
      <c r="EN121" t="s">
        <v>1454</v>
      </c>
      <c r="EO121" t="s">
        <v>1454</v>
      </c>
      <c r="EQ121" t="s">
        <v>1454</v>
      </c>
      <c r="ER121" t="s">
        <v>1454</v>
      </c>
      <c r="ES121" t="s">
        <v>1454</v>
      </c>
      <c r="EU121" t="s">
        <v>1454</v>
      </c>
      <c r="EV121" t="s">
        <v>1454</v>
      </c>
      <c r="EW121" t="s">
        <v>1454</v>
      </c>
      <c r="EY121" t="s">
        <v>640</v>
      </c>
      <c r="EZ121" t="s">
        <v>1454</v>
      </c>
      <c r="FA121" t="s">
        <v>1454</v>
      </c>
      <c r="FC121" t="s">
        <v>1454</v>
      </c>
      <c r="FD121" t="s">
        <v>1454</v>
      </c>
      <c r="FE121" t="s">
        <v>1454</v>
      </c>
      <c r="FG121" t="s">
        <v>1454</v>
      </c>
      <c r="FH121" t="s">
        <v>1454</v>
      </c>
      <c r="FI121" t="s">
        <v>1454</v>
      </c>
      <c r="FK121" t="s">
        <v>1454</v>
      </c>
      <c r="FL121" t="s">
        <v>1454</v>
      </c>
      <c r="FM121" t="s">
        <v>1454</v>
      </c>
      <c r="FO121" t="s">
        <v>602</v>
      </c>
      <c r="FP121" t="s">
        <v>1454</v>
      </c>
      <c r="FQ121" t="s">
        <v>1454</v>
      </c>
      <c r="FS121" t="s">
        <v>1454</v>
      </c>
      <c r="FT121" t="s">
        <v>1454</v>
      </c>
      <c r="FU121" t="s">
        <v>1454</v>
      </c>
      <c r="FW121" t="s">
        <v>1454</v>
      </c>
      <c r="FX121" t="s">
        <v>1454</v>
      </c>
      <c r="FY121" t="s">
        <v>1454</v>
      </c>
      <c r="GA121" t="s">
        <v>1454</v>
      </c>
      <c r="GB121" t="s">
        <v>1454</v>
      </c>
      <c r="GC121" t="s">
        <v>1454</v>
      </c>
      <c r="GE121" t="s">
        <v>647</v>
      </c>
      <c r="GF121" t="s">
        <v>1454</v>
      </c>
      <c r="GG121" t="s">
        <v>1454</v>
      </c>
      <c r="GI121" t="s">
        <v>1454</v>
      </c>
      <c r="GJ121" t="s">
        <v>1454</v>
      </c>
      <c r="GK121" t="s">
        <v>1454</v>
      </c>
      <c r="GM121" t="s">
        <v>1454</v>
      </c>
      <c r="GN121" t="s">
        <v>1454</v>
      </c>
      <c r="GO121" t="s">
        <v>1454</v>
      </c>
      <c r="GQ121" t="s">
        <v>1605</v>
      </c>
    </row>
    <row r="122" spans="2:199" x14ac:dyDescent="0.25">
      <c r="B122" t="s">
        <v>477</v>
      </c>
      <c r="C122" t="s">
        <v>1454</v>
      </c>
      <c r="D122" t="s">
        <v>1454</v>
      </c>
      <c r="E122" t="s">
        <v>1454</v>
      </c>
      <c r="G122" t="s">
        <v>1454</v>
      </c>
      <c r="H122" t="s">
        <v>1454</v>
      </c>
      <c r="I122" t="s">
        <v>1454</v>
      </c>
      <c r="K122" t="s">
        <v>1454</v>
      </c>
      <c r="L122" t="s">
        <v>1454</v>
      </c>
      <c r="M122" t="s">
        <v>1454</v>
      </c>
      <c r="O122" t="s">
        <v>1454</v>
      </c>
      <c r="P122" t="s">
        <v>1454</v>
      </c>
      <c r="Q122" t="s">
        <v>1454</v>
      </c>
      <c r="S122" t="s">
        <v>1454</v>
      </c>
      <c r="T122" t="s">
        <v>1454</v>
      </c>
      <c r="U122" t="s">
        <v>1454</v>
      </c>
      <c r="W122" t="s">
        <v>1454</v>
      </c>
      <c r="X122" t="s">
        <v>1454</v>
      </c>
      <c r="Y122" t="s">
        <v>1454</v>
      </c>
      <c r="AA122" t="s">
        <v>1454</v>
      </c>
      <c r="AB122" t="s">
        <v>1454</v>
      </c>
      <c r="AC122" t="s">
        <v>1454</v>
      </c>
      <c r="AE122" t="s">
        <v>1454</v>
      </c>
      <c r="AF122" t="s">
        <v>1454</v>
      </c>
      <c r="AG122" t="s">
        <v>1454</v>
      </c>
      <c r="AI122" t="s">
        <v>1454</v>
      </c>
      <c r="AJ122" t="s">
        <v>1454</v>
      </c>
      <c r="AK122" t="s">
        <v>1454</v>
      </c>
      <c r="AM122" t="s">
        <v>1454</v>
      </c>
      <c r="AN122" t="s">
        <v>1454</v>
      </c>
      <c r="AO122" t="s">
        <v>1454</v>
      </c>
      <c r="AQ122" t="s">
        <v>1454</v>
      </c>
      <c r="AR122" t="s">
        <v>1454</v>
      </c>
      <c r="AS122" t="s">
        <v>1454</v>
      </c>
      <c r="AU122" t="s">
        <v>1454</v>
      </c>
      <c r="AV122" t="s">
        <v>1454</v>
      </c>
      <c r="AW122" t="s">
        <v>1454</v>
      </c>
      <c r="AY122" t="s">
        <v>1454</v>
      </c>
      <c r="AZ122" t="s">
        <v>1454</v>
      </c>
      <c r="BA122" t="s">
        <v>1454</v>
      </c>
      <c r="BC122" t="s">
        <v>1454</v>
      </c>
      <c r="BD122" t="s">
        <v>1454</v>
      </c>
      <c r="BE122" t="s">
        <v>1454</v>
      </c>
      <c r="BG122" t="s">
        <v>1454</v>
      </c>
      <c r="BH122" t="s">
        <v>1454</v>
      </c>
      <c r="BI122" t="s">
        <v>1454</v>
      </c>
      <c r="BK122" t="s">
        <v>1454</v>
      </c>
      <c r="BL122" t="s">
        <v>1454</v>
      </c>
      <c r="BM122" t="s">
        <v>1454</v>
      </c>
      <c r="BO122" t="s">
        <v>1454</v>
      </c>
      <c r="BP122" t="s">
        <v>1454</v>
      </c>
      <c r="BQ122" t="s">
        <v>1454</v>
      </c>
      <c r="BS122" t="s">
        <v>1454</v>
      </c>
      <c r="BT122" t="s">
        <v>1454</v>
      </c>
      <c r="BU122" t="s">
        <v>1454</v>
      </c>
      <c r="BW122" t="s">
        <v>1454</v>
      </c>
      <c r="BX122" t="s">
        <v>1454</v>
      </c>
      <c r="BY122" t="s">
        <v>1454</v>
      </c>
      <c r="CA122" t="s">
        <v>1454</v>
      </c>
      <c r="CB122" t="s">
        <v>1454</v>
      </c>
      <c r="CC122" t="s">
        <v>1454</v>
      </c>
      <c r="CE122" t="s">
        <v>1454</v>
      </c>
      <c r="CF122" t="s">
        <v>1454</v>
      </c>
      <c r="CG122" t="s">
        <v>1454</v>
      </c>
      <c r="CI122" t="s">
        <v>1454</v>
      </c>
      <c r="CJ122" t="s">
        <v>1454</v>
      </c>
      <c r="CK122" t="s">
        <v>1454</v>
      </c>
      <c r="CM122" t="s">
        <v>1454</v>
      </c>
      <c r="CN122" t="s">
        <v>1454</v>
      </c>
      <c r="CO122" t="s">
        <v>1454</v>
      </c>
      <c r="CQ122" t="s">
        <v>1454</v>
      </c>
      <c r="CR122" t="s">
        <v>1454</v>
      </c>
      <c r="CS122" t="s">
        <v>1454</v>
      </c>
      <c r="CU122" t="s">
        <v>1454</v>
      </c>
      <c r="CV122" t="s">
        <v>1454</v>
      </c>
      <c r="CW122" t="s">
        <v>1454</v>
      </c>
      <c r="CY122" t="s">
        <v>1454</v>
      </c>
      <c r="CZ122" t="s">
        <v>1454</v>
      </c>
      <c r="DA122" t="s">
        <v>1454</v>
      </c>
      <c r="DC122" t="s">
        <v>1454</v>
      </c>
      <c r="DD122" t="s">
        <v>1454</v>
      </c>
      <c r="DE122" t="s">
        <v>1454</v>
      </c>
      <c r="DG122" t="s">
        <v>629</v>
      </c>
      <c r="DH122" t="s">
        <v>1454</v>
      </c>
      <c r="DI122" t="s">
        <v>1454</v>
      </c>
      <c r="DK122" t="s">
        <v>1454</v>
      </c>
      <c r="DL122" t="s">
        <v>1454</v>
      </c>
      <c r="DM122" t="s">
        <v>1454</v>
      </c>
      <c r="DO122" t="s">
        <v>1454</v>
      </c>
      <c r="DP122" t="s">
        <v>1454</v>
      </c>
      <c r="DQ122" t="s">
        <v>1454</v>
      </c>
      <c r="DS122" t="s">
        <v>1454</v>
      </c>
      <c r="DT122" t="s">
        <v>1454</v>
      </c>
      <c r="DU122" t="s">
        <v>1454</v>
      </c>
      <c r="DW122" t="s">
        <v>1454</v>
      </c>
      <c r="DX122" t="s">
        <v>1454</v>
      </c>
      <c r="DY122" t="s">
        <v>1454</v>
      </c>
      <c r="EA122" t="s">
        <v>1454</v>
      </c>
      <c r="EB122" t="s">
        <v>1454</v>
      </c>
      <c r="EC122" t="s">
        <v>1454</v>
      </c>
      <c r="EE122" t="s">
        <v>1454</v>
      </c>
      <c r="EF122" t="s">
        <v>1454</v>
      </c>
      <c r="EG122" t="s">
        <v>1454</v>
      </c>
      <c r="EI122" t="s">
        <v>1454</v>
      </c>
      <c r="EJ122" t="s">
        <v>1454</v>
      </c>
      <c r="EK122" t="s">
        <v>1454</v>
      </c>
      <c r="EM122" t="s">
        <v>1454</v>
      </c>
      <c r="EN122" t="s">
        <v>1454</v>
      </c>
      <c r="EO122" t="s">
        <v>1454</v>
      </c>
      <c r="EQ122" t="s">
        <v>1454</v>
      </c>
      <c r="ER122" t="s">
        <v>1454</v>
      </c>
      <c r="ES122" t="s">
        <v>1454</v>
      </c>
      <c r="EU122" t="s">
        <v>1454</v>
      </c>
      <c r="EV122" t="s">
        <v>1454</v>
      </c>
      <c r="EW122" t="s">
        <v>1454</v>
      </c>
      <c r="EY122" t="s">
        <v>1454</v>
      </c>
      <c r="EZ122" t="s">
        <v>1454</v>
      </c>
      <c r="FA122" t="s">
        <v>1454</v>
      </c>
      <c r="FC122" t="s">
        <v>1454</v>
      </c>
      <c r="FD122" t="s">
        <v>1454</v>
      </c>
      <c r="FE122" t="s">
        <v>1454</v>
      </c>
      <c r="FG122" t="s">
        <v>1454</v>
      </c>
      <c r="FH122" t="s">
        <v>1454</v>
      </c>
      <c r="FI122" t="s">
        <v>1454</v>
      </c>
      <c r="FK122" t="s">
        <v>1454</v>
      </c>
      <c r="FL122" t="s">
        <v>1454</v>
      </c>
      <c r="FM122" t="s">
        <v>1454</v>
      </c>
      <c r="FO122" t="s">
        <v>1454</v>
      </c>
      <c r="FP122" t="s">
        <v>1454</v>
      </c>
      <c r="FQ122" t="s">
        <v>1454</v>
      </c>
      <c r="FS122" t="s">
        <v>1454</v>
      </c>
      <c r="FT122" t="s">
        <v>1454</v>
      </c>
      <c r="FU122" t="s">
        <v>1454</v>
      </c>
      <c r="FW122" t="s">
        <v>1454</v>
      </c>
      <c r="FX122" t="s">
        <v>1454</v>
      </c>
      <c r="FY122" t="s">
        <v>1454</v>
      </c>
      <c r="GA122" t="s">
        <v>1454</v>
      </c>
      <c r="GB122" t="s">
        <v>1454</v>
      </c>
      <c r="GC122" t="s">
        <v>1454</v>
      </c>
      <c r="GE122" t="s">
        <v>1454</v>
      </c>
      <c r="GF122" t="s">
        <v>1454</v>
      </c>
      <c r="GG122" t="s">
        <v>1454</v>
      </c>
      <c r="GI122" t="s">
        <v>1454</v>
      </c>
      <c r="GJ122" t="s">
        <v>1454</v>
      </c>
      <c r="GK122" t="s">
        <v>1454</v>
      </c>
      <c r="GM122" t="s">
        <v>1454</v>
      </c>
      <c r="GN122" t="s">
        <v>1454</v>
      </c>
      <c r="GO122" t="s">
        <v>1454</v>
      </c>
      <c r="GQ122" t="s">
        <v>1550</v>
      </c>
    </row>
    <row r="123" spans="2:199" s="11" customFormat="1" x14ac:dyDescent="0.25">
      <c r="B123" t="s">
        <v>478</v>
      </c>
      <c r="C123" t="s">
        <v>1454</v>
      </c>
      <c r="D123" t="s">
        <v>1454</v>
      </c>
      <c r="E123" t="s">
        <v>1454</v>
      </c>
      <c r="F123"/>
      <c r="G123" t="s">
        <v>1454</v>
      </c>
      <c r="H123" t="s">
        <v>1454</v>
      </c>
      <c r="I123" t="s">
        <v>1454</v>
      </c>
      <c r="J123"/>
      <c r="K123" t="s">
        <v>1454</v>
      </c>
      <c r="L123" t="s">
        <v>1454</v>
      </c>
      <c r="M123" t="s">
        <v>1454</v>
      </c>
      <c r="N123"/>
      <c r="O123" t="s">
        <v>1454</v>
      </c>
      <c r="P123" t="s">
        <v>1454</v>
      </c>
      <c r="Q123" t="s">
        <v>1454</v>
      </c>
      <c r="R123"/>
      <c r="S123" t="s">
        <v>1454</v>
      </c>
      <c r="T123" t="s">
        <v>1454</v>
      </c>
      <c r="U123" t="s">
        <v>1454</v>
      </c>
      <c r="V123"/>
      <c r="W123" t="s">
        <v>1454</v>
      </c>
      <c r="X123" t="s">
        <v>1454</v>
      </c>
      <c r="Y123" t="s">
        <v>1454</v>
      </c>
      <c r="Z123"/>
      <c r="AA123" t="s">
        <v>1454</v>
      </c>
      <c r="AB123" t="s">
        <v>1454</v>
      </c>
      <c r="AC123" t="s">
        <v>1454</v>
      </c>
      <c r="AD123"/>
      <c r="AE123" t="s">
        <v>1454</v>
      </c>
      <c r="AF123" t="s">
        <v>1454</v>
      </c>
      <c r="AG123" t="s">
        <v>1454</v>
      </c>
      <c r="AH123"/>
      <c r="AI123" t="s">
        <v>1454</v>
      </c>
      <c r="AJ123" t="s">
        <v>1454</v>
      </c>
      <c r="AK123" t="s">
        <v>1454</v>
      </c>
      <c r="AL123"/>
      <c r="AM123" t="s">
        <v>611</v>
      </c>
      <c r="AN123" t="s">
        <v>1454</v>
      </c>
      <c r="AO123" t="s">
        <v>1454</v>
      </c>
      <c r="AP123"/>
      <c r="AQ123" t="s">
        <v>1454</v>
      </c>
      <c r="AR123" t="s">
        <v>1454</v>
      </c>
      <c r="AS123" t="s">
        <v>1454</v>
      </c>
      <c r="AT123"/>
      <c r="AU123" t="s">
        <v>613</v>
      </c>
      <c r="AV123" t="s">
        <v>1454</v>
      </c>
      <c r="AW123" t="s">
        <v>1454</v>
      </c>
      <c r="AX123"/>
      <c r="AY123" t="s">
        <v>1454</v>
      </c>
      <c r="AZ123" t="s">
        <v>1454</v>
      </c>
      <c r="BA123" t="s">
        <v>1454</v>
      </c>
      <c r="BB123"/>
      <c r="BC123" t="s">
        <v>1454</v>
      </c>
      <c r="BD123" t="s">
        <v>1454</v>
      </c>
      <c r="BE123" t="s">
        <v>1454</v>
      </c>
      <c r="BF123"/>
      <c r="BG123" t="s">
        <v>1454</v>
      </c>
      <c r="BH123" t="s">
        <v>1454</v>
      </c>
      <c r="BI123" t="s">
        <v>1454</v>
      </c>
      <c r="BJ123"/>
      <c r="BK123" t="s">
        <v>1454</v>
      </c>
      <c r="BL123" t="s">
        <v>1454</v>
      </c>
      <c r="BM123" t="s">
        <v>1454</v>
      </c>
      <c r="BN123"/>
      <c r="BO123" t="s">
        <v>1454</v>
      </c>
      <c r="BP123" t="s">
        <v>1454</v>
      </c>
      <c r="BQ123" t="s">
        <v>1454</v>
      </c>
      <c r="BR123"/>
      <c r="BS123" t="s">
        <v>1454</v>
      </c>
      <c r="BT123" t="s">
        <v>1454</v>
      </c>
      <c r="BU123" t="s">
        <v>1454</v>
      </c>
      <c r="BV123"/>
      <c r="BW123" t="s">
        <v>1454</v>
      </c>
      <c r="BX123" t="s">
        <v>1454</v>
      </c>
      <c r="BY123" t="s">
        <v>1454</v>
      </c>
      <c r="BZ123"/>
      <c r="CA123" t="s">
        <v>1454</v>
      </c>
      <c r="CB123" t="s">
        <v>1454</v>
      </c>
      <c r="CC123" t="s">
        <v>1454</v>
      </c>
      <c r="CD123"/>
      <c r="CE123" t="s">
        <v>1454</v>
      </c>
      <c r="CF123" t="s">
        <v>1454</v>
      </c>
      <c r="CG123" t="s">
        <v>1454</v>
      </c>
      <c r="CH123"/>
      <c r="CI123" t="s">
        <v>1454</v>
      </c>
      <c r="CJ123" t="s">
        <v>1454</v>
      </c>
      <c r="CK123" t="s">
        <v>1454</v>
      </c>
      <c r="CL123"/>
      <c r="CM123" t="s">
        <v>1454</v>
      </c>
      <c r="CN123" t="s">
        <v>1454</v>
      </c>
      <c r="CO123" t="s">
        <v>1454</v>
      </c>
      <c r="CP123"/>
      <c r="CQ123" t="s">
        <v>1454</v>
      </c>
      <c r="CR123" t="s">
        <v>1454</v>
      </c>
      <c r="CS123" t="s">
        <v>1454</v>
      </c>
      <c r="CT123"/>
      <c r="CU123" t="s">
        <v>1454</v>
      </c>
      <c r="CV123" t="s">
        <v>1454</v>
      </c>
      <c r="CW123" t="s">
        <v>1454</v>
      </c>
      <c r="CX123"/>
      <c r="CY123" t="s">
        <v>1454</v>
      </c>
      <c r="CZ123" t="s">
        <v>1454</v>
      </c>
      <c r="DA123" t="s">
        <v>1454</v>
      </c>
      <c r="DB123"/>
      <c r="DC123" t="s">
        <v>1454</v>
      </c>
      <c r="DD123" t="s">
        <v>1454</v>
      </c>
      <c r="DE123" t="s">
        <v>1454</v>
      </c>
      <c r="DF123"/>
      <c r="DG123" t="s">
        <v>1454</v>
      </c>
      <c r="DH123" t="s">
        <v>1454</v>
      </c>
      <c r="DI123" t="s">
        <v>1454</v>
      </c>
      <c r="DJ123"/>
      <c r="DK123" t="s">
        <v>1454</v>
      </c>
      <c r="DL123" t="s">
        <v>1454</v>
      </c>
      <c r="DM123" t="s">
        <v>1454</v>
      </c>
      <c r="DN123"/>
      <c r="DO123" t="s">
        <v>1454</v>
      </c>
      <c r="DP123" t="s">
        <v>1454</v>
      </c>
      <c r="DQ123" t="s">
        <v>1454</v>
      </c>
      <c r="DR123"/>
      <c r="DS123" t="s">
        <v>1454</v>
      </c>
      <c r="DT123" t="s">
        <v>1454</v>
      </c>
      <c r="DU123" t="s">
        <v>1454</v>
      </c>
      <c r="DV123"/>
      <c r="DW123" t="s">
        <v>1454</v>
      </c>
      <c r="DX123" t="s">
        <v>1454</v>
      </c>
      <c r="DY123" t="s">
        <v>1454</v>
      </c>
      <c r="DZ123"/>
      <c r="EA123" t="s">
        <v>1454</v>
      </c>
      <c r="EB123" t="s">
        <v>1454</v>
      </c>
      <c r="EC123" t="s">
        <v>1454</v>
      </c>
      <c r="ED123"/>
      <c r="EE123" t="s">
        <v>1454</v>
      </c>
      <c r="EF123" t="s">
        <v>1454</v>
      </c>
      <c r="EG123" t="s">
        <v>1454</v>
      </c>
      <c r="EH123"/>
      <c r="EI123" t="s">
        <v>1454</v>
      </c>
      <c r="EJ123" t="s">
        <v>1454</v>
      </c>
      <c r="EK123" t="s">
        <v>1454</v>
      </c>
      <c r="EL123"/>
      <c r="EM123" t="s">
        <v>1454</v>
      </c>
      <c r="EN123" t="s">
        <v>1454</v>
      </c>
      <c r="EO123" t="s">
        <v>1454</v>
      </c>
      <c r="EP123"/>
      <c r="EQ123" t="s">
        <v>1454</v>
      </c>
      <c r="ER123" t="s">
        <v>1454</v>
      </c>
      <c r="ES123" t="s">
        <v>1454</v>
      </c>
      <c r="ET123"/>
      <c r="EU123" t="s">
        <v>1454</v>
      </c>
      <c r="EV123" t="s">
        <v>1454</v>
      </c>
      <c r="EW123" t="s">
        <v>1454</v>
      </c>
      <c r="EX123"/>
      <c r="EY123" t="s">
        <v>1454</v>
      </c>
      <c r="EZ123" t="s">
        <v>1454</v>
      </c>
      <c r="FA123" t="s">
        <v>1454</v>
      </c>
      <c r="FB123"/>
      <c r="FC123" t="s">
        <v>1454</v>
      </c>
      <c r="FD123" t="s">
        <v>1454</v>
      </c>
      <c r="FE123" t="s">
        <v>1454</v>
      </c>
      <c r="FF123"/>
      <c r="FG123" t="s">
        <v>642</v>
      </c>
      <c r="FH123" t="s">
        <v>1454</v>
      </c>
      <c r="FI123" t="s">
        <v>1454</v>
      </c>
      <c r="FJ123"/>
      <c r="FK123" t="s">
        <v>1454</v>
      </c>
      <c r="FL123" t="s">
        <v>1454</v>
      </c>
      <c r="FM123" t="s">
        <v>1454</v>
      </c>
      <c r="FN123"/>
      <c r="FO123" t="s">
        <v>1454</v>
      </c>
      <c r="FP123" t="s">
        <v>1454</v>
      </c>
      <c r="FQ123" t="s">
        <v>1454</v>
      </c>
      <c r="FR123"/>
      <c r="FS123" t="s">
        <v>1454</v>
      </c>
      <c r="FT123" t="s">
        <v>1454</v>
      </c>
      <c r="FU123" t="s">
        <v>1454</v>
      </c>
      <c r="FV123"/>
      <c r="FW123" t="s">
        <v>1454</v>
      </c>
      <c r="FX123" t="s">
        <v>1454</v>
      </c>
      <c r="FY123" t="s">
        <v>1454</v>
      </c>
      <c r="FZ123"/>
      <c r="GA123" t="s">
        <v>1454</v>
      </c>
      <c r="GB123" t="s">
        <v>1454</v>
      </c>
      <c r="GC123" t="s">
        <v>1454</v>
      </c>
      <c r="GD123"/>
      <c r="GE123" t="s">
        <v>1454</v>
      </c>
      <c r="GF123" t="s">
        <v>1454</v>
      </c>
      <c r="GG123" t="s">
        <v>1454</v>
      </c>
      <c r="GH123"/>
      <c r="GI123" t="s">
        <v>1454</v>
      </c>
      <c r="GJ123" t="s">
        <v>1454</v>
      </c>
      <c r="GK123" t="s">
        <v>1454</v>
      </c>
      <c r="GL123"/>
      <c r="GM123" t="s">
        <v>1454</v>
      </c>
      <c r="GN123" t="s">
        <v>1454</v>
      </c>
      <c r="GO123" t="s">
        <v>1454</v>
      </c>
      <c r="GP123"/>
      <c r="GQ123" t="s">
        <v>1606</v>
      </c>
    </row>
    <row r="124" spans="2:199" x14ac:dyDescent="0.25">
      <c r="B124" t="s">
        <v>479</v>
      </c>
      <c r="C124" t="s">
        <v>603</v>
      </c>
      <c r="D124" t="s">
        <v>1454</v>
      </c>
      <c r="E124" t="s">
        <v>1454</v>
      </c>
      <c r="G124" t="s">
        <v>604</v>
      </c>
      <c r="H124" t="s">
        <v>1454</v>
      </c>
      <c r="I124" t="s">
        <v>1454</v>
      </c>
      <c r="K124" t="s">
        <v>392</v>
      </c>
      <c r="L124" t="s">
        <v>1454</v>
      </c>
      <c r="M124" t="s">
        <v>1454</v>
      </c>
      <c r="O124" t="s">
        <v>605</v>
      </c>
      <c r="P124" t="s">
        <v>1454</v>
      </c>
      <c r="Q124" t="s">
        <v>1454</v>
      </c>
      <c r="S124" t="s">
        <v>1454</v>
      </c>
      <c r="T124" t="s">
        <v>1454</v>
      </c>
      <c r="U124" t="s">
        <v>1454</v>
      </c>
      <c r="W124" t="s">
        <v>1454</v>
      </c>
      <c r="X124" t="s">
        <v>1454</v>
      </c>
      <c r="Y124" t="s">
        <v>1454</v>
      </c>
      <c r="AA124" t="s">
        <v>1454</v>
      </c>
      <c r="AB124" t="s">
        <v>1454</v>
      </c>
      <c r="AC124" t="s">
        <v>1454</v>
      </c>
      <c r="AE124" t="s">
        <v>609</v>
      </c>
      <c r="AF124" t="s">
        <v>1454</v>
      </c>
      <c r="AG124" t="s">
        <v>1454</v>
      </c>
      <c r="AI124" t="s">
        <v>610</v>
      </c>
      <c r="AJ124" t="s">
        <v>1454</v>
      </c>
      <c r="AK124" t="s">
        <v>1454</v>
      </c>
      <c r="AM124" t="s">
        <v>1454</v>
      </c>
      <c r="AN124" t="s">
        <v>1454</v>
      </c>
      <c r="AO124" t="s">
        <v>1454</v>
      </c>
      <c r="AQ124" t="s">
        <v>612</v>
      </c>
      <c r="AR124" t="s">
        <v>1454</v>
      </c>
      <c r="AS124" t="s">
        <v>1454</v>
      </c>
      <c r="AU124" t="s">
        <v>1454</v>
      </c>
      <c r="AV124" t="s">
        <v>1454</v>
      </c>
      <c r="AW124" t="s">
        <v>1454</v>
      </c>
      <c r="AY124" t="s">
        <v>614</v>
      </c>
      <c r="AZ124" t="s">
        <v>1454</v>
      </c>
      <c r="BA124" t="s">
        <v>1454</v>
      </c>
      <c r="BC124" t="s">
        <v>1454</v>
      </c>
      <c r="BD124" t="s">
        <v>1454</v>
      </c>
      <c r="BE124" t="s">
        <v>1454</v>
      </c>
      <c r="BG124" t="s">
        <v>1454</v>
      </c>
      <c r="BH124" t="s">
        <v>1454</v>
      </c>
      <c r="BI124" t="s">
        <v>1454</v>
      </c>
      <c r="BK124" t="s">
        <v>617</v>
      </c>
      <c r="BL124" t="s">
        <v>1454</v>
      </c>
      <c r="BM124" t="s">
        <v>1454</v>
      </c>
      <c r="BO124" t="s">
        <v>618</v>
      </c>
      <c r="BP124" t="s">
        <v>1454</v>
      </c>
      <c r="BQ124" t="s">
        <v>1454</v>
      </c>
      <c r="BS124" t="s">
        <v>619</v>
      </c>
      <c r="BT124" t="s">
        <v>1454</v>
      </c>
      <c r="BU124" t="s">
        <v>1454</v>
      </c>
      <c r="BW124" t="s">
        <v>620</v>
      </c>
      <c r="BX124" t="s">
        <v>1454</v>
      </c>
      <c r="BY124" t="s">
        <v>1454</v>
      </c>
      <c r="CA124" t="s">
        <v>621</v>
      </c>
      <c r="CB124" t="s">
        <v>1454</v>
      </c>
      <c r="CC124" t="s">
        <v>1454</v>
      </c>
      <c r="CE124" t="s">
        <v>622</v>
      </c>
      <c r="CF124" t="s">
        <v>1454</v>
      </c>
      <c r="CG124" t="s">
        <v>1454</v>
      </c>
      <c r="CI124" t="s">
        <v>623</v>
      </c>
      <c r="CJ124" t="s">
        <v>1454</v>
      </c>
      <c r="CK124" t="s">
        <v>1454</v>
      </c>
      <c r="CM124" t="s">
        <v>1454</v>
      </c>
      <c r="CN124" t="s">
        <v>1454</v>
      </c>
      <c r="CO124" t="s">
        <v>1454</v>
      </c>
      <c r="CQ124" t="s">
        <v>1454</v>
      </c>
      <c r="CR124" t="s">
        <v>1454</v>
      </c>
      <c r="CS124" t="s">
        <v>1454</v>
      </c>
      <c r="CU124" t="s">
        <v>626</v>
      </c>
      <c r="CV124" t="s">
        <v>1454</v>
      </c>
      <c r="CW124" t="s">
        <v>1454</v>
      </c>
      <c r="CY124" t="s">
        <v>627</v>
      </c>
      <c r="CZ124" t="s">
        <v>1454</v>
      </c>
      <c r="DA124" t="s">
        <v>1454</v>
      </c>
      <c r="DC124" t="s">
        <v>628</v>
      </c>
      <c r="DD124" t="s">
        <v>1454</v>
      </c>
      <c r="DE124" t="s">
        <v>1454</v>
      </c>
      <c r="DG124" t="s">
        <v>1454</v>
      </c>
      <c r="DH124" t="s">
        <v>1454</v>
      </c>
      <c r="DI124" t="s">
        <v>1454</v>
      </c>
      <c r="DK124" t="s">
        <v>1454</v>
      </c>
      <c r="DL124" t="s">
        <v>1454</v>
      </c>
      <c r="DM124" t="s">
        <v>1454</v>
      </c>
      <c r="DO124" t="s">
        <v>1454</v>
      </c>
      <c r="DP124" t="s">
        <v>1454</v>
      </c>
      <c r="DQ124" t="s">
        <v>1454</v>
      </c>
      <c r="DS124" t="s">
        <v>632</v>
      </c>
      <c r="DT124" t="s">
        <v>1454</v>
      </c>
      <c r="DU124" t="s">
        <v>1454</v>
      </c>
      <c r="DW124" t="s">
        <v>1454</v>
      </c>
      <c r="DX124" t="s">
        <v>1454</v>
      </c>
      <c r="DY124" t="s">
        <v>1454</v>
      </c>
      <c r="EA124" t="s">
        <v>634</v>
      </c>
      <c r="EB124" t="s">
        <v>1454</v>
      </c>
      <c r="EC124" t="s">
        <v>1454</v>
      </c>
      <c r="EE124" t="s">
        <v>1454</v>
      </c>
      <c r="EF124" t="s">
        <v>1454</v>
      </c>
      <c r="EG124" t="s">
        <v>1454</v>
      </c>
      <c r="EI124" t="s">
        <v>1454</v>
      </c>
      <c r="EJ124" t="s">
        <v>1454</v>
      </c>
      <c r="EK124" t="s">
        <v>1454</v>
      </c>
      <c r="EM124" t="s">
        <v>637</v>
      </c>
      <c r="EN124" t="s">
        <v>1454</v>
      </c>
      <c r="EO124" t="s">
        <v>1454</v>
      </c>
      <c r="EQ124" t="s">
        <v>638</v>
      </c>
      <c r="ER124" t="s">
        <v>1454</v>
      </c>
      <c r="ES124" t="s">
        <v>1454</v>
      </c>
      <c r="EU124" t="s">
        <v>639</v>
      </c>
      <c r="EV124" t="s">
        <v>1454</v>
      </c>
      <c r="EW124" t="s">
        <v>1454</v>
      </c>
      <c r="EY124" t="s">
        <v>1454</v>
      </c>
      <c r="EZ124" t="s">
        <v>1454</v>
      </c>
      <c r="FA124" t="s">
        <v>1454</v>
      </c>
      <c r="FC124" t="s">
        <v>1454</v>
      </c>
      <c r="FD124" t="s">
        <v>1454</v>
      </c>
      <c r="FE124" t="s">
        <v>1454</v>
      </c>
      <c r="FG124" t="s">
        <v>1454</v>
      </c>
      <c r="FH124" t="s">
        <v>1454</v>
      </c>
      <c r="FI124" t="s">
        <v>1454</v>
      </c>
      <c r="FK124" t="s">
        <v>1454</v>
      </c>
      <c r="FL124" t="s">
        <v>1454</v>
      </c>
      <c r="FM124" t="s">
        <v>1454</v>
      </c>
      <c r="FO124" t="s">
        <v>602</v>
      </c>
      <c r="FP124" t="s">
        <v>1454</v>
      </c>
      <c r="FQ124" t="s">
        <v>1454</v>
      </c>
      <c r="FS124" t="s">
        <v>1454</v>
      </c>
      <c r="FT124" t="s">
        <v>1454</v>
      </c>
      <c r="FU124" t="s">
        <v>1454</v>
      </c>
      <c r="FW124" t="s">
        <v>645</v>
      </c>
      <c r="FX124" t="s">
        <v>1454</v>
      </c>
      <c r="FY124" t="s">
        <v>1454</v>
      </c>
      <c r="GA124" t="s">
        <v>646</v>
      </c>
      <c r="GB124" t="s">
        <v>1454</v>
      </c>
      <c r="GC124" t="s">
        <v>1454</v>
      </c>
      <c r="GE124" t="s">
        <v>1454</v>
      </c>
      <c r="GF124" t="s">
        <v>1454</v>
      </c>
      <c r="GG124" t="s">
        <v>1454</v>
      </c>
      <c r="GI124" t="s">
        <v>648</v>
      </c>
      <c r="GJ124" t="s">
        <v>1454</v>
      </c>
      <c r="GK124" t="s">
        <v>1454</v>
      </c>
      <c r="GM124" t="s">
        <v>649</v>
      </c>
      <c r="GN124" t="s">
        <v>1454</v>
      </c>
      <c r="GO124" t="s">
        <v>1454</v>
      </c>
      <c r="GQ124" t="s">
        <v>1607</v>
      </c>
    </row>
    <row r="125" spans="2:199" x14ac:dyDescent="0.25">
      <c r="B125" t="s">
        <v>480</v>
      </c>
      <c r="C125" t="s">
        <v>1454</v>
      </c>
      <c r="D125" t="s">
        <v>1454</v>
      </c>
      <c r="E125" t="s">
        <v>1454</v>
      </c>
      <c r="G125" t="s">
        <v>1454</v>
      </c>
      <c r="H125" t="s">
        <v>1454</v>
      </c>
      <c r="I125" t="s">
        <v>1454</v>
      </c>
      <c r="K125" t="s">
        <v>1454</v>
      </c>
      <c r="L125" t="s">
        <v>1454</v>
      </c>
      <c r="M125" t="s">
        <v>1454</v>
      </c>
      <c r="O125" t="s">
        <v>1454</v>
      </c>
      <c r="P125" t="s">
        <v>1454</v>
      </c>
      <c r="Q125" t="s">
        <v>1454</v>
      </c>
      <c r="S125" t="s">
        <v>1454</v>
      </c>
      <c r="T125" t="s">
        <v>1454</v>
      </c>
      <c r="U125" t="s">
        <v>1454</v>
      </c>
      <c r="W125" t="s">
        <v>1454</v>
      </c>
      <c r="X125" t="s">
        <v>1454</v>
      </c>
      <c r="Y125" t="s">
        <v>1454</v>
      </c>
      <c r="AA125" t="s">
        <v>1454</v>
      </c>
      <c r="AB125" t="s">
        <v>1454</v>
      </c>
      <c r="AC125" t="s">
        <v>1454</v>
      </c>
      <c r="AE125" t="s">
        <v>1454</v>
      </c>
      <c r="AF125" t="s">
        <v>1454</v>
      </c>
      <c r="AG125" t="s">
        <v>1454</v>
      </c>
      <c r="AI125" t="s">
        <v>1454</v>
      </c>
      <c r="AJ125" t="s">
        <v>1454</v>
      </c>
      <c r="AK125" t="s">
        <v>1454</v>
      </c>
      <c r="AM125" t="s">
        <v>1454</v>
      </c>
      <c r="AN125" t="s">
        <v>1454</v>
      </c>
      <c r="AO125" t="s">
        <v>1454</v>
      </c>
      <c r="AQ125" t="s">
        <v>1454</v>
      </c>
      <c r="AR125" t="s">
        <v>1454</v>
      </c>
      <c r="AS125" t="s">
        <v>1454</v>
      </c>
      <c r="AU125" t="s">
        <v>1454</v>
      </c>
      <c r="AV125" t="s">
        <v>1454</v>
      </c>
      <c r="AW125" t="s">
        <v>1454</v>
      </c>
      <c r="AY125" t="s">
        <v>1454</v>
      </c>
      <c r="AZ125" t="s">
        <v>1454</v>
      </c>
      <c r="BA125" t="s">
        <v>1454</v>
      </c>
      <c r="BC125" t="s">
        <v>1454</v>
      </c>
      <c r="BD125" t="s">
        <v>1454</v>
      </c>
      <c r="BE125" t="s">
        <v>1454</v>
      </c>
      <c r="BG125" t="s">
        <v>1454</v>
      </c>
      <c r="BH125" t="s">
        <v>1454</v>
      </c>
      <c r="BI125" t="s">
        <v>1454</v>
      </c>
      <c r="BK125" t="s">
        <v>1454</v>
      </c>
      <c r="BL125" t="s">
        <v>1454</v>
      </c>
      <c r="BM125" t="s">
        <v>1454</v>
      </c>
      <c r="BO125" t="s">
        <v>618</v>
      </c>
      <c r="BP125" t="s">
        <v>1454</v>
      </c>
      <c r="BQ125" t="s">
        <v>1454</v>
      </c>
      <c r="BS125" t="s">
        <v>1454</v>
      </c>
      <c r="BT125" t="s">
        <v>1454</v>
      </c>
      <c r="BU125" t="s">
        <v>1454</v>
      </c>
      <c r="BW125" t="s">
        <v>1454</v>
      </c>
      <c r="BX125" t="s">
        <v>1454</v>
      </c>
      <c r="BY125" t="s">
        <v>1454</v>
      </c>
      <c r="CA125" t="s">
        <v>1454</v>
      </c>
      <c r="CB125" t="s">
        <v>1454</v>
      </c>
      <c r="CC125" t="s">
        <v>1454</v>
      </c>
      <c r="CE125" t="s">
        <v>1454</v>
      </c>
      <c r="CF125" t="s">
        <v>1454</v>
      </c>
      <c r="CG125" t="s">
        <v>1454</v>
      </c>
      <c r="CI125" t="s">
        <v>1454</v>
      </c>
      <c r="CJ125" t="s">
        <v>1454</v>
      </c>
      <c r="CK125" t="s">
        <v>1454</v>
      </c>
      <c r="CM125" t="s">
        <v>1454</v>
      </c>
      <c r="CN125" t="s">
        <v>1454</v>
      </c>
      <c r="CO125" t="s">
        <v>1454</v>
      </c>
      <c r="CQ125" t="s">
        <v>1454</v>
      </c>
      <c r="CR125" t="s">
        <v>1454</v>
      </c>
      <c r="CS125" t="s">
        <v>1454</v>
      </c>
      <c r="CU125" t="s">
        <v>1454</v>
      </c>
      <c r="CV125" t="s">
        <v>1454</v>
      </c>
      <c r="CW125" t="s">
        <v>1454</v>
      </c>
      <c r="CY125" t="s">
        <v>1454</v>
      </c>
      <c r="CZ125" t="s">
        <v>1454</v>
      </c>
      <c r="DA125" t="s">
        <v>1454</v>
      </c>
      <c r="DC125" t="s">
        <v>1454</v>
      </c>
      <c r="DD125" t="s">
        <v>1454</v>
      </c>
      <c r="DE125" t="s">
        <v>1454</v>
      </c>
      <c r="DG125" t="s">
        <v>1454</v>
      </c>
      <c r="DH125" t="s">
        <v>1454</v>
      </c>
      <c r="DI125" t="s">
        <v>1454</v>
      </c>
      <c r="DK125" t="s">
        <v>1454</v>
      </c>
      <c r="DL125" t="s">
        <v>1454</v>
      </c>
      <c r="DM125" t="s">
        <v>1454</v>
      </c>
      <c r="DO125" t="s">
        <v>1454</v>
      </c>
      <c r="DP125" t="s">
        <v>1454</v>
      </c>
      <c r="DQ125" t="s">
        <v>1454</v>
      </c>
      <c r="DS125" t="s">
        <v>1454</v>
      </c>
      <c r="DT125" t="s">
        <v>1454</v>
      </c>
      <c r="DU125" t="s">
        <v>1454</v>
      </c>
      <c r="DW125" t="s">
        <v>1454</v>
      </c>
      <c r="DX125" t="s">
        <v>1454</v>
      </c>
      <c r="DY125" t="s">
        <v>1454</v>
      </c>
      <c r="EA125" t="s">
        <v>1454</v>
      </c>
      <c r="EB125" t="s">
        <v>1454</v>
      </c>
      <c r="EC125" t="s">
        <v>1454</v>
      </c>
      <c r="EE125" t="s">
        <v>1454</v>
      </c>
      <c r="EF125" t="s">
        <v>1454</v>
      </c>
      <c r="EG125" t="s">
        <v>1454</v>
      </c>
      <c r="EI125" t="s">
        <v>1454</v>
      </c>
      <c r="EJ125" t="s">
        <v>1454</v>
      </c>
      <c r="EK125" t="s">
        <v>1454</v>
      </c>
      <c r="EM125" t="s">
        <v>1454</v>
      </c>
      <c r="EN125" t="s">
        <v>1454</v>
      </c>
      <c r="EO125" t="s">
        <v>1454</v>
      </c>
      <c r="EQ125" t="s">
        <v>1454</v>
      </c>
      <c r="ER125" t="s">
        <v>1454</v>
      </c>
      <c r="ES125" t="s">
        <v>1454</v>
      </c>
      <c r="EU125" t="s">
        <v>1454</v>
      </c>
      <c r="EV125" t="s">
        <v>1454</v>
      </c>
      <c r="EW125" t="s">
        <v>1454</v>
      </c>
      <c r="EY125" t="s">
        <v>1454</v>
      </c>
      <c r="EZ125" t="s">
        <v>1454</v>
      </c>
      <c r="FA125" t="s">
        <v>1454</v>
      </c>
      <c r="FC125" t="s">
        <v>1454</v>
      </c>
      <c r="FD125" t="s">
        <v>1454</v>
      </c>
      <c r="FE125" t="s">
        <v>1454</v>
      </c>
      <c r="FG125" t="s">
        <v>1454</v>
      </c>
      <c r="FH125" t="s">
        <v>1454</v>
      </c>
      <c r="FI125" t="s">
        <v>1454</v>
      </c>
      <c r="FK125" t="s">
        <v>1454</v>
      </c>
      <c r="FL125" t="s">
        <v>1454</v>
      </c>
      <c r="FM125" t="s">
        <v>1454</v>
      </c>
      <c r="FO125" t="s">
        <v>1454</v>
      </c>
      <c r="FP125" t="s">
        <v>1454</v>
      </c>
      <c r="FQ125" t="s">
        <v>1454</v>
      </c>
      <c r="FS125" t="s">
        <v>1454</v>
      </c>
      <c r="FT125" t="s">
        <v>1454</v>
      </c>
      <c r="FU125" t="s">
        <v>1454</v>
      </c>
      <c r="FW125" t="s">
        <v>1454</v>
      </c>
      <c r="FX125" t="s">
        <v>1454</v>
      </c>
      <c r="FY125" t="s">
        <v>1454</v>
      </c>
      <c r="GA125" t="s">
        <v>1454</v>
      </c>
      <c r="GB125" t="s">
        <v>1454</v>
      </c>
      <c r="GC125" t="s">
        <v>1454</v>
      </c>
      <c r="GE125" t="s">
        <v>1454</v>
      </c>
      <c r="GF125" t="s">
        <v>1454</v>
      </c>
      <c r="GG125" t="s">
        <v>1454</v>
      </c>
      <c r="GI125" t="s">
        <v>1454</v>
      </c>
      <c r="GJ125" t="s">
        <v>1454</v>
      </c>
      <c r="GK125" t="s">
        <v>1454</v>
      </c>
      <c r="GM125" t="s">
        <v>1454</v>
      </c>
      <c r="GN125" t="s">
        <v>1454</v>
      </c>
      <c r="GO125" t="s">
        <v>1454</v>
      </c>
      <c r="GQ125" t="s">
        <v>1503</v>
      </c>
    </row>
    <row r="126" spans="2:199" x14ac:dyDescent="0.25">
      <c r="B126" t="s">
        <v>481</v>
      </c>
      <c r="C126" t="s">
        <v>1454</v>
      </c>
      <c r="D126" t="s">
        <v>1454</v>
      </c>
      <c r="E126" t="s">
        <v>1454</v>
      </c>
      <c r="G126" t="s">
        <v>1454</v>
      </c>
      <c r="H126" t="s">
        <v>1454</v>
      </c>
      <c r="I126" t="s">
        <v>1454</v>
      </c>
      <c r="K126" t="s">
        <v>1454</v>
      </c>
      <c r="L126" t="s">
        <v>1454</v>
      </c>
      <c r="M126" t="s">
        <v>1454</v>
      </c>
      <c r="O126" t="s">
        <v>1454</v>
      </c>
      <c r="P126" t="s">
        <v>1454</v>
      </c>
      <c r="Q126" t="s">
        <v>1454</v>
      </c>
      <c r="S126" t="s">
        <v>1454</v>
      </c>
      <c r="T126" t="s">
        <v>1454</v>
      </c>
      <c r="U126" t="s">
        <v>1454</v>
      </c>
      <c r="W126" t="s">
        <v>1454</v>
      </c>
      <c r="X126" t="s">
        <v>1454</v>
      </c>
      <c r="Y126" t="s">
        <v>1454</v>
      </c>
      <c r="AA126" t="s">
        <v>1454</v>
      </c>
      <c r="AB126" t="s">
        <v>1454</v>
      </c>
      <c r="AC126" t="s">
        <v>1454</v>
      </c>
      <c r="AE126" t="s">
        <v>1454</v>
      </c>
      <c r="AF126" t="s">
        <v>1454</v>
      </c>
      <c r="AG126" t="s">
        <v>1454</v>
      </c>
      <c r="AI126" t="s">
        <v>1454</v>
      </c>
      <c r="AJ126" t="s">
        <v>1454</v>
      </c>
      <c r="AK126" t="s">
        <v>1454</v>
      </c>
      <c r="AM126" t="s">
        <v>1454</v>
      </c>
      <c r="AN126" t="s">
        <v>1454</v>
      </c>
      <c r="AO126" t="s">
        <v>1454</v>
      </c>
      <c r="AQ126" t="s">
        <v>612</v>
      </c>
      <c r="AR126" t="s">
        <v>1454</v>
      </c>
      <c r="AS126" t="s">
        <v>1454</v>
      </c>
      <c r="AU126" t="s">
        <v>1454</v>
      </c>
      <c r="AV126" t="s">
        <v>1454</v>
      </c>
      <c r="AW126" t="s">
        <v>1454</v>
      </c>
      <c r="AY126" t="s">
        <v>1454</v>
      </c>
      <c r="AZ126" t="s">
        <v>1454</v>
      </c>
      <c r="BA126" t="s">
        <v>1454</v>
      </c>
      <c r="BC126" t="s">
        <v>615</v>
      </c>
      <c r="BD126" t="s">
        <v>1454</v>
      </c>
      <c r="BE126" t="s">
        <v>1454</v>
      </c>
      <c r="BG126" t="s">
        <v>1454</v>
      </c>
      <c r="BH126" t="s">
        <v>1454</v>
      </c>
      <c r="BI126" t="s">
        <v>1454</v>
      </c>
      <c r="BK126" t="s">
        <v>1454</v>
      </c>
      <c r="BL126" t="s">
        <v>1454</v>
      </c>
      <c r="BM126" t="s">
        <v>1454</v>
      </c>
      <c r="BO126" t="s">
        <v>1454</v>
      </c>
      <c r="BP126" t="s">
        <v>1454</v>
      </c>
      <c r="BQ126" t="s">
        <v>1454</v>
      </c>
      <c r="BS126" t="s">
        <v>619</v>
      </c>
      <c r="BT126" t="s">
        <v>1454</v>
      </c>
      <c r="BU126" t="s">
        <v>1454</v>
      </c>
      <c r="BW126" t="s">
        <v>1454</v>
      </c>
      <c r="BX126" t="s">
        <v>1454</v>
      </c>
      <c r="BY126" t="s">
        <v>1454</v>
      </c>
      <c r="CA126" t="s">
        <v>1454</v>
      </c>
      <c r="CB126" t="s">
        <v>1454</v>
      </c>
      <c r="CC126" t="s">
        <v>1454</v>
      </c>
      <c r="CE126" t="s">
        <v>1454</v>
      </c>
      <c r="CF126" t="s">
        <v>1454</v>
      </c>
      <c r="CG126" t="s">
        <v>1454</v>
      </c>
      <c r="CI126" t="s">
        <v>1454</v>
      </c>
      <c r="CJ126" t="s">
        <v>1454</v>
      </c>
      <c r="CK126" t="s">
        <v>1454</v>
      </c>
      <c r="CM126" t="s">
        <v>1454</v>
      </c>
      <c r="CN126" t="s">
        <v>1454</v>
      </c>
      <c r="CO126" t="s">
        <v>1454</v>
      </c>
      <c r="CQ126" t="s">
        <v>1454</v>
      </c>
      <c r="CR126" t="s">
        <v>1454</v>
      </c>
      <c r="CS126" t="s">
        <v>1454</v>
      </c>
      <c r="CU126" t="s">
        <v>1454</v>
      </c>
      <c r="CV126" t="s">
        <v>1454</v>
      </c>
      <c r="CW126" t="s">
        <v>1454</v>
      </c>
      <c r="CY126" t="s">
        <v>1454</v>
      </c>
      <c r="CZ126" t="s">
        <v>1454</v>
      </c>
      <c r="DA126" t="s">
        <v>1454</v>
      </c>
      <c r="DC126" t="s">
        <v>1454</v>
      </c>
      <c r="DD126" t="s">
        <v>1454</v>
      </c>
      <c r="DE126" t="s">
        <v>1454</v>
      </c>
      <c r="DG126" t="s">
        <v>1454</v>
      </c>
      <c r="DH126" t="s">
        <v>1454</v>
      </c>
      <c r="DI126" t="s">
        <v>1454</v>
      </c>
      <c r="DK126" t="s">
        <v>1454</v>
      </c>
      <c r="DL126" t="s">
        <v>1454</v>
      </c>
      <c r="DM126" t="s">
        <v>1454</v>
      </c>
      <c r="DO126" t="s">
        <v>1454</v>
      </c>
      <c r="DP126" t="s">
        <v>1454</v>
      </c>
      <c r="DQ126" t="s">
        <v>1454</v>
      </c>
      <c r="DS126" t="s">
        <v>1454</v>
      </c>
      <c r="DT126" t="s">
        <v>1454</v>
      </c>
      <c r="DU126" t="s">
        <v>1454</v>
      </c>
      <c r="DW126" t="s">
        <v>1454</v>
      </c>
      <c r="DX126" t="s">
        <v>1454</v>
      </c>
      <c r="DY126" t="s">
        <v>1454</v>
      </c>
      <c r="EA126" t="s">
        <v>1454</v>
      </c>
      <c r="EB126" t="s">
        <v>1454</v>
      </c>
      <c r="EC126" t="s">
        <v>1454</v>
      </c>
      <c r="EE126" t="s">
        <v>1454</v>
      </c>
      <c r="EF126" t="s">
        <v>1454</v>
      </c>
      <c r="EG126" t="s">
        <v>1454</v>
      </c>
      <c r="EI126" t="s">
        <v>1454</v>
      </c>
      <c r="EJ126" t="s">
        <v>1454</v>
      </c>
      <c r="EK126" t="s">
        <v>1454</v>
      </c>
      <c r="EM126" t="s">
        <v>1454</v>
      </c>
      <c r="EN126" t="s">
        <v>1454</v>
      </c>
      <c r="EO126" t="s">
        <v>1454</v>
      </c>
      <c r="EQ126" t="s">
        <v>1454</v>
      </c>
      <c r="ER126" t="s">
        <v>1454</v>
      </c>
      <c r="ES126" t="s">
        <v>1454</v>
      </c>
      <c r="EU126" t="s">
        <v>1454</v>
      </c>
      <c r="EV126" t="s">
        <v>1454</v>
      </c>
      <c r="EW126" t="s">
        <v>1454</v>
      </c>
      <c r="EY126" t="s">
        <v>1454</v>
      </c>
      <c r="EZ126" t="s">
        <v>1454</v>
      </c>
      <c r="FA126" t="s">
        <v>1454</v>
      </c>
      <c r="FC126" t="s">
        <v>1454</v>
      </c>
      <c r="FD126" t="s">
        <v>1454</v>
      </c>
      <c r="FE126" t="s">
        <v>1454</v>
      </c>
      <c r="FG126" t="s">
        <v>1454</v>
      </c>
      <c r="FH126" t="s">
        <v>1454</v>
      </c>
      <c r="FI126" t="s">
        <v>1454</v>
      </c>
      <c r="FK126" t="s">
        <v>1454</v>
      </c>
      <c r="FL126" t="s">
        <v>1454</v>
      </c>
      <c r="FM126" t="s">
        <v>1454</v>
      </c>
      <c r="FO126" t="s">
        <v>1454</v>
      </c>
      <c r="FP126" t="s">
        <v>1454</v>
      </c>
      <c r="FQ126" t="s">
        <v>1454</v>
      </c>
      <c r="FS126" t="s">
        <v>1454</v>
      </c>
      <c r="FT126" t="s">
        <v>1454</v>
      </c>
      <c r="FU126" t="s">
        <v>1454</v>
      </c>
      <c r="FW126" t="s">
        <v>1454</v>
      </c>
      <c r="FX126" t="s">
        <v>1454</v>
      </c>
      <c r="FY126" t="s">
        <v>1454</v>
      </c>
      <c r="GA126" t="s">
        <v>1454</v>
      </c>
      <c r="GB126" t="s">
        <v>1454</v>
      </c>
      <c r="GC126" t="s">
        <v>1454</v>
      </c>
      <c r="GE126" t="s">
        <v>1454</v>
      </c>
      <c r="GF126" t="s">
        <v>1454</v>
      </c>
      <c r="GG126" t="s">
        <v>1454</v>
      </c>
      <c r="GI126" t="s">
        <v>1454</v>
      </c>
      <c r="GJ126" t="s">
        <v>1454</v>
      </c>
      <c r="GK126" t="s">
        <v>1454</v>
      </c>
      <c r="GM126" t="s">
        <v>1454</v>
      </c>
      <c r="GN126" t="s">
        <v>1454</v>
      </c>
      <c r="GO126" t="s">
        <v>1454</v>
      </c>
      <c r="GQ126" t="s">
        <v>1536</v>
      </c>
    </row>
    <row r="127" spans="2:199" s="11" customFormat="1" x14ac:dyDescent="0.25">
      <c r="B127" t="s">
        <v>482</v>
      </c>
      <c r="C127" t="s">
        <v>1454</v>
      </c>
      <c r="D127" t="s">
        <v>1454</v>
      </c>
      <c r="E127" t="s">
        <v>1454</v>
      </c>
      <c r="F127"/>
      <c r="G127" t="s">
        <v>1454</v>
      </c>
      <c r="H127" t="s">
        <v>1454</v>
      </c>
      <c r="I127" t="s">
        <v>1454</v>
      </c>
      <c r="J127"/>
      <c r="K127" t="s">
        <v>1454</v>
      </c>
      <c r="L127" t="s">
        <v>1454</v>
      </c>
      <c r="M127" t="s">
        <v>1454</v>
      </c>
      <c r="N127"/>
      <c r="O127" t="s">
        <v>1454</v>
      </c>
      <c r="P127" t="s">
        <v>1454</v>
      </c>
      <c r="Q127" t="s">
        <v>1454</v>
      </c>
      <c r="R127"/>
      <c r="S127" t="s">
        <v>1454</v>
      </c>
      <c r="T127" t="s">
        <v>1454</v>
      </c>
      <c r="U127" t="s">
        <v>1454</v>
      </c>
      <c r="V127"/>
      <c r="W127" t="s">
        <v>1454</v>
      </c>
      <c r="X127" t="s">
        <v>1454</v>
      </c>
      <c r="Y127" t="s">
        <v>1454</v>
      </c>
      <c r="Z127"/>
      <c r="AA127" t="s">
        <v>1454</v>
      </c>
      <c r="AB127" t="s">
        <v>1454</v>
      </c>
      <c r="AC127" t="s">
        <v>1454</v>
      </c>
      <c r="AD127"/>
      <c r="AE127" t="s">
        <v>1454</v>
      </c>
      <c r="AF127" t="s">
        <v>1454</v>
      </c>
      <c r="AG127" t="s">
        <v>1454</v>
      </c>
      <c r="AH127"/>
      <c r="AI127" t="s">
        <v>1454</v>
      </c>
      <c r="AJ127" t="s">
        <v>1454</v>
      </c>
      <c r="AK127" t="s">
        <v>1454</v>
      </c>
      <c r="AL127"/>
      <c r="AM127" t="s">
        <v>1454</v>
      </c>
      <c r="AN127" t="s">
        <v>1454</v>
      </c>
      <c r="AO127" t="s">
        <v>1454</v>
      </c>
      <c r="AP127"/>
      <c r="AQ127" t="s">
        <v>1454</v>
      </c>
      <c r="AR127" t="s">
        <v>1454</v>
      </c>
      <c r="AS127" t="s">
        <v>1454</v>
      </c>
      <c r="AT127"/>
      <c r="AU127" t="s">
        <v>1454</v>
      </c>
      <c r="AV127" t="s">
        <v>1454</v>
      </c>
      <c r="AW127" t="s">
        <v>1454</v>
      </c>
      <c r="AX127"/>
      <c r="AY127" t="s">
        <v>1454</v>
      </c>
      <c r="AZ127" t="s">
        <v>1454</v>
      </c>
      <c r="BA127" t="s">
        <v>1454</v>
      </c>
      <c r="BB127"/>
      <c r="BC127" t="s">
        <v>1454</v>
      </c>
      <c r="BD127" t="s">
        <v>1454</v>
      </c>
      <c r="BE127" t="s">
        <v>1454</v>
      </c>
      <c r="BF127"/>
      <c r="BG127" t="s">
        <v>1454</v>
      </c>
      <c r="BH127" t="s">
        <v>1454</v>
      </c>
      <c r="BI127" t="s">
        <v>1454</v>
      </c>
      <c r="BJ127"/>
      <c r="BK127" t="s">
        <v>1454</v>
      </c>
      <c r="BL127" t="s">
        <v>1454</v>
      </c>
      <c r="BM127" t="s">
        <v>1454</v>
      </c>
      <c r="BN127"/>
      <c r="BO127" t="s">
        <v>1454</v>
      </c>
      <c r="BP127" t="s">
        <v>1454</v>
      </c>
      <c r="BQ127" t="s">
        <v>1454</v>
      </c>
      <c r="BR127"/>
      <c r="BS127" t="s">
        <v>1454</v>
      </c>
      <c r="BT127" t="s">
        <v>1454</v>
      </c>
      <c r="BU127" t="s">
        <v>1454</v>
      </c>
      <c r="BV127"/>
      <c r="BW127" t="s">
        <v>1454</v>
      </c>
      <c r="BX127" t="s">
        <v>1454</v>
      </c>
      <c r="BY127" t="s">
        <v>1454</v>
      </c>
      <c r="BZ127"/>
      <c r="CA127" t="s">
        <v>1454</v>
      </c>
      <c r="CB127" t="s">
        <v>1454</v>
      </c>
      <c r="CC127" t="s">
        <v>1454</v>
      </c>
      <c r="CD127"/>
      <c r="CE127" t="s">
        <v>1454</v>
      </c>
      <c r="CF127" t="s">
        <v>1454</v>
      </c>
      <c r="CG127" t="s">
        <v>1454</v>
      </c>
      <c r="CH127"/>
      <c r="CI127" t="s">
        <v>1454</v>
      </c>
      <c r="CJ127" t="s">
        <v>1454</v>
      </c>
      <c r="CK127" t="s">
        <v>1454</v>
      </c>
      <c r="CL127"/>
      <c r="CM127" t="s">
        <v>1454</v>
      </c>
      <c r="CN127" t="s">
        <v>1454</v>
      </c>
      <c r="CO127" t="s">
        <v>1454</v>
      </c>
      <c r="CP127"/>
      <c r="CQ127" t="s">
        <v>1454</v>
      </c>
      <c r="CR127" t="s">
        <v>1454</v>
      </c>
      <c r="CS127" t="s">
        <v>1454</v>
      </c>
      <c r="CT127"/>
      <c r="CU127" t="s">
        <v>1454</v>
      </c>
      <c r="CV127" t="s">
        <v>1454</v>
      </c>
      <c r="CW127" t="s">
        <v>1454</v>
      </c>
      <c r="CX127"/>
      <c r="CY127" t="s">
        <v>1454</v>
      </c>
      <c r="CZ127" t="s">
        <v>1454</v>
      </c>
      <c r="DA127" t="s">
        <v>1454</v>
      </c>
      <c r="DB127"/>
      <c r="DC127" t="s">
        <v>1454</v>
      </c>
      <c r="DD127" t="s">
        <v>1454</v>
      </c>
      <c r="DE127" t="s">
        <v>1454</v>
      </c>
      <c r="DF127"/>
      <c r="DG127" t="s">
        <v>1454</v>
      </c>
      <c r="DH127" t="s">
        <v>1454</v>
      </c>
      <c r="DI127" t="s">
        <v>1454</v>
      </c>
      <c r="DJ127"/>
      <c r="DK127" t="s">
        <v>1454</v>
      </c>
      <c r="DL127" t="s">
        <v>1454</v>
      </c>
      <c r="DM127" t="s">
        <v>1454</v>
      </c>
      <c r="DN127"/>
      <c r="DO127" t="s">
        <v>631</v>
      </c>
      <c r="DP127" t="s">
        <v>1454</v>
      </c>
      <c r="DQ127" t="s">
        <v>1454</v>
      </c>
      <c r="DR127"/>
      <c r="DS127" t="s">
        <v>1454</v>
      </c>
      <c r="DT127" t="s">
        <v>1454</v>
      </c>
      <c r="DU127" t="s">
        <v>1454</v>
      </c>
      <c r="DV127"/>
      <c r="DW127" t="s">
        <v>1454</v>
      </c>
      <c r="DX127" t="s">
        <v>1454</v>
      </c>
      <c r="DY127" t="s">
        <v>1454</v>
      </c>
      <c r="DZ127"/>
      <c r="EA127" t="s">
        <v>1454</v>
      </c>
      <c r="EB127" t="s">
        <v>1454</v>
      </c>
      <c r="EC127" t="s">
        <v>1454</v>
      </c>
      <c r="ED127"/>
      <c r="EE127" t="s">
        <v>1454</v>
      </c>
      <c r="EF127" t="s">
        <v>1454</v>
      </c>
      <c r="EG127" t="s">
        <v>1454</v>
      </c>
      <c r="EH127"/>
      <c r="EI127" t="s">
        <v>1454</v>
      </c>
      <c r="EJ127" t="s">
        <v>1454</v>
      </c>
      <c r="EK127" t="s">
        <v>1454</v>
      </c>
      <c r="EL127"/>
      <c r="EM127" t="s">
        <v>1454</v>
      </c>
      <c r="EN127" t="s">
        <v>1454</v>
      </c>
      <c r="EO127" t="s">
        <v>1454</v>
      </c>
      <c r="EP127"/>
      <c r="EQ127" t="s">
        <v>1454</v>
      </c>
      <c r="ER127" t="s">
        <v>1454</v>
      </c>
      <c r="ES127" t="s">
        <v>1454</v>
      </c>
      <c r="ET127"/>
      <c r="EU127" t="s">
        <v>1454</v>
      </c>
      <c r="EV127" t="s">
        <v>1454</v>
      </c>
      <c r="EW127" t="s">
        <v>1454</v>
      </c>
      <c r="EX127"/>
      <c r="EY127" t="s">
        <v>1454</v>
      </c>
      <c r="EZ127" t="s">
        <v>1454</v>
      </c>
      <c r="FA127" t="s">
        <v>1454</v>
      </c>
      <c r="FB127"/>
      <c r="FC127" t="s">
        <v>1454</v>
      </c>
      <c r="FD127" t="s">
        <v>1454</v>
      </c>
      <c r="FE127" t="s">
        <v>1454</v>
      </c>
      <c r="FF127"/>
      <c r="FG127" t="s">
        <v>1454</v>
      </c>
      <c r="FH127" t="s">
        <v>1454</v>
      </c>
      <c r="FI127" t="s">
        <v>1454</v>
      </c>
      <c r="FJ127"/>
      <c r="FK127" t="s">
        <v>1454</v>
      </c>
      <c r="FL127" t="s">
        <v>1454</v>
      </c>
      <c r="FM127" t="s">
        <v>1454</v>
      </c>
      <c r="FN127"/>
      <c r="FO127" t="s">
        <v>1454</v>
      </c>
      <c r="FP127" t="s">
        <v>1454</v>
      </c>
      <c r="FQ127" t="s">
        <v>1454</v>
      </c>
      <c r="FR127"/>
      <c r="FS127" t="s">
        <v>1454</v>
      </c>
      <c r="FT127" t="s">
        <v>1454</v>
      </c>
      <c r="FU127" t="s">
        <v>1454</v>
      </c>
      <c r="FV127"/>
      <c r="FW127" t="s">
        <v>1454</v>
      </c>
      <c r="FX127" t="s">
        <v>1454</v>
      </c>
      <c r="FY127" t="s">
        <v>1454</v>
      </c>
      <c r="FZ127"/>
      <c r="GA127" t="s">
        <v>1454</v>
      </c>
      <c r="GB127" t="s">
        <v>1454</v>
      </c>
      <c r="GC127" t="s">
        <v>1454</v>
      </c>
      <c r="GD127"/>
      <c r="GE127" t="s">
        <v>1454</v>
      </c>
      <c r="GF127" t="s">
        <v>1454</v>
      </c>
      <c r="GG127" t="s">
        <v>1454</v>
      </c>
      <c r="GH127"/>
      <c r="GI127" t="s">
        <v>1454</v>
      </c>
      <c r="GJ127" t="s">
        <v>1454</v>
      </c>
      <c r="GK127" t="s">
        <v>1454</v>
      </c>
      <c r="GL127"/>
      <c r="GM127" t="s">
        <v>1454</v>
      </c>
      <c r="GN127" t="s">
        <v>1454</v>
      </c>
      <c r="GO127" t="s">
        <v>1454</v>
      </c>
      <c r="GP127"/>
      <c r="GQ127" t="s">
        <v>1555</v>
      </c>
    </row>
    <row r="128" spans="2:199" x14ac:dyDescent="0.25">
      <c r="B128" t="s">
        <v>483</v>
      </c>
      <c r="C128" t="s">
        <v>1454</v>
      </c>
      <c r="D128" t="s">
        <v>1454</v>
      </c>
      <c r="E128" t="s">
        <v>1454</v>
      </c>
      <c r="G128" t="s">
        <v>1454</v>
      </c>
      <c r="H128" t="s">
        <v>1454</v>
      </c>
      <c r="I128" t="s">
        <v>1454</v>
      </c>
      <c r="K128" t="s">
        <v>1454</v>
      </c>
      <c r="L128" t="s">
        <v>1454</v>
      </c>
      <c r="M128" t="s">
        <v>1454</v>
      </c>
      <c r="O128" t="s">
        <v>1454</v>
      </c>
      <c r="P128" t="s">
        <v>1454</v>
      </c>
      <c r="Q128" t="s">
        <v>1454</v>
      </c>
      <c r="S128" t="s">
        <v>1454</v>
      </c>
      <c r="T128" t="s">
        <v>1454</v>
      </c>
      <c r="U128" t="s">
        <v>1454</v>
      </c>
      <c r="W128" t="s">
        <v>1454</v>
      </c>
      <c r="X128" t="s">
        <v>1454</v>
      </c>
      <c r="Y128" t="s">
        <v>1454</v>
      </c>
      <c r="AA128" t="s">
        <v>1454</v>
      </c>
      <c r="AB128" t="s">
        <v>1454</v>
      </c>
      <c r="AC128" t="s">
        <v>1454</v>
      </c>
      <c r="AE128" t="s">
        <v>1454</v>
      </c>
      <c r="AF128" t="s">
        <v>1454</v>
      </c>
      <c r="AG128" t="s">
        <v>1454</v>
      </c>
      <c r="AI128" t="s">
        <v>1454</v>
      </c>
      <c r="AJ128" t="s">
        <v>1454</v>
      </c>
      <c r="AK128" t="s">
        <v>1454</v>
      </c>
      <c r="AM128" t="s">
        <v>611</v>
      </c>
      <c r="AN128" t="s">
        <v>1454</v>
      </c>
      <c r="AO128" t="s">
        <v>1454</v>
      </c>
      <c r="AQ128" t="s">
        <v>1454</v>
      </c>
      <c r="AR128" t="s">
        <v>1454</v>
      </c>
      <c r="AS128" t="s">
        <v>1454</v>
      </c>
      <c r="AU128" t="s">
        <v>1454</v>
      </c>
      <c r="AV128" t="s">
        <v>1454</v>
      </c>
      <c r="AW128" t="s">
        <v>1454</v>
      </c>
      <c r="AY128" t="s">
        <v>1454</v>
      </c>
      <c r="AZ128" t="s">
        <v>1454</v>
      </c>
      <c r="BA128" t="s">
        <v>1454</v>
      </c>
      <c r="BC128" t="s">
        <v>1454</v>
      </c>
      <c r="BD128" t="s">
        <v>1454</v>
      </c>
      <c r="BE128" t="s">
        <v>1454</v>
      </c>
      <c r="BG128" t="s">
        <v>1454</v>
      </c>
      <c r="BH128" t="s">
        <v>1454</v>
      </c>
      <c r="BI128" t="s">
        <v>1454</v>
      </c>
      <c r="BK128" t="s">
        <v>1454</v>
      </c>
      <c r="BL128" t="s">
        <v>1454</v>
      </c>
      <c r="BM128" t="s">
        <v>1454</v>
      </c>
      <c r="BO128" t="s">
        <v>1454</v>
      </c>
      <c r="BP128" t="s">
        <v>1454</v>
      </c>
      <c r="BQ128" t="s">
        <v>1454</v>
      </c>
      <c r="BS128" t="s">
        <v>1454</v>
      </c>
      <c r="BT128" t="s">
        <v>1454</v>
      </c>
      <c r="BU128" t="s">
        <v>1454</v>
      </c>
      <c r="BW128" t="s">
        <v>1454</v>
      </c>
      <c r="BX128" t="s">
        <v>1454</v>
      </c>
      <c r="BY128" t="s">
        <v>1454</v>
      </c>
      <c r="CA128" t="s">
        <v>1454</v>
      </c>
      <c r="CB128" t="s">
        <v>1454</v>
      </c>
      <c r="CC128" t="s">
        <v>1454</v>
      </c>
      <c r="CE128" t="s">
        <v>1454</v>
      </c>
      <c r="CF128" t="s">
        <v>1454</v>
      </c>
      <c r="CG128" t="s">
        <v>1454</v>
      </c>
      <c r="CI128" t="s">
        <v>1454</v>
      </c>
      <c r="CJ128" t="s">
        <v>1454</v>
      </c>
      <c r="CK128" t="s">
        <v>1454</v>
      </c>
      <c r="CM128" t="s">
        <v>1454</v>
      </c>
      <c r="CN128" t="s">
        <v>1454</v>
      </c>
      <c r="CO128" t="s">
        <v>1454</v>
      </c>
      <c r="CQ128" t="s">
        <v>1454</v>
      </c>
      <c r="CR128" t="s">
        <v>1454</v>
      </c>
      <c r="CS128" t="s">
        <v>1454</v>
      </c>
      <c r="CU128" t="s">
        <v>1454</v>
      </c>
      <c r="CV128" t="s">
        <v>1454</v>
      </c>
      <c r="CW128" t="s">
        <v>1454</v>
      </c>
      <c r="CY128" t="s">
        <v>1454</v>
      </c>
      <c r="CZ128" t="s">
        <v>1454</v>
      </c>
      <c r="DA128" t="s">
        <v>1454</v>
      </c>
      <c r="DC128" t="s">
        <v>1454</v>
      </c>
      <c r="DD128" t="s">
        <v>1454</v>
      </c>
      <c r="DE128" t="s">
        <v>1454</v>
      </c>
      <c r="DG128" t="s">
        <v>1454</v>
      </c>
      <c r="DH128" t="s">
        <v>1454</v>
      </c>
      <c r="DI128" t="s">
        <v>1454</v>
      </c>
      <c r="DK128" t="s">
        <v>1454</v>
      </c>
      <c r="DL128" t="s">
        <v>1454</v>
      </c>
      <c r="DM128" t="s">
        <v>1454</v>
      </c>
      <c r="DO128" t="s">
        <v>1454</v>
      </c>
      <c r="DP128" t="s">
        <v>1454</v>
      </c>
      <c r="DQ128" t="s">
        <v>1454</v>
      </c>
      <c r="DS128" t="s">
        <v>1454</v>
      </c>
      <c r="DT128" t="s">
        <v>1454</v>
      </c>
      <c r="DU128" t="s">
        <v>1454</v>
      </c>
      <c r="DW128" t="s">
        <v>1454</v>
      </c>
      <c r="DX128" t="s">
        <v>1454</v>
      </c>
      <c r="DY128" t="s">
        <v>1454</v>
      </c>
      <c r="EA128" t="s">
        <v>1454</v>
      </c>
      <c r="EB128" t="s">
        <v>1454</v>
      </c>
      <c r="EC128" t="s">
        <v>1454</v>
      </c>
      <c r="EE128" t="s">
        <v>1454</v>
      </c>
      <c r="EF128" t="s">
        <v>1454</v>
      </c>
      <c r="EG128" t="s">
        <v>1454</v>
      </c>
      <c r="EI128" t="s">
        <v>1454</v>
      </c>
      <c r="EJ128" t="s">
        <v>1454</v>
      </c>
      <c r="EK128" t="s">
        <v>1454</v>
      </c>
      <c r="EM128" t="s">
        <v>1454</v>
      </c>
      <c r="EN128" t="s">
        <v>1454</v>
      </c>
      <c r="EO128" t="s">
        <v>1454</v>
      </c>
      <c r="EQ128" t="s">
        <v>1454</v>
      </c>
      <c r="ER128" t="s">
        <v>1454</v>
      </c>
      <c r="ES128" t="s">
        <v>1454</v>
      </c>
      <c r="EU128" t="s">
        <v>1454</v>
      </c>
      <c r="EV128" t="s">
        <v>1454</v>
      </c>
      <c r="EW128" t="s">
        <v>1454</v>
      </c>
      <c r="EY128" t="s">
        <v>1454</v>
      </c>
      <c r="EZ128" t="s">
        <v>1454</v>
      </c>
      <c r="FA128" t="s">
        <v>1454</v>
      </c>
      <c r="FC128" t="s">
        <v>1454</v>
      </c>
      <c r="FD128" t="s">
        <v>1454</v>
      </c>
      <c r="FE128" t="s">
        <v>1454</v>
      </c>
      <c r="FG128" t="s">
        <v>1454</v>
      </c>
      <c r="FH128" t="s">
        <v>1454</v>
      </c>
      <c r="FI128" t="s">
        <v>1454</v>
      </c>
      <c r="FK128" t="s">
        <v>1454</v>
      </c>
      <c r="FL128" t="s">
        <v>1454</v>
      </c>
      <c r="FM128" t="s">
        <v>1454</v>
      </c>
      <c r="FO128" t="s">
        <v>1454</v>
      </c>
      <c r="FP128" t="s">
        <v>1454</v>
      </c>
      <c r="FQ128" t="s">
        <v>1454</v>
      </c>
      <c r="FS128" t="s">
        <v>1454</v>
      </c>
      <c r="FT128" t="s">
        <v>1454</v>
      </c>
      <c r="FU128" t="s">
        <v>1454</v>
      </c>
      <c r="FW128" t="s">
        <v>1454</v>
      </c>
      <c r="FX128" t="s">
        <v>1454</v>
      </c>
      <c r="FY128" t="s">
        <v>1454</v>
      </c>
      <c r="GA128" t="s">
        <v>1454</v>
      </c>
      <c r="GB128" t="s">
        <v>1454</v>
      </c>
      <c r="GC128" t="s">
        <v>1454</v>
      </c>
      <c r="GE128" t="s">
        <v>1454</v>
      </c>
      <c r="GF128" t="s">
        <v>1454</v>
      </c>
      <c r="GG128" t="s">
        <v>1454</v>
      </c>
      <c r="GI128" t="s">
        <v>1454</v>
      </c>
      <c r="GJ128" t="s">
        <v>1454</v>
      </c>
      <c r="GK128" t="s">
        <v>1454</v>
      </c>
      <c r="GM128" t="s">
        <v>1454</v>
      </c>
      <c r="GN128" t="s">
        <v>1454</v>
      </c>
      <c r="GO128" t="s">
        <v>1454</v>
      </c>
      <c r="GQ128" t="s">
        <v>1561</v>
      </c>
    </row>
    <row r="129" spans="2:199" x14ac:dyDescent="0.25">
      <c r="B129" t="s">
        <v>484</v>
      </c>
      <c r="C129" t="s">
        <v>1454</v>
      </c>
      <c r="D129" t="s">
        <v>1454</v>
      </c>
      <c r="E129" t="s">
        <v>1454</v>
      </c>
      <c r="G129" t="s">
        <v>1454</v>
      </c>
      <c r="H129" t="s">
        <v>1454</v>
      </c>
      <c r="I129" t="s">
        <v>1454</v>
      </c>
      <c r="K129" t="s">
        <v>1454</v>
      </c>
      <c r="L129" t="s">
        <v>1454</v>
      </c>
      <c r="M129" t="s">
        <v>1454</v>
      </c>
      <c r="O129" t="s">
        <v>1454</v>
      </c>
      <c r="P129" t="s">
        <v>1454</v>
      </c>
      <c r="Q129" t="s">
        <v>1454</v>
      </c>
      <c r="S129" t="s">
        <v>1454</v>
      </c>
      <c r="T129" t="s">
        <v>1454</v>
      </c>
      <c r="U129" t="s">
        <v>1454</v>
      </c>
      <c r="W129" t="s">
        <v>1454</v>
      </c>
      <c r="X129" t="s">
        <v>1454</v>
      </c>
      <c r="Y129" t="s">
        <v>1454</v>
      </c>
      <c r="AA129" t="s">
        <v>1454</v>
      </c>
      <c r="AB129" t="s">
        <v>1454</v>
      </c>
      <c r="AC129" t="s">
        <v>1454</v>
      </c>
      <c r="AE129" t="s">
        <v>1454</v>
      </c>
      <c r="AF129" t="s">
        <v>1454</v>
      </c>
      <c r="AG129" t="s">
        <v>1454</v>
      </c>
      <c r="AI129" t="s">
        <v>1454</v>
      </c>
      <c r="AJ129" t="s">
        <v>1454</v>
      </c>
      <c r="AK129" t="s">
        <v>1454</v>
      </c>
      <c r="AM129" t="s">
        <v>1454</v>
      </c>
      <c r="AN129" t="s">
        <v>1454</v>
      </c>
      <c r="AO129" t="s">
        <v>1454</v>
      </c>
      <c r="AQ129" t="s">
        <v>1454</v>
      </c>
      <c r="AR129" t="s">
        <v>1454</v>
      </c>
      <c r="AS129" t="s">
        <v>1454</v>
      </c>
      <c r="AU129" t="s">
        <v>1454</v>
      </c>
      <c r="AV129" t="s">
        <v>1454</v>
      </c>
      <c r="AW129" t="s">
        <v>1454</v>
      </c>
      <c r="AY129" t="s">
        <v>1454</v>
      </c>
      <c r="AZ129" t="s">
        <v>1454</v>
      </c>
      <c r="BA129" t="s">
        <v>1454</v>
      </c>
      <c r="BC129" t="s">
        <v>1454</v>
      </c>
      <c r="BD129" t="s">
        <v>1454</v>
      </c>
      <c r="BE129" t="s">
        <v>1454</v>
      </c>
      <c r="BG129" t="s">
        <v>1454</v>
      </c>
      <c r="BH129" t="s">
        <v>1454</v>
      </c>
      <c r="BI129" t="s">
        <v>1454</v>
      </c>
      <c r="BK129" t="s">
        <v>1454</v>
      </c>
      <c r="BL129" t="s">
        <v>1454</v>
      </c>
      <c r="BM129" t="s">
        <v>1454</v>
      </c>
      <c r="BO129" t="s">
        <v>1454</v>
      </c>
      <c r="BP129" t="s">
        <v>1454</v>
      </c>
      <c r="BQ129" t="s">
        <v>1454</v>
      </c>
      <c r="BS129" t="s">
        <v>1454</v>
      </c>
      <c r="BT129" t="s">
        <v>1454</v>
      </c>
      <c r="BU129" t="s">
        <v>1454</v>
      </c>
      <c r="BW129" t="s">
        <v>1454</v>
      </c>
      <c r="BX129" t="s">
        <v>1454</v>
      </c>
      <c r="BY129" t="s">
        <v>1454</v>
      </c>
      <c r="CA129" t="s">
        <v>1454</v>
      </c>
      <c r="CB129" t="s">
        <v>1454</v>
      </c>
      <c r="CC129" t="s">
        <v>1454</v>
      </c>
      <c r="CE129" t="s">
        <v>1454</v>
      </c>
      <c r="CF129" t="s">
        <v>1454</v>
      </c>
      <c r="CG129" t="s">
        <v>1454</v>
      </c>
      <c r="CI129" t="s">
        <v>1454</v>
      </c>
      <c r="CJ129" t="s">
        <v>1454</v>
      </c>
      <c r="CK129" t="s">
        <v>1454</v>
      </c>
      <c r="CM129" t="s">
        <v>1454</v>
      </c>
      <c r="CN129" t="s">
        <v>1454</v>
      </c>
      <c r="CO129" t="s">
        <v>1454</v>
      </c>
      <c r="CQ129" t="s">
        <v>1454</v>
      </c>
      <c r="CR129" t="s">
        <v>1454</v>
      </c>
      <c r="CS129" t="s">
        <v>1454</v>
      </c>
      <c r="CU129" t="s">
        <v>1454</v>
      </c>
      <c r="CV129" t="s">
        <v>1454</v>
      </c>
      <c r="CW129" t="s">
        <v>1454</v>
      </c>
      <c r="CY129" t="s">
        <v>1454</v>
      </c>
      <c r="CZ129" t="s">
        <v>1454</v>
      </c>
      <c r="DA129" t="s">
        <v>1454</v>
      </c>
      <c r="DC129" t="s">
        <v>1454</v>
      </c>
      <c r="DD129" t="s">
        <v>1454</v>
      </c>
      <c r="DE129" t="s">
        <v>1454</v>
      </c>
      <c r="DG129" t="s">
        <v>1454</v>
      </c>
      <c r="DH129" t="s">
        <v>1454</v>
      </c>
      <c r="DI129" t="s">
        <v>1454</v>
      </c>
      <c r="DK129" t="s">
        <v>630</v>
      </c>
      <c r="DL129" t="s">
        <v>1454</v>
      </c>
      <c r="DM129" t="s">
        <v>1454</v>
      </c>
      <c r="DO129" t="s">
        <v>1454</v>
      </c>
      <c r="DP129" t="s">
        <v>1454</v>
      </c>
      <c r="DQ129" t="s">
        <v>1454</v>
      </c>
      <c r="DS129" t="s">
        <v>1454</v>
      </c>
      <c r="DT129" t="s">
        <v>1454</v>
      </c>
      <c r="DU129" t="s">
        <v>1454</v>
      </c>
      <c r="DW129" t="s">
        <v>1454</v>
      </c>
      <c r="DX129" t="s">
        <v>1454</v>
      </c>
      <c r="DY129" t="s">
        <v>1454</v>
      </c>
      <c r="EA129" t="s">
        <v>1454</v>
      </c>
      <c r="EB129" t="s">
        <v>1454</v>
      </c>
      <c r="EC129" t="s">
        <v>1454</v>
      </c>
      <c r="EE129" t="s">
        <v>1454</v>
      </c>
      <c r="EF129" t="s">
        <v>1454</v>
      </c>
      <c r="EG129" t="s">
        <v>1454</v>
      </c>
      <c r="EI129" t="s">
        <v>1454</v>
      </c>
      <c r="EJ129" t="s">
        <v>1454</v>
      </c>
      <c r="EK129" t="s">
        <v>1454</v>
      </c>
      <c r="EM129" t="s">
        <v>1454</v>
      </c>
      <c r="EN129" t="s">
        <v>1454</v>
      </c>
      <c r="EO129" t="s">
        <v>1454</v>
      </c>
      <c r="EQ129" t="s">
        <v>1454</v>
      </c>
      <c r="ER129" t="s">
        <v>1454</v>
      </c>
      <c r="ES129" t="s">
        <v>1454</v>
      </c>
      <c r="EU129" t="s">
        <v>1454</v>
      </c>
      <c r="EV129" t="s">
        <v>1454</v>
      </c>
      <c r="EW129" t="s">
        <v>1454</v>
      </c>
      <c r="EY129" t="s">
        <v>1454</v>
      </c>
      <c r="EZ129" t="s">
        <v>1454</v>
      </c>
      <c r="FA129" t="s">
        <v>1454</v>
      </c>
      <c r="FC129" t="s">
        <v>1454</v>
      </c>
      <c r="FD129" t="s">
        <v>1454</v>
      </c>
      <c r="FE129" t="s">
        <v>1454</v>
      </c>
      <c r="FG129" t="s">
        <v>1454</v>
      </c>
      <c r="FH129" t="s">
        <v>1454</v>
      </c>
      <c r="FI129" t="s">
        <v>1454</v>
      </c>
      <c r="FK129" t="s">
        <v>1454</v>
      </c>
      <c r="FL129" t="s">
        <v>1454</v>
      </c>
      <c r="FM129" t="s">
        <v>1454</v>
      </c>
      <c r="FO129" t="s">
        <v>1454</v>
      </c>
      <c r="FP129" t="s">
        <v>1454</v>
      </c>
      <c r="FQ129" t="s">
        <v>1454</v>
      </c>
      <c r="FS129" t="s">
        <v>644</v>
      </c>
      <c r="FT129" t="s">
        <v>1454</v>
      </c>
      <c r="FU129" t="s">
        <v>1454</v>
      </c>
      <c r="FW129" t="s">
        <v>1454</v>
      </c>
      <c r="FX129" t="s">
        <v>1454</v>
      </c>
      <c r="FY129" t="s">
        <v>1454</v>
      </c>
      <c r="GA129" t="s">
        <v>1454</v>
      </c>
      <c r="GB129" t="s">
        <v>1454</v>
      </c>
      <c r="GC129" t="s">
        <v>1454</v>
      </c>
      <c r="GE129" t="s">
        <v>1454</v>
      </c>
      <c r="GF129" t="s">
        <v>1454</v>
      </c>
      <c r="GG129" t="s">
        <v>1454</v>
      </c>
      <c r="GI129" t="s">
        <v>1454</v>
      </c>
      <c r="GJ129" t="s">
        <v>1454</v>
      </c>
      <c r="GK129" t="s">
        <v>1454</v>
      </c>
      <c r="GM129" t="s">
        <v>1454</v>
      </c>
      <c r="GN129" t="s">
        <v>1454</v>
      </c>
      <c r="GO129" t="s">
        <v>1454</v>
      </c>
      <c r="GQ129" t="s">
        <v>1608</v>
      </c>
    </row>
    <row r="130" spans="2:199" x14ac:dyDescent="0.25">
      <c r="B130" t="s">
        <v>485</v>
      </c>
      <c r="C130" t="s">
        <v>1454</v>
      </c>
      <c r="D130" t="s">
        <v>1454</v>
      </c>
      <c r="E130" t="s">
        <v>1454</v>
      </c>
      <c r="G130" t="s">
        <v>1454</v>
      </c>
      <c r="H130" t="s">
        <v>1454</v>
      </c>
      <c r="I130" t="s">
        <v>1454</v>
      </c>
      <c r="K130" t="s">
        <v>1454</v>
      </c>
      <c r="L130" t="s">
        <v>1454</v>
      </c>
      <c r="M130" t="s">
        <v>1454</v>
      </c>
      <c r="O130" t="s">
        <v>1454</v>
      </c>
      <c r="P130" t="s">
        <v>1454</v>
      </c>
      <c r="Q130" t="s">
        <v>1454</v>
      </c>
      <c r="S130" t="s">
        <v>1454</v>
      </c>
      <c r="T130" t="s">
        <v>1454</v>
      </c>
      <c r="U130" t="s">
        <v>1454</v>
      </c>
      <c r="W130" t="s">
        <v>607</v>
      </c>
      <c r="X130" t="s">
        <v>1454</v>
      </c>
      <c r="Y130" t="s">
        <v>1454</v>
      </c>
      <c r="AA130" t="s">
        <v>1454</v>
      </c>
      <c r="AB130" t="s">
        <v>1454</v>
      </c>
      <c r="AC130" t="s">
        <v>1454</v>
      </c>
      <c r="AE130" t="s">
        <v>1454</v>
      </c>
      <c r="AF130" t="s">
        <v>1454</v>
      </c>
      <c r="AG130" t="s">
        <v>1454</v>
      </c>
      <c r="AI130" t="s">
        <v>1454</v>
      </c>
      <c r="AJ130" t="s">
        <v>1454</v>
      </c>
      <c r="AK130" t="s">
        <v>1454</v>
      </c>
      <c r="AM130" t="s">
        <v>1454</v>
      </c>
      <c r="AN130" t="s">
        <v>1454</v>
      </c>
      <c r="AO130" t="s">
        <v>1454</v>
      </c>
      <c r="AQ130" t="s">
        <v>1454</v>
      </c>
      <c r="AR130" t="s">
        <v>1454</v>
      </c>
      <c r="AS130" t="s">
        <v>1454</v>
      </c>
      <c r="AU130" t="s">
        <v>1454</v>
      </c>
      <c r="AV130" t="s">
        <v>1454</v>
      </c>
      <c r="AW130" t="s">
        <v>1454</v>
      </c>
      <c r="AY130" t="s">
        <v>1454</v>
      </c>
      <c r="AZ130" t="s">
        <v>1454</v>
      </c>
      <c r="BA130" t="s">
        <v>1454</v>
      </c>
      <c r="BC130" t="s">
        <v>1454</v>
      </c>
      <c r="BD130" t="s">
        <v>1454</v>
      </c>
      <c r="BE130" t="s">
        <v>1454</v>
      </c>
      <c r="BG130" t="s">
        <v>1454</v>
      </c>
      <c r="BH130" t="s">
        <v>1454</v>
      </c>
      <c r="BI130" t="s">
        <v>1454</v>
      </c>
      <c r="BK130" t="s">
        <v>1454</v>
      </c>
      <c r="BL130" t="s">
        <v>1454</v>
      </c>
      <c r="BM130" t="s">
        <v>1454</v>
      </c>
      <c r="BO130" t="s">
        <v>1454</v>
      </c>
      <c r="BP130" t="s">
        <v>1454</v>
      </c>
      <c r="BQ130" t="s">
        <v>1454</v>
      </c>
      <c r="BS130" t="s">
        <v>1454</v>
      </c>
      <c r="BT130" t="s">
        <v>1454</v>
      </c>
      <c r="BU130" t="s">
        <v>1454</v>
      </c>
      <c r="BW130" t="s">
        <v>1454</v>
      </c>
      <c r="BX130" t="s">
        <v>1454</v>
      </c>
      <c r="BY130" t="s">
        <v>1454</v>
      </c>
      <c r="CA130" t="s">
        <v>1454</v>
      </c>
      <c r="CB130" t="s">
        <v>1454</v>
      </c>
      <c r="CC130" t="s">
        <v>1454</v>
      </c>
      <c r="CE130" t="s">
        <v>1454</v>
      </c>
      <c r="CF130" t="s">
        <v>1454</v>
      </c>
      <c r="CG130" t="s">
        <v>1454</v>
      </c>
      <c r="CI130" t="s">
        <v>1454</v>
      </c>
      <c r="CJ130" t="s">
        <v>1454</v>
      </c>
      <c r="CK130" t="s">
        <v>1454</v>
      </c>
      <c r="CM130" t="s">
        <v>1454</v>
      </c>
      <c r="CN130" t="s">
        <v>1454</v>
      </c>
      <c r="CO130" t="s">
        <v>1454</v>
      </c>
      <c r="CQ130" t="s">
        <v>1454</v>
      </c>
      <c r="CR130" t="s">
        <v>1454</v>
      </c>
      <c r="CS130" t="s">
        <v>1454</v>
      </c>
      <c r="CU130" t="s">
        <v>1454</v>
      </c>
      <c r="CV130" t="s">
        <v>1454</v>
      </c>
      <c r="CW130" t="s">
        <v>1454</v>
      </c>
      <c r="CY130" t="s">
        <v>1454</v>
      </c>
      <c r="CZ130" t="s">
        <v>1454</v>
      </c>
      <c r="DA130" t="s">
        <v>1454</v>
      </c>
      <c r="DC130" t="s">
        <v>1454</v>
      </c>
      <c r="DD130" t="s">
        <v>1454</v>
      </c>
      <c r="DE130" t="s">
        <v>1454</v>
      </c>
      <c r="DG130" t="s">
        <v>1454</v>
      </c>
      <c r="DH130" t="s">
        <v>1454</v>
      </c>
      <c r="DI130" t="s">
        <v>1454</v>
      </c>
      <c r="DK130" t="s">
        <v>1454</v>
      </c>
      <c r="DL130" t="s">
        <v>1454</v>
      </c>
      <c r="DM130" t="s">
        <v>1454</v>
      </c>
      <c r="DO130" t="s">
        <v>1454</v>
      </c>
      <c r="DP130" t="s">
        <v>1454</v>
      </c>
      <c r="DQ130" t="s">
        <v>1454</v>
      </c>
      <c r="DS130" t="s">
        <v>1454</v>
      </c>
      <c r="DT130" t="s">
        <v>1454</v>
      </c>
      <c r="DU130" t="s">
        <v>1454</v>
      </c>
      <c r="DW130" t="s">
        <v>1454</v>
      </c>
      <c r="DX130" t="s">
        <v>1454</v>
      </c>
      <c r="DY130" t="s">
        <v>1454</v>
      </c>
      <c r="EA130" t="s">
        <v>1454</v>
      </c>
      <c r="EB130" t="s">
        <v>1454</v>
      </c>
      <c r="EC130" t="s">
        <v>1454</v>
      </c>
      <c r="EE130" t="s">
        <v>1454</v>
      </c>
      <c r="EF130" t="s">
        <v>1454</v>
      </c>
      <c r="EG130" t="s">
        <v>1454</v>
      </c>
      <c r="EI130" t="s">
        <v>1454</v>
      </c>
      <c r="EJ130" t="s">
        <v>1454</v>
      </c>
      <c r="EK130" t="s">
        <v>1454</v>
      </c>
      <c r="EM130" t="s">
        <v>1454</v>
      </c>
      <c r="EN130" t="s">
        <v>1454</v>
      </c>
      <c r="EO130" t="s">
        <v>1454</v>
      </c>
      <c r="EQ130" t="s">
        <v>1454</v>
      </c>
      <c r="ER130" t="s">
        <v>1454</v>
      </c>
      <c r="ES130" t="s">
        <v>1454</v>
      </c>
      <c r="EU130" t="s">
        <v>1454</v>
      </c>
      <c r="EV130" t="s">
        <v>1454</v>
      </c>
      <c r="EW130" t="s">
        <v>1454</v>
      </c>
      <c r="EY130" t="s">
        <v>1454</v>
      </c>
      <c r="EZ130" t="s">
        <v>1454</v>
      </c>
      <c r="FA130" t="s">
        <v>1454</v>
      </c>
      <c r="FC130" t="s">
        <v>1454</v>
      </c>
      <c r="FD130" t="s">
        <v>1454</v>
      </c>
      <c r="FE130" t="s">
        <v>1454</v>
      </c>
      <c r="FG130" t="s">
        <v>1454</v>
      </c>
      <c r="FH130" t="s">
        <v>1454</v>
      </c>
      <c r="FI130" t="s">
        <v>1454</v>
      </c>
      <c r="FK130" t="s">
        <v>1454</v>
      </c>
      <c r="FL130" t="s">
        <v>1454</v>
      </c>
      <c r="FM130" t="s">
        <v>1454</v>
      </c>
      <c r="FO130" t="s">
        <v>1454</v>
      </c>
      <c r="FP130" t="s">
        <v>1454</v>
      </c>
      <c r="FQ130" t="s">
        <v>1454</v>
      </c>
      <c r="FS130" t="s">
        <v>1454</v>
      </c>
      <c r="FT130" t="s">
        <v>1454</v>
      </c>
      <c r="FU130" t="s">
        <v>1454</v>
      </c>
      <c r="FW130" t="s">
        <v>1454</v>
      </c>
      <c r="FX130" t="s">
        <v>1454</v>
      </c>
      <c r="FY130" t="s">
        <v>1454</v>
      </c>
      <c r="GA130" t="s">
        <v>1454</v>
      </c>
      <c r="GB130" t="s">
        <v>1454</v>
      </c>
      <c r="GC130" t="s">
        <v>1454</v>
      </c>
      <c r="GE130" t="s">
        <v>1454</v>
      </c>
      <c r="GF130" t="s">
        <v>1454</v>
      </c>
      <c r="GG130" t="s">
        <v>1454</v>
      </c>
      <c r="GI130" t="s">
        <v>1454</v>
      </c>
      <c r="GJ130" t="s">
        <v>1454</v>
      </c>
      <c r="GK130" t="s">
        <v>1454</v>
      </c>
      <c r="GM130" t="s">
        <v>1454</v>
      </c>
      <c r="GN130" t="s">
        <v>1454</v>
      </c>
      <c r="GO130" t="s">
        <v>1454</v>
      </c>
      <c r="GQ130" t="s">
        <v>1562</v>
      </c>
    </row>
    <row r="131" spans="2:199" s="11" customFormat="1" x14ac:dyDescent="0.25">
      <c r="B131" t="s">
        <v>486</v>
      </c>
      <c r="C131" t="s">
        <v>1454</v>
      </c>
      <c r="D131" t="s">
        <v>1454</v>
      </c>
      <c r="E131" t="s">
        <v>1454</v>
      </c>
      <c r="F131"/>
      <c r="G131" t="s">
        <v>1454</v>
      </c>
      <c r="H131" t="s">
        <v>1454</v>
      </c>
      <c r="I131" t="s">
        <v>1454</v>
      </c>
      <c r="J131"/>
      <c r="K131" t="s">
        <v>1454</v>
      </c>
      <c r="L131" t="s">
        <v>1454</v>
      </c>
      <c r="M131" t="s">
        <v>1454</v>
      </c>
      <c r="N131"/>
      <c r="O131" t="s">
        <v>1454</v>
      </c>
      <c r="P131" t="s">
        <v>1454</v>
      </c>
      <c r="Q131" t="s">
        <v>1454</v>
      </c>
      <c r="R131"/>
      <c r="S131" t="s">
        <v>1454</v>
      </c>
      <c r="T131" t="s">
        <v>1454</v>
      </c>
      <c r="U131" t="s">
        <v>1454</v>
      </c>
      <c r="V131"/>
      <c r="W131" t="s">
        <v>1454</v>
      </c>
      <c r="X131" t="s">
        <v>1454</v>
      </c>
      <c r="Y131" t="s">
        <v>1454</v>
      </c>
      <c r="Z131"/>
      <c r="AA131" t="s">
        <v>1454</v>
      </c>
      <c r="AB131" t="s">
        <v>1454</v>
      </c>
      <c r="AC131" t="s">
        <v>1454</v>
      </c>
      <c r="AD131"/>
      <c r="AE131" t="s">
        <v>1454</v>
      </c>
      <c r="AF131" t="s">
        <v>1454</v>
      </c>
      <c r="AG131" t="s">
        <v>1454</v>
      </c>
      <c r="AH131"/>
      <c r="AI131" t="s">
        <v>1454</v>
      </c>
      <c r="AJ131" t="s">
        <v>1454</v>
      </c>
      <c r="AK131" t="s">
        <v>1454</v>
      </c>
      <c r="AL131"/>
      <c r="AM131" t="s">
        <v>611</v>
      </c>
      <c r="AN131" t="s">
        <v>1454</v>
      </c>
      <c r="AO131" t="s">
        <v>1454</v>
      </c>
      <c r="AP131"/>
      <c r="AQ131" t="s">
        <v>1454</v>
      </c>
      <c r="AR131" t="s">
        <v>1454</v>
      </c>
      <c r="AS131" t="s">
        <v>1454</v>
      </c>
      <c r="AT131"/>
      <c r="AU131" t="s">
        <v>613</v>
      </c>
      <c r="AV131" t="s">
        <v>1454</v>
      </c>
      <c r="AW131" t="s">
        <v>1454</v>
      </c>
      <c r="AX131"/>
      <c r="AY131" t="s">
        <v>1454</v>
      </c>
      <c r="AZ131" t="s">
        <v>1454</v>
      </c>
      <c r="BA131" t="s">
        <v>1454</v>
      </c>
      <c r="BB131"/>
      <c r="BC131" t="s">
        <v>615</v>
      </c>
      <c r="BD131" t="s">
        <v>1454</v>
      </c>
      <c r="BE131" t="s">
        <v>1454</v>
      </c>
      <c r="BF131"/>
      <c r="BG131" t="s">
        <v>1454</v>
      </c>
      <c r="BH131" t="s">
        <v>1454</v>
      </c>
      <c r="BI131" t="s">
        <v>1454</v>
      </c>
      <c r="BJ131"/>
      <c r="BK131" t="s">
        <v>1454</v>
      </c>
      <c r="BL131" t="s">
        <v>1454</v>
      </c>
      <c r="BM131" t="s">
        <v>1454</v>
      </c>
      <c r="BN131"/>
      <c r="BO131" t="s">
        <v>1454</v>
      </c>
      <c r="BP131" t="s">
        <v>1454</v>
      </c>
      <c r="BQ131" t="s">
        <v>1454</v>
      </c>
      <c r="BR131"/>
      <c r="BS131" t="s">
        <v>619</v>
      </c>
      <c r="BT131" t="s">
        <v>1454</v>
      </c>
      <c r="BU131" t="s">
        <v>1454</v>
      </c>
      <c r="BV131"/>
      <c r="BW131" t="s">
        <v>1454</v>
      </c>
      <c r="BX131" t="s">
        <v>1454</v>
      </c>
      <c r="BY131" t="s">
        <v>1454</v>
      </c>
      <c r="BZ131"/>
      <c r="CA131" t="s">
        <v>1454</v>
      </c>
      <c r="CB131" t="s">
        <v>1454</v>
      </c>
      <c r="CC131" t="s">
        <v>1454</v>
      </c>
      <c r="CD131"/>
      <c r="CE131" t="s">
        <v>1454</v>
      </c>
      <c r="CF131" t="s">
        <v>1454</v>
      </c>
      <c r="CG131" t="s">
        <v>1454</v>
      </c>
      <c r="CH131"/>
      <c r="CI131" t="s">
        <v>1454</v>
      </c>
      <c r="CJ131" t="s">
        <v>1454</v>
      </c>
      <c r="CK131" t="s">
        <v>1454</v>
      </c>
      <c r="CL131"/>
      <c r="CM131" t="s">
        <v>1454</v>
      </c>
      <c r="CN131" t="s">
        <v>1454</v>
      </c>
      <c r="CO131" t="s">
        <v>1454</v>
      </c>
      <c r="CP131"/>
      <c r="CQ131" t="s">
        <v>1454</v>
      </c>
      <c r="CR131" t="s">
        <v>1454</v>
      </c>
      <c r="CS131" t="s">
        <v>1454</v>
      </c>
      <c r="CT131"/>
      <c r="CU131" t="s">
        <v>1454</v>
      </c>
      <c r="CV131" t="s">
        <v>1454</v>
      </c>
      <c r="CW131" t="s">
        <v>1454</v>
      </c>
      <c r="CX131"/>
      <c r="CY131" t="s">
        <v>1454</v>
      </c>
      <c r="CZ131" t="s">
        <v>1454</v>
      </c>
      <c r="DA131" t="s">
        <v>1454</v>
      </c>
      <c r="DB131"/>
      <c r="DC131" t="s">
        <v>628</v>
      </c>
      <c r="DD131" t="s">
        <v>1454</v>
      </c>
      <c r="DE131" t="s">
        <v>1454</v>
      </c>
      <c r="DF131"/>
      <c r="DG131" t="s">
        <v>1454</v>
      </c>
      <c r="DH131" t="s">
        <v>1454</v>
      </c>
      <c r="DI131" t="s">
        <v>1454</v>
      </c>
      <c r="DJ131"/>
      <c r="DK131" t="s">
        <v>1454</v>
      </c>
      <c r="DL131" t="s">
        <v>1454</v>
      </c>
      <c r="DM131" t="s">
        <v>1454</v>
      </c>
      <c r="DN131"/>
      <c r="DO131" t="s">
        <v>1454</v>
      </c>
      <c r="DP131" t="s">
        <v>1454</v>
      </c>
      <c r="DQ131" t="s">
        <v>1454</v>
      </c>
      <c r="DR131"/>
      <c r="DS131" t="s">
        <v>1454</v>
      </c>
      <c r="DT131" t="s">
        <v>1454</v>
      </c>
      <c r="DU131" t="s">
        <v>1454</v>
      </c>
      <c r="DV131"/>
      <c r="DW131" t="s">
        <v>633</v>
      </c>
      <c r="DX131" t="s">
        <v>1454</v>
      </c>
      <c r="DY131" t="s">
        <v>1454</v>
      </c>
      <c r="DZ131"/>
      <c r="EA131" t="s">
        <v>634</v>
      </c>
      <c r="EB131" t="s">
        <v>1454</v>
      </c>
      <c r="EC131" t="s">
        <v>1454</v>
      </c>
      <c r="ED131"/>
      <c r="EE131" t="s">
        <v>635</v>
      </c>
      <c r="EF131" t="s">
        <v>1454</v>
      </c>
      <c r="EG131" t="s">
        <v>1454</v>
      </c>
      <c r="EH131"/>
      <c r="EI131" t="s">
        <v>1454</v>
      </c>
      <c r="EJ131" t="s">
        <v>1454</v>
      </c>
      <c r="EK131" t="s">
        <v>1454</v>
      </c>
      <c r="EL131"/>
      <c r="EM131" t="s">
        <v>1454</v>
      </c>
      <c r="EN131" t="s">
        <v>1454</v>
      </c>
      <c r="EO131" t="s">
        <v>1454</v>
      </c>
      <c r="EP131"/>
      <c r="EQ131" t="s">
        <v>1454</v>
      </c>
      <c r="ER131" t="s">
        <v>1454</v>
      </c>
      <c r="ES131" t="s">
        <v>1454</v>
      </c>
      <c r="ET131"/>
      <c r="EU131" t="s">
        <v>1454</v>
      </c>
      <c r="EV131" t="s">
        <v>1454</v>
      </c>
      <c r="EW131" t="s">
        <v>1454</v>
      </c>
      <c r="EX131"/>
      <c r="EY131" t="s">
        <v>1454</v>
      </c>
      <c r="EZ131" t="s">
        <v>1454</v>
      </c>
      <c r="FA131" t="s">
        <v>1454</v>
      </c>
      <c r="FB131"/>
      <c r="FC131" t="s">
        <v>1454</v>
      </c>
      <c r="FD131" t="s">
        <v>1454</v>
      </c>
      <c r="FE131" t="s">
        <v>1454</v>
      </c>
      <c r="FF131"/>
      <c r="FG131" t="s">
        <v>642</v>
      </c>
      <c r="FH131" t="s">
        <v>1454</v>
      </c>
      <c r="FI131" t="s">
        <v>1454</v>
      </c>
      <c r="FJ131"/>
      <c r="FK131" t="s">
        <v>643</v>
      </c>
      <c r="FL131" t="s">
        <v>1454</v>
      </c>
      <c r="FM131" t="s">
        <v>1454</v>
      </c>
      <c r="FN131"/>
      <c r="FO131" t="s">
        <v>1454</v>
      </c>
      <c r="FP131" t="s">
        <v>1454</v>
      </c>
      <c r="FQ131" t="s">
        <v>1454</v>
      </c>
      <c r="FR131"/>
      <c r="FS131" t="s">
        <v>644</v>
      </c>
      <c r="FT131" t="s">
        <v>1454</v>
      </c>
      <c r="FU131" t="s">
        <v>1454</v>
      </c>
      <c r="FV131"/>
      <c r="FW131" t="s">
        <v>645</v>
      </c>
      <c r="FX131" t="s">
        <v>1454</v>
      </c>
      <c r="FY131" t="s">
        <v>1454</v>
      </c>
      <c r="FZ131"/>
      <c r="GA131" t="s">
        <v>1454</v>
      </c>
      <c r="GB131" t="s">
        <v>1454</v>
      </c>
      <c r="GC131" t="s">
        <v>1454</v>
      </c>
      <c r="GD131"/>
      <c r="GE131" t="s">
        <v>1454</v>
      </c>
      <c r="GF131" t="s">
        <v>1454</v>
      </c>
      <c r="GG131" t="s">
        <v>1454</v>
      </c>
      <c r="GH131"/>
      <c r="GI131" t="s">
        <v>1454</v>
      </c>
      <c r="GJ131" t="s">
        <v>1454</v>
      </c>
      <c r="GK131" t="s">
        <v>1454</v>
      </c>
      <c r="GL131"/>
      <c r="GM131" t="s">
        <v>1454</v>
      </c>
      <c r="GN131" t="s">
        <v>1454</v>
      </c>
      <c r="GO131" t="s">
        <v>1454</v>
      </c>
      <c r="GP131"/>
      <c r="GQ131" t="s">
        <v>1609</v>
      </c>
    </row>
    <row r="132" spans="2:199" x14ac:dyDescent="0.25">
      <c r="B132" t="s">
        <v>487</v>
      </c>
      <c r="C132" t="s">
        <v>1454</v>
      </c>
      <c r="D132" t="s">
        <v>1454</v>
      </c>
      <c r="E132" t="s">
        <v>1454</v>
      </c>
      <c r="G132" t="s">
        <v>1454</v>
      </c>
      <c r="H132" t="s">
        <v>1454</v>
      </c>
      <c r="I132" t="s">
        <v>1454</v>
      </c>
      <c r="K132" t="s">
        <v>1454</v>
      </c>
      <c r="L132" t="s">
        <v>1454</v>
      </c>
      <c r="M132" t="s">
        <v>1454</v>
      </c>
      <c r="O132" t="s">
        <v>1454</v>
      </c>
      <c r="P132" t="s">
        <v>1454</v>
      </c>
      <c r="Q132" t="s">
        <v>1454</v>
      </c>
      <c r="S132" t="s">
        <v>1454</v>
      </c>
      <c r="T132" t="s">
        <v>1454</v>
      </c>
      <c r="U132" t="s">
        <v>1454</v>
      </c>
      <c r="W132" t="s">
        <v>1454</v>
      </c>
      <c r="X132" t="s">
        <v>1454</v>
      </c>
      <c r="Y132" t="s">
        <v>1454</v>
      </c>
      <c r="AA132" t="s">
        <v>1454</v>
      </c>
      <c r="AB132" t="s">
        <v>1454</v>
      </c>
      <c r="AC132" t="s">
        <v>1454</v>
      </c>
      <c r="AE132" t="s">
        <v>1454</v>
      </c>
      <c r="AF132" t="s">
        <v>1454</v>
      </c>
      <c r="AG132" t="s">
        <v>1454</v>
      </c>
      <c r="AI132" t="s">
        <v>1454</v>
      </c>
      <c r="AJ132" t="s">
        <v>1454</v>
      </c>
      <c r="AK132" t="s">
        <v>1454</v>
      </c>
      <c r="AM132" t="s">
        <v>1454</v>
      </c>
      <c r="AN132" t="s">
        <v>1454</v>
      </c>
      <c r="AO132" t="s">
        <v>1454</v>
      </c>
      <c r="AQ132" t="s">
        <v>1454</v>
      </c>
      <c r="AR132" t="s">
        <v>1454</v>
      </c>
      <c r="AS132" t="s">
        <v>1454</v>
      </c>
      <c r="AU132" t="s">
        <v>1454</v>
      </c>
      <c r="AV132" t="s">
        <v>1454</v>
      </c>
      <c r="AW132" t="s">
        <v>1454</v>
      </c>
      <c r="AY132" t="s">
        <v>1454</v>
      </c>
      <c r="AZ132" t="s">
        <v>1454</v>
      </c>
      <c r="BA132" t="s">
        <v>1454</v>
      </c>
      <c r="BC132" t="s">
        <v>1454</v>
      </c>
      <c r="BD132" t="s">
        <v>1454</v>
      </c>
      <c r="BE132" t="s">
        <v>1454</v>
      </c>
      <c r="BG132" t="s">
        <v>1454</v>
      </c>
      <c r="BH132" t="s">
        <v>1454</v>
      </c>
      <c r="BI132" t="s">
        <v>1454</v>
      </c>
      <c r="BK132" t="s">
        <v>1454</v>
      </c>
      <c r="BL132" t="s">
        <v>1454</v>
      </c>
      <c r="BM132" t="s">
        <v>1454</v>
      </c>
      <c r="BO132" t="s">
        <v>1454</v>
      </c>
      <c r="BP132" t="s">
        <v>1454</v>
      </c>
      <c r="BQ132" t="s">
        <v>1454</v>
      </c>
      <c r="BS132" t="s">
        <v>1454</v>
      </c>
      <c r="BT132" t="s">
        <v>1454</v>
      </c>
      <c r="BU132" t="s">
        <v>1454</v>
      </c>
      <c r="BW132" t="s">
        <v>1454</v>
      </c>
      <c r="BX132" t="s">
        <v>1454</v>
      </c>
      <c r="BY132" t="s">
        <v>1454</v>
      </c>
      <c r="CA132" t="s">
        <v>1454</v>
      </c>
      <c r="CB132" t="s">
        <v>1454</v>
      </c>
      <c r="CC132" t="s">
        <v>1454</v>
      </c>
      <c r="CE132" t="s">
        <v>1454</v>
      </c>
      <c r="CF132" t="s">
        <v>1454</v>
      </c>
      <c r="CG132" t="s">
        <v>1454</v>
      </c>
      <c r="CI132" t="s">
        <v>1454</v>
      </c>
      <c r="CJ132" t="s">
        <v>1454</v>
      </c>
      <c r="CK132" t="s">
        <v>1454</v>
      </c>
      <c r="CM132" t="s">
        <v>1454</v>
      </c>
      <c r="CN132" t="s">
        <v>1454</v>
      </c>
      <c r="CO132" t="s">
        <v>1454</v>
      </c>
      <c r="CQ132" t="s">
        <v>1454</v>
      </c>
      <c r="CR132" t="s">
        <v>1454</v>
      </c>
      <c r="CS132" t="s">
        <v>1454</v>
      </c>
      <c r="CU132" t="s">
        <v>1454</v>
      </c>
      <c r="CV132" t="s">
        <v>1454</v>
      </c>
      <c r="CW132" t="s">
        <v>1454</v>
      </c>
      <c r="CY132" t="s">
        <v>1454</v>
      </c>
      <c r="CZ132" t="s">
        <v>1454</v>
      </c>
      <c r="DA132" t="s">
        <v>1454</v>
      </c>
      <c r="DC132" t="s">
        <v>1454</v>
      </c>
      <c r="DD132" t="s">
        <v>1454</v>
      </c>
      <c r="DE132" t="s">
        <v>1454</v>
      </c>
      <c r="DG132" t="s">
        <v>1454</v>
      </c>
      <c r="DH132" t="s">
        <v>1454</v>
      </c>
      <c r="DI132" t="s">
        <v>1454</v>
      </c>
      <c r="DK132" t="s">
        <v>1454</v>
      </c>
      <c r="DL132" t="s">
        <v>1454</v>
      </c>
      <c r="DM132" t="s">
        <v>1454</v>
      </c>
      <c r="DO132" t="s">
        <v>1454</v>
      </c>
      <c r="DP132" t="s">
        <v>1454</v>
      </c>
      <c r="DQ132" t="s">
        <v>1454</v>
      </c>
      <c r="DS132" t="s">
        <v>1454</v>
      </c>
      <c r="DT132" t="s">
        <v>1454</v>
      </c>
      <c r="DU132" t="s">
        <v>1454</v>
      </c>
      <c r="DW132" t="s">
        <v>1454</v>
      </c>
      <c r="DX132" t="s">
        <v>1454</v>
      </c>
      <c r="DY132" t="s">
        <v>1454</v>
      </c>
      <c r="EA132" t="s">
        <v>634</v>
      </c>
      <c r="EB132" t="s">
        <v>1454</v>
      </c>
      <c r="EC132" t="s">
        <v>1454</v>
      </c>
      <c r="EE132" t="s">
        <v>1454</v>
      </c>
      <c r="EF132" t="s">
        <v>1454</v>
      </c>
      <c r="EG132" t="s">
        <v>1454</v>
      </c>
      <c r="EI132" t="s">
        <v>1454</v>
      </c>
      <c r="EJ132" t="s">
        <v>1454</v>
      </c>
      <c r="EK132" t="s">
        <v>1454</v>
      </c>
      <c r="EM132" t="s">
        <v>1454</v>
      </c>
      <c r="EN132" t="s">
        <v>1454</v>
      </c>
      <c r="EO132" t="s">
        <v>1454</v>
      </c>
      <c r="EQ132" t="s">
        <v>1454</v>
      </c>
      <c r="ER132" t="s">
        <v>1454</v>
      </c>
      <c r="ES132" t="s">
        <v>1454</v>
      </c>
      <c r="EU132" t="s">
        <v>1454</v>
      </c>
      <c r="EV132" t="s">
        <v>1454</v>
      </c>
      <c r="EW132" t="s">
        <v>1454</v>
      </c>
      <c r="EY132" t="s">
        <v>1454</v>
      </c>
      <c r="EZ132" t="s">
        <v>1454</v>
      </c>
      <c r="FA132" t="s">
        <v>1454</v>
      </c>
      <c r="FC132" t="s">
        <v>1454</v>
      </c>
      <c r="FD132" t="s">
        <v>1454</v>
      </c>
      <c r="FE132" t="s">
        <v>1454</v>
      </c>
      <c r="FG132" t="s">
        <v>1454</v>
      </c>
      <c r="FH132" t="s">
        <v>1454</v>
      </c>
      <c r="FI132" t="s">
        <v>1454</v>
      </c>
      <c r="FK132" t="s">
        <v>1454</v>
      </c>
      <c r="FL132" t="s">
        <v>1454</v>
      </c>
      <c r="FM132" t="s">
        <v>1454</v>
      </c>
      <c r="FO132" t="s">
        <v>1454</v>
      </c>
      <c r="FP132" t="s">
        <v>1454</v>
      </c>
      <c r="FQ132" t="s">
        <v>1454</v>
      </c>
      <c r="FS132" t="s">
        <v>1454</v>
      </c>
      <c r="FT132" t="s">
        <v>1454</v>
      </c>
      <c r="FU132" t="s">
        <v>1454</v>
      </c>
      <c r="FW132" t="s">
        <v>1454</v>
      </c>
      <c r="FX132" t="s">
        <v>1454</v>
      </c>
      <c r="FY132" t="s">
        <v>1454</v>
      </c>
      <c r="GA132" t="s">
        <v>1454</v>
      </c>
      <c r="GB132" t="s">
        <v>1454</v>
      </c>
      <c r="GC132" t="s">
        <v>1454</v>
      </c>
      <c r="GE132" t="s">
        <v>1454</v>
      </c>
      <c r="GF132" t="s">
        <v>1454</v>
      </c>
      <c r="GG132" t="s">
        <v>1454</v>
      </c>
      <c r="GI132" t="s">
        <v>1454</v>
      </c>
      <c r="GJ132" t="s">
        <v>1454</v>
      </c>
      <c r="GK132" t="s">
        <v>1454</v>
      </c>
      <c r="GM132" t="s">
        <v>1454</v>
      </c>
      <c r="GN132" t="s">
        <v>1454</v>
      </c>
      <c r="GO132" t="s">
        <v>1454</v>
      </c>
      <c r="GQ132" t="s">
        <v>1558</v>
      </c>
    </row>
    <row r="133" spans="2:199" x14ac:dyDescent="0.25">
      <c r="B133" t="s">
        <v>488</v>
      </c>
      <c r="C133" t="s">
        <v>1454</v>
      </c>
      <c r="D133" t="s">
        <v>1454</v>
      </c>
      <c r="E133" t="s">
        <v>1454</v>
      </c>
      <c r="G133" t="s">
        <v>1454</v>
      </c>
      <c r="H133" t="s">
        <v>1454</v>
      </c>
      <c r="I133" t="s">
        <v>1454</v>
      </c>
      <c r="K133" t="s">
        <v>1454</v>
      </c>
      <c r="L133" t="s">
        <v>1454</v>
      </c>
      <c r="M133" t="s">
        <v>1454</v>
      </c>
      <c r="O133" t="s">
        <v>1454</v>
      </c>
      <c r="P133" t="s">
        <v>1454</v>
      </c>
      <c r="Q133" t="s">
        <v>1454</v>
      </c>
      <c r="S133" t="s">
        <v>1454</v>
      </c>
      <c r="T133" t="s">
        <v>1454</v>
      </c>
      <c r="U133" t="s">
        <v>1454</v>
      </c>
      <c r="W133" t="s">
        <v>1454</v>
      </c>
      <c r="X133" t="s">
        <v>1454</v>
      </c>
      <c r="Y133" t="s">
        <v>1454</v>
      </c>
      <c r="AA133" t="s">
        <v>1454</v>
      </c>
      <c r="AB133" t="s">
        <v>1454</v>
      </c>
      <c r="AC133" t="s">
        <v>1454</v>
      </c>
      <c r="AE133" t="s">
        <v>1454</v>
      </c>
      <c r="AF133" t="s">
        <v>1454</v>
      </c>
      <c r="AG133" t="s">
        <v>1454</v>
      </c>
      <c r="AI133" t="s">
        <v>1454</v>
      </c>
      <c r="AJ133" t="s">
        <v>1454</v>
      </c>
      <c r="AK133" t="s">
        <v>1454</v>
      </c>
      <c r="AM133" t="s">
        <v>1454</v>
      </c>
      <c r="AN133" t="s">
        <v>1454</v>
      </c>
      <c r="AO133" t="s">
        <v>1454</v>
      </c>
      <c r="AQ133" t="s">
        <v>1454</v>
      </c>
      <c r="AR133" t="s">
        <v>1454</v>
      </c>
      <c r="AS133" t="s">
        <v>1454</v>
      </c>
      <c r="AU133" t="s">
        <v>1454</v>
      </c>
      <c r="AV133" t="s">
        <v>1454</v>
      </c>
      <c r="AW133" t="s">
        <v>1454</v>
      </c>
      <c r="AY133" t="s">
        <v>1454</v>
      </c>
      <c r="AZ133" t="s">
        <v>1454</v>
      </c>
      <c r="BA133" t="s">
        <v>1454</v>
      </c>
      <c r="BC133" t="s">
        <v>1454</v>
      </c>
      <c r="BD133" t="s">
        <v>1454</v>
      </c>
      <c r="BE133" t="s">
        <v>1454</v>
      </c>
      <c r="BG133" t="s">
        <v>1454</v>
      </c>
      <c r="BH133" t="s">
        <v>1454</v>
      </c>
      <c r="BI133" t="s">
        <v>1454</v>
      </c>
      <c r="BK133" t="s">
        <v>1454</v>
      </c>
      <c r="BL133" t="s">
        <v>1454</v>
      </c>
      <c r="BM133" t="s">
        <v>1454</v>
      </c>
      <c r="BO133" t="s">
        <v>1454</v>
      </c>
      <c r="BP133" t="s">
        <v>1454</v>
      </c>
      <c r="BQ133" t="s">
        <v>1454</v>
      </c>
      <c r="BS133" t="s">
        <v>1454</v>
      </c>
      <c r="BT133" t="s">
        <v>1454</v>
      </c>
      <c r="BU133" t="s">
        <v>1454</v>
      </c>
      <c r="BW133" t="s">
        <v>1454</v>
      </c>
      <c r="BX133" t="s">
        <v>1454</v>
      </c>
      <c r="BY133" t="s">
        <v>1454</v>
      </c>
      <c r="CA133" t="s">
        <v>1454</v>
      </c>
      <c r="CB133" t="s">
        <v>1454</v>
      </c>
      <c r="CC133" t="s">
        <v>1454</v>
      </c>
      <c r="CE133" t="s">
        <v>622</v>
      </c>
      <c r="CF133" t="s">
        <v>1454</v>
      </c>
      <c r="CG133" t="s">
        <v>1454</v>
      </c>
      <c r="CI133" t="s">
        <v>1454</v>
      </c>
      <c r="CJ133" t="s">
        <v>1454</v>
      </c>
      <c r="CK133" t="s">
        <v>1454</v>
      </c>
      <c r="CM133" t="s">
        <v>1454</v>
      </c>
      <c r="CN133" t="s">
        <v>1454</v>
      </c>
      <c r="CO133" t="s">
        <v>1454</v>
      </c>
      <c r="CQ133" t="s">
        <v>1454</v>
      </c>
      <c r="CR133" t="s">
        <v>1454</v>
      </c>
      <c r="CS133" t="s">
        <v>1454</v>
      </c>
      <c r="CU133" t="s">
        <v>1454</v>
      </c>
      <c r="CV133" t="s">
        <v>1454</v>
      </c>
      <c r="CW133" t="s">
        <v>1454</v>
      </c>
      <c r="CY133" t="s">
        <v>1454</v>
      </c>
      <c r="CZ133" t="s">
        <v>1454</v>
      </c>
      <c r="DA133" t="s">
        <v>1454</v>
      </c>
      <c r="DC133" t="s">
        <v>1454</v>
      </c>
      <c r="DD133" t="s">
        <v>1454</v>
      </c>
      <c r="DE133" t="s">
        <v>1454</v>
      </c>
      <c r="DG133" t="s">
        <v>1454</v>
      </c>
      <c r="DH133" t="s">
        <v>1454</v>
      </c>
      <c r="DI133" t="s">
        <v>1454</v>
      </c>
      <c r="DK133" t="s">
        <v>1454</v>
      </c>
      <c r="DL133" t="s">
        <v>1454</v>
      </c>
      <c r="DM133" t="s">
        <v>1454</v>
      </c>
      <c r="DO133" t="s">
        <v>1454</v>
      </c>
      <c r="DP133" t="s">
        <v>1454</v>
      </c>
      <c r="DQ133" t="s">
        <v>1454</v>
      </c>
      <c r="DS133" t="s">
        <v>1454</v>
      </c>
      <c r="DT133" t="s">
        <v>1454</v>
      </c>
      <c r="DU133" t="s">
        <v>1454</v>
      </c>
      <c r="DW133" t="s">
        <v>1454</v>
      </c>
      <c r="DX133" t="s">
        <v>1454</v>
      </c>
      <c r="DY133" t="s">
        <v>1454</v>
      </c>
      <c r="EA133" t="s">
        <v>1454</v>
      </c>
      <c r="EB133" t="s">
        <v>1454</v>
      </c>
      <c r="EC133" t="s">
        <v>1454</v>
      </c>
      <c r="EE133" t="s">
        <v>1454</v>
      </c>
      <c r="EF133" t="s">
        <v>1454</v>
      </c>
      <c r="EG133" t="s">
        <v>1454</v>
      </c>
      <c r="EI133" t="s">
        <v>1454</v>
      </c>
      <c r="EJ133" t="s">
        <v>1454</v>
      </c>
      <c r="EK133" t="s">
        <v>1454</v>
      </c>
      <c r="EM133" t="s">
        <v>1454</v>
      </c>
      <c r="EN133" t="s">
        <v>1454</v>
      </c>
      <c r="EO133" t="s">
        <v>1454</v>
      </c>
      <c r="EQ133" t="s">
        <v>1454</v>
      </c>
      <c r="ER133" t="s">
        <v>1454</v>
      </c>
      <c r="ES133" t="s">
        <v>1454</v>
      </c>
      <c r="EU133" t="s">
        <v>1454</v>
      </c>
      <c r="EV133" t="s">
        <v>1454</v>
      </c>
      <c r="EW133" t="s">
        <v>1454</v>
      </c>
      <c r="EY133" t="s">
        <v>1454</v>
      </c>
      <c r="EZ133" t="s">
        <v>1454</v>
      </c>
      <c r="FA133" t="s">
        <v>1454</v>
      </c>
      <c r="FC133" t="s">
        <v>1454</v>
      </c>
      <c r="FD133" t="s">
        <v>1454</v>
      </c>
      <c r="FE133" t="s">
        <v>1454</v>
      </c>
      <c r="FG133" t="s">
        <v>1454</v>
      </c>
      <c r="FH133" t="s">
        <v>1454</v>
      </c>
      <c r="FI133" t="s">
        <v>1454</v>
      </c>
      <c r="FK133" t="s">
        <v>1454</v>
      </c>
      <c r="FL133" t="s">
        <v>1454</v>
      </c>
      <c r="FM133" t="s">
        <v>1454</v>
      </c>
      <c r="FO133" t="s">
        <v>1454</v>
      </c>
      <c r="FP133" t="s">
        <v>1454</v>
      </c>
      <c r="FQ133" t="s">
        <v>1454</v>
      </c>
      <c r="FS133" t="s">
        <v>1454</v>
      </c>
      <c r="FT133" t="s">
        <v>1454</v>
      </c>
      <c r="FU133" t="s">
        <v>1454</v>
      </c>
      <c r="FW133" t="s">
        <v>1454</v>
      </c>
      <c r="FX133" t="s">
        <v>1454</v>
      </c>
      <c r="FY133" t="s">
        <v>1454</v>
      </c>
      <c r="GA133" t="s">
        <v>1454</v>
      </c>
      <c r="GB133" t="s">
        <v>1454</v>
      </c>
      <c r="GC133" t="s">
        <v>1454</v>
      </c>
      <c r="GE133" t="s">
        <v>1454</v>
      </c>
      <c r="GF133" t="s">
        <v>1454</v>
      </c>
      <c r="GG133" t="s">
        <v>1454</v>
      </c>
      <c r="GI133" t="s">
        <v>1454</v>
      </c>
      <c r="GJ133" t="s">
        <v>1454</v>
      </c>
      <c r="GK133" t="s">
        <v>1454</v>
      </c>
      <c r="GM133" t="s">
        <v>1454</v>
      </c>
      <c r="GN133" t="s">
        <v>1454</v>
      </c>
      <c r="GO133" t="s">
        <v>1454</v>
      </c>
      <c r="GQ133" t="s">
        <v>1582</v>
      </c>
    </row>
    <row r="134" spans="2:199" x14ac:dyDescent="0.25">
      <c r="B134" t="s">
        <v>489</v>
      </c>
      <c r="C134" t="s">
        <v>1454</v>
      </c>
      <c r="D134" t="s">
        <v>1454</v>
      </c>
      <c r="E134" t="s">
        <v>1454</v>
      </c>
      <c r="G134" t="s">
        <v>1454</v>
      </c>
      <c r="H134" t="s">
        <v>1454</v>
      </c>
      <c r="I134" t="s">
        <v>1454</v>
      </c>
      <c r="K134" t="s">
        <v>1454</v>
      </c>
      <c r="L134" t="s">
        <v>1454</v>
      </c>
      <c r="M134" t="s">
        <v>1454</v>
      </c>
      <c r="O134" t="s">
        <v>1454</v>
      </c>
      <c r="P134" t="s">
        <v>1454</v>
      </c>
      <c r="Q134" t="s">
        <v>1454</v>
      </c>
      <c r="S134" t="s">
        <v>606</v>
      </c>
      <c r="T134" t="s">
        <v>1454</v>
      </c>
      <c r="U134" t="s">
        <v>1454</v>
      </c>
      <c r="W134" t="s">
        <v>1454</v>
      </c>
      <c r="X134" t="s">
        <v>1454</v>
      </c>
      <c r="Y134" t="s">
        <v>1454</v>
      </c>
      <c r="AA134" t="s">
        <v>1454</v>
      </c>
      <c r="AB134" t="s">
        <v>1454</v>
      </c>
      <c r="AC134" t="s">
        <v>1454</v>
      </c>
      <c r="AE134" t="s">
        <v>1454</v>
      </c>
      <c r="AF134" t="s">
        <v>1454</v>
      </c>
      <c r="AG134" t="s">
        <v>1454</v>
      </c>
      <c r="AI134" t="s">
        <v>1454</v>
      </c>
      <c r="AJ134" t="s">
        <v>1454</v>
      </c>
      <c r="AK134" t="s">
        <v>1454</v>
      </c>
      <c r="AM134" t="s">
        <v>1454</v>
      </c>
      <c r="AN134" t="s">
        <v>1454</v>
      </c>
      <c r="AO134" t="s">
        <v>1454</v>
      </c>
      <c r="AQ134" t="s">
        <v>1454</v>
      </c>
      <c r="AR134" t="s">
        <v>1454</v>
      </c>
      <c r="AS134" t="s">
        <v>1454</v>
      </c>
      <c r="AU134" t="s">
        <v>1454</v>
      </c>
      <c r="AV134" t="s">
        <v>1454</v>
      </c>
      <c r="AW134" t="s">
        <v>1454</v>
      </c>
      <c r="AY134" t="s">
        <v>1454</v>
      </c>
      <c r="AZ134" t="s">
        <v>1454</v>
      </c>
      <c r="BA134" t="s">
        <v>1454</v>
      </c>
      <c r="BC134" t="s">
        <v>1454</v>
      </c>
      <c r="BD134" t="s">
        <v>1454</v>
      </c>
      <c r="BE134" t="s">
        <v>1454</v>
      </c>
      <c r="BG134" t="s">
        <v>1454</v>
      </c>
      <c r="BH134" t="s">
        <v>1454</v>
      </c>
      <c r="BI134" t="s">
        <v>1454</v>
      </c>
      <c r="BK134" t="s">
        <v>1454</v>
      </c>
      <c r="BL134" t="s">
        <v>1454</v>
      </c>
      <c r="BM134" t="s">
        <v>1454</v>
      </c>
      <c r="BO134" t="s">
        <v>1454</v>
      </c>
      <c r="BP134" t="s">
        <v>1454</v>
      </c>
      <c r="BQ134" t="s">
        <v>1454</v>
      </c>
      <c r="BS134" t="s">
        <v>1454</v>
      </c>
      <c r="BT134" t="s">
        <v>1454</v>
      </c>
      <c r="BU134" t="s">
        <v>1454</v>
      </c>
      <c r="BW134" t="s">
        <v>1454</v>
      </c>
      <c r="BX134" t="s">
        <v>1454</v>
      </c>
      <c r="BY134" t="s">
        <v>1454</v>
      </c>
      <c r="CA134" t="s">
        <v>1454</v>
      </c>
      <c r="CB134" t="s">
        <v>1454</v>
      </c>
      <c r="CC134" t="s">
        <v>1454</v>
      </c>
      <c r="CE134" t="s">
        <v>1454</v>
      </c>
      <c r="CF134" t="s">
        <v>1454</v>
      </c>
      <c r="CG134" t="s">
        <v>1454</v>
      </c>
      <c r="CI134" t="s">
        <v>1454</v>
      </c>
      <c r="CJ134" t="s">
        <v>1454</v>
      </c>
      <c r="CK134" t="s">
        <v>1454</v>
      </c>
      <c r="CM134" t="s">
        <v>1454</v>
      </c>
      <c r="CN134" t="s">
        <v>1454</v>
      </c>
      <c r="CO134" t="s">
        <v>1454</v>
      </c>
      <c r="CQ134" t="s">
        <v>1454</v>
      </c>
      <c r="CR134" t="s">
        <v>1454</v>
      </c>
      <c r="CS134" t="s">
        <v>1454</v>
      </c>
      <c r="CU134" t="s">
        <v>1454</v>
      </c>
      <c r="CV134" t="s">
        <v>1454</v>
      </c>
      <c r="CW134" t="s">
        <v>1454</v>
      </c>
      <c r="CY134" t="s">
        <v>1454</v>
      </c>
      <c r="CZ134" t="s">
        <v>1454</v>
      </c>
      <c r="DA134" t="s">
        <v>1454</v>
      </c>
      <c r="DC134" t="s">
        <v>1454</v>
      </c>
      <c r="DD134" t="s">
        <v>1454</v>
      </c>
      <c r="DE134" t="s">
        <v>1454</v>
      </c>
      <c r="DG134" t="s">
        <v>1454</v>
      </c>
      <c r="DH134" t="s">
        <v>1454</v>
      </c>
      <c r="DI134" t="s">
        <v>1454</v>
      </c>
      <c r="DK134" t="s">
        <v>1454</v>
      </c>
      <c r="DL134" t="s">
        <v>1454</v>
      </c>
      <c r="DM134" t="s">
        <v>1454</v>
      </c>
      <c r="DO134" t="s">
        <v>1454</v>
      </c>
      <c r="DP134" t="s">
        <v>1454</v>
      </c>
      <c r="DQ134" t="s">
        <v>1454</v>
      </c>
      <c r="DS134" t="s">
        <v>1454</v>
      </c>
      <c r="DT134" t="s">
        <v>1454</v>
      </c>
      <c r="DU134" t="s">
        <v>1454</v>
      </c>
      <c r="DW134" t="s">
        <v>1454</v>
      </c>
      <c r="DX134" t="s">
        <v>1454</v>
      </c>
      <c r="DY134" t="s">
        <v>1454</v>
      </c>
      <c r="EA134" t="s">
        <v>1454</v>
      </c>
      <c r="EB134" t="s">
        <v>1454</v>
      </c>
      <c r="EC134" t="s">
        <v>1454</v>
      </c>
      <c r="EE134" t="s">
        <v>1454</v>
      </c>
      <c r="EF134" t="s">
        <v>1454</v>
      </c>
      <c r="EG134" t="s">
        <v>1454</v>
      </c>
      <c r="EI134" t="s">
        <v>1454</v>
      </c>
      <c r="EJ134" t="s">
        <v>1454</v>
      </c>
      <c r="EK134" t="s">
        <v>1454</v>
      </c>
      <c r="EM134" t="s">
        <v>1454</v>
      </c>
      <c r="EN134" t="s">
        <v>1454</v>
      </c>
      <c r="EO134" t="s">
        <v>1454</v>
      </c>
      <c r="EQ134" t="s">
        <v>1454</v>
      </c>
      <c r="ER134" t="s">
        <v>1454</v>
      </c>
      <c r="ES134" t="s">
        <v>1454</v>
      </c>
      <c r="EU134" t="s">
        <v>1454</v>
      </c>
      <c r="EV134" t="s">
        <v>1454</v>
      </c>
      <c r="EW134" t="s">
        <v>1454</v>
      </c>
      <c r="EY134" t="s">
        <v>1454</v>
      </c>
      <c r="EZ134" t="s">
        <v>1454</v>
      </c>
      <c r="FA134" t="s">
        <v>1454</v>
      </c>
      <c r="FC134" t="s">
        <v>1454</v>
      </c>
      <c r="FD134" t="s">
        <v>1454</v>
      </c>
      <c r="FE134" t="s">
        <v>1454</v>
      </c>
      <c r="FG134" t="s">
        <v>1454</v>
      </c>
      <c r="FH134" t="s">
        <v>1454</v>
      </c>
      <c r="FI134" t="s">
        <v>1454</v>
      </c>
      <c r="FK134" t="s">
        <v>1454</v>
      </c>
      <c r="FL134" t="s">
        <v>1454</v>
      </c>
      <c r="FM134" t="s">
        <v>1454</v>
      </c>
      <c r="FO134" t="s">
        <v>1454</v>
      </c>
      <c r="FP134" t="s">
        <v>1454</v>
      </c>
      <c r="FQ134" t="s">
        <v>1454</v>
      </c>
      <c r="FS134" t="s">
        <v>1454</v>
      </c>
      <c r="FT134" t="s">
        <v>1454</v>
      </c>
      <c r="FU134" t="s">
        <v>1454</v>
      </c>
      <c r="FW134" t="s">
        <v>1454</v>
      </c>
      <c r="FX134" t="s">
        <v>1454</v>
      </c>
      <c r="FY134" t="s">
        <v>1454</v>
      </c>
      <c r="GA134" t="s">
        <v>1454</v>
      </c>
      <c r="GB134" t="s">
        <v>1454</v>
      </c>
      <c r="GC134" t="s">
        <v>1454</v>
      </c>
      <c r="GE134" t="s">
        <v>1454</v>
      </c>
      <c r="GF134" t="s">
        <v>1454</v>
      </c>
      <c r="GG134" t="s">
        <v>1454</v>
      </c>
      <c r="GI134" t="s">
        <v>1454</v>
      </c>
      <c r="GJ134" t="s">
        <v>1454</v>
      </c>
      <c r="GK134" t="s">
        <v>1454</v>
      </c>
      <c r="GM134" t="s">
        <v>1454</v>
      </c>
      <c r="GN134" t="s">
        <v>1454</v>
      </c>
      <c r="GO134" t="s">
        <v>1454</v>
      </c>
      <c r="GQ134" t="s">
        <v>1570</v>
      </c>
    </row>
    <row r="135" spans="2:199" s="11" customFormat="1" x14ac:dyDescent="0.25">
      <c r="B135" t="s">
        <v>490</v>
      </c>
      <c r="C135" t="s">
        <v>1454</v>
      </c>
      <c r="D135" t="s">
        <v>1454</v>
      </c>
      <c r="E135" t="s">
        <v>1454</v>
      </c>
      <c r="F135"/>
      <c r="G135" t="s">
        <v>1454</v>
      </c>
      <c r="H135" t="s">
        <v>1454</v>
      </c>
      <c r="I135" t="s">
        <v>1454</v>
      </c>
      <c r="J135"/>
      <c r="K135" t="s">
        <v>1454</v>
      </c>
      <c r="L135" t="s">
        <v>1454</v>
      </c>
      <c r="M135" t="s">
        <v>1454</v>
      </c>
      <c r="N135"/>
      <c r="O135" t="s">
        <v>1454</v>
      </c>
      <c r="P135" t="s">
        <v>1454</v>
      </c>
      <c r="Q135" t="s">
        <v>1454</v>
      </c>
      <c r="R135"/>
      <c r="S135" t="s">
        <v>1454</v>
      </c>
      <c r="T135" t="s">
        <v>1454</v>
      </c>
      <c r="U135" t="s">
        <v>1454</v>
      </c>
      <c r="V135"/>
      <c r="W135" t="s">
        <v>1454</v>
      </c>
      <c r="X135" t="s">
        <v>1454</v>
      </c>
      <c r="Y135" t="s">
        <v>1454</v>
      </c>
      <c r="Z135"/>
      <c r="AA135" t="s">
        <v>1454</v>
      </c>
      <c r="AB135" t="s">
        <v>1454</v>
      </c>
      <c r="AC135" t="s">
        <v>1454</v>
      </c>
      <c r="AD135"/>
      <c r="AE135" t="s">
        <v>1454</v>
      </c>
      <c r="AF135" t="s">
        <v>1454</v>
      </c>
      <c r="AG135" t="s">
        <v>1454</v>
      </c>
      <c r="AH135"/>
      <c r="AI135" t="s">
        <v>1454</v>
      </c>
      <c r="AJ135" t="s">
        <v>1454</v>
      </c>
      <c r="AK135" t="s">
        <v>1454</v>
      </c>
      <c r="AL135"/>
      <c r="AM135" t="s">
        <v>1454</v>
      </c>
      <c r="AN135" t="s">
        <v>1454</v>
      </c>
      <c r="AO135" t="s">
        <v>1454</v>
      </c>
      <c r="AP135"/>
      <c r="AQ135" t="s">
        <v>1454</v>
      </c>
      <c r="AR135" t="s">
        <v>1454</v>
      </c>
      <c r="AS135" t="s">
        <v>1454</v>
      </c>
      <c r="AT135"/>
      <c r="AU135" t="s">
        <v>1454</v>
      </c>
      <c r="AV135" t="s">
        <v>1454</v>
      </c>
      <c r="AW135" t="s">
        <v>1454</v>
      </c>
      <c r="AX135"/>
      <c r="AY135" t="s">
        <v>1454</v>
      </c>
      <c r="AZ135" t="s">
        <v>1454</v>
      </c>
      <c r="BA135" t="s">
        <v>1454</v>
      </c>
      <c r="BB135"/>
      <c r="BC135" t="s">
        <v>1454</v>
      </c>
      <c r="BD135" t="s">
        <v>1454</v>
      </c>
      <c r="BE135" t="s">
        <v>1454</v>
      </c>
      <c r="BF135"/>
      <c r="BG135" t="s">
        <v>1454</v>
      </c>
      <c r="BH135" t="s">
        <v>1454</v>
      </c>
      <c r="BI135" t="s">
        <v>1454</v>
      </c>
      <c r="BJ135"/>
      <c r="BK135" t="s">
        <v>1454</v>
      </c>
      <c r="BL135" t="s">
        <v>1454</v>
      </c>
      <c r="BM135" t="s">
        <v>1454</v>
      </c>
      <c r="BN135"/>
      <c r="BO135" t="s">
        <v>1454</v>
      </c>
      <c r="BP135" t="s">
        <v>1454</v>
      </c>
      <c r="BQ135" t="s">
        <v>1454</v>
      </c>
      <c r="BR135"/>
      <c r="BS135" t="s">
        <v>1454</v>
      </c>
      <c r="BT135" t="s">
        <v>1454</v>
      </c>
      <c r="BU135" t="s">
        <v>1454</v>
      </c>
      <c r="BV135"/>
      <c r="BW135" t="s">
        <v>1454</v>
      </c>
      <c r="BX135" t="s">
        <v>1454</v>
      </c>
      <c r="BY135" t="s">
        <v>1454</v>
      </c>
      <c r="BZ135"/>
      <c r="CA135" t="s">
        <v>1454</v>
      </c>
      <c r="CB135" t="s">
        <v>1454</v>
      </c>
      <c r="CC135" t="s">
        <v>1454</v>
      </c>
      <c r="CD135"/>
      <c r="CE135" t="s">
        <v>1454</v>
      </c>
      <c r="CF135" t="s">
        <v>1454</v>
      </c>
      <c r="CG135" t="s">
        <v>1454</v>
      </c>
      <c r="CH135"/>
      <c r="CI135" t="s">
        <v>1454</v>
      </c>
      <c r="CJ135" t="s">
        <v>1454</v>
      </c>
      <c r="CK135" t="s">
        <v>1454</v>
      </c>
      <c r="CL135"/>
      <c r="CM135" t="s">
        <v>1454</v>
      </c>
      <c r="CN135" t="s">
        <v>1454</v>
      </c>
      <c r="CO135" t="s">
        <v>1454</v>
      </c>
      <c r="CP135"/>
      <c r="CQ135" t="s">
        <v>1454</v>
      </c>
      <c r="CR135" t="s">
        <v>1454</v>
      </c>
      <c r="CS135" t="s">
        <v>1454</v>
      </c>
      <c r="CT135"/>
      <c r="CU135" t="s">
        <v>1454</v>
      </c>
      <c r="CV135" t="s">
        <v>1454</v>
      </c>
      <c r="CW135" t="s">
        <v>1454</v>
      </c>
      <c r="CX135"/>
      <c r="CY135" t="s">
        <v>1454</v>
      </c>
      <c r="CZ135" t="s">
        <v>1454</v>
      </c>
      <c r="DA135" t="s">
        <v>1454</v>
      </c>
      <c r="DB135"/>
      <c r="DC135" t="s">
        <v>1454</v>
      </c>
      <c r="DD135" t="s">
        <v>1454</v>
      </c>
      <c r="DE135" t="s">
        <v>1454</v>
      </c>
      <c r="DF135"/>
      <c r="DG135" t="s">
        <v>1454</v>
      </c>
      <c r="DH135" t="s">
        <v>1454</v>
      </c>
      <c r="DI135" t="s">
        <v>1454</v>
      </c>
      <c r="DJ135"/>
      <c r="DK135" t="s">
        <v>630</v>
      </c>
      <c r="DL135" t="s">
        <v>1454</v>
      </c>
      <c r="DM135" t="s">
        <v>1454</v>
      </c>
      <c r="DN135"/>
      <c r="DO135" t="s">
        <v>1454</v>
      </c>
      <c r="DP135" t="s">
        <v>1454</v>
      </c>
      <c r="DQ135" t="s">
        <v>1454</v>
      </c>
      <c r="DR135"/>
      <c r="DS135" t="s">
        <v>1454</v>
      </c>
      <c r="DT135" t="s">
        <v>1454</v>
      </c>
      <c r="DU135" t="s">
        <v>1454</v>
      </c>
      <c r="DV135"/>
      <c r="DW135" t="s">
        <v>1454</v>
      </c>
      <c r="DX135" t="s">
        <v>1454</v>
      </c>
      <c r="DY135" t="s">
        <v>1454</v>
      </c>
      <c r="DZ135"/>
      <c r="EA135" t="s">
        <v>1454</v>
      </c>
      <c r="EB135" t="s">
        <v>1454</v>
      </c>
      <c r="EC135" t="s">
        <v>1454</v>
      </c>
      <c r="ED135"/>
      <c r="EE135" t="s">
        <v>1454</v>
      </c>
      <c r="EF135" t="s">
        <v>1454</v>
      </c>
      <c r="EG135" t="s">
        <v>1454</v>
      </c>
      <c r="EH135"/>
      <c r="EI135" t="s">
        <v>1454</v>
      </c>
      <c r="EJ135" t="s">
        <v>1454</v>
      </c>
      <c r="EK135" t="s">
        <v>1454</v>
      </c>
      <c r="EL135"/>
      <c r="EM135" t="s">
        <v>1454</v>
      </c>
      <c r="EN135" t="s">
        <v>1454</v>
      </c>
      <c r="EO135" t="s">
        <v>1454</v>
      </c>
      <c r="EP135"/>
      <c r="EQ135" t="s">
        <v>1454</v>
      </c>
      <c r="ER135" t="s">
        <v>1454</v>
      </c>
      <c r="ES135" t="s">
        <v>1454</v>
      </c>
      <c r="ET135"/>
      <c r="EU135" t="s">
        <v>1454</v>
      </c>
      <c r="EV135" t="s">
        <v>1454</v>
      </c>
      <c r="EW135" t="s">
        <v>1454</v>
      </c>
      <c r="EX135"/>
      <c r="EY135" t="s">
        <v>1454</v>
      </c>
      <c r="EZ135" t="s">
        <v>1454</v>
      </c>
      <c r="FA135" t="s">
        <v>1454</v>
      </c>
      <c r="FB135"/>
      <c r="FC135" t="s">
        <v>1454</v>
      </c>
      <c r="FD135" t="s">
        <v>1454</v>
      </c>
      <c r="FE135" t="s">
        <v>1454</v>
      </c>
      <c r="FF135"/>
      <c r="FG135" t="s">
        <v>1454</v>
      </c>
      <c r="FH135" t="s">
        <v>1454</v>
      </c>
      <c r="FI135" t="s">
        <v>1454</v>
      </c>
      <c r="FJ135"/>
      <c r="FK135" t="s">
        <v>1454</v>
      </c>
      <c r="FL135" t="s">
        <v>1454</v>
      </c>
      <c r="FM135" t="s">
        <v>1454</v>
      </c>
      <c r="FN135"/>
      <c r="FO135" t="s">
        <v>1454</v>
      </c>
      <c r="FP135" t="s">
        <v>1454</v>
      </c>
      <c r="FQ135" t="s">
        <v>1454</v>
      </c>
      <c r="FR135"/>
      <c r="FS135" t="s">
        <v>1454</v>
      </c>
      <c r="FT135" t="s">
        <v>1454</v>
      </c>
      <c r="FU135" t="s">
        <v>1454</v>
      </c>
      <c r="FV135"/>
      <c r="FW135" t="s">
        <v>1454</v>
      </c>
      <c r="FX135" t="s">
        <v>1454</v>
      </c>
      <c r="FY135" t="s">
        <v>1454</v>
      </c>
      <c r="FZ135"/>
      <c r="GA135" t="s">
        <v>1454</v>
      </c>
      <c r="GB135" t="s">
        <v>1454</v>
      </c>
      <c r="GC135" t="s">
        <v>1454</v>
      </c>
      <c r="GD135"/>
      <c r="GE135" t="s">
        <v>1454</v>
      </c>
      <c r="GF135" t="s">
        <v>1454</v>
      </c>
      <c r="GG135" t="s">
        <v>1454</v>
      </c>
      <c r="GH135"/>
      <c r="GI135" t="s">
        <v>1454</v>
      </c>
      <c r="GJ135" t="s">
        <v>1454</v>
      </c>
      <c r="GK135" t="s">
        <v>1454</v>
      </c>
      <c r="GL135"/>
      <c r="GM135" t="s">
        <v>1454</v>
      </c>
      <c r="GN135" t="s">
        <v>1454</v>
      </c>
      <c r="GO135" t="s">
        <v>1454</v>
      </c>
      <c r="GP135"/>
      <c r="GQ135" t="s">
        <v>1568</v>
      </c>
    </row>
    <row r="136" spans="2:199" x14ac:dyDescent="0.25">
      <c r="B136" t="s">
        <v>491</v>
      </c>
      <c r="C136" t="s">
        <v>1454</v>
      </c>
      <c r="D136" t="s">
        <v>1454</v>
      </c>
      <c r="E136" t="s">
        <v>1454</v>
      </c>
      <c r="G136" t="s">
        <v>1454</v>
      </c>
      <c r="H136" t="s">
        <v>1454</v>
      </c>
      <c r="I136" t="s">
        <v>1454</v>
      </c>
      <c r="K136" t="s">
        <v>1454</v>
      </c>
      <c r="L136" t="s">
        <v>1454</v>
      </c>
      <c r="M136" t="s">
        <v>1454</v>
      </c>
      <c r="O136" t="s">
        <v>1454</v>
      </c>
      <c r="P136" t="s">
        <v>1454</v>
      </c>
      <c r="Q136" t="s">
        <v>1454</v>
      </c>
      <c r="S136" t="s">
        <v>1454</v>
      </c>
      <c r="T136" t="s">
        <v>1454</v>
      </c>
      <c r="U136" t="s">
        <v>1454</v>
      </c>
      <c r="W136" t="s">
        <v>1454</v>
      </c>
      <c r="X136" t="s">
        <v>1454</v>
      </c>
      <c r="Y136" t="s">
        <v>1454</v>
      </c>
      <c r="AA136" t="s">
        <v>1454</v>
      </c>
      <c r="AB136" t="s">
        <v>1454</v>
      </c>
      <c r="AC136" t="s">
        <v>1454</v>
      </c>
      <c r="AE136" t="s">
        <v>1454</v>
      </c>
      <c r="AF136" t="s">
        <v>1454</v>
      </c>
      <c r="AG136" t="s">
        <v>1454</v>
      </c>
      <c r="AI136" t="s">
        <v>1454</v>
      </c>
      <c r="AJ136" t="s">
        <v>1454</v>
      </c>
      <c r="AK136" t="s">
        <v>1454</v>
      </c>
      <c r="AM136" t="s">
        <v>1454</v>
      </c>
      <c r="AN136" t="s">
        <v>1454</v>
      </c>
      <c r="AO136" t="s">
        <v>1454</v>
      </c>
      <c r="AQ136" t="s">
        <v>1454</v>
      </c>
      <c r="AR136" t="s">
        <v>1454</v>
      </c>
      <c r="AS136" t="s">
        <v>1454</v>
      </c>
      <c r="AU136" t="s">
        <v>1454</v>
      </c>
      <c r="AV136" t="s">
        <v>1454</v>
      </c>
      <c r="AW136" t="s">
        <v>1454</v>
      </c>
      <c r="AY136" t="s">
        <v>1454</v>
      </c>
      <c r="AZ136" t="s">
        <v>1454</v>
      </c>
      <c r="BA136" t="s">
        <v>1454</v>
      </c>
      <c r="BC136" t="s">
        <v>1454</v>
      </c>
      <c r="BD136" t="s">
        <v>1454</v>
      </c>
      <c r="BE136" t="s">
        <v>1454</v>
      </c>
      <c r="BG136" t="s">
        <v>1454</v>
      </c>
      <c r="BH136" t="s">
        <v>1454</v>
      </c>
      <c r="BI136" t="s">
        <v>1454</v>
      </c>
      <c r="BK136" t="s">
        <v>1454</v>
      </c>
      <c r="BL136" t="s">
        <v>1454</v>
      </c>
      <c r="BM136" t="s">
        <v>1454</v>
      </c>
      <c r="BO136" t="s">
        <v>1454</v>
      </c>
      <c r="BP136" t="s">
        <v>1454</v>
      </c>
      <c r="BQ136" t="s">
        <v>1454</v>
      </c>
      <c r="BS136" t="s">
        <v>1454</v>
      </c>
      <c r="BT136" t="s">
        <v>1454</v>
      </c>
      <c r="BU136" t="s">
        <v>1454</v>
      </c>
      <c r="BW136" t="s">
        <v>1454</v>
      </c>
      <c r="BX136" t="s">
        <v>1454</v>
      </c>
      <c r="BY136" t="s">
        <v>1454</v>
      </c>
      <c r="CA136" t="s">
        <v>1454</v>
      </c>
      <c r="CB136" t="s">
        <v>1454</v>
      </c>
      <c r="CC136" t="s">
        <v>1454</v>
      </c>
      <c r="CE136" t="s">
        <v>1454</v>
      </c>
      <c r="CF136" t="s">
        <v>1454</v>
      </c>
      <c r="CG136" t="s">
        <v>1454</v>
      </c>
      <c r="CI136" t="s">
        <v>1454</v>
      </c>
      <c r="CJ136" t="s">
        <v>1454</v>
      </c>
      <c r="CK136" t="s">
        <v>1454</v>
      </c>
      <c r="CM136" t="s">
        <v>1454</v>
      </c>
      <c r="CN136" t="s">
        <v>1454</v>
      </c>
      <c r="CO136" t="s">
        <v>1454</v>
      </c>
      <c r="CQ136" t="s">
        <v>1454</v>
      </c>
      <c r="CR136" t="s">
        <v>1454</v>
      </c>
      <c r="CS136" t="s">
        <v>1454</v>
      </c>
      <c r="CU136" t="s">
        <v>1454</v>
      </c>
      <c r="CV136" t="s">
        <v>1454</v>
      </c>
      <c r="CW136" t="s">
        <v>1454</v>
      </c>
      <c r="CY136" t="s">
        <v>1454</v>
      </c>
      <c r="CZ136" t="s">
        <v>1454</v>
      </c>
      <c r="DA136" t="s">
        <v>1454</v>
      </c>
      <c r="DC136" t="s">
        <v>1454</v>
      </c>
      <c r="DD136" t="s">
        <v>1454</v>
      </c>
      <c r="DE136" t="s">
        <v>1454</v>
      </c>
      <c r="DG136" t="s">
        <v>1454</v>
      </c>
      <c r="DH136" t="s">
        <v>1454</v>
      </c>
      <c r="DI136" t="s">
        <v>1454</v>
      </c>
      <c r="DK136" t="s">
        <v>1454</v>
      </c>
      <c r="DL136" t="s">
        <v>1454</v>
      </c>
      <c r="DM136" t="s">
        <v>1454</v>
      </c>
      <c r="DO136" t="s">
        <v>1454</v>
      </c>
      <c r="DP136" t="s">
        <v>1454</v>
      </c>
      <c r="DQ136" t="s">
        <v>1454</v>
      </c>
      <c r="DS136" t="s">
        <v>632</v>
      </c>
      <c r="DT136" t="s">
        <v>1454</v>
      </c>
      <c r="DU136" t="s">
        <v>1454</v>
      </c>
      <c r="DW136" t="s">
        <v>1454</v>
      </c>
      <c r="DX136" t="s">
        <v>1454</v>
      </c>
      <c r="DY136" t="s">
        <v>1454</v>
      </c>
      <c r="EA136" t="s">
        <v>1454</v>
      </c>
      <c r="EB136" t="s">
        <v>1454</v>
      </c>
      <c r="EC136" t="s">
        <v>1454</v>
      </c>
      <c r="EE136" t="s">
        <v>1454</v>
      </c>
      <c r="EF136" t="s">
        <v>1454</v>
      </c>
      <c r="EG136" t="s">
        <v>1454</v>
      </c>
      <c r="EI136" t="s">
        <v>1454</v>
      </c>
      <c r="EJ136" t="s">
        <v>1454</v>
      </c>
      <c r="EK136" t="s">
        <v>1454</v>
      </c>
      <c r="EM136" t="s">
        <v>1454</v>
      </c>
      <c r="EN136" t="s">
        <v>1454</v>
      </c>
      <c r="EO136" t="s">
        <v>1454</v>
      </c>
      <c r="EQ136" t="s">
        <v>1454</v>
      </c>
      <c r="ER136" t="s">
        <v>1454</v>
      </c>
      <c r="ES136" t="s">
        <v>1454</v>
      </c>
      <c r="EU136" t="s">
        <v>1454</v>
      </c>
      <c r="EV136" t="s">
        <v>1454</v>
      </c>
      <c r="EW136" t="s">
        <v>1454</v>
      </c>
      <c r="EY136" t="s">
        <v>1454</v>
      </c>
      <c r="EZ136" t="s">
        <v>1454</v>
      </c>
      <c r="FA136" t="s">
        <v>1454</v>
      </c>
      <c r="FC136" t="s">
        <v>1454</v>
      </c>
      <c r="FD136" t="s">
        <v>1454</v>
      </c>
      <c r="FE136" t="s">
        <v>1454</v>
      </c>
      <c r="FG136" t="s">
        <v>1454</v>
      </c>
      <c r="FH136" t="s">
        <v>1454</v>
      </c>
      <c r="FI136" t="s">
        <v>1454</v>
      </c>
      <c r="FK136" t="s">
        <v>1454</v>
      </c>
      <c r="FL136" t="s">
        <v>1454</v>
      </c>
      <c r="FM136" t="s">
        <v>1454</v>
      </c>
      <c r="FO136" t="s">
        <v>1454</v>
      </c>
      <c r="FP136" t="s">
        <v>1454</v>
      </c>
      <c r="FQ136" t="s">
        <v>1454</v>
      </c>
      <c r="FS136" t="s">
        <v>1454</v>
      </c>
      <c r="FT136" t="s">
        <v>1454</v>
      </c>
      <c r="FU136" t="s">
        <v>1454</v>
      </c>
      <c r="FW136" t="s">
        <v>1454</v>
      </c>
      <c r="FX136" t="s">
        <v>1454</v>
      </c>
      <c r="FY136" t="s">
        <v>1454</v>
      </c>
      <c r="GA136" t="s">
        <v>1454</v>
      </c>
      <c r="GB136" t="s">
        <v>1454</v>
      </c>
      <c r="GC136" t="s">
        <v>1454</v>
      </c>
      <c r="GE136" t="s">
        <v>1454</v>
      </c>
      <c r="GF136" t="s">
        <v>1454</v>
      </c>
      <c r="GG136" t="s">
        <v>1454</v>
      </c>
      <c r="GI136" t="s">
        <v>1454</v>
      </c>
      <c r="GJ136" t="s">
        <v>1454</v>
      </c>
      <c r="GK136" t="s">
        <v>1454</v>
      </c>
      <c r="GM136" t="s">
        <v>1454</v>
      </c>
      <c r="GN136" t="s">
        <v>1454</v>
      </c>
      <c r="GO136" t="s">
        <v>1454</v>
      </c>
      <c r="GQ136" t="s">
        <v>1482</v>
      </c>
    </row>
    <row r="137" spans="2:199" x14ac:dyDescent="0.25">
      <c r="B137" t="s">
        <v>492</v>
      </c>
      <c r="C137" t="s">
        <v>1454</v>
      </c>
      <c r="D137" t="s">
        <v>1454</v>
      </c>
      <c r="E137" t="s">
        <v>1454</v>
      </c>
      <c r="G137" t="s">
        <v>1454</v>
      </c>
      <c r="H137" t="s">
        <v>1454</v>
      </c>
      <c r="I137" t="s">
        <v>1454</v>
      </c>
      <c r="K137" t="s">
        <v>1454</v>
      </c>
      <c r="L137" t="s">
        <v>1454</v>
      </c>
      <c r="M137" t="s">
        <v>1454</v>
      </c>
      <c r="O137" t="s">
        <v>1454</v>
      </c>
      <c r="P137" t="s">
        <v>1454</v>
      </c>
      <c r="Q137" t="s">
        <v>1454</v>
      </c>
      <c r="S137" t="s">
        <v>1454</v>
      </c>
      <c r="T137" t="s">
        <v>1454</v>
      </c>
      <c r="U137" t="s">
        <v>1454</v>
      </c>
      <c r="W137" t="s">
        <v>1454</v>
      </c>
      <c r="X137" t="s">
        <v>1454</v>
      </c>
      <c r="Y137" t="s">
        <v>1454</v>
      </c>
      <c r="AA137" t="s">
        <v>1454</v>
      </c>
      <c r="AB137" t="s">
        <v>1454</v>
      </c>
      <c r="AC137" t="s">
        <v>1454</v>
      </c>
      <c r="AE137" t="s">
        <v>1454</v>
      </c>
      <c r="AF137" t="s">
        <v>1454</v>
      </c>
      <c r="AG137" t="s">
        <v>1454</v>
      </c>
      <c r="AI137" t="s">
        <v>1454</v>
      </c>
      <c r="AJ137" t="s">
        <v>1454</v>
      </c>
      <c r="AK137" t="s">
        <v>1454</v>
      </c>
      <c r="AM137" t="s">
        <v>1454</v>
      </c>
      <c r="AN137" t="s">
        <v>1454</v>
      </c>
      <c r="AO137" t="s">
        <v>1454</v>
      </c>
      <c r="AQ137" t="s">
        <v>1454</v>
      </c>
      <c r="AR137" t="s">
        <v>1454</v>
      </c>
      <c r="AS137" t="s">
        <v>1454</v>
      </c>
      <c r="AU137" t="s">
        <v>1454</v>
      </c>
      <c r="AV137" t="s">
        <v>1454</v>
      </c>
      <c r="AW137" t="s">
        <v>1454</v>
      </c>
      <c r="AY137" t="s">
        <v>1454</v>
      </c>
      <c r="AZ137" t="s">
        <v>1454</v>
      </c>
      <c r="BA137" t="s">
        <v>1454</v>
      </c>
      <c r="BC137" t="s">
        <v>1454</v>
      </c>
      <c r="BD137" t="s">
        <v>1454</v>
      </c>
      <c r="BE137" t="s">
        <v>1454</v>
      </c>
      <c r="BG137" t="s">
        <v>1454</v>
      </c>
      <c r="BH137" t="s">
        <v>1454</v>
      </c>
      <c r="BI137" t="s">
        <v>1454</v>
      </c>
      <c r="BK137" t="s">
        <v>1454</v>
      </c>
      <c r="BL137" t="s">
        <v>1454</v>
      </c>
      <c r="BM137" t="s">
        <v>1454</v>
      </c>
      <c r="BO137" t="s">
        <v>1454</v>
      </c>
      <c r="BP137" t="s">
        <v>1454</v>
      </c>
      <c r="BQ137" t="s">
        <v>1454</v>
      </c>
      <c r="BS137" t="s">
        <v>1454</v>
      </c>
      <c r="BT137" t="s">
        <v>1454</v>
      </c>
      <c r="BU137" t="s">
        <v>1454</v>
      </c>
      <c r="BW137" t="s">
        <v>1454</v>
      </c>
      <c r="BX137" t="s">
        <v>1454</v>
      </c>
      <c r="BY137" t="s">
        <v>1454</v>
      </c>
      <c r="CA137" t="s">
        <v>1454</v>
      </c>
      <c r="CB137" t="s">
        <v>1454</v>
      </c>
      <c r="CC137" t="s">
        <v>1454</v>
      </c>
      <c r="CE137" t="s">
        <v>1454</v>
      </c>
      <c r="CF137" t="s">
        <v>1454</v>
      </c>
      <c r="CG137" t="s">
        <v>1454</v>
      </c>
      <c r="CI137" t="s">
        <v>1454</v>
      </c>
      <c r="CJ137" t="s">
        <v>1454</v>
      </c>
      <c r="CK137" t="s">
        <v>1454</v>
      </c>
      <c r="CM137" t="s">
        <v>624</v>
      </c>
      <c r="CN137" t="s">
        <v>1454</v>
      </c>
      <c r="CO137" t="s">
        <v>1454</v>
      </c>
      <c r="CQ137" t="s">
        <v>1454</v>
      </c>
      <c r="CR137" t="s">
        <v>1454</v>
      </c>
      <c r="CS137" t="s">
        <v>1454</v>
      </c>
      <c r="CU137" t="s">
        <v>1454</v>
      </c>
      <c r="CV137" t="s">
        <v>1454</v>
      </c>
      <c r="CW137" t="s">
        <v>1454</v>
      </c>
      <c r="CY137" t="s">
        <v>1454</v>
      </c>
      <c r="CZ137" t="s">
        <v>1454</v>
      </c>
      <c r="DA137" t="s">
        <v>1454</v>
      </c>
      <c r="DC137" t="s">
        <v>1454</v>
      </c>
      <c r="DD137" t="s">
        <v>1454</v>
      </c>
      <c r="DE137" t="s">
        <v>1454</v>
      </c>
      <c r="DG137" t="s">
        <v>1454</v>
      </c>
      <c r="DH137" t="s">
        <v>1454</v>
      </c>
      <c r="DI137" t="s">
        <v>1454</v>
      </c>
      <c r="DK137" t="s">
        <v>1454</v>
      </c>
      <c r="DL137" t="s">
        <v>1454</v>
      </c>
      <c r="DM137" t="s">
        <v>1454</v>
      </c>
      <c r="DO137" t="s">
        <v>1454</v>
      </c>
      <c r="DP137" t="s">
        <v>1454</v>
      </c>
      <c r="DQ137" t="s">
        <v>1454</v>
      </c>
      <c r="DS137" t="s">
        <v>1454</v>
      </c>
      <c r="DT137" t="s">
        <v>1454</v>
      </c>
      <c r="DU137" t="s">
        <v>1454</v>
      </c>
      <c r="DW137" t="s">
        <v>1454</v>
      </c>
      <c r="DX137" t="s">
        <v>1454</v>
      </c>
      <c r="DY137" t="s">
        <v>1454</v>
      </c>
      <c r="EA137" t="s">
        <v>1454</v>
      </c>
      <c r="EB137" t="s">
        <v>1454</v>
      </c>
      <c r="EC137" t="s">
        <v>1454</v>
      </c>
      <c r="EE137" t="s">
        <v>1454</v>
      </c>
      <c r="EF137" t="s">
        <v>1454</v>
      </c>
      <c r="EG137" t="s">
        <v>1454</v>
      </c>
      <c r="EI137" t="s">
        <v>1454</v>
      </c>
      <c r="EJ137" t="s">
        <v>1454</v>
      </c>
      <c r="EK137" t="s">
        <v>1454</v>
      </c>
      <c r="EM137" t="s">
        <v>1454</v>
      </c>
      <c r="EN137" t="s">
        <v>1454</v>
      </c>
      <c r="EO137" t="s">
        <v>1454</v>
      </c>
      <c r="EQ137" t="s">
        <v>1454</v>
      </c>
      <c r="ER137" t="s">
        <v>1454</v>
      </c>
      <c r="ES137" t="s">
        <v>1454</v>
      </c>
      <c r="EU137" t="s">
        <v>1454</v>
      </c>
      <c r="EV137" t="s">
        <v>1454</v>
      </c>
      <c r="EW137" t="s">
        <v>1454</v>
      </c>
      <c r="EY137" t="s">
        <v>1454</v>
      </c>
      <c r="EZ137" t="s">
        <v>1454</v>
      </c>
      <c r="FA137" t="s">
        <v>1454</v>
      </c>
      <c r="FC137" t="s">
        <v>1454</v>
      </c>
      <c r="FD137" t="s">
        <v>1454</v>
      </c>
      <c r="FE137" t="s">
        <v>1454</v>
      </c>
      <c r="FG137" t="s">
        <v>1454</v>
      </c>
      <c r="FH137" t="s">
        <v>1454</v>
      </c>
      <c r="FI137" t="s">
        <v>1454</v>
      </c>
      <c r="FK137" t="s">
        <v>1454</v>
      </c>
      <c r="FL137" t="s">
        <v>1454</v>
      </c>
      <c r="FM137" t="s">
        <v>1454</v>
      </c>
      <c r="FO137" t="s">
        <v>1454</v>
      </c>
      <c r="FP137" t="s">
        <v>1454</v>
      </c>
      <c r="FQ137" t="s">
        <v>1454</v>
      </c>
      <c r="FS137" t="s">
        <v>1454</v>
      </c>
      <c r="FT137" t="s">
        <v>1454</v>
      </c>
      <c r="FU137" t="s">
        <v>1454</v>
      </c>
      <c r="FW137" t="s">
        <v>1454</v>
      </c>
      <c r="FX137" t="s">
        <v>1454</v>
      </c>
      <c r="FY137" t="s">
        <v>1454</v>
      </c>
      <c r="GA137" t="s">
        <v>1454</v>
      </c>
      <c r="GB137" t="s">
        <v>1454</v>
      </c>
      <c r="GC137" t="s">
        <v>1454</v>
      </c>
      <c r="GE137" t="s">
        <v>1454</v>
      </c>
      <c r="GF137" t="s">
        <v>1454</v>
      </c>
      <c r="GG137" t="s">
        <v>1454</v>
      </c>
      <c r="GI137" t="s">
        <v>1454</v>
      </c>
      <c r="GJ137" t="s">
        <v>1454</v>
      </c>
      <c r="GK137" t="s">
        <v>1454</v>
      </c>
      <c r="GM137" t="s">
        <v>1454</v>
      </c>
      <c r="GN137" t="s">
        <v>1454</v>
      </c>
      <c r="GO137" t="s">
        <v>1454</v>
      </c>
      <c r="GQ137" t="s">
        <v>1610</v>
      </c>
    </row>
    <row r="138" spans="2:199" x14ac:dyDescent="0.25">
      <c r="B138" t="s">
        <v>493</v>
      </c>
      <c r="C138" t="s">
        <v>1454</v>
      </c>
      <c r="D138" t="s">
        <v>1454</v>
      </c>
      <c r="E138" t="s">
        <v>1454</v>
      </c>
      <c r="G138" t="s">
        <v>1454</v>
      </c>
      <c r="H138" t="s">
        <v>1454</v>
      </c>
      <c r="I138" t="s">
        <v>1454</v>
      </c>
      <c r="K138" t="s">
        <v>1454</v>
      </c>
      <c r="L138" t="s">
        <v>1454</v>
      </c>
      <c r="M138" t="s">
        <v>1454</v>
      </c>
      <c r="O138" t="s">
        <v>1454</v>
      </c>
      <c r="P138" t="s">
        <v>1454</v>
      </c>
      <c r="Q138" t="s">
        <v>1454</v>
      </c>
      <c r="S138" t="s">
        <v>1454</v>
      </c>
      <c r="T138" t="s">
        <v>1454</v>
      </c>
      <c r="U138" t="s">
        <v>1454</v>
      </c>
      <c r="W138" t="s">
        <v>1454</v>
      </c>
      <c r="X138" t="s">
        <v>1454</v>
      </c>
      <c r="Y138" t="s">
        <v>1454</v>
      </c>
      <c r="AA138" t="s">
        <v>1454</v>
      </c>
      <c r="AB138" t="s">
        <v>1454</v>
      </c>
      <c r="AC138" t="s">
        <v>1454</v>
      </c>
      <c r="AE138" t="s">
        <v>1454</v>
      </c>
      <c r="AF138" t="s">
        <v>1454</v>
      </c>
      <c r="AG138" t="s">
        <v>1454</v>
      </c>
      <c r="AI138" t="s">
        <v>1454</v>
      </c>
      <c r="AJ138" t="s">
        <v>1454</v>
      </c>
      <c r="AK138" t="s">
        <v>1454</v>
      </c>
      <c r="AM138" t="s">
        <v>1454</v>
      </c>
      <c r="AN138" t="s">
        <v>1454</v>
      </c>
      <c r="AO138" t="s">
        <v>1454</v>
      </c>
      <c r="AQ138" t="s">
        <v>1454</v>
      </c>
      <c r="AR138" t="s">
        <v>1454</v>
      </c>
      <c r="AS138" t="s">
        <v>1454</v>
      </c>
      <c r="AU138" t="s">
        <v>613</v>
      </c>
      <c r="AV138" t="s">
        <v>1454</v>
      </c>
      <c r="AW138" t="s">
        <v>1454</v>
      </c>
      <c r="AY138" t="s">
        <v>1454</v>
      </c>
      <c r="AZ138" t="s">
        <v>1454</v>
      </c>
      <c r="BA138" t="s">
        <v>1454</v>
      </c>
      <c r="BC138" t="s">
        <v>1454</v>
      </c>
      <c r="BD138" t="s">
        <v>1454</v>
      </c>
      <c r="BE138" t="s">
        <v>1454</v>
      </c>
      <c r="BG138" t="s">
        <v>1454</v>
      </c>
      <c r="BH138" t="s">
        <v>1454</v>
      </c>
      <c r="BI138" t="s">
        <v>1454</v>
      </c>
      <c r="BK138" t="s">
        <v>1454</v>
      </c>
      <c r="BL138" t="s">
        <v>1454</v>
      </c>
      <c r="BM138" t="s">
        <v>1454</v>
      </c>
      <c r="BO138" t="s">
        <v>1454</v>
      </c>
      <c r="BP138" t="s">
        <v>1454</v>
      </c>
      <c r="BQ138" t="s">
        <v>1454</v>
      </c>
      <c r="BS138" t="s">
        <v>1454</v>
      </c>
      <c r="BT138" t="s">
        <v>1454</v>
      </c>
      <c r="BU138" t="s">
        <v>1454</v>
      </c>
      <c r="BW138" t="s">
        <v>1454</v>
      </c>
      <c r="BX138" t="s">
        <v>1454</v>
      </c>
      <c r="BY138" t="s">
        <v>1454</v>
      </c>
      <c r="CA138" t="s">
        <v>1454</v>
      </c>
      <c r="CB138" t="s">
        <v>1454</v>
      </c>
      <c r="CC138" t="s">
        <v>1454</v>
      </c>
      <c r="CE138" t="s">
        <v>1454</v>
      </c>
      <c r="CF138" t="s">
        <v>1454</v>
      </c>
      <c r="CG138" t="s">
        <v>1454</v>
      </c>
      <c r="CI138" t="s">
        <v>1454</v>
      </c>
      <c r="CJ138" t="s">
        <v>1454</v>
      </c>
      <c r="CK138" t="s">
        <v>1454</v>
      </c>
      <c r="CM138" t="s">
        <v>1454</v>
      </c>
      <c r="CN138" t="s">
        <v>1454</v>
      </c>
      <c r="CO138" t="s">
        <v>1454</v>
      </c>
      <c r="CQ138" t="s">
        <v>1454</v>
      </c>
      <c r="CR138" t="s">
        <v>1454</v>
      </c>
      <c r="CS138" t="s">
        <v>1454</v>
      </c>
      <c r="CU138" t="s">
        <v>1454</v>
      </c>
      <c r="CV138" t="s">
        <v>1454</v>
      </c>
      <c r="CW138" t="s">
        <v>1454</v>
      </c>
      <c r="CY138" t="s">
        <v>1454</v>
      </c>
      <c r="CZ138" t="s">
        <v>1454</v>
      </c>
      <c r="DA138" t="s">
        <v>1454</v>
      </c>
      <c r="DC138" t="s">
        <v>1454</v>
      </c>
      <c r="DD138" t="s">
        <v>1454</v>
      </c>
      <c r="DE138" t="s">
        <v>1454</v>
      </c>
      <c r="DG138" t="s">
        <v>1454</v>
      </c>
      <c r="DH138" t="s">
        <v>1454</v>
      </c>
      <c r="DI138" t="s">
        <v>1454</v>
      </c>
      <c r="DK138" t="s">
        <v>1454</v>
      </c>
      <c r="DL138" t="s">
        <v>1454</v>
      </c>
      <c r="DM138" t="s">
        <v>1454</v>
      </c>
      <c r="DO138" t="s">
        <v>1454</v>
      </c>
      <c r="DP138" t="s">
        <v>1454</v>
      </c>
      <c r="DQ138" t="s">
        <v>1454</v>
      </c>
      <c r="DS138" t="s">
        <v>1454</v>
      </c>
      <c r="DT138" t="s">
        <v>1454</v>
      </c>
      <c r="DU138" t="s">
        <v>1454</v>
      </c>
      <c r="DW138" t="s">
        <v>1454</v>
      </c>
      <c r="DX138" t="s">
        <v>1454</v>
      </c>
      <c r="DY138" t="s">
        <v>1454</v>
      </c>
      <c r="EA138" t="s">
        <v>1454</v>
      </c>
      <c r="EB138" t="s">
        <v>1454</v>
      </c>
      <c r="EC138" t="s">
        <v>1454</v>
      </c>
      <c r="EE138" t="s">
        <v>1454</v>
      </c>
      <c r="EF138" t="s">
        <v>1454</v>
      </c>
      <c r="EG138" t="s">
        <v>1454</v>
      </c>
      <c r="EI138" t="s">
        <v>1454</v>
      </c>
      <c r="EJ138" t="s">
        <v>1454</v>
      </c>
      <c r="EK138" t="s">
        <v>1454</v>
      </c>
      <c r="EM138" t="s">
        <v>1454</v>
      </c>
      <c r="EN138" t="s">
        <v>1454</v>
      </c>
      <c r="EO138" t="s">
        <v>1454</v>
      </c>
      <c r="EQ138" t="s">
        <v>1454</v>
      </c>
      <c r="ER138" t="s">
        <v>1454</v>
      </c>
      <c r="ES138" t="s">
        <v>1454</v>
      </c>
      <c r="EU138" t="s">
        <v>1454</v>
      </c>
      <c r="EV138" t="s">
        <v>1454</v>
      </c>
      <c r="EW138" t="s">
        <v>1454</v>
      </c>
      <c r="EY138" t="s">
        <v>1454</v>
      </c>
      <c r="EZ138" t="s">
        <v>1454</v>
      </c>
      <c r="FA138" t="s">
        <v>1454</v>
      </c>
      <c r="FC138" t="s">
        <v>1454</v>
      </c>
      <c r="FD138" t="s">
        <v>1454</v>
      </c>
      <c r="FE138" t="s">
        <v>1454</v>
      </c>
      <c r="FG138" t="s">
        <v>642</v>
      </c>
      <c r="FH138" t="s">
        <v>1454</v>
      </c>
      <c r="FI138" t="s">
        <v>1454</v>
      </c>
      <c r="FK138" t="s">
        <v>1454</v>
      </c>
      <c r="FL138" t="s">
        <v>1454</v>
      </c>
      <c r="FM138" t="s">
        <v>1454</v>
      </c>
      <c r="FO138" t="s">
        <v>1454</v>
      </c>
      <c r="FP138" t="s">
        <v>1454</v>
      </c>
      <c r="FQ138" t="s">
        <v>1454</v>
      </c>
      <c r="FS138" t="s">
        <v>1454</v>
      </c>
      <c r="FT138" t="s">
        <v>1454</v>
      </c>
      <c r="FU138" t="s">
        <v>1454</v>
      </c>
      <c r="FW138" t="s">
        <v>1454</v>
      </c>
      <c r="FX138" t="s">
        <v>1454</v>
      </c>
      <c r="FY138" t="s">
        <v>1454</v>
      </c>
      <c r="GA138" t="s">
        <v>1454</v>
      </c>
      <c r="GB138" t="s">
        <v>1454</v>
      </c>
      <c r="GC138" t="s">
        <v>1454</v>
      </c>
      <c r="GE138" t="s">
        <v>1454</v>
      </c>
      <c r="GF138" t="s">
        <v>1454</v>
      </c>
      <c r="GG138" t="s">
        <v>1454</v>
      </c>
      <c r="GI138" t="s">
        <v>1454</v>
      </c>
      <c r="GJ138" t="s">
        <v>1454</v>
      </c>
      <c r="GK138" t="s">
        <v>1454</v>
      </c>
      <c r="GM138" t="s">
        <v>1454</v>
      </c>
      <c r="GN138" t="s">
        <v>1454</v>
      </c>
      <c r="GO138" t="s">
        <v>1454</v>
      </c>
      <c r="GQ138" t="s">
        <v>1601</v>
      </c>
    </row>
    <row r="139" spans="2:199" s="11" customFormat="1" x14ac:dyDescent="0.25">
      <c r="B139" t="s">
        <v>494</v>
      </c>
      <c r="C139" t="s">
        <v>1454</v>
      </c>
      <c r="D139" t="s">
        <v>1454</v>
      </c>
      <c r="E139" t="s">
        <v>1454</v>
      </c>
      <c r="F139"/>
      <c r="G139" t="s">
        <v>1454</v>
      </c>
      <c r="H139" t="s">
        <v>1454</v>
      </c>
      <c r="I139" t="s">
        <v>1454</v>
      </c>
      <c r="J139"/>
      <c r="K139" t="s">
        <v>1454</v>
      </c>
      <c r="L139" t="s">
        <v>1454</v>
      </c>
      <c r="M139" t="s">
        <v>1454</v>
      </c>
      <c r="N139"/>
      <c r="O139" t="s">
        <v>1454</v>
      </c>
      <c r="P139" t="s">
        <v>1454</v>
      </c>
      <c r="Q139" t="s">
        <v>1454</v>
      </c>
      <c r="R139"/>
      <c r="S139" t="s">
        <v>1454</v>
      </c>
      <c r="T139" t="s">
        <v>1454</v>
      </c>
      <c r="U139" t="s">
        <v>1454</v>
      </c>
      <c r="V139"/>
      <c r="W139" t="s">
        <v>1454</v>
      </c>
      <c r="X139" t="s">
        <v>1454</v>
      </c>
      <c r="Y139" t="s">
        <v>1454</v>
      </c>
      <c r="Z139"/>
      <c r="AA139" t="s">
        <v>1454</v>
      </c>
      <c r="AB139" t="s">
        <v>1454</v>
      </c>
      <c r="AC139" t="s">
        <v>1454</v>
      </c>
      <c r="AD139"/>
      <c r="AE139" t="s">
        <v>1454</v>
      </c>
      <c r="AF139" t="s">
        <v>1454</v>
      </c>
      <c r="AG139" t="s">
        <v>1454</v>
      </c>
      <c r="AH139"/>
      <c r="AI139" t="s">
        <v>1454</v>
      </c>
      <c r="AJ139" t="s">
        <v>1454</v>
      </c>
      <c r="AK139" t="s">
        <v>1454</v>
      </c>
      <c r="AL139"/>
      <c r="AM139" t="s">
        <v>1454</v>
      </c>
      <c r="AN139" t="s">
        <v>1454</v>
      </c>
      <c r="AO139" t="s">
        <v>1454</v>
      </c>
      <c r="AP139"/>
      <c r="AQ139" t="s">
        <v>1454</v>
      </c>
      <c r="AR139" t="s">
        <v>1454</v>
      </c>
      <c r="AS139" t="s">
        <v>1454</v>
      </c>
      <c r="AT139"/>
      <c r="AU139" t="s">
        <v>1454</v>
      </c>
      <c r="AV139" t="s">
        <v>1454</v>
      </c>
      <c r="AW139" t="s">
        <v>1454</v>
      </c>
      <c r="AX139"/>
      <c r="AY139" t="s">
        <v>1454</v>
      </c>
      <c r="AZ139" t="s">
        <v>1454</v>
      </c>
      <c r="BA139" t="s">
        <v>1454</v>
      </c>
      <c r="BB139"/>
      <c r="BC139" t="s">
        <v>1454</v>
      </c>
      <c r="BD139" t="s">
        <v>1454</v>
      </c>
      <c r="BE139" t="s">
        <v>1454</v>
      </c>
      <c r="BF139"/>
      <c r="BG139" t="s">
        <v>1454</v>
      </c>
      <c r="BH139" t="s">
        <v>1454</v>
      </c>
      <c r="BI139" t="s">
        <v>1454</v>
      </c>
      <c r="BJ139"/>
      <c r="BK139" t="s">
        <v>1454</v>
      </c>
      <c r="BL139" t="s">
        <v>1454</v>
      </c>
      <c r="BM139" t="s">
        <v>1454</v>
      </c>
      <c r="BN139"/>
      <c r="BO139" t="s">
        <v>1454</v>
      </c>
      <c r="BP139" t="s">
        <v>1454</v>
      </c>
      <c r="BQ139" t="s">
        <v>1454</v>
      </c>
      <c r="BR139"/>
      <c r="BS139" t="s">
        <v>1454</v>
      </c>
      <c r="BT139" t="s">
        <v>1454</v>
      </c>
      <c r="BU139" t="s">
        <v>1454</v>
      </c>
      <c r="BV139"/>
      <c r="BW139" t="s">
        <v>1454</v>
      </c>
      <c r="BX139" t="s">
        <v>1454</v>
      </c>
      <c r="BY139" t="s">
        <v>1454</v>
      </c>
      <c r="BZ139"/>
      <c r="CA139" t="s">
        <v>1454</v>
      </c>
      <c r="CB139" t="s">
        <v>1454</v>
      </c>
      <c r="CC139" t="s">
        <v>1454</v>
      </c>
      <c r="CD139"/>
      <c r="CE139" t="s">
        <v>1454</v>
      </c>
      <c r="CF139" t="s">
        <v>1454</v>
      </c>
      <c r="CG139" t="s">
        <v>1454</v>
      </c>
      <c r="CH139"/>
      <c r="CI139" t="s">
        <v>623</v>
      </c>
      <c r="CJ139" t="s">
        <v>1454</v>
      </c>
      <c r="CK139" t="s">
        <v>1454</v>
      </c>
      <c r="CL139"/>
      <c r="CM139" t="s">
        <v>1454</v>
      </c>
      <c r="CN139" t="s">
        <v>1454</v>
      </c>
      <c r="CO139" t="s">
        <v>1454</v>
      </c>
      <c r="CP139"/>
      <c r="CQ139" t="s">
        <v>1454</v>
      </c>
      <c r="CR139" t="s">
        <v>1454</v>
      </c>
      <c r="CS139" t="s">
        <v>1454</v>
      </c>
      <c r="CT139"/>
      <c r="CU139" t="s">
        <v>1454</v>
      </c>
      <c r="CV139" t="s">
        <v>1454</v>
      </c>
      <c r="CW139" t="s">
        <v>1454</v>
      </c>
      <c r="CX139"/>
      <c r="CY139" t="s">
        <v>1454</v>
      </c>
      <c r="CZ139" t="s">
        <v>1454</v>
      </c>
      <c r="DA139" t="s">
        <v>1454</v>
      </c>
      <c r="DB139"/>
      <c r="DC139" t="s">
        <v>1454</v>
      </c>
      <c r="DD139" t="s">
        <v>1454</v>
      </c>
      <c r="DE139" t="s">
        <v>1454</v>
      </c>
      <c r="DF139"/>
      <c r="DG139" t="s">
        <v>1454</v>
      </c>
      <c r="DH139" t="s">
        <v>1454</v>
      </c>
      <c r="DI139" t="s">
        <v>1454</v>
      </c>
      <c r="DJ139"/>
      <c r="DK139" t="s">
        <v>1454</v>
      </c>
      <c r="DL139" t="s">
        <v>1454</v>
      </c>
      <c r="DM139" t="s">
        <v>1454</v>
      </c>
      <c r="DN139"/>
      <c r="DO139" t="s">
        <v>1454</v>
      </c>
      <c r="DP139" t="s">
        <v>1454</v>
      </c>
      <c r="DQ139" t="s">
        <v>1454</v>
      </c>
      <c r="DR139"/>
      <c r="DS139" t="s">
        <v>1454</v>
      </c>
      <c r="DT139" t="s">
        <v>1454</v>
      </c>
      <c r="DU139" t="s">
        <v>1454</v>
      </c>
      <c r="DV139"/>
      <c r="DW139" t="s">
        <v>1454</v>
      </c>
      <c r="DX139" t="s">
        <v>1454</v>
      </c>
      <c r="DY139" t="s">
        <v>1454</v>
      </c>
      <c r="DZ139"/>
      <c r="EA139" t="s">
        <v>1454</v>
      </c>
      <c r="EB139" t="s">
        <v>1454</v>
      </c>
      <c r="EC139" t="s">
        <v>1454</v>
      </c>
      <c r="ED139"/>
      <c r="EE139" t="s">
        <v>1454</v>
      </c>
      <c r="EF139" t="s">
        <v>1454</v>
      </c>
      <c r="EG139" t="s">
        <v>1454</v>
      </c>
      <c r="EH139"/>
      <c r="EI139" t="s">
        <v>1454</v>
      </c>
      <c r="EJ139" t="s">
        <v>1454</v>
      </c>
      <c r="EK139" t="s">
        <v>1454</v>
      </c>
      <c r="EL139"/>
      <c r="EM139" t="s">
        <v>1454</v>
      </c>
      <c r="EN139" t="s">
        <v>1454</v>
      </c>
      <c r="EO139" t="s">
        <v>1454</v>
      </c>
      <c r="EP139"/>
      <c r="EQ139" t="s">
        <v>1454</v>
      </c>
      <c r="ER139" t="s">
        <v>1454</v>
      </c>
      <c r="ES139" t="s">
        <v>1454</v>
      </c>
      <c r="ET139"/>
      <c r="EU139" t="s">
        <v>1454</v>
      </c>
      <c r="EV139" t="s">
        <v>1454</v>
      </c>
      <c r="EW139" t="s">
        <v>1454</v>
      </c>
      <c r="EX139"/>
      <c r="EY139" t="s">
        <v>1454</v>
      </c>
      <c r="EZ139" t="s">
        <v>1454</v>
      </c>
      <c r="FA139" t="s">
        <v>1454</v>
      </c>
      <c r="FB139"/>
      <c r="FC139" t="s">
        <v>1454</v>
      </c>
      <c r="FD139" t="s">
        <v>1454</v>
      </c>
      <c r="FE139" t="s">
        <v>1454</v>
      </c>
      <c r="FF139"/>
      <c r="FG139" t="s">
        <v>1454</v>
      </c>
      <c r="FH139" t="s">
        <v>1454</v>
      </c>
      <c r="FI139" t="s">
        <v>1454</v>
      </c>
      <c r="FJ139"/>
      <c r="FK139" t="s">
        <v>1454</v>
      </c>
      <c r="FL139" t="s">
        <v>1454</v>
      </c>
      <c r="FM139" t="s">
        <v>1454</v>
      </c>
      <c r="FN139"/>
      <c r="FO139" t="s">
        <v>1454</v>
      </c>
      <c r="FP139" t="s">
        <v>1454</v>
      </c>
      <c r="FQ139" t="s">
        <v>1454</v>
      </c>
      <c r="FR139"/>
      <c r="FS139" t="s">
        <v>1454</v>
      </c>
      <c r="FT139" t="s">
        <v>1454</v>
      </c>
      <c r="FU139" t="s">
        <v>1454</v>
      </c>
      <c r="FV139"/>
      <c r="FW139" t="s">
        <v>1454</v>
      </c>
      <c r="FX139" t="s">
        <v>1454</v>
      </c>
      <c r="FY139" t="s">
        <v>1454</v>
      </c>
      <c r="FZ139"/>
      <c r="GA139" t="s">
        <v>1454</v>
      </c>
      <c r="GB139" t="s">
        <v>1454</v>
      </c>
      <c r="GC139" t="s">
        <v>1454</v>
      </c>
      <c r="GD139"/>
      <c r="GE139" t="s">
        <v>1454</v>
      </c>
      <c r="GF139" t="s">
        <v>1454</v>
      </c>
      <c r="GG139" t="s">
        <v>1454</v>
      </c>
      <c r="GH139"/>
      <c r="GI139" t="s">
        <v>1454</v>
      </c>
      <c r="GJ139" t="s">
        <v>1454</v>
      </c>
      <c r="GK139" t="s">
        <v>1454</v>
      </c>
      <c r="GL139"/>
      <c r="GM139" t="s">
        <v>1454</v>
      </c>
      <c r="GN139" t="s">
        <v>1454</v>
      </c>
      <c r="GO139" t="s">
        <v>1454</v>
      </c>
      <c r="GP139"/>
      <c r="GQ139" t="s">
        <v>1611</v>
      </c>
    </row>
    <row r="140" spans="2:199" x14ac:dyDescent="0.25">
      <c r="B140" t="s">
        <v>495</v>
      </c>
      <c r="C140" t="s">
        <v>1454</v>
      </c>
      <c r="D140" t="s">
        <v>1454</v>
      </c>
      <c r="E140" t="s">
        <v>1454</v>
      </c>
      <c r="G140" t="s">
        <v>1454</v>
      </c>
      <c r="H140" t="s">
        <v>1454</v>
      </c>
      <c r="I140" t="s">
        <v>1454</v>
      </c>
      <c r="K140" t="s">
        <v>1454</v>
      </c>
      <c r="L140" t="s">
        <v>1454</v>
      </c>
      <c r="M140" t="s">
        <v>1454</v>
      </c>
      <c r="O140" t="s">
        <v>1454</v>
      </c>
      <c r="P140" t="s">
        <v>1454</v>
      </c>
      <c r="Q140" t="s">
        <v>1454</v>
      </c>
      <c r="S140" t="s">
        <v>1454</v>
      </c>
      <c r="T140" t="s">
        <v>1454</v>
      </c>
      <c r="U140" t="s">
        <v>1454</v>
      </c>
      <c r="W140" t="s">
        <v>1454</v>
      </c>
      <c r="X140" t="s">
        <v>1454</v>
      </c>
      <c r="Y140" t="s">
        <v>1454</v>
      </c>
      <c r="AA140" t="s">
        <v>1454</v>
      </c>
      <c r="AB140" t="s">
        <v>1454</v>
      </c>
      <c r="AC140" t="s">
        <v>1454</v>
      </c>
      <c r="AE140" t="s">
        <v>1454</v>
      </c>
      <c r="AF140" t="s">
        <v>1454</v>
      </c>
      <c r="AG140" t="s">
        <v>1454</v>
      </c>
      <c r="AI140" t="s">
        <v>610</v>
      </c>
      <c r="AJ140" t="s">
        <v>1454</v>
      </c>
      <c r="AK140" t="s">
        <v>1454</v>
      </c>
      <c r="AM140" t="s">
        <v>1454</v>
      </c>
      <c r="AN140" t="s">
        <v>1454</v>
      </c>
      <c r="AO140" t="s">
        <v>1454</v>
      </c>
      <c r="AQ140" t="s">
        <v>1454</v>
      </c>
      <c r="AR140" t="s">
        <v>1454</v>
      </c>
      <c r="AS140" t="s">
        <v>1454</v>
      </c>
      <c r="AU140" t="s">
        <v>1454</v>
      </c>
      <c r="AV140" t="s">
        <v>1454</v>
      </c>
      <c r="AW140" t="s">
        <v>1454</v>
      </c>
      <c r="AY140" t="s">
        <v>1454</v>
      </c>
      <c r="AZ140" t="s">
        <v>1454</v>
      </c>
      <c r="BA140" t="s">
        <v>1454</v>
      </c>
      <c r="BC140" t="s">
        <v>1454</v>
      </c>
      <c r="BD140" t="s">
        <v>1454</v>
      </c>
      <c r="BE140" t="s">
        <v>1454</v>
      </c>
      <c r="BG140" t="s">
        <v>1454</v>
      </c>
      <c r="BH140" t="s">
        <v>1454</v>
      </c>
      <c r="BI140" t="s">
        <v>1454</v>
      </c>
      <c r="BK140" t="s">
        <v>1454</v>
      </c>
      <c r="BL140" t="s">
        <v>1454</v>
      </c>
      <c r="BM140" t="s">
        <v>1454</v>
      </c>
      <c r="BO140" t="s">
        <v>1454</v>
      </c>
      <c r="BP140" t="s">
        <v>1454</v>
      </c>
      <c r="BQ140" t="s">
        <v>1454</v>
      </c>
      <c r="BS140" t="s">
        <v>1454</v>
      </c>
      <c r="BT140" t="s">
        <v>1454</v>
      </c>
      <c r="BU140" t="s">
        <v>1454</v>
      </c>
      <c r="BW140" t="s">
        <v>1454</v>
      </c>
      <c r="BX140" t="s">
        <v>1454</v>
      </c>
      <c r="BY140" t="s">
        <v>1454</v>
      </c>
      <c r="CA140" t="s">
        <v>1454</v>
      </c>
      <c r="CB140" t="s">
        <v>1454</v>
      </c>
      <c r="CC140" t="s">
        <v>1454</v>
      </c>
      <c r="CE140" t="s">
        <v>1454</v>
      </c>
      <c r="CF140" t="s">
        <v>1454</v>
      </c>
      <c r="CG140" t="s">
        <v>1454</v>
      </c>
      <c r="CI140" t="s">
        <v>1454</v>
      </c>
      <c r="CJ140" t="s">
        <v>1454</v>
      </c>
      <c r="CK140" t="s">
        <v>1454</v>
      </c>
      <c r="CM140" t="s">
        <v>1454</v>
      </c>
      <c r="CN140" t="s">
        <v>1454</v>
      </c>
      <c r="CO140" t="s">
        <v>1454</v>
      </c>
      <c r="CQ140" t="s">
        <v>1454</v>
      </c>
      <c r="CR140" t="s">
        <v>1454</v>
      </c>
      <c r="CS140" t="s">
        <v>1454</v>
      </c>
      <c r="CU140" t="s">
        <v>1454</v>
      </c>
      <c r="CV140" t="s">
        <v>1454</v>
      </c>
      <c r="CW140" t="s">
        <v>1454</v>
      </c>
      <c r="CY140" t="s">
        <v>1454</v>
      </c>
      <c r="CZ140" t="s">
        <v>1454</v>
      </c>
      <c r="DA140" t="s">
        <v>1454</v>
      </c>
      <c r="DC140" t="s">
        <v>1454</v>
      </c>
      <c r="DD140" t="s">
        <v>1454</v>
      </c>
      <c r="DE140" t="s">
        <v>1454</v>
      </c>
      <c r="DG140" t="s">
        <v>1454</v>
      </c>
      <c r="DH140" t="s">
        <v>1454</v>
      </c>
      <c r="DI140" t="s">
        <v>1454</v>
      </c>
      <c r="DK140" t="s">
        <v>1454</v>
      </c>
      <c r="DL140" t="s">
        <v>1454</v>
      </c>
      <c r="DM140" t="s">
        <v>1454</v>
      </c>
      <c r="DO140" t="s">
        <v>1454</v>
      </c>
      <c r="DP140" t="s">
        <v>1454</v>
      </c>
      <c r="DQ140" t="s">
        <v>1454</v>
      </c>
      <c r="DS140" t="s">
        <v>1454</v>
      </c>
      <c r="DT140" t="s">
        <v>1454</v>
      </c>
      <c r="DU140" t="s">
        <v>1454</v>
      </c>
      <c r="DW140" t="s">
        <v>1454</v>
      </c>
      <c r="DX140" t="s">
        <v>1454</v>
      </c>
      <c r="DY140" t="s">
        <v>1454</v>
      </c>
      <c r="EA140" t="s">
        <v>1454</v>
      </c>
      <c r="EB140" t="s">
        <v>1454</v>
      </c>
      <c r="EC140" t="s">
        <v>1454</v>
      </c>
      <c r="EE140" t="s">
        <v>1454</v>
      </c>
      <c r="EF140" t="s">
        <v>1454</v>
      </c>
      <c r="EG140" t="s">
        <v>1454</v>
      </c>
      <c r="EI140" t="s">
        <v>1454</v>
      </c>
      <c r="EJ140" t="s">
        <v>1454</v>
      </c>
      <c r="EK140" t="s">
        <v>1454</v>
      </c>
      <c r="EM140" t="s">
        <v>1454</v>
      </c>
      <c r="EN140" t="s">
        <v>1454</v>
      </c>
      <c r="EO140" t="s">
        <v>1454</v>
      </c>
      <c r="EQ140" t="s">
        <v>1454</v>
      </c>
      <c r="ER140" t="s">
        <v>1454</v>
      </c>
      <c r="ES140" t="s">
        <v>1454</v>
      </c>
      <c r="EU140" t="s">
        <v>1454</v>
      </c>
      <c r="EV140" t="s">
        <v>1454</v>
      </c>
      <c r="EW140" t="s">
        <v>1454</v>
      </c>
      <c r="EY140" t="s">
        <v>1454</v>
      </c>
      <c r="EZ140" t="s">
        <v>1454</v>
      </c>
      <c r="FA140" t="s">
        <v>1454</v>
      </c>
      <c r="FC140" t="s">
        <v>1454</v>
      </c>
      <c r="FD140" t="s">
        <v>1454</v>
      </c>
      <c r="FE140" t="s">
        <v>1454</v>
      </c>
      <c r="FG140" t="s">
        <v>1454</v>
      </c>
      <c r="FH140" t="s">
        <v>1454</v>
      </c>
      <c r="FI140" t="s">
        <v>1454</v>
      </c>
      <c r="FK140" t="s">
        <v>1454</v>
      </c>
      <c r="FL140" t="s">
        <v>1454</v>
      </c>
      <c r="FM140" t="s">
        <v>1454</v>
      </c>
      <c r="FO140" t="s">
        <v>1454</v>
      </c>
      <c r="FP140" t="s">
        <v>1454</v>
      </c>
      <c r="FQ140" t="s">
        <v>1454</v>
      </c>
      <c r="FS140" t="s">
        <v>1454</v>
      </c>
      <c r="FT140" t="s">
        <v>1454</v>
      </c>
      <c r="FU140" t="s">
        <v>1454</v>
      </c>
      <c r="FW140" t="s">
        <v>1454</v>
      </c>
      <c r="FX140" t="s">
        <v>1454</v>
      </c>
      <c r="FY140" t="s">
        <v>1454</v>
      </c>
      <c r="GA140" t="s">
        <v>1454</v>
      </c>
      <c r="GB140" t="s">
        <v>1454</v>
      </c>
      <c r="GC140" t="s">
        <v>1454</v>
      </c>
      <c r="GE140" t="s">
        <v>1454</v>
      </c>
      <c r="GF140" t="s">
        <v>1454</v>
      </c>
      <c r="GG140" t="s">
        <v>1454</v>
      </c>
      <c r="GI140" t="s">
        <v>1454</v>
      </c>
      <c r="GJ140" t="s">
        <v>1454</v>
      </c>
      <c r="GK140" t="s">
        <v>1454</v>
      </c>
      <c r="GM140" t="s">
        <v>1454</v>
      </c>
      <c r="GN140" t="s">
        <v>1454</v>
      </c>
      <c r="GO140" t="s">
        <v>1454</v>
      </c>
      <c r="GQ140" t="s">
        <v>1531</v>
      </c>
    </row>
    <row r="141" spans="2:199" x14ac:dyDescent="0.25">
      <c r="B141" t="s">
        <v>496</v>
      </c>
      <c r="C141" t="s">
        <v>1454</v>
      </c>
      <c r="D141" t="s">
        <v>1454</v>
      </c>
      <c r="E141" t="s">
        <v>1454</v>
      </c>
      <c r="G141" t="s">
        <v>1454</v>
      </c>
      <c r="H141" t="s">
        <v>1454</v>
      </c>
      <c r="I141" t="s">
        <v>1454</v>
      </c>
      <c r="K141" t="s">
        <v>1454</v>
      </c>
      <c r="L141" t="s">
        <v>1454</v>
      </c>
      <c r="M141" t="s">
        <v>1454</v>
      </c>
      <c r="O141" t="s">
        <v>1454</v>
      </c>
      <c r="P141" t="s">
        <v>1454</v>
      </c>
      <c r="Q141" t="s">
        <v>1454</v>
      </c>
      <c r="S141" t="s">
        <v>1454</v>
      </c>
      <c r="T141" t="s">
        <v>1454</v>
      </c>
      <c r="U141" t="s">
        <v>1454</v>
      </c>
      <c r="W141" t="s">
        <v>1454</v>
      </c>
      <c r="X141" t="s">
        <v>1454</v>
      </c>
      <c r="Y141" t="s">
        <v>1454</v>
      </c>
      <c r="AA141" t="s">
        <v>1454</v>
      </c>
      <c r="AB141" t="s">
        <v>1454</v>
      </c>
      <c r="AC141" t="s">
        <v>1454</v>
      </c>
      <c r="AE141" t="s">
        <v>1454</v>
      </c>
      <c r="AF141" t="s">
        <v>1454</v>
      </c>
      <c r="AG141" t="s">
        <v>1454</v>
      </c>
      <c r="AI141" t="s">
        <v>1454</v>
      </c>
      <c r="AJ141" t="s">
        <v>1454</v>
      </c>
      <c r="AK141" t="s">
        <v>1454</v>
      </c>
      <c r="AM141" t="s">
        <v>1454</v>
      </c>
      <c r="AN141" t="s">
        <v>1454</v>
      </c>
      <c r="AO141" t="s">
        <v>1454</v>
      </c>
      <c r="AQ141" t="s">
        <v>1454</v>
      </c>
      <c r="AR141" t="s">
        <v>1454</v>
      </c>
      <c r="AS141" t="s">
        <v>1454</v>
      </c>
      <c r="AU141" t="s">
        <v>613</v>
      </c>
      <c r="AV141" t="s">
        <v>1454</v>
      </c>
      <c r="AW141" t="s">
        <v>1454</v>
      </c>
      <c r="AY141" t="s">
        <v>1454</v>
      </c>
      <c r="AZ141" t="s">
        <v>1454</v>
      </c>
      <c r="BA141" t="s">
        <v>1454</v>
      </c>
      <c r="BC141" t="s">
        <v>1454</v>
      </c>
      <c r="BD141" t="s">
        <v>1454</v>
      </c>
      <c r="BE141" t="s">
        <v>1454</v>
      </c>
      <c r="BG141" t="s">
        <v>1454</v>
      </c>
      <c r="BH141" t="s">
        <v>1454</v>
      </c>
      <c r="BI141" t="s">
        <v>1454</v>
      </c>
      <c r="BK141" t="s">
        <v>1454</v>
      </c>
      <c r="BL141" t="s">
        <v>1454</v>
      </c>
      <c r="BM141" t="s">
        <v>1454</v>
      </c>
      <c r="BO141" t="s">
        <v>1454</v>
      </c>
      <c r="BP141" t="s">
        <v>1454</v>
      </c>
      <c r="BQ141" t="s">
        <v>1454</v>
      </c>
      <c r="BS141" t="s">
        <v>1454</v>
      </c>
      <c r="BT141" t="s">
        <v>1454</v>
      </c>
      <c r="BU141" t="s">
        <v>1454</v>
      </c>
      <c r="BW141" t="s">
        <v>1454</v>
      </c>
      <c r="BX141" t="s">
        <v>1454</v>
      </c>
      <c r="BY141" t="s">
        <v>1454</v>
      </c>
      <c r="CA141" t="s">
        <v>1454</v>
      </c>
      <c r="CB141" t="s">
        <v>1454</v>
      </c>
      <c r="CC141" t="s">
        <v>1454</v>
      </c>
      <c r="CE141" t="s">
        <v>1454</v>
      </c>
      <c r="CF141" t="s">
        <v>1454</v>
      </c>
      <c r="CG141" t="s">
        <v>1454</v>
      </c>
      <c r="CI141" t="s">
        <v>1454</v>
      </c>
      <c r="CJ141" t="s">
        <v>1454</v>
      </c>
      <c r="CK141" t="s">
        <v>1454</v>
      </c>
      <c r="CM141" t="s">
        <v>1454</v>
      </c>
      <c r="CN141" t="s">
        <v>1454</v>
      </c>
      <c r="CO141" t="s">
        <v>1454</v>
      </c>
      <c r="CQ141" t="s">
        <v>1454</v>
      </c>
      <c r="CR141" t="s">
        <v>1454</v>
      </c>
      <c r="CS141" t="s">
        <v>1454</v>
      </c>
      <c r="CU141" t="s">
        <v>1454</v>
      </c>
      <c r="CV141" t="s">
        <v>1454</v>
      </c>
      <c r="CW141" t="s">
        <v>1454</v>
      </c>
      <c r="CY141" t="s">
        <v>1454</v>
      </c>
      <c r="CZ141" t="s">
        <v>1454</v>
      </c>
      <c r="DA141" t="s">
        <v>1454</v>
      </c>
      <c r="DC141" t="s">
        <v>1454</v>
      </c>
      <c r="DD141" t="s">
        <v>1454</v>
      </c>
      <c r="DE141" t="s">
        <v>1454</v>
      </c>
      <c r="DG141" t="s">
        <v>1454</v>
      </c>
      <c r="DH141" t="s">
        <v>1454</v>
      </c>
      <c r="DI141" t="s">
        <v>1454</v>
      </c>
      <c r="DK141" t="s">
        <v>1454</v>
      </c>
      <c r="DL141" t="s">
        <v>1454</v>
      </c>
      <c r="DM141" t="s">
        <v>1454</v>
      </c>
      <c r="DO141" t="s">
        <v>1454</v>
      </c>
      <c r="DP141" t="s">
        <v>1454</v>
      </c>
      <c r="DQ141" t="s">
        <v>1454</v>
      </c>
      <c r="DS141" t="s">
        <v>1454</v>
      </c>
      <c r="DT141" t="s">
        <v>1454</v>
      </c>
      <c r="DU141" t="s">
        <v>1454</v>
      </c>
      <c r="DW141" t="s">
        <v>1454</v>
      </c>
      <c r="DX141" t="s">
        <v>1454</v>
      </c>
      <c r="DY141" t="s">
        <v>1454</v>
      </c>
      <c r="EA141" t="s">
        <v>1454</v>
      </c>
      <c r="EB141" t="s">
        <v>1454</v>
      </c>
      <c r="EC141" t="s">
        <v>1454</v>
      </c>
      <c r="EE141" t="s">
        <v>1454</v>
      </c>
      <c r="EF141" t="s">
        <v>1454</v>
      </c>
      <c r="EG141" t="s">
        <v>1454</v>
      </c>
      <c r="EI141" t="s">
        <v>1454</v>
      </c>
      <c r="EJ141" t="s">
        <v>1454</v>
      </c>
      <c r="EK141" t="s">
        <v>1454</v>
      </c>
      <c r="EM141" t="s">
        <v>1454</v>
      </c>
      <c r="EN141" t="s">
        <v>1454</v>
      </c>
      <c r="EO141" t="s">
        <v>1454</v>
      </c>
      <c r="EQ141" t="s">
        <v>1454</v>
      </c>
      <c r="ER141" t="s">
        <v>1454</v>
      </c>
      <c r="ES141" t="s">
        <v>1454</v>
      </c>
      <c r="EU141" t="s">
        <v>1454</v>
      </c>
      <c r="EV141" t="s">
        <v>1454</v>
      </c>
      <c r="EW141" t="s">
        <v>1454</v>
      </c>
      <c r="EY141" t="s">
        <v>1454</v>
      </c>
      <c r="EZ141" t="s">
        <v>1454</v>
      </c>
      <c r="FA141" t="s">
        <v>1454</v>
      </c>
      <c r="FC141" t="s">
        <v>1454</v>
      </c>
      <c r="FD141" t="s">
        <v>1454</v>
      </c>
      <c r="FE141" t="s">
        <v>1454</v>
      </c>
      <c r="FG141" t="s">
        <v>642</v>
      </c>
      <c r="FH141" t="s">
        <v>1454</v>
      </c>
      <c r="FI141" t="s">
        <v>1454</v>
      </c>
      <c r="FK141" t="s">
        <v>1454</v>
      </c>
      <c r="FL141" t="s">
        <v>1454</v>
      </c>
      <c r="FM141" t="s">
        <v>1454</v>
      </c>
      <c r="FO141" t="s">
        <v>1454</v>
      </c>
      <c r="FP141" t="s">
        <v>1454</v>
      </c>
      <c r="FQ141" t="s">
        <v>1454</v>
      </c>
      <c r="FS141" t="s">
        <v>1454</v>
      </c>
      <c r="FT141" t="s">
        <v>1454</v>
      </c>
      <c r="FU141" t="s">
        <v>1454</v>
      </c>
      <c r="FW141" t="s">
        <v>1454</v>
      </c>
      <c r="FX141" t="s">
        <v>1454</v>
      </c>
      <c r="FY141" t="s">
        <v>1454</v>
      </c>
      <c r="GA141" t="s">
        <v>1454</v>
      </c>
      <c r="GB141" t="s">
        <v>1454</v>
      </c>
      <c r="GC141" t="s">
        <v>1454</v>
      </c>
      <c r="GE141" t="s">
        <v>1454</v>
      </c>
      <c r="GF141" t="s">
        <v>1454</v>
      </c>
      <c r="GG141" t="s">
        <v>1454</v>
      </c>
      <c r="GI141" t="s">
        <v>1454</v>
      </c>
      <c r="GJ141" t="s">
        <v>1454</v>
      </c>
      <c r="GK141" t="s">
        <v>1454</v>
      </c>
      <c r="GM141" t="s">
        <v>1454</v>
      </c>
      <c r="GN141" t="s">
        <v>1454</v>
      </c>
      <c r="GO141" t="s">
        <v>1454</v>
      </c>
      <c r="GQ141" t="s">
        <v>1601</v>
      </c>
    </row>
    <row r="142" spans="2:199" x14ac:dyDescent="0.25">
      <c r="B142" t="s">
        <v>497</v>
      </c>
      <c r="C142" t="s">
        <v>1454</v>
      </c>
      <c r="D142" t="s">
        <v>1454</v>
      </c>
      <c r="E142" t="s">
        <v>1454</v>
      </c>
      <c r="G142" t="s">
        <v>1454</v>
      </c>
      <c r="H142" t="s">
        <v>1454</v>
      </c>
      <c r="I142" t="s">
        <v>1454</v>
      </c>
      <c r="K142" t="s">
        <v>1454</v>
      </c>
      <c r="L142" t="s">
        <v>1454</v>
      </c>
      <c r="M142" t="s">
        <v>1454</v>
      </c>
      <c r="O142" t="s">
        <v>1454</v>
      </c>
      <c r="P142" t="s">
        <v>1454</v>
      </c>
      <c r="Q142" t="s">
        <v>1454</v>
      </c>
      <c r="S142" t="s">
        <v>1454</v>
      </c>
      <c r="T142" t="s">
        <v>1454</v>
      </c>
      <c r="U142" t="s">
        <v>1454</v>
      </c>
      <c r="W142" t="s">
        <v>1454</v>
      </c>
      <c r="X142" t="s">
        <v>1454</v>
      </c>
      <c r="Y142" t="s">
        <v>1454</v>
      </c>
      <c r="AA142" t="s">
        <v>1454</v>
      </c>
      <c r="AB142" t="s">
        <v>1454</v>
      </c>
      <c r="AC142" t="s">
        <v>1454</v>
      </c>
      <c r="AE142" t="s">
        <v>1454</v>
      </c>
      <c r="AF142" t="s">
        <v>1454</v>
      </c>
      <c r="AG142" t="s">
        <v>1454</v>
      </c>
      <c r="AI142" t="s">
        <v>1454</v>
      </c>
      <c r="AJ142" t="s">
        <v>1454</v>
      </c>
      <c r="AK142" t="s">
        <v>1454</v>
      </c>
      <c r="AM142" t="s">
        <v>1454</v>
      </c>
      <c r="AN142" t="s">
        <v>1454</v>
      </c>
      <c r="AO142" t="s">
        <v>1454</v>
      </c>
      <c r="AQ142" t="s">
        <v>1454</v>
      </c>
      <c r="AR142" t="s">
        <v>1454</v>
      </c>
      <c r="AS142" t="s">
        <v>1454</v>
      </c>
      <c r="AU142" t="s">
        <v>613</v>
      </c>
      <c r="AV142" t="s">
        <v>1454</v>
      </c>
      <c r="AW142" t="s">
        <v>1454</v>
      </c>
      <c r="AY142" t="s">
        <v>1454</v>
      </c>
      <c r="AZ142" t="s">
        <v>1454</v>
      </c>
      <c r="BA142" t="s">
        <v>1454</v>
      </c>
      <c r="BC142" t="s">
        <v>1454</v>
      </c>
      <c r="BD142" t="s">
        <v>1454</v>
      </c>
      <c r="BE142" t="s">
        <v>1454</v>
      </c>
      <c r="BG142" t="s">
        <v>1454</v>
      </c>
      <c r="BH142" t="s">
        <v>1454</v>
      </c>
      <c r="BI142" t="s">
        <v>1454</v>
      </c>
      <c r="BK142" t="s">
        <v>1454</v>
      </c>
      <c r="BL142" t="s">
        <v>1454</v>
      </c>
      <c r="BM142" t="s">
        <v>1454</v>
      </c>
      <c r="BO142" t="s">
        <v>1454</v>
      </c>
      <c r="BP142" t="s">
        <v>1454</v>
      </c>
      <c r="BQ142" t="s">
        <v>1454</v>
      </c>
      <c r="BS142" t="s">
        <v>1454</v>
      </c>
      <c r="BT142" t="s">
        <v>1454</v>
      </c>
      <c r="BU142" t="s">
        <v>1454</v>
      </c>
      <c r="BW142" t="s">
        <v>1454</v>
      </c>
      <c r="BX142" t="s">
        <v>1454</v>
      </c>
      <c r="BY142" t="s">
        <v>1454</v>
      </c>
      <c r="CA142" t="s">
        <v>1454</v>
      </c>
      <c r="CB142" t="s">
        <v>1454</v>
      </c>
      <c r="CC142" t="s">
        <v>1454</v>
      </c>
      <c r="CE142" t="s">
        <v>1454</v>
      </c>
      <c r="CF142" t="s">
        <v>1454</v>
      </c>
      <c r="CG142" t="s">
        <v>1454</v>
      </c>
      <c r="CI142" t="s">
        <v>1454</v>
      </c>
      <c r="CJ142" t="s">
        <v>1454</v>
      </c>
      <c r="CK142" t="s">
        <v>1454</v>
      </c>
      <c r="CM142" t="s">
        <v>1454</v>
      </c>
      <c r="CN142" t="s">
        <v>1454</v>
      </c>
      <c r="CO142" t="s">
        <v>1454</v>
      </c>
      <c r="CQ142" t="s">
        <v>1454</v>
      </c>
      <c r="CR142" t="s">
        <v>1454</v>
      </c>
      <c r="CS142" t="s">
        <v>1454</v>
      </c>
      <c r="CU142" t="s">
        <v>1454</v>
      </c>
      <c r="CV142" t="s">
        <v>1454</v>
      </c>
      <c r="CW142" t="s">
        <v>1454</v>
      </c>
      <c r="CY142" t="s">
        <v>1454</v>
      </c>
      <c r="CZ142" t="s">
        <v>1454</v>
      </c>
      <c r="DA142" t="s">
        <v>1454</v>
      </c>
      <c r="DC142" t="s">
        <v>1454</v>
      </c>
      <c r="DD142" t="s">
        <v>1454</v>
      </c>
      <c r="DE142" t="s">
        <v>1454</v>
      </c>
      <c r="DG142" t="s">
        <v>1454</v>
      </c>
      <c r="DH142" t="s">
        <v>1454</v>
      </c>
      <c r="DI142" t="s">
        <v>1454</v>
      </c>
      <c r="DK142" t="s">
        <v>1454</v>
      </c>
      <c r="DL142" t="s">
        <v>1454</v>
      </c>
      <c r="DM142" t="s">
        <v>1454</v>
      </c>
      <c r="DO142" t="s">
        <v>1454</v>
      </c>
      <c r="DP142" t="s">
        <v>1454</v>
      </c>
      <c r="DQ142" t="s">
        <v>1454</v>
      </c>
      <c r="DS142" t="s">
        <v>1454</v>
      </c>
      <c r="DT142" t="s">
        <v>1454</v>
      </c>
      <c r="DU142" t="s">
        <v>1454</v>
      </c>
      <c r="DW142" t="s">
        <v>1454</v>
      </c>
      <c r="DX142" t="s">
        <v>1454</v>
      </c>
      <c r="DY142" t="s">
        <v>1454</v>
      </c>
      <c r="EA142" t="s">
        <v>1454</v>
      </c>
      <c r="EB142" t="s">
        <v>1454</v>
      </c>
      <c r="EC142" t="s">
        <v>1454</v>
      </c>
      <c r="EE142" t="s">
        <v>1454</v>
      </c>
      <c r="EF142" t="s">
        <v>1454</v>
      </c>
      <c r="EG142" t="s">
        <v>1454</v>
      </c>
      <c r="EI142" t="s">
        <v>1454</v>
      </c>
      <c r="EJ142" t="s">
        <v>1454</v>
      </c>
      <c r="EK142" t="s">
        <v>1454</v>
      </c>
      <c r="EM142" t="s">
        <v>1454</v>
      </c>
      <c r="EN142" t="s">
        <v>1454</v>
      </c>
      <c r="EO142" t="s">
        <v>1454</v>
      </c>
      <c r="EQ142" t="s">
        <v>1454</v>
      </c>
      <c r="ER142" t="s">
        <v>1454</v>
      </c>
      <c r="ES142" t="s">
        <v>1454</v>
      </c>
      <c r="EU142" t="s">
        <v>1454</v>
      </c>
      <c r="EV142" t="s">
        <v>1454</v>
      </c>
      <c r="EW142" t="s">
        <v>1454</v>
      </c>
      <c r="EY142" t="s">
        <v>1454</v>
      </c>
      <c r="EZ142" t="s">
        <v>1454</v>
      </c>
      <c r="FA142" t="s">
        <v>1454</v>
      </c>
      <c r="FC142" t="s">
        <v>1454</v>
      </c>
      <c r="FD142" t="s">
        <v>1454</v>
      </c>
      <c r="FE142" t="s">
        <v>1454</v>
      </c>
      <c r="FG142" t="s">
        <v>1454</v>
      </c>
      <c r="FH142" t="s">
        <v>1454</v>
      </c>
      <c r="FI142" t="s">
        <v>1454</v>
      </c>
      <c r="FK142" t="s">
        <v>1454</v>
      </c>
      <c r="FL142" t="s">
        <v>1454</v>
      </c>
      <c r="FM142" t="s">
        <v>1454</v>
      </c>
      <c r="FO142" t="s">
        <v>1454</v>
      </c>
      <c r="FP142" t="s">
        <v>1454</v>
      </c>
      <c r="FQ142" t="s">
        <v>1454</v>
      </c>
      <c r="FS142" t="s">
        <v>1454</v>
      </c>
      <c r="FT142" t="s">
        <v>1454</v>
      </c>
      <c r="FU142" t="s">
        <v>1454</v>
      </c>
      <c r="FW142" t="s">
        <v>1454</v>
      </c>
      <c r="FX142" t="s">
        <v>1454</v>
      </c>
      <c r="FY142" t="s">
        <v>1454</v>
      </c>
      <c r="GA142" t="s">
        <v>1454</v>
      </c>
      <c r="GB142" t="s">
        <v>1454</v>
      </c>
      <c r="GC142" t="s">
        <v>1454</v>
      </c>
      <c r="GE142" t="s">
        <v>1454</v>
      </c>
      <c r="GF142" t="s">
        <v>1454</v>
      </c>
      <c r="GG142" t="s">
        <v>1454</v>
      </c>
      <c r="GI142" t="s">
        <v>1454</v>
      </c>
      <c r="GJ142" t="s">
        <v>1454</v>
      </c>
      <c r="GK142" t="s">
        <v>1454</v>
      </c>
      <c r="GM142" t="s">
        <v>1454</v>
      </c>
      <c r="GN142" t="s">
        <v>1454</v>
      </c>
      <c r="GO142" t="s">
        <v>1454</v>
      </c>
      <c r="GQ142" t="s">
        <v>1522</v>
      </c>
    </row>
    <row r="143" spans="2:199" s="11" customFormat="1" x14ac:dyDescent="0.25">
      <c r="B143" t="s">
        <v>594</v>
      </c>
      <c r="C143" t="s">
        <v>1454</v>
      </c>
      <c r="D143" t="s">
        <v>1454</v>
      </c>
      <c r="E143" t="s">
        <v>1454</v>
      </c>
      <c r="F143"/>
      <c r="G143" t="s">
        <v>1454</v>
      </c>
      <c r="H143" t="s">
        <v>1454</v>
      </c>
      <c r="I143" t="s">
        <v>1454</v>
      </c>
      <c r="J143"/>
      <c r="K143" t="s">
        <v>1454</v>
      </c>
      <c r="L143" t="s">
        <v>1454</v>
      </c>
      <c r="M143" t="s">
        <v>1454</v>
      </c>
      <c r="N143"/>
      <c r="O143" t="s">
        <v>1454</v>
      </c>
      <c r="P143" t="s">
        <v>1454</v>
      </c>
      <c r="Q143" t="s">
        <v>1454</v>
      </c>
      <c r="R143"/>
      <c r="S143" t="s">
        <v>1454</v>
      </c>
      <c r="T143" t="s">
        <v>1454</v>
      </c>
      <c r="U143" t="s">
        <v>1454</v>
      </c>
      <c r="V143"/>
      <c r="W143" t="s">
        <v>1454</v>
      </c>
      <c r="X143" t="s">
        <v>1454</v>
      </c>
      <c r="Y143" t="s">
        <v>1454</v>
      </c>
      <c r="Z143"/>
      <c r="AA143" t="s">
        <v>1454</v>
      </c>
      <c r="AB143" t="s">
        <v>1454</v>
      </c>
      <c r="AC143" t="s">
        <v>1454</v>
      </c>
      <c r="AD143"/>
      <c r="AE143" t="s">
        <v>1454</v>
      </c>
      <c r="AF143" t="s">
        <v>1454</v>
      </c>
      <c r="AG143" t="s">
        <v>1454</v>
      </c>
      <c r="AH143"/>
      <c r="AI143" t="s">
        <v>1454</v>
      </c>
      <c r="AJ143" t="s">
        <v>1454</v>
      </c>
      <c r="AK143" t="s">
        <v>1454</v>
      </c>
      <c r="AL143"/>
      <c r="AM143" t="s">
        <v>1454</v>
      </c>
      <c r="AN143" t="s">
        <v>1454</v>
      </c>
      <c r="AO143" t="s">
        <v>1454</v>
      </c>
      <c r="AP143"/>
      <c r="AQ143" t="s">
        <v>1454</v>
      </c>
      <c r="AR143" t="s">
        <v>1454</v>
      </c>
      <c r="AS143" t="s">
        <v>1454</v>
      </c>
      <c r="AT143"/>
      <c r="AU143" t="s">
        <v>1454</v>
      </c>
      <c r="AV143" t="s">
        <v>1454</v>
      </c>
      <c r="AW143" t="s">
        <v>1454</v>
      </c>
      <c r="AX143"/>
      <c r="AY143" t="s">
        <v>1454</v>
      </c>
      <c r="AZ143" t="s">
        <v>1454</v>
      </c>
      <c r="BA143" t="s">
        <v>1454</v>
      </c>
      <c r="BB143"/>
      <c r="BC143" t="s">
        <v>1454</v>
      </c>
      <c r="BD143" t="s">
        <v>1454</v>
      </c>
      <c r="BE143" t="s">
        <v>1454</v>
      </c>
      <c r="BF143"/>
      <c r="BG143" t="s">
        <v>1454</v>
      </c>
      <c r="BH143" t="s">
        <v>1454</v>
      </c>
      <c r="BI143" t="s">
        <v>1454</v>
      </c>
      <c r="BJ143"/>
      <c r="BK143" t="s">
        <v>1454</v>
      </c>
      <c r="BL143" t="s">
        <v>1454</v>
      </c>
      <c r="BM143" t="s">
        <v>1454</v>
      </c>
      <c r="BN143"/>
      <c r="BO143" t="s">
        <v>1454</v>
      </c>
      <c r="BP143" t="s">
        <v>1454</v>
      </c>
      <c r="BQ143" t="s">
        <v>1454</v>
      </c>
      <c r="BR143"/>
      <c r="BS143" t="s">
        <v>1454</v>
      </c>
      <c r="BT143" t="s">
        <v>1454</v>
      </c>
      <c r="BU143" t="s">
        <v>1454</v>
      </c>
      <c r="BV143"/>
      <c r="BW143" t="s">
        <v>1454</v>
      </c>
      <c r="BX143" t="s">
        <v>1454</v>
      </c>
      <c r="BY143" t="s">
        <v>1454</v>
      </c>
      <c r="BZ143"/>
      <c r="CA143" t="s">
        <v>1454</v>
      </c>
      <c r="CB143" t="s">
        <v>1454</v>
      </c>
      <c r="CC143" t="s">
        <v>1454</v>
      </c>
      <c r="CD143"/>
      <c r="CE143" t="s">
        <v>1454</v>
      </c>
      <c r="CF143" t="s">
        <v>1454</v>
      </c>
      <c r="CG143" t="s">
        <v>1454</v>
      </c>
      <c r="CH143"/>
      <c r="CI143" t="s">
        <v>1454</v>
      </c>
      <c r="CJ143" t="s">
        <v>1454</v>
      </c>
      <c r="CK143" t="s">
        <v>1454</v>
      </c>
      <c r="CL143"/>
      <c r="CM143" t="s">
        <v>1454</v>
      </c>
      <c r="CN143" t="s">
        <v>1454</v>
      </c>
      <c r="CO143" t="s">
        <v>1454</v>
      </c>
      <c r="CP143"/>
      <c r="CQ143" t="s">
        <v>1454</v>
      </c>
      <c r="CR143" t="s">
        <v>1454</v>
      </c>
      <c r="CS143" t="s">
        <v>1454</v>
      </c>
      <c r="CT143"/>
      <c r="CU143" t="s">
        <v>626</v>
      </c>
      <c r="CV143" t="s">
        <v>1454</v>
      </c>
      <c r="CW143" t="s">
        <v>1454</v>
      </c>
      <c r="CX143"/>
      <c r="CY143" t="s">
        <v>1454</v>
      </c>
      <c r="CZ143" t="s">
        <v>1454</v>
      </c>
      <c r="DA143" t="s">
        <v>1454</v>
      </c>
      <c r="DB143"/>
      <c r="DC143" t="s">
        <v>1454</v>
      </c>
      <c r="DD143" t="s">
        <v>1454</v>
      </c>
      <c r="DE143" t="s">
        <v>1454</v>
      </c>
      <c r="DF143"/>
      <c r="DG143" t="s">
        <v>1454</v>
      </c>
      <c r="DH143" t="s">
        <v>1454</v>
      </c>
      <c r="DI143" t="s">
        <v>1454</v>
      </c>
      <c r="DJ143"/>
      <c r="DK143" t="s">
        <v>1454</v>
      </c>
      <c r="DL143" t="s">
        <v>1454</v>
      </c>
      <c r="DM143" t="s">
        <v>1454</v>
      </c>
      <c r="DN143"/>
      <c r="DO143" t="s">
        <v>1454</v>
      </c>
      <c r="DP143" t="s">
        <v>1454</v>
      </c>
      <c r="DQ143" t="s">
        <v>1454</v>
      </c>
      <c r="DR143"/>
      <c r="DS143" t="s">
        <v>1454</v>
      </c>
      <c r="DT143" t="s">
        <v>1454</v>
      </c>
      <c r="DU143" t="s">
        <v>1454</v>
      </c>
      <c r="DV143"/>
      <c r="DW143" t="s">
        <v>1454</v>
      </c>
      <c r="DX143" t="s">
        <v>1454</v>
      </c>
      <c r="DY143" t="s">
        <v>1454</v>
      </c>
      <c r="DZ143"/>
      <c r="EA143" t="s">
        <v>1454</v>
      </c>
      <c r="EB143" t="s">
        <v>1454</v>
      </c>
      <c r="EC143" t="s">
        <v>1454</v>
      </c>
      <c r="ED143"/>
      <c r="EE143" t="s">
        <v>1454</v>
      </c>
      <c r="EF143" t="s">
        <v>1454</v>
      </c>
      <c r="EG143" t="s">
        <v>1454</v>
      </c>
      <c r="EH143"/>
      <c r="EI143" t="s">
        <v>1454</v>
      </c>
      <c r="EJ143" t="s">
        <v>1454</v>
      </c>
      <c r="EK143" t="s">
        <v>1454</v>
      </c>
      <c r="EL143"/>
      <c r="EM143" t="s">
        <v>1454</v>
      </c>
      <c r="EN143" t="s">
        <v>1454</v>
      </c>
      <c r="EO143" t="s">
        <v>1454</v>
      </c>
      <c r="EP143"/>
      <c r="EQ143" t="s">
        <v>1454</v>
      </c>
      <c r="ER143" t="s">
        <v>1454</v>
      </c>
      <c r="ES143" t="s">
        <v>1454</v>
      </c>
      <c r="ET143"/>
      <c r="EU143" t="s">
        <v>1454</v>
      </c>
      <c r="EV143" t="s">
        <v>1454</v>
      </c>
      <c r="EW143" t="s">
        <v>1454</v>
      </c>
      <c r="EX143"/>
      <c r="EY143" t="s">
        <v>1454</v>
      </c>
      <c r="EZ143" t="s">
        <v>1454</v>
      </c>
      <c r="FA143" t="s">
        <v>1454</v>
      </c>
      <c r="FB143"/>
      <c r="FC143" t="s">
        <v>1454</v>
      </c>
      <c r="FD143" t="s">
        <v>1454</v>
      </c>
      <c r="FE143" t="s">
        <v>1454</v>
      </c>
      <c r="FF143"/>
      <c r="FG143" t="s">
        <v>1454</v>
      </c>
      <c r="FH143" t="s">
        <v>1454</v>
      </c>
      <c r="FI143" t="s">
        <v>1454</v>
      </c>
      <c r="FJ143"/>
      <c r="FK143" t="s">
        <v>1454</v>
      </c>
      <c r="FL143" t="s">
        <v>1454</v>
      </c>
      <c r="FM143" t="s">
        <v>1454</v>
      </c>
      <c r="FN143"/>
      <c r="FO143" t="s">
        <v>1454</v>
      </c>
      <c r="FP143" t="s">
        <v>1454</v>
      </c>
      <c r="FQ143" t="s">
        <v>1454</v>
      </c>
      <c r="FR143"/>
      <c r="FS143" t="s">
        <v>1454</v>
      </c>
      <c r="FT143" t="s">
        <v>1454</v>
      </c>
      <c r="FU143" t="s">
        <v>1454</v>
      </c>
      <c r="FV143"/>
      <c r="FW143" t="s">
        <v>1454</v>
      </c>
      <c r="FX143" t="s">
        <v>1454</v>
      </c>
      <c r="FY143" t="s">
        <v>1454</v>
      </c>
      <c r="FZ143"/>
      <c r="GA143" t="s">
        <v>1454</v>
      </c>
      <c r="GB143" t="s">
        <v>1454</v>
      </c>
      <c r="GC143" t="s">
        <v>1454</v>
      </c>
      <c r="GD143"/>
      <c r="GE143" t="s">
        <v>1454</v>
      </c>
      <c r="GF143" t="s">
        <v>1454</v>
      </c>
      <c r="GG143" t="s">
        <v>1454</v>
      </c>
      <c r="GH143"/>
      <c r="GI143" t="s">
        <v>1454</v>
      </c>
      <c r="GJ143" t="s">
        <v>1454</v>
      </c>
      <c r="GK143" t="s">
        <v>1454</v>
      </c>
      <c r="GL143"/>
      <c r="GM143" t="s">
        <v>1454</v>
      </c>
      <c r="GN143" t="s">
        <v>1454</v>
      </c>
      <c r="GO143" t="s">
        <v>1454</v>
      </c>
      <c r="GP143"/>
      <c r="GQ143" t="s">
        <v>1463</v>
      </c>
    </row>
    <row r="144" spans="2:199" x14ac:dyDescent="0.25">
      <c r="B144" t="s">
        <v>498</v>
      </c>
      <c r="C144" t="s">
        <v>1454</v>
      </c>
      <c r="D144" t="s">
        <v>1454</v>
      </c>
      <c r="E144" t="s">
        <v>1454</v>
      </c>
      <c r="G144" t="s">
        <v>1454</v>
      </c>
      <c r="H144" t="s">
        <v>1454</v>
      </c>
      <c r="I144" t="s">
        <v>1454</v>
      </c>
      <c r="K144" t="s">
        <v>1454</v>
      </c>
      <c r="L144" t="s">
        <v>1454</v>
      </c>
      <c r="M144" t="s">
        <v>1454</v>
      </c>
      <c r="O144" t="s">
        <v>1454</v>
      </c>
      <c r="P144" t="s">
        <v>1454</v>
      </c>
      <c r="Q144" t="s">
        <v>1454</v>
      </c>
      <c r="S144" t="s">
        <v>1454</v>
      </c>
      <c r="T144" t="s">
        <v>1454</v>
      </c>
      <c r="U144" t="s">
        <v>1454</v>
      </c>
      <c r="W144" t="s">
        <v>1454</v>
      </c>
      <c r="X144" t="s">
        <v>1454</v>
      </c>
      <c r="Y144" t="s">
        <v>1454</v>
      </c>
      <c r="AA144" t="s">
        <v>1454</v>
      </c>
      <c r="AB144" t="s">
        <v>1454</v>
      </c>
      <c r="AC144" t="s">
        <v>1454</v>
      </c>
      <c r="AE144" t="s">
        <v>1454</v>
      </c>
      <c r="AF144" t="s">
        <v>1454</v>
      </c>
      <c r="AG144" t="s">
        <v>1454</v>
      </c>
      <c r="AI144" t="s">
        <v>1454</v>
      </c>
      <c r="AJ144" t="s">
        <v>1454</v>
      </c>
      <c r="AK144" t="s">
        <v>1454</v>
      </c>
      <c r="AM144" t="s">
        <v>1454</v>
      </c>
      <c r="AN144" t="s">
        <v>1454</v>
      </c>
      <c r="AO144" t="s">
        <v>1454</v>
      </c>
      <c r="AQ144" t="s">
        <v>1454</v>
      </c>
      <c r="AR144" t="s">
        <v>1454</v>
      </c>
      <c r="AS144" t="s">
        <v>1454</v>
      </c>
      <c r="AU144" t="s">
        <v>1454</v>
      </c>
      <c r="AV144" t="s">
        <v>1454</v>
      </c>
      <c r="AW144" t="s">
        <v>1454</v>
      </c>
      <c r="AY144" t="s">
        <v>1454</v>
      </c>
      <c r="AZ144" t="s">
        <v>1454</v>
      </c>
      <c r="BA144" t="s">
        <v>1454</v>
      </c>
      <c r="BC144" t="s">
        <v>1454</v>
      </c>
      <c r="BD144" t="s">
        <v>1454</v>
      </c>
      <c r="BE144" t="s">
        <v>1454</v>
      </c>
      <c r="BG144" t="s">
        <v>1454</v>
      </c>
      <c r="BH144" t="s">
        <v>1454</v>
      </c>
      <c r="BI144" t="s">
        <v>1454</v>
      </c>
      <c r="BK144" t="s">
        <v>1454</v>
      </c>
      <c r="BL144" t="s">
        <v>1454</v>
      </c>
      <c r="BM144" t="s">
        <v>1454</v>
      </c>
      <c r="BO144" t="s">
        <v>1454</v>
      </c>
      <c r="BP144" t="s">
        <v>1454</v>
      </c>
      <c r="BQ144" t="s">
        <v>1454</v>
      </c>
      <c r="BS144" t="s">
        <v>1454</v>
      </c>
      <c r="BT144" t="s">
        <v>1454</v>
      </c>
      <c r="BU144" t="s">
        <v>1454</v>
      </c>
      <c r="BW144" t="s">
        <v>1454</v>
      </c>
      <c r="BX144" t="s">
        <v>1454</v>
      </c>
      <c r="BY144" t="s">
        <v>1454</v>
      </c>
      <c r="CA144" t="s">
        <v>1454</v>
      </c>
      <c r="CB144" t="s">
        <v>1454</v>
      </c>
      <c r="CC144" t="s">
        <v>1454</v>
      </c>
      <c r="CE144" t="s">
        <v>1454</v>
      </c>
      <c r="CF144" t="s">
        <v>1454</v>
      </c>
      <c r="CG144" t="s">
        <v>1454</v>
      </c>
      <c r="CI144" t="s">
        <v>1454</v>
      </c>
      <c r="CJ144" t="s">
        <v>1454</v>
      </c>
      <c r="CK144" t="s">
        <v>1454</v>
      </c>
      <c r="CM144" t="s">
        <v>1454</v>
      </c>
      <c r="CN144" t="s">
        <v>1454</v>
      </c>
      <c r="CO144" t="s">
        <v>1454</v>
      </c>
      <c r="CQ144" t="s">
        <v>625</v>
      </c>
      <c r="CR144" t="s">
        <v>1454</v>
      </c>
      <c r="CS144" t="s">
        <v>1454</v>
      </c>
      <c r="CU144" t="s">
        <v>1454</v>
      </c>
      <c r="CV144" t="s">
        <v>1454</v>
      </c>
      <c r="CW144" t="s">
        <v>1454</v>
      </c>
      <c r="CY144" t="s">
        <v>1454</v>
      </c>
      <c r="CZ144" t="s">
        <v>1454</v>
      </c>
      <c r="DA144" t="s">
        <v>1454</v>
      </c>
      <c r="DC144" t="s">
        <v>1454</v>
      </c>
      <c r="DD144" t="s">
        <v>1454</v>
      </c>
      <c r="DE144" t="s">
        <v>1454</v>
      </c>
      <c r="DG144" t="s">
        <v>1454</v>
      </c>
      <c r="DH144" t="s">
        <v>1454</v>
      </c>
      <c r="DI144" t="s">
        <v>1454</v>
      </c>
      <c r="DK144" t="s">
        <v>1454</v>
      </c>
      <c r="DL144" t="s">
        <v>1454</v>
      </c>
      <c r="DM144" t="s">
        <v>1454</v>
      </c>
      <c r="DO144" t="s">
        <v>1454</v>
      </c>
      <c r="DP144" t="s">
        <v>1454</v>
      </c>
      <c r="DQ144" t="s">
        <v>1454</v>
      </c>
      <c r="DS144" t="s">
        <v>1454</v>
      </c>
      <c r="DT144" t="s">
        <v>1454</v>
      </c>
      <c r="DU144" t="s">
        <v>1454</v>
      </c>
      <c r="DW144" t="s">
        <v>1454</v>
      </c>
      <c r="DX144" t="s">
        <v>1454</v>
      </c>
      <c r="DY144" t="s">
        <v>1454</v>
      </c>
      <c r="EA144" t="s">
        <v>1454</v>
      </c>
      <c r="EB144" t="s">
        <v>1454</v>
      </c>
      <c r="EC144" t="s">
        <v>1454</v>
      </c>
      <c r="EE144" t="s">
        <v>1454</v>
      </c>
      <c r="EF144" t="s">
        <v>1454</v>
      </c>
      <c r="EG144" t="s">
        <v>1454</v>
      </c>
      <c r="EI144" t="s">
        <v>1454</v>
      </c>
      <c r="EJ144" t="s">
        <v>1454</v>
      </c>
      <c r="EK144" t="s">
        <v>1454</v>
      </c>
      <c r="EM144" t="s">
        <v>1454</v>
      </c>
      <c r="EN144" t="s">
        <v>1454</v>
      </c>
      <c r="EO144" t="s">
        <v>1454</v>
      </c>
      <c r="EQ144" t="s">
        <v>1454</v>
      </c>
      <c r="ER144" t="s">
        <v>1454</v>
      </c>
      <c r="ES144" t="s">
        <v>1454</v>
      </c>
      <c r="EU144" t="s">
        <v>1454</v>
      </c>
      <c r="EV144" t="s">
        <v>1454</v>
      </c>
      <c r="EW144" t="s">
        <v>1454</v>
      </c>
      <c r="EY144" t="s">
        <v>1454</v>
      </c>
      <c r="EZ144" t="s">
        <v>1454</v>
      </c>
      <c r="FA144" t="s">
        <v>1454</v>
      </c>
      <c r="FC144" t="s">
        <v>1454</v>
      </c>
      <c r="FD144" t="s">
        <v>1454</v>
      </c>
      <c r="FE144" t="s">
        <v>1454</v>
      </c>
      <c r="FG144" t="s">
        <v>1454</v>
      </c>
      <c r="FH144" t="s">
        <v>1454</v>
      </c>
      <c r="FI144" t="s">
        <v>1454</v>
      </c>
      <c r="FK144" t="s">
        <v>1454</v>
      </c>
      <c r="FL144" t="s">
        <v>1454</v>
      </c>
      <c r="FM144" t="s">
        <v>1454</v>
      </c>
      <c r="FO144" t="s">
        <v>1454</v>
      </c>
      <c r="FP144" t="s">
        <v>1454</v>
      </c>
      <c r="FQ144" t="s">
        <v>1454</v>
      </c>
      <c r="FS144" t="s">
        <v>1454</v>
      </c>
      <c r="FT144" t="s">
        <v>1454</v>
      </c>
      <c r="FU144" t="s">
        <v>1454</v>
      </c>
      <c r="FW144" t="s">
        <v>1454</v>
      </c>
      <c r="FX144" t="s">
        <v>1454</v>
      </c>
      <c r="FY144" t="s">
        <v>1454</v>
      </c>
      <c r="GA144" t="s">
        <v>1454</v>
      </c>
      <c r="GB144" t="s">
        <v>1454</v>
      </c>
      <c r="GC144" t="s">
        <v>1454</v>
      </c>
      <c r="GE144" t="s">
        <v>1454</v>
      </c>
      <c r="GF144" t="s">
        <v>1454</v>
      </c>
      <c r="GG144" t="s">
        <v>1454</v>
      </c>
      <c r="GI144" t="s">
        <v>1454</v>
      </c>
      <c r="GJ144" t="s">
        <v>1454</v>
      </c>
      <c r="GK144" t="s">
        <v>1454</v>
      </c>
      <c r="GM144" t="s">
        <v>1454</v>
      </c>
      <c r="GN144" t="s">
        <v>1454</v>
      </c>
      <c r="GO144" t="s">
        <v>1454</v>
      </c>
      <c r="GQ144" t="s">
        <v>1600</v>
      </c>
    </row>
    <row r="145" spans="2:199" x14ac:dyDescent="0.25">
      <c r="B145" t="s">
        <v>499</v>
      </c>
      <c r="C145" t="s">
        <v>1454</v>
      </c>
      <c r="D145" t="s">
        <v>1454</v>
      </c>
      <c r="E145" t="s">
        <v>1454</v>
      </c>
      <c r="G145" t="s">
        <v>1454</v>
      </c>
      <c r="H145" t="s">
        <v>1454</v>
      </c>
      <c r="I145" t="s">
        <v>1454</v>
      </c>
      <c r="K145" t="s">
        <v>1454</v>
      </c>
      <c r="L145" t="s">
        <v>1454</v>
      </c>
      <c r="M145" t="s">
        <v>1454</v>
      </c>
      <c r="O145" t="s">
        <v>1454</v>
      </c>
      <c r="P145" t="s">
        <v>1454</v>
      </c>
      <c r="Q145" t="s">
        <v>1454</v>
      </c>
      <c r="S145" t="s">
        <v>1454</v>
      </c>
      <c r="T145" t="s">
        <v>1454</v>
      </c>
      <c r="U145" t="s">
        <v>1454</v>
      </c>
      <c r="W145" t="s">
        <v>1454</v>
      </c>
      <c r="X145" t="s">
        <v>1454</v>
      </c>
      <c r="Y145" t="s">
        <v>1454</v>
      </c>
      <c r="AA145" t="s">
        <v>1454</v>
      </c>
      <c r="AB145" t="s">
        <v>1454</v>
      </c>
      <c r="AC145" t="s">
        <v>1454</v>
      </c>
      <c r="AE145" t="s">
        <v>1454</v>
      </c>
      <c r="AF145" t="s">
        <v>1454</v>
      </c>
      <c r="AG145" t="s">
        <v>1454</v>
      </c>
      <c r="AI145" t="s">
        <v>1454</v>
      </c>
      <c r="AJ145" t="s">
        <v>1454</v>
      </c>
      <c r="AK145" t="s">
        <v>1454</v>
      </c>
      <c r="AM145" t="s">
        <v>1454</v>
      </c>
      <c r="AN145" t="s">
        <v>1454</v>
      </c>
      <c r="AO145" t="s">
        <v>1454</v>
      </c>
      <c r="AQ145" t="s">
        <v>1454</v>
      </c>
      <c r="AR145" t="s">
        <v>1454</v>
      </c>
      <c r="AS145" t="s">
        <v>1454</v>
      </c>
      <c r="AU145" t="s">
        <v>1454</v>
      </c>
      <c r="AV145" t="s">
        <v>1454</v>
      </c>
      <c r="AW145" t="s">
        <v>1454</v>
      </c>
      <c r="AY145" t="s">
        <v>1454</v>
      </c>
      <c r="AZ145" t="s">
        <v>1454</v>
      </c>
      <c r="BA145" t="s">
        <v>1454</v>
      </c>
      <c r="BC145" t="s">
        <v>1454</v>
      </c>
      <c r="BD145" t="s">
        <v>1454</v>
      </c>
      <c r="BE145" t="s">
        <v>1454</v>
      </c>
      <c r="BG145" t="s">
        <v>1454</v>
      </c>
      <c r="BH145" t="s">
        <v>1454</v>
      </c>
      <c r="BI145" t="s">
        <v>1454</v>
      </c>
      <c r="BK145" t="s">
        <v>1454</v>
      </c>
      <c r="BL145" t="s">
        <v>1454</v>
      </c>
      <c r="BM145" t="s">
        <v>1454</v>
      </c>
      <c r="BO145" t="s">
        <v>1454</v>
      </c>
      <c r="BP145" t="s">
        <v>1454</v>
      </c>
      <c r="BQ145" t="s">
        <v>1454</v>
      </c>
      <c r="BS145" t="s">
        <v>1454</v>
      </c>
      <c r="BT145" t="s">
        <v>1454</v>
      </c>
      <c r="BU145" t="s">
        <v>1454</v>
      </c>
      <c r="BW145" t="s">
        <v>1454</v>
      </c>
      <c r="BX145" t="s">
        <v>1454</v>
      </c>
      <c r="BY145" t="s">
        <v>1454</v>
      </c>
      <c r="CA145" t="s">
        <v>1454</v>
      </c>
      <c r="CB145" t="s">
        <v>1454</v>
      </c>
      <c r="CC145" t="s">
        <v>1454</v>
      </c>
      <c r="CE145" t="s">
        <v>1454</v>
      </c>
      <c r="CF145" t="s">
        <v>1454</v>
      </c>
      <c r="CG145" t="s">
        <v>1454</v>
      </c>
      <c r="CI145" t="s">
        <v>1454</v>
      </c>
      <c r="CJ145" t="s">
        <v>1454</v>
      </c>
      <c r="CK145" t="s">
        <v>1454</v>
      </c>
      <c r="CM145" t="s">
        <v>1454</v>
      </c>
      <c r="CN145" t="s">
        <v>1454</v>
      </c>
      <c r="CO145" t="s">
        <v>1454</v>
      </c>
      <c r="CQ145" t="s">
        <v>625</v>
      </c>
      <c r="CR145" t="s">
        <v>1454</v>
      </c>
      <c r="CS145" t="s">
        <v>1454</v>
      </c>
      <c r="CU145" t="s">
        <v>1454</v>
      </c>
      <c r="CV145" t="s">
        <v>1454</v>
      </c>
      <c r="CW145" t="s">
        <v>1454</v>
      </c>
      <c r="CY145" t="s">
        <v>1454</v>
      </c>
      <c r="CZ145" t="s">
        <v>1454</v>
      </c>
      <c r="DA145" t="s">
        <v>1454</v>
      </c>
      <c r="DC145" t="s">
        <v>1454</v>
      </c>
      <c r="DD145" t="s">
        <v>1454</v>
      </c>
      <c r="DE145" t="s">
        <v>1454</v>
      </c>
      <c r="DG145" t="s">
        <v>1454</v>
      </c>
      <c r="DH145" t="s">
        <v>1454</v>
      </c>
      <c r="DI145" t="s">
        <v>1454</v>
      </c>
      <c r="DK145" t="s">
        <v>1454</v>
      </c>
      <c r="DL145" t="s">
        <v>1454</v>
      </c>
      <c r="DM145" t="s">
        <v>1454</v>
      </c>
      <c r="DO145" t="s">
        <v>1454</v>
      </c>
      <c r="DP145" t="s">
        <v>1454</v>
      </c>
      <c r="DQ145" t="s">
        <v>1454</v>
      </c>
      <c r="DS145" t="s">
        <v>1454</v>
      </c>
      <c r="DT145" t="s">
        <v>1454</v>
      </c>
      <c r="DU145" t="s">
        <v>1454</v>
      </c>
      <c r="DW145" t="s">
        <v>1454</v>
      </c>
      <c r="DX145" t="s">
        <v>1454</v>
      </c>
      <c r="DY145" t="s">
        <v>1454</v>
      </c>
      <c r="EA145" t="s">
        <v>1454</v>
      </c>
      <c r="EB145" t="s">
        <v>1454</v>
      </c>
      <c r="EC145" t="s">
        <v>1454</v>
      </c>
      <c r="EE145" t="s">
        <v>1454</v>
      </c>
      <c r="EF145" t="s">
        <v>1454</v>
      </c>
      <c r="EG145" t="s">
        <v>1454</v>
      </c>
      <c r="EI145" t="s">
        <v>1454</v>
      </c>
      <c r="EJ145" t="s">
        <v>1454</v>
      </c>
      <c r="EK145" t="s">
        <v>1454</v>
      </c>
      <c r="EM145" t="s">
        <v>1454</v>
      </c>
      <c r="EN145" t="s">
        <v>1454</v>
      </c>
      <c r="EO145" t="s">
        <v>1454</v>
      </c>
      <c r="EQ145" t="s">
        <v>1454</v>
      </c>
      <c r="ER145" t="s">
        <v>1454</v>
      </c>
      <c r="ES145" t="s">
        <v>1454</v>
      </c>
      <c r="EU145" t="s">
        <v>1454</v>
      </c>
      <c r="EV145" t="s">
        <v>1454</v>
      </c>
      <c r="EW145" t="s">
        <v>1454</v>
      </c>
      <c r="EY145" t="s">
        <v>1454</v>
      </c>
      <c r="EZ145" t="s">
        <v>1454</v>
      </c>
      <c r="FA145" t="s">
        <v>1454</v>
      </c>
      <c r="FC145" t="s">
        <v>1454</v>
      </c>
      <c r="FD145" t="s">
        <v>1454</v>
      </c>
      <c r="FE145" t="s">
        <v>1454</v>
      </c>
      <c r="FG145" t="s">
        <v>1454</v>
      </c>
      <c r="FH145" t="s">
        <v>1454</v>
      </c>
      <c r="FI145" t="s">
        <v>1454</v>
      </c>
      <c r="FK145" t="s">
        <v>1454</v>
      </c>
      <c r="FL145" t="s">
        <v>1454</v>
      </c>
      <c r="FM145" t="s">
        <v>1454</v>
      </c>
      <c r="FO145" t="s">
        <v>1454</v>
      </c>
      <c r="FP145" t="s">
        <v>1454</v>
      </c>
      <c r="FQ145" t="s">
        <v>1454</v>
      </c>
      <c r="FS145" t="s">
        <v>1454</v>
      </c>
      <c r="FT145" t="s">
        <v>1454</v>
      </c>
      <c r="FU145" t="s">
        <v>1454</v>
      </c>
      <c r="FW145" t="s">
        <v>1454</v>
      </c>
      <c r="FX145" t="s">
        <v>1454</v>
      </c>
      <c r="FY145" t="s">
        <v>1454</v>
      </c>
      <c r="GA145" t="s">
        <v>1454</v>
      </c>
      <c r="GB145" t="s">
        <v>1454</v>
      </c>
      <c r="GC145" t="s">
        <v>1454</v>
      </c>
      <c r="GE145" t="s">
        <v>1454</v>
      </c>
      <c r="GF145" t="s">
        <v>1454</v>
      </c>
      <c r="GG145" t="s">
        <v>1454</v>
      </c>
      <c r="GI145" t="s">
        <v>1454</v>
      </c>
      <c r="GJ145" t="s">
        <v>1454</v>
      </c>
      <c r="GK145" t="s">
        <v>1454</v>
      </c>
      <c r="GM145" t="s">
        <v>1454</v>
      </c>
      <c r="GN145" t="s">
        <v>1454</v>
      </c>
      <c r="GO145" t="s">
        <v>1454</v>
      </c>
      <c r="GQ145" t="s">
        <v>1600</v>
      </c>
    </row>
    <row r="146" spans="2:199" x14ac:dyDescent="0.25">
      <c r="B146" t="s">
        <v>500</v>
      </c>
      <c r="C146" t="s">
        <v>1454</v>
      </c>
      <c r="D146" t="s">
        <v>1454</v>
      </c>
      <c r="E146" t="s">
        <v>1454</v>
      </c>
      <c r="G146" t="s">
        <v>1454</v>
      </c>
      <c r="H146" t="s">
        <v>1454</v>
      </c>
      <c r="I146" t="s">
        <v>1454</v>
      </c>
      <c r="K146" t="s">
        <v>1454</v>
      </c>
      <c r="L146" t="s">
        <v>1454</v>
      </c>
      <c r="M146" t="s">
        <v>1454</v>
      </c>
      <c r="O146" t="s">
        <v>1454</v>
      </c>
      <c r="P146" t="s">
        <v>1454</v>
      </c>
      <c r="Q146" t="s">
        <v>1454</v>
      </c>
      <c r="S146" t="s">
        <v>1454</v>
      </c>
      <c r="T146" t="s">
        <v>1454</v>
      </c>
      <c r="U146" t="s">
        <v>1454</v>
      </c>
      <c r="W146" t="s">
        <v>1454</v>
      </c>
      <c r="X146" t="s">
        <v>1454</v>
      </c>
      <c r="Y146" t="s">
        <v>1454</v>
      </c>
      <c r="AA146" t="s">
        <v>1454</v>
      </c>
      <c r="AB146" t="s">
        <v>1454</v>
      </c>
      <c r="AC146" t="s">
        <v>1454</v>
      </c>
      <c r="AE146" t="s">
        <v>1454</v>
      </c>
      <c r="AF146" t="s">
        <v>1454</v>
      </c>
      <c r="AG146" t="s">
        <v>1454</v>
      </c>
      <c r="AI146" t="s">
        <v>1454</v>
      </c>
      <c r="AJ146" t="s">
        <v>1454</v>
      </c>
      <c r="AK146" t="s">
        <v>1454</v>
      </c>
      <c r="AM146" t="s">
        <v>1454</v>
      </c>
      <c r="AN146" t="s">
        <v>1454</v>
      </c>
      <c r="AO146" t="s">
        <v>1454</v>
      </c>
      <c r="AQ146" t="s">
        <v>1454</v>
      </c>
      <c r="AR146" t="s">
        <v>1454</v>
      </c>
      <c r="AS146" t="s">
        <v>1454</v>
      </c>
      <c r="AU146" t="s">
        <v>1454</v>
      </c>
      <c r="AV146" t="s">
        <v>1454</v>
      </c>
      <c r="AW146" t="s">
        <v>1454</v>
      </c>
      <c r="AY146" t="s">
        <v>1454</v>
      </c>
      <c r="AZ146" t="s">
        <v>1454</v>
      </c>
      <c r="BA146" t="s">
        <v>1454</v>
      </c>
      <c r="BC146" t="s">
        <v>1454</v>
      </c>
      <c r="BD146" t="s">
        <v>1454</v>
      </c>
      <c r="BE146" t="s">
        <v>1454</v>
      </c>
      <c r="BG146" t="s">
        <v>1454</v>
      </c>
      <c r="BH146" t="s">
        <v>1454</v>
      </c>
      <c r="BI146" t="s">
        <v>1454</v>
      </c>
      <c r="BK146" t="s">
        <v>1454</v>
      </c>
      <c r="BL146" t="s">
        <v>1454</v>
      </c>
      <c r="BM146" t="s">
        <v>1454</v>
      </c>
      <c r="BO146" t="s">
        <v>1454</v>
      </c>
      <c r="BP146" t="s">
        <v>1454</v>
      </c>
      <c r="BQ146" t="s">
        <v>1454</v>
      </c>
      <c r="BS146" t="s">
        <v>1454</v>
      </c>
      <c r="BT146" t="s">
        <v>1454</v>
      </c>
      <c r="BU146" t="s">
        <v>1454</v>
      </c>
      <c r="BW146" t="s">
        <v>1454</v>
      </c>
      <c r="BX146" t="s">
        <v>1454</v>
      </c>
      <c r="BY146" t="s">
        <v>1454</v>
      </c>
      <c r="CA146" t="s">
        <v>1454</v>
      </c>
      <c r="CB146" t="s">
        <v>1454</v>
      </c>
      <c r="CC146" t="s">
        <v>1454</v>
      </c>
      <c r="CE146" t="s">
        <v>1454</v>
      </c>
      <c r="CF146" t="s">
        <v>1454</v>
      </c>
      <c r="CG146" t="s">
        <v>1454</v>
      </c>
      <c r="CI146" t="s">
        <v>1454</v>
      </c>
      <c r="CJ146" t="s">
        <v>1454</v>
      </c>
      <c r="CK146" t="s">
        <v>1454</v>
      </c>
      <c r="CM146" t="s">
        <v>1454</v>
      </c>
      <c r="CN146" t="s">
        <v>1454</v>
      </c>
      <c r="CO146" t="s">
        <v>1454</v>
      </c>
      <c r="CQ146" t="s">
        <v>625</v>
      </c>
      <c r="CR146" t="s">
        <v>1454</v>
      </c>
      <c r="CS146" t="s">
        <v>1454</v>
      </c>
      <c r="CU146" t="s">
        <v>1454</v>
      </c>
      <c r="CV146" t="s">
        <v>1454</v>
      </c>
      <c r="CW146" t="s">
        <v>1454</v>
      </c>
      <c r="CY146" t="s">
        <v>1454</v>
      </c>
      <c r="CZ146" t="s">
        <v>1454</v>
      </c>
      <c r="DA146" t="s">
        <v>1454</v>
      </c>
      <c r="DC146" t="s">
        <v>1454</v>
      </c>
      <c r="DD146" t="s">
        <v>1454</v>
      </c>
      <c r="DE146" t="s">
        <v>1454</v>
      </c>
      <c r="DG146" t="s">
        <v>1454</v>
      </c>
      <c r="DH146" t="s">
        <v>1454</v>
      </c>
      <c r="DI146" t="s">
        <v>1454</v>
      </c>
      <c r="DK146" t="s">
        <v>1454</v>
      </c>
      <c r="DL146" t="s">
        <v>1454</v>
      </c>
      <c r="DM146" t="s">
        <v>1454</v>
      </c>
      <c r="DO146" t="s">
        <v>1454</v>
      </c>
      <c r="DP146" t="s">
        <v>1454</v>
      </c>
      <c r="DQ146" t="s">
        <v>1454</v>
      </c>
      <c r="DS146" t="s">
        <v>1454</v>
      </c>
      <c r="DT146" t="s">
        <v>1454</v>
      </c>
      <c r="DU146" t="s">
        <v>1454</v>
      </c>
      <c r="DW146" t="s">
        <v>1454</v>
      </c>
      <c r="DX146" t="s">
        <v>1454</v>
      </c>
      <c r="DY146" t="s">
        <v>1454</v>
      </c>
      <c r="EA146" t="s">
        <v>1454</v>
      </c>
      <c r="EB146" t="s">
        <v>1454</v>
      </c>
      <c r="EC146" t="s">
        <v>1454</v>
      </c>
      <c r="EE146" t="s">
        <v>1454</v>
      </c>
      <c r="EF146" t="s">
        <v>1454</v>
      </c>
      <c r="EG146" t="s">
        <v>1454</v>
      </c>
      <c r="EI146" t="s">
        <v>1454</v>
      </c>
      <c r="EJ146" t="s">
        <v>1454</v>
      </c>
      <c r="EK146" t="s">
        <v>1454</v>
      </c>
      <c r="EM146" t="s">
        <v>1454</v>
      </c>
      <c r="EN146" t="s">
        <v>1454</v>
      </c>
      <c r="EO146" t="s">
        <v>1454</v>
      </c>
      <c r="EQ146" t="s">
        <v>1454</v>
      </c>
      <c r="ER146" t="s">
        <v>1454</v>
      </c>
      <c r="ES146" t="s">
        <v>1454</v>
      </c>
      <c r="EU146" t="s">
        <v>1454</v>
      </c>
      <c r="EV146" t="s">
        <v>1454</v>
      </c>
      <c r="EW146" t="s">
        <v>1454</v>
      </c>
      <c r="EY146" t="s">
        <v>1454</v>
      </c>
      <c r="EZ146" t="s">
        <v>1454</v>
      </c>
      <c r="FA146" t="s">
        <v>1454</v>
      </c>
      <c r="FC146" t="s">
        <v>1454</v>
      </c>
      <c r="FD146" t="s">
        <v>1454</v>
      </c>
      <c r="FE146" t="s">
        <v>1454</v>
      </c>
      <c r="FG146" t="s">
        <v>1454</v>
      </c>
      <c r="FH146" t="s">
        <v>1454</v>
      </c>
      <c r="FI146" t="s">
        <v>1454</v>
      </c>
      <c r="FK146" t="s">
        <v>1454</v>
      </c>
      <c r="FL146" t="s">
        <v>1454</v>
      </c>
      <c r="FM146" t="s">
        <v>1454</v>
      </c>
      <c r="FO146" t="s">
        <v>1454</v>
      </c>
      <c r="FP146" t="s">
        <v>1454</v>
      </c>
      <c r="FQ146" t="s">
        <v>1454</v>
      </c>
      <c r="FS146" t="s">
        <v>1454</v>
      </c>
      <c r="FT146" t="s">
        <v>1454</v>
      </c>
      <c r="FU146" t="s">
        <v>1454</v>
      </c>
      <c r="FW146" t="s">
        <v>1454</v>
      </c>
      <c r="FX146" t="s">
        <v>1454</v>
      </c>
      <c r="FY146" t="s">
        <v>1454</v>
      </c>
      <c r="GA146" t="s">
        <v>1454</v>
      </c>
      <c r="GB146" t="s">
        <v>1454</v>
      </c>
      <c r="GC146" t="s">
        <v>1454</v>
      </c>
      <c r="GE146" t="s">
        <v>1454</v>
      </c>
      <c r="GF146" t="s">
        <v>1454</v>
      </c>
      <c r="GG146" t="s">
        <v>1454</v>
      </c>
      <c r="GI146" t="s">
        <v>1454</v>
      </c>
      <c r="GJ146" t="s">
        <v>1454</v>
      </c>
      <c r="GK146" t="s">
        <v>1454</v>
      </c>
      <c r="GM146" t="s">
        <v>1454</v>
      </c>
      <c r="GN146" t="s">
        <v>1454</v>
      </c>
      <c r="GO146" t="s">
        <v>1454</v>
      </c>
      <c r="GQ146" t="s">
        <v>1600</v>
      </c>
    </row>
    <row r="147" spans="2:199" s="11" customFormat="1" x14ac:dyDescent="0.25">
      <c r="B147" t="s">
        <v>501</v>
      </c>
      <c r="C147" t="s">
        <v>1454</v>
      </c>
      <c r="D147" t="s">
        <v>1454</v>
      </c>
      <c r="E147" t="s">
        <v>1454</v>
      </c>
      <c r="F147"/>
      <c r="G147" t="s">
        <v>1454</v>
      </c>
      <c r="H147" t="s">
        <v>1454</v>
      </c>
      <c r="I147" t="s">
        <v>1454</v>
      </c>
      <c r="J147"/>
      <c r="K147" t="s">
        <v>1454</v>
      </c>
      <c r="L147" t="s">
        <v>1454</v>
      </c>
      <c r="M147" t="s">
        <v>1454</v>
      </c>
      <c r="N147"/>
      <c r="O147" t="s">
        <v>1454</v>
      </c>
      <c r="P147" t="s">
        <v>1454</v>
      </c>
      <c r="Q147" t="s">
        <v>1454</v>
      </c>
      <c r="R147"/>
      <c r="S147" t="s">
        <v>1454</v>
      </c>
      <c r="T147" t="s">
        <v>1454</v>
      </c>
      <c r="U147" t="s">
        <v>1454</v>
      </c>
      <c r="V147"/>
      <c r="W147" t="s">
        <v>1454</v>
      </c>
      <c r="X147" t="s">
        <v>1454</v>
      </c>
      <c r="Y147" t="s">
        <v>1454</v>
      </c>
      <c r="Z147"/>
      <c r="AA147" t="s">
        <v>1454</v>
      </c>
      <c r="AB147" t="s">
        <v>1454</v>
      </c>
      <c r="AC147" t="s">
        <v>1454</v>
      </c>
      <c r="AD147"/>
      <c r="AE147" t="s">
        <v>1454</v>
      </c>
      <c r="AF147" t="s">
        <v>1454</v>
      </c>
      <c r="AG147" t="s">
        <v>1454</v>
      </c>
      <c r="AH147"/>
      <c r="AI147" t="s">
        <v>1454</v>
      </c>
      <c r="AJ147" t="s">
        <v>1454</v>
      </c>
      <c r="AK147" t="s">
        <v>1454</v>
      </c>
      <c r="AL147"/>
      <c r="AM147" t="s">
        <v>1454</v>
      </c>
      <c r="AN147" t="s">
        <v>1454</v>
      </c>
      <c r="AO147" t="s">
        <v>1454</v>
      </c>
      <c r="AP147"/>
      <c r="AQ147" t="s">
        <v>1454</v>
      </c>
      <c r="AR147" t="s">
        <v>1454</v>
      </c>
      <c r="AS147" t="s">
        <v>1454</v>
      </c>
      <c r="AT147"/>
      <c r="AU147" t="s">
        <v>1454</v>
      </c>
      <c r="AV147" t="s">
        <v>1454</v>
      </c>
      <c r="AW147" t="s">
        <v>1454</v>
      </c>
      <c r="AX147"/>
      <c r="AY147" t="s">
        <v>1454</v>
      </c>
      <c r="AZ147" t="s">
        <v>1454</v>
      </c>
      <c r="BA147" t="s">
        <v>1454</v>
      </c>
      <c r="BB147"/>
      <c r="BC147" t="s">
        <v>1454</v>
      </c>
      <c r="BD147" t="s">
        <v>1454</v>
      </c>
      <c r="BE147" t="s">
        <v>1454</v>
      </c>
      <c r="BF147"/>
      <c r="BG147" t="s">
        <v>1454</v>
      </c>
      <c r="BH147" t="s">
        <v>1454</v>
      </c>
      <c r="BI147" t="s">
        <v>1454</v>
      </c>
      <c r="BJ147"/>
      <c r="BK147" t="s">
        <v>617</v>
      </c>
      <c r="BL147" t="s">
        <v>1454</v>
      </c>
      <c r="BM147" t="s">
        <v>1454</v>
      </c>
      <c r="BN147"/>
      <c r="BO147" t="s">
        <v>1454</v>
      </c>
      <c r="BP147" t="s">
        <v>1454</v>
      </c>
      <c r="BQ147" t="s">
        <v>1454</v>
      </c>
      <c r="BR147"/>
      <c r="BS147" t="s">
        <v>1454</v>
      </c>
      <c r="BT147" t="s">
        <v>1454</v>
      </c>
      <c r="BU147" t="s">
        <v>1454</v>
      </c>
      <c r="BV147"/>
      <c r="BW147" t="s">
        <v>1454</v>
      </c>
      <c r="BX147" t="s">
        <v>1454</v>
      </c>
      <c r="BY147" t="s">
        <v>1454</v>
      </c>
      <c r="BZ147"/>
      <c r="CA147" t="s">
        <v>1454</v>
      </c>
      <c r="CB147" t="s">
        <v>1454</v>
      </c>
      <c r="CC147" t="s">
        <v>1454</v>
      </c>
      <c r="CD147"/>
      <c r="CE147" t="s">
        <v>1454</v>
      </c>
      <c r="CF147" t="s">
        <v>1454</v>
      </c>
      <c r="CG147" t="s">
        <v>1454</v>
      </c>
      <c r="CH147"/>
      <c r="CI147" t="s">
        <v>1454</v>
      </c>
      <c r="CJ147" t="s">
        <v>1454</v>
      </c>
      <c r="CK147" t="s">
        <v>1454</v>
      </c>
      <c r="CL147"/>
      <c r="CM147" t="s">
        <v>1454</v>
      </c>
      <c r="CN147" t="s">
        <v>1454</v>
      </c>
      <c r="CO147" t="s">
        <v>1454</v>
      </c>
      <c r="CP147"/>
      <c r="CQ147" t="s">
        <v>1454</v>
      </c>
      <c r="CR147" t="s">
        <v>1454</v>
      </c>
      <c r="CS147" t="s">
        <v>1454</v>
      </c>
      <c r="CT147"/>
      <c r="CU147" t="s">
        <v>1454</v>
      </c>
      <c r="CV147" t="s">
        <v>1454</v>
      </c>
      <c r="CW147" t="s">
        <v>1454</v>
      </c>
      <c r="CX147"/>
      <c r="CY147" t="s">
        <v>1454</v>
      </c>
      <c r="CZ147" t="s">
        <v>1454</v>
      </c>
      <c r="DA147" t="s">
        <v>1454</v>
      </c>
      <c r="DB147"/>
      <c r="DC147" t="s">
        <v>1454</v>
      </c>
      <c r="DD147" t="s">
        <v>1454</v>
      </c>
      <c r="DE147" t="s">
        <v>1454</v>
      </c>
      <c r="DF147"/>
      <c r="DG147" t="s">
        <v>1454</v>
      </c>
      <c r="DH147" t="s">
        <v>1454</v>
      </c>
      <c r="DI147" t="s">
        <v>1454</v>
      </c>
      <c r="DJ147"/>
      <c r="DK147" t="s">
        <v>1454</v>
      </c>
      <c r="DL147" t="s">
        <v>1454</v>
      </c>
      <c r="DM147" t="s">
        <v>1454</v>
      </c>
      <c r="DN147"/>
      <c r="DO147" t="s">
        <v>1454</v>
      </c>
      <c r="DP147" t="s">
        <v>1454</v>
      </c>
      <c r="DQ147" t="s">
        <v>1454</v>
      </c>
      <c r="DR147"/>
      <c r="DS147" t="s">
        <v>1454</v>
      </c>
      <c r="DT147" t="s">
        <v>1454</v>
      </c>
      <c r="DU147" t="s">
        <v>1454</v>
      </c>
      <c r="DV147"/>
      <c r="DW147" t="s">
        <v>1454</v>
      </c>
      <c r="DX147" t="s">
        <v>1454</v>
      </c>
      <c r="DY147" t="s">
        <v>1454</v>
      </c>
      <c r="DZ147"/>
      <c r="EA147" t="s">
        <v>1454</v>
      </c>
      <c r="EB147" t="s">
        <v>1454</v>
      </c>
      <c r="EC147" t="s">
        <v>1454</v>
      </c>
      <c r="ED147"/>
      <c r="EE147" t="s">
        <v>1454</v>
      </c>
      <c r="EF147" t="s">
        <v>1454</v>
      </c>
      <c r="EG147" t="s">
        <v>1454</v>
      </c>
      <c r="EH147"/>
      <c r="EI147" t="s">
        <v>1454</v>
      </c>
      <c r="EJ147" t="s">
        <v>1454</v>
      </c>
      <c r="EK147" t="s">
        <v>1454</v>
      </c>
      <c r="EL147"/>
      <c r="EM147" t="s">
        <v>1454</v>
      </c>
      <c r="EN147" t="s">
        <v>1454</v>
      </c>
      <c r="EO147" t="s">
        <v>1454</v>
      </c>
      <c r="EP147"/>
      <c r="EQ147" t="s">
        <v>1454</v>
      </c>
      <c r="ER147" t="s">
        <v>1454</v>
      </c>
      <c r="ES147" t="s">
        <v>1454</v>
      </c>
      <c r="ET147"/>
      <c r="EU147" t="s">
        <v>1454</v>
      </c>
      <c r="EV147" t="s">
        <v>1454</v>
      </c>
      <c r="EW147" t="s">
        <v>1454</v>
      </c>
      <c r="EX147"/>
      <c r="EY147" t="s">
        <v>1454</v>
      </c>
      <c r="EZ147" t="s">
        <v>1454</v>
      </c>
      <c r="FA147" t="s">
        <v>1454</v>
      </c>
      <c r="FB147"/>
      <c r="FC147" t="s">
        <v>1454</v>
      </c>
      <c r="FD147" t="s">
        <v>1454</v>
      </c>
      <c r="FE147" t="s">
        <v>1454</v>
      </c>
      <c r="FF147"/>
      <c r="FG147" t="s">
        <v>1454</v>
      </c>
      <c r="FH147" t="s">
        <v>1454</v>
      </c>
      <c r="FI147" t="s">
        <v>1454</v>
      </c>
      <c r="FJ147"/>
      <c r="FK147" t="s">
        <v>1454</v>
      </c>
      <c r="FL147" t="s">
        <v>1454</v>
      </c>
      <c r="FM147" t="s">
        <v>1454</v>
      </c>
      <c r="FN147"/>
      <c r="FO147" t="s">
        <v>1454</v>
      </c>
      <c r="FP147" t="s">
        <v>1454</v>
      </c>
      <c r="FQ147" t="s">
        <v>1454</v>
      </c>
      <c r="FR147"/>
      <c r="FS147" t="s">
        <v>1454</v>
      </c>
      <c r="FT147" t="s">
        <v>1454</v>
      </c>
      <c r="FU147" t="s">
        <v>1454</v>
      </c>
      <c r="FV147"/>
      <c r="FW147" t="s">
        <v>1454</v>
      </c>
      <c r="FX147" t="s">
        <v>1454</v>
      </c>
      <c r="FY147" t="s">
        <v>1454</v>
      </c>
      <c r="FZ147"/>
      <c r="GA147" t="s">
        <v>1454</v>
      </c>
      <c r="GB147" t="s">
        <v>1454</v>
      </c>
      <c r="GC147" t="s">
        <v>1454</v>
      </c>
      <c r="GD147"/>
      <c r="GE147" t="s">
        <v>1454</v>
      </c>
      <c r="GF147" t="s">
        <v>1454</v>
      </c>
      <c r="GG147" t="s">
        <v>1454</v>
      </c>
      <c r="GH147"/>
      <c r="GI147" t="s">
        <v>1454</v>
      </c>
      <c r="GJ147" t="s">
        <v>1454</v>
      </c>
      <c r="GK147" t="s">
        <v>1454</v>
      </c>
      <c r="GL147"/>
      <c r="GM147" t="s">
        <v>1454</v>
      </c>
      <c r="GN147" t="s">
        <v>1454</v>
      </c>
      <c r="GO147" t="s">
        <v>1454</v>
      </c>
      <c r="GP147"/>
      <c r="GQ147" t="s">
        <v>1500</v>
      </c>
    </row>
    <row r="148" spans="2:199" x14ac:dyDescent="0.25">
      <c r="B148" t="s">
        <v>502</v>
      </c>
      <c r="C148" t="s">
        <v>1454</v>
      </c>
      <c r="D148" t="s">
        <v>1454</v>
      </c>
      <c r="E148" t="s">
        <v>1454</v>
      </c>
      <c r="G148" t="s">
        <v>1454</v>
      </c>
      <c r="H148" t="s">
        <v>1454</v>
      </c>
      <c r="I148" t="s">
        <v>1454</v>
      </c>
      <c r="K148" t="s">
        <v>1454</v>
      </c>
      <c r="L148" t="s">
        <v>1454</v>
      </c>
      <c r="M148" t="s">
        <v>1454</v>
      </c>
      <c r="O148" t="s">
        <v>1454</v>
      </c>
      <c r="P148" t="s">
        <v>1454</v>
      </c>
      <c r="Q148" t="s">
        <v>1454</v>
      </c>
      <c r="S148" t="s">
        <v>1454</v>
      </c>
      <c r="T148" t="s">
        <v>1454</v>
      </c>
      <c r="U148" t="s">
        <v>1454</v>
      </c>
      <c r="W148" t="s">
        <v>1454</v>
      </c>
      <c r="X148" t="s">
        <v>1454</v>
      </c>
      <c r="Y148" t="s">
        <v>1454</v>
      </c>
      <c r="AA148" t="s">
        <v>1454</v>
      </c>
      <c r="AB148" t="s">
        <v>1454</v>
      </c>
      <c r="AC148" t="s">
        <v>1454</v>
      </c>
      <c r="AE148" t="s">
        <v>1454</v>
      </c>
      <c r="AF148" t="s">
        <v>1454</v>
      </c>
      <c r="AG148" t="s">
        <v>1454</v>
      </c>
      <c r="AI148" t="s">
        <v>1454</v>
      </c>
      <c r="AJ148" t="s">
        <v>1454</v>
      </c>
      <c r="AK148" t="s">
        <v>1454</v>
      </c>
      <c r="AM148" t="s">
        <v>1454</v>
      </c>
      <c r="AN148" t="s">
        <v>1454</v>
      </c>
      <c r="AO148" t="s">
        <v>1454</v>
      </c>
      <c r="AQ148" t="s">
        <v>1454</v>
      </c>
      <c r="AR148" t="s">
        <v>1454</v>
      </c>
      <c r="AS148" t="s">
        <v>1454</v>
      </c>
      <c r="AU148" t="s">
        <v>1454</v>
      </c>
      <c r="AV148" t="s">
        <v>1454</v>
      </c>
      <c r="AW148" t="s">
        <v>1454</v>
      </c>
      <c r="AY148" t="s">
        <v>1454</v>
      </c>
      <c r="AZ148" t="s">
        <v>1454</v>
      </c>
      <c r="BA148" t="s">
        <v>1454</v>
      </c>
      <c r="BC148" t="s">
        <v>1454</v>
      </c>
      <c r="BD148" t="s">
        <v>1454</v>
      </c>
      <c r="BE148" t="s">
        <v>1454</v>
      </c>
      <c r="BG148" t="s">
        <v>1454</v>
      </c>
      <c r="BH148" t="s">
        <v>1454</v>
      </c>
      <c r="BI148" t="s">
        <v>1454</v>
      </c>
      <c r="BK148" t="s">
        <v>1454</v>
      </c>
      <c r="BL148" t="s">
        <v>1454</v>
      </c>
      <c r="BM148" t="s">
        <v>1454</v>
      </c>
      <c r="BO148" t="s">
        <v>1454</v>
      </c>
      <c r="BP148" t="s">
        <v>1454</v>
      </c>
      <c r="BQ148" t="s">
        <v>1454</v>
      </c>
      <c r="BS148" t="s">
        <v>1454</v>
      </c>
      <c r="BT148" t="s">
        <v>1454</v>
      </c>
      <c r="BU148" t="s">
        <v>1454</v>
      </c>
      <c r="BW148" t="s">
        <v>1454</v>
      </c>
      <c r="BX148" t="s">
        <v>1454</v>
      </c>
      <c r="BY148" t="s">
        <v>1454</v>
      </c>
      <c r="CA148" t="s">
        <v>1454</v>
      </c>
      <c r="CB148" t="s">
        <v>1454</v>
      </c>
      <c r="CC148" t="s">
        <v>1454</v>
      </c>
      <c r="CE148" t="s">
        <v>1454</v>
      </c>
      <c r="CF148" t="s">
        <v>1454</v>
      </c>
      <c r="CG148" t="s">
        <v>1454</v>
      </c>
      <c r="CI148" t="s">
        <v>1454</v>
      </c>
      <c r="CJ148" t="s">
        <v>1454</v>
      </c>
      <c r="CK148" t="s">
        <v>1454</v>
      </c>
      <c r="CM148" t="s">
        <v>1454</v>
      </c>
      <c r="CN148" t="s">
        <v>1454</v>
      </c>
      <c r="CO148" t="s">
        <v>1454</v>
      </c>
      <c r="CQ148" t="s">
        <v>1454</v>
      </c>
      <c r="CR148" t="s">
        <v>1454</v>
      </c>
      <c r="CS148" t="s">
        <v>1454</v>
      </c>
      <c r="CU148" t="s">
        <v>1454</v>
      </c>
      <c r="CV148" t="s">
        <v>1454</v>
      </c>
      <c r="CW148" t="s">
        <v>1454</v>
      </c>
      <c r="CY148" t="s">
        <v>1454</v>
      </c>
      <c r="CZ148" t="s">
        <v>1454</v>
      </c>
      <c r="DA148" t="s">
        <v>1454</v>
      </c>
      <c r="DC148" t="s">
        <v>1454</v>
      </c>
      <c r="DD148" t="s">
        <v>1454</v>
      </c>
      <c r="DE148" t="s">
        <v>1454</v>
      </c>
      <c r="DG148" t="s">
        <v>1454</v>
      </c>
      <c r="DH148" t="s">
        <v>1454</v>
      </c>
      <c r="DI148" t="s">
        <v>1454</v>
      </c>
      <c r="DK148" t="s">
        <v>1454</v>
      </c>
      <c r="DL148" t="s">
        <v>1454</v>
      </c>
      <c r="DM148" t="s">
        <v>1454</v>
      </c>
      <c r="DO148" t="s">
        <v>1454</v>
      </c>
      <c r="DP148" t="s">
        <v>1454</v>
      </c>
      <c r="DQ148" t="s">
        <v>1454</v>
      </c>
      <c r="DS148" t="s">
        <v>1454</v>
      </c>
      <c r="DT148" t="s">
        <v>1454</v>
      </c>
      <c r="DU148" t="s">
        <v>1454</v>
      </c>
      <c r="DW148" t="s">
        <v>1454</v>
      </c>
      <c r="DX148" t="s">
        <v>1454</v>
      </c>
      <c r="DY148" t="s">
        <v>1454</v>
      </c>
      <c r="EA148" t="s">
        <v>1454</v>
      </c>
      <c r="EB148" t="s">
        <v>1454</v>
      </c>
      <c r="EC148" t="s">
        <v>1454</v>
      </c>
      <c r="EE148" t="s">
        <v>1454</v>
      </c>
      <c r="EF148" t="s">
        <v>1454</v>
      </c>
      <c r="EG148" t="s">
        <v>1454</v>
      </c>
      <c r="EI148" t="s">
        <v>1454</v>
      </c>
      <c r="EJ148" t="s">
        <v>1454</v>
      </c>
      <c r="EK148" t="s">
        <v>1454</v>
      </c>
      <c r="EM148" t="s">
        <v>1454</v>
      </c>
      <c r="EN148" t="s">
        <v>1454</v>
      </c>
      <c r="EO148" t="s">
        <v>1454</v>
      </c>
      <c r="EQ148" t="s">
        <v>1454</v>
      </c>
      <c r="ER148" t="s">
        <v>1454</v>
      </c>
      <c r="ES148" t="s">
        <v>1454</v>
      </c>
      <c r="EU148" t="s">
        <v>1454</v>
      </c>
      <c r="EV148" t="s">
        <v>1454</v>
      </c>
      <c r="EW148" t="s">
        <v>1454</v>
      </c>
      <c r="EY148" t="s">
        <v>1454</v>
      </c>
      <c r="EZ148" t="s">
        <v>1454</v>
      </c>
      <c r="FA148" t="s">
        <v>1454</v>
      </c>
      <c r="FC148" t="s">
        <v>1454</v>
      </c>
      <c r="FD148" t="s">
        <v>1454</v>
      </c>
      <c r="FE148" t="s">
        <v>1454</v>
      </c>
      <c r="FG148" t="s">
        <v>1454</v>
      </c>
      <c r="FH148" t="s">
        <v>1454</v>
      </c>
      <c r="FI148" t="s">
        <v>1454</v>
      </c>
      <c r="FK148" t="s">
        <v>1454</v>
      </c>
      <c r="FL148" t="s">
        <v>1454</v>
      </c>
      <c r="FM148" t="s">
        <v>1454</v>
      </c>
      <c r="FO148" t="s">
        <v>602</v>
      </c>
      <c r="FP148" t="s">
        <v>1454</v>
      </c>
      <c r="FQ148" t="s">
        <v>1454</v>
      </c>
      <c r="FS148" t="s">
        <v>1454</v>
      </c>
      <c r="FT148" t="s">
        <v>1454</v>
      </c>
      <c r="FU148" t="s">
        <v>1454</v>
      </c>
      <c r="FW148" t="s">
        <v>1454</v>
      </c>
      <c r="FX148" t="s">
        <v>1454</v>
      </c>
      <c r="FY148" t="s">
        <v>1454</v>
      </c>
      <c r="GA148" t="s">
        <v>1454</v>
      </c>
      <c r="GB148" t="s">
        <v>1454</v>
      </c>
      <c r="GC148" t="s">
        <v>1454</v>
      </c>
      <c r="GE148" t="s">
        <v>1454</v>
      </c>
      <c r="GF148" t="s">
        <v>1454</v>
      </c>
      <c r="GG148" t="s">
        <v>1454</v>
      </c>
      <c r="GI148" t="s">
        <v>1454</v>
      </c>
      <c r="GJ148" t="s">
        <v>1454</v>
      </c>
      <c r="GK148" t="s">
        <v>1454</v>
      </c>
      <c r="GM148" t="s">
        <v>1454</v>
      </c>
      <c r="GN148" t="s">
        <v>1454</v>
      </c>
      <c r="GO148" t="s">
        <v>1454</v>
      </c>
      <c r="GQ148" t="s">
        <v>1477</v>
      </c>
    </row>
    <row r="149" spans="2:199" x14ac:dyDescent="0.25">
      <c r="B149" t="s">
        <v>503</v>
      </c>
      <c r="C149" t="s">
        <v>1454</v>
      </c>
      <c r="D149" t="s">
        <v>1454</v>
      </c>
      <c r="E149" t="s">
        <v>1454</v>
      </c>
      <c r="G149" t="s">
        <v>1454</v>
      </c>
      <c r="H149" t="s">
        <v>1454</v>
      </c>
      <c r="I149" t="s">
        <v>1454</v>
      </c>
      <c r="K149" t="s">
        <v>1454</v>
      </c>
      <c r="L149" t="s">
        <v>1454</v>
      </c>
      <c r="M149" t="s">
        <v>1454</v>
      </c>
      <c r="O149" t="s">
        <v>1454</v>
      </c>
      <c r="P149" t="s">
        <v>1454</v>
      </c>
      <c r="Q149" t="s">
        <v>1454</v>
      </c>
      <c r="S149" t="s">
        <v>1454</v>
      </c>
      <c r="T149" t="s">
        <v>1454</v>
      </c>
      <c r="U149" t="s">
        <v>1454</v>
      </c>
      <c r="W149" t="s">
        <v>1454</v>
      </c>
      <c r="X149" t="s">
        <v>1454</v>
      </c>
      <c r="Y149" t="s">
        <v>1454</v>
      </c>
      <c r="AA149" t="s">
        <v>1454</v>
      </c>
      <c r="AB149" t="s">
        <v>1454</v>
      </c>
      <c r="AC149" t="s">
        <v>1454</v>
      </c>
      <c r="AE149" t="s">
        <v>1454</v>
      </c>
      <c r="AF149" t="s">
        <v>1454</v>
      </c>
      <c r="AG149" t="s">
        <v>1454</v>
      </c>
      <c r="AI149" t="s">
        <v>1454</v>
      </c>
      <c r="AJ149" t="s">
        <v>1454</v>
      </c>
      <c r="AK149" t="s">
        <v>1454</v>
      </c>
      <c r="AM149" t="s">
        <v>1454</v>
      </c>
      <c r="AN149" t="s">
        <v>1454</v>
      </c>
      <c r="AO149" t="s">
        <v>1454</v>
      </c>
      <c r="AQ149" t="s">
        <v>612</v>
      </c>
      <c r="AR149" t="s">
        <v>1454</v>
      </c>
      <c r="AS149" t="s">
        <v>1454</v>
      </c>
      <c r="AU149" t="s">
        <v>1454</v>
      </c>
      <c r="AV149" t="s">
        <v>1454</v>
      </c>
      <c r="AW149" t="s">
        <v>1454</v>
      </c>
      <c r="AY149" t="s">
        <v>1454</v>
      </c>
      <c r="AZ149" t="s">
        <v>1454</v>
      </c>
      <c r="BA149" t="s">
        <v>1454</v>
      </c>
      <c r="BC149" t="s">
        <v>615</v>
      </c>
      <c r="BD149" t="s">
        <v>1454</v>
      </c>
      <c r="BE149" t="s">
        <v>1454</v>
      </c>
      <c r="BG149" t="s">
        <v>1454</v>
      </c>
      <c r="BH149" t="s">
        <v>1454</v>
      </c>
      <c r="BI149" t="s">
        <v>1454</v>
      </c>
      <c r="BK149" t="s">
        <v>1454</v>
      </c>
      <c r="BL149" t="s">
        <v>1454</v>
      </c>
      <c r="BM149" t="s">
        <v>1454</v>
      </c>
      <c r="BO149" t="s">
        <v>1454</v>
      </c>
      <c r="BP149" t="s">
        <v>1454</v>
      </c>
      <c r="BQ149" t="s">
        <v>1454</v>
      </c>
      <c r="BS149" t="s">
        <v>1454</v>
      </c>
      <c r="BT149" t="s">
        <v>1454</v>
      </c>
      <c r="BU149" t="s">
        <v>1454</v>
      </c>
      <c r="BW149" t="s">
        <v>1454</v>
      </c>
      <c r="BX149" t="s">
        <v>1454</v>
      </c>
      <c r="BY149" t="s">
        <v>1454</v>
      </c>
      <c r="CA149" t="s">
        <v>1454</v>
      </c>
      <c r="CB149" t="s">
        <v>1454</v>
      </c>
      <c r="CC149" t="s">
        <v>1454</v>
      </c>
      <c r="CE149" t="s">
        <v>1454</v>
      </c>
      <c r="CF149" t="s">
        <v>1454</v>
      </c>
      <c r="CG149" t="s">
        <v>1454</v>
      </c>
      <c r="CI149" t="s">
        <v>1454</v>
      </c>
      <c r="CJ149" t="s">
        <v>1454</v>
      </c>
      <c r="CK149" t="s">
        <v>1454</v>
      </c>
      <c r="CM149" t="s">
        <v>1454</v>
      </c>
      <c r="CN149" t="s">
        <v>1454</v>
      </c>
      <c r="CO149" t="s">
        <v>1454</v>
      </c>
      <c r="CQ149" t="s">
        <v>1454</v>
      </c>
      <c r="CR149" t="s">
        <v>1454</v>
      </c>
      <c r="CS149" t="s">
        <v>1454</v>
      </c>
      <c r="CU149" t="s">
        <v>1454</v>
      </c>
      <c r="CV149" t="s">
        <v>1454</v>
      </c>
      <c r="CW149" t="s">
        <v>1454</v>
      </c>
      <c r="CY149" t="s">
        <v>1454</v>
      </c>
      <c r="CZ149" t="s">
        <v>1454</v>
      </c>
      <c r="DA149" t="s">
        <v>1454</v>
      </c>
      <c r="DC149" t="s">
        <v>1454</v>
      </c>
      <c r="DD149" t="s">
        <v>1454</v>
      </c>
      <c r="DE149" t="s">
        <v>1454</v>
      </c>
      <c r="DG149" t="s">
        <v>1454</v>
      </c>
      <c r="DH149" t="s">
        <v>1454</v>
      </c>
      <c r="DI149" t="s">
        <v>1454</v>
      </c>
      <c r="DK149" t="s">
        <v>1454</v>
      </c>
      <c r="DL149" t="s">
        <v>1454</v>
      </c>
      <c r="DM149" t="s">
        <v>1454</v>
      </c>
      <c r="DO149" t="s">
        <v>1454</v>
      </c>
      <c r="DP149" t="s">
        <v>1454</v>
      </c>
      <c r="DQ149" t="s">
        <v>1454</v>
      </c>
      <c r="DS149" t="s">
        <v>1454</v>
      </c>
      <c r="DT149" t="s">
        <v>1454</v>
      </c>
      <c r="DU149" t="s">
        <v>1454</v>
      </c>
      <c r="DW149" t="s">
        <v>1454</v>
      </c>
      <c r="DX149" t="s">
        <v>1454</v>
      </c>
      <c r="DY149" t="s">
        <v>1454</v>
      </c>
      <c r="EA149" t="s">
        <v>1454</v>
      </c>
      <c r="EB149" t="s">
        <v>1454</v>
      </c>
      <c r="EC149" t="s">
        <v>1454</v>
      </c>
      <c r="EE149" t="s">
        <v>1454</v>
      </c>
      <c r="EF149" t="s">
        <v>1454</v>
      </c>
      <c r="EG149" t="s">
        <v>1454</v>
      </c>
      <c r="EI149" t="s">
        <v>1454</v>
      </c>
      <c r="EJ149" t="s">
        <v>1454</v>
      </c>
      <c r="EK149" t="s">
        <v>1454</v>
      </c>
      <c r="EM149" t="s">
        <v>1454</v>
      </c>
      <c r="EN149" t="s">
        <v>1454</v>
      </c>
      <c r="EO149" t="s">
        <v>1454</v>
      </c>
      <c r="EQ149" t="s">
        <v>1454</v>
      </c>
      <c r="ER149" t="s">
        <v>1454</v>
      </c>
      <c r="ES149" t="s">
        <v>1454</v>
      </c>
      <c r="EU149" t="s">
        <v>1454</v>
      </c>
      <c r="EV149" t="s">
        <v>1454</v>
      </c>
      <c r="EW149" t="s">
        <v>1454</v>
      </c>
      <c r="EY149" t="s">
        <v>1454</v>
      </c>
      <c r="EZ149" t="s">
        <v>1454</v>
      </c>
      <c r="FA149" t="s">
        <v>1454</v>
      </c>
      <c r="FC149" t="s">
        <v>1454</v>
      </c>
      <c r="FD149" t="s">
        <v>1454</v>
      </c>
      <c r="FE149" t="s">
        <v>1454</v>
      </c>
      <c r="FG149" t="s">
        <v>1454</v>
      </c>
      <c r="FH149" t="s">
        <v>1454</v>
      </c>
      <c r="FI149" t="s">
        <v>1454</v>
      </c>
      <c r="FK149" t="s">
        <v>1454</v>
      </c>
      <c r="FL149" t="s">
        <v>1454</v>
      </c>
      <c r="FM149" t="s">
        <v>1454</v>
      </c>
      <c r="FO149" t="s">
        <v>1454</v>
      </c>
      <c r="FP149" t="s">
        <v>1454</v>
      </c>
      <c r="FQ149" t="s">
        <v>1454</v>
      </c>
      <c r="FS149" t="s">
        <v>1454</v>
      </c>
      <c r="FT149" t="s">
        <v>1454</v>
      </c>
      <c r="FU149" t="s">
        <v>1454</v>
      </c>
      <c r="FW149" t="s">
        <v>1454</v>
      </c>
      <c r="FX149" t="s">
        <v>1454</v>
      </c>
      <c r="FY149" t="s">
        <v>1454</v>
      </c>
      <c r="GA149" t="s">
        <v>1454</v>
      </c>
      <c r="GB149" t="s">
        <v>1454</v>
      </c>
      <c r="GC149" t="s">
        <v>1454</v>
      </c>
      <c r="GE149" t="s">
        <v>1454</v>
      </c>
      <c r="GF149" t="s">
        <v>1454</v>
      </c>
      <c r="GG149" t="s">
        <v>1454</v>
      </c>
      <c r="GI149" t="s">
        <v>1454</v>
      </c>
      <c r="GJ149" t="s">
        <v>1454</v>
      </c>
      <c r="GK149" t="s">
        <v>1454</v>
      </c>
      <c r="GM149" t="s">
        <v>1454</v>
      </c>
      <c r="GN149" t="s">
        <v>1454</v>
      </c>
      <c r="GO149" t="s">
        <v>1454</v>
      </c>
      <c r="GQ149" t="s">
        <v>1612</v>
      </c>
    </row>
    <row r="150" spans="2:199" x14ac:dyDescent="0.25">
      <c r="B150" t="s">
        <v>504</v>
      </c>
      <c r="C150" t="s">
        <v>1454</v>
      </c>
      <c r="D150" t="s">
        <v>1454</v>
      </c>
      <c r="E150" t="s">
        <v>1454</v>
      </c>
      <c r="G150" t="s">
        <v>1454</v>
      </c>
      <c r="H150" t="s">
        <v>1454</v>
      </c>
      <c r="I150" t="s">
        <v>1454</v>
      </c>
      <c r="K150" t="s">
        <v>1454</v>
      </c>
      <c r="L150" t="s">
        <v>1454</v>
      </c>
      <c r="M150" t="s">
        <v>1454</v>
      </c>
      <c r="O150" t="s">
        <v>1454</v>
      </c>
      <c r="P150" t="s">
        <v>1454</v>
      </c>
      <c r="Q150" t="s">
        <v>1454</v>
      </c>
      <c r="S150" t="s">
        <v>1454</v>
      </c>
      <c r="T150" t="s">
        <v>1454</v>
      </c>
      <c r="U150" t="s">
        <v>1454</v>
      </c>
      <c r="W150" t="s">
        <v>1454</v>
      </c>
      <c r="X150" t="s">
        <v>1454</v>
      </c>
      <c r="Y150" t="s">
        <v>1454</v>
      </c>
      <c r="AA150" t="s">
        <v>1454</v>
      </c>
      <c r="AB150" t="s">
        <v>1454</v>
      </c>
      <c r="AC150" t="s">
        <v>1454</v>
      </c>
      <c r="AE150" t="s">
        <v>1454</v>
      </c>
      <c r="AF150" t="s">
        <v>1454</v>
      </c>
      <c r="AG150" t="s">
        <v>1454</v>
      </c>
      <c r="AI150" t="s">
        <v>1454</v>
      </c>
      <c r="AJ150" t="s">
        <v>1454</v>
      </c>
      <c r="AK150" t="s">
        <v>1454</v>
      </c>
      <c r="AM150" t="s">
        <v>1454</v>
      </c>
      <c r="AN150" t="s">
        <v>1454</v>
      </c>
      <c r="AO150" t="s">
        <v>1454</v>
      </c>
      <c r="AQ150" t="s">
        <v>1454</v>
      </c>
      <c r="AR150" t="s">
        <v>1454</v>
      </c>
      <c r="AS150" t="s">
        <v>1454</v>
      </c>
      <c r="AU150" t="s">
        <v>1454</v>
      </c>
      <c r="AV150" t="s">
        <v>1454</v>
      </c>
      <c r="AW150" t="s">
        <v>1454</v>
      </c>
      <c r="AY150" t="s">
        <v>1454</v>
      </c>
      <c r="AZ150" t="s">
        <v>1454</v>
      </c>
      <c r="BA150" t="s">
        <v>1454</v>
      </c>
      <c r="BC150" t="s">
        <v>1454</v>
      </c>
      <c r="BD150" t="s">
        <v>1454</v>
      </c>
      <c r="BE150" t="s">
        <v>1454</v>
      </c>
      <c r="BG150" t="s">
        <v>1454</v>
      </c>
      <c r="BH150" t="s">
        <v>1454</v>
      </c>
      <c r="BI150" t="s">
        <v>1454</v>
      </c>
      <c r="BK150" t="s">
        <v>1454</v>
      </c>
      <c r="BL150" t="s">
        <v>1454</v>
      </c>
      <c r="BM150" t="s">
        <v>1454</v>
      </c>
      <c r="BO150" t="s">
        <v>1454</v>
      </c>
      <c r="BP150" t="s">
        <v>1454</v>
      </c>
      <c r="BQ150" t="s">
        <v>1454</v>
      </c>
      <c r="BS150" t="s">
        <v>1454</v>
      </c>
      <c r="BT150" t="s">
        <v>1454</v>
      </c>
      <c r="BU150" t="s">
        <v>1454</v>
      </c>
      <c r="BW150" t="s">
        <v>1454</v>
      </c>
      <c r="BX150" t="s">
        <v>1454</v>
      </c>
      <c r="BY150" t="s">
        <v>1454</v>
      </c>
      <c r="CA150" t="s">
        <v>1454</v>
      </c>
      <c r="CB150" t="s">
        <v>1454</v>
      </c>
      <c r="CC150" t="s">
        <v>1454</v>
      </c>
      <c r="CE150" t="s">
        <v>1454</v>
      </c>
      <c r="CF150" t="s">
        <v>1454</v>
      </c>
      <c r="CG150" t="s">
        <v>1454</v>
      </c>
      <c r="CI150" t="s">
        <v>1454</v>
      </c>
      <c r="CJ150" t="s">
        <v>1454</v>
      </c>
      <c r="CK150" t="s">
        <v>1454</v>
      </c>
      <c r="CM150" t="s">
        <v>1454</v>
      </c>
      <c r="CN150" t="s">
        <v>1454</v>
      </c>
      <c r="CO150" t="s">
        <v>1454</v>
      </c>
      <c r="CQ150" t="s">
        <v>1454</v>
      </c>
      <c r="CR150" t="s">
        <v>1454</v>
      </c>
      <c r="CS150" t="s">
        <v>1454</v>
      </c>
      <c r="CU150" t="s">
        <v>1454</v>
      </c>
      <c r="CV150" t="s">
        <v>1454</v>
      </c>
      <c r="CW150" t="s">
        <v>1454</v>
      </c>
      <c r="CY150" t="s">
        <v>1454</v>
      </c>
      <c r="CZ150" t="s">
        <v>1454</v>
      </c>
      <c r="DA150" t="s">
        <v>1454</v>
      </c>
      <c r="DC150" t="s">
        <v>1454</v>
      </c>
      <c r="DD150" t="s">
        <v>1454</v>
      </c>
      <c r="DE150" t="s">
        <v>1454</v>
      </c>
      <c r="DG150" t="s">
        <v>1454</v>
      </c>
      <c r="DH150" t="s">
        <v>1454</v>
      </c>
      <c r="DI150" t="s">
        <v>1454</v>
      </c>
      <c r="DK150" t="s">
        <v>1454</v>
      </c>
      <c r="DL150" t="s">
        <v>1454</v>
      </c>
      <c r="DM150" t="s">
        <v>1454</v>
      </c>
      <c r="DO150" t="s">
        <v>1454</v>
      </c>
      <c r="DP150" t="s">
        <v>1454</v>
      </c>
      <c r="DQ150" t="s">
        <v>1454</v>
      </c>
      <c r="DS150" t="s">
        <v>1454</v>
      </c>
      <c r="DT150" t="s">
        <v>1454</v>
      </c>
      <c r="DU150" t="s">
        <v>1454</v>
      </c>
      <c r="DW150" t="s">
        <v>1454</v>
      </c>
      <c r="DX150" t="s">
        <v>1454</v>
      </c>
      <c r="DY150" t="s">
        <v>1454</v>
      </c>
      <c r="EA150" t="s">
        <v>1454</v>
      </c>
      <c r="EB150" t="s">
        <v>1454</v>
      </c>
      <c r="EC150" t="s">
        <v>1454</v>
      </c>
      <c r="EE150" t="s">
        <v>1454</v>
      </c>
      <c r="EF150" t="s">
        <v>1454</v>
      </c>
      <c r="EG150" t="s">
        <v>1454</v>
      </c>
      <c r="EI150" t="s">
        <v>1454</v>
      </c>
      <c r="EJ150" t="s">
        <v>1454</v>
      </c>
      <c r="EK150" t="s">
        <v>1454</v>
      </c>
      <c r="EM150" t="s">
        <v>1454</v>
      </c>
      <c r="EN150" t="s">
        <v>1454</v>
      </c>
      <c r="EO150" t="s">
        <v>1454</v>
      </c>
      <c r="EQ150" t="s">
        <v>1454</v>
      </c>
      <c r="ER150" t="s">
        <v>1454</v>
      </c>
      <c r="ES150" t="s">
        <v>1454</v>
      </c>
      <c r="EU150" t="s">
        <v>1454</v>
      </c>
      <c r="EV150" t="s">
        <v>1454</v>
      </c>
      <c r="EW150" t="s">
        <v>1454</v>
      </c>
      <c r="EY150" t="s">
        <v>1454</v>
      </c>
      <c r="EZ150" t="s">
        <v>1454</v>
      </c>
      <c r="FA150" t="s">
        <v>1454</v>
      </c>
      <c r="FC150" t="s">
        <v>1454</v>
      </c>
      <c r="FD150" t="s">
        <v>1454</v>
      </c>
      <c r="FE150" t="s">
        <v>1454</v>
      </c>
      <c r="FG150" t="s">
        <v>1454</v>
      </c>
      <c r="FH150" t="s">
        <v>1454</v>
      </c>
      <c r="FI150" t="s">
        <v>1454</v>
      </c>
      <c r="FK150" t="s">
        <v>643</v>
      </c>
      <c r="FL150" t="s">
        <v>1454</v>
      </c>
      <c r="FM150" t="s">
        <v>1454</v>
      </c>
      <c r="FO150" t="s">
        <v>1454</v>
      </c>
      <c r="FP150" t="s">
        <v>1454</v>
      </c>
      <c r="FQ150" t="s">
        <v>1454</v>
      </c>
      <c r="FS150" t="s">
        <v>1454</v>
      </c>
      <c r="FT150" t="s">
        <v>1454</v>
      </c>
      <c r="FU150" t="s">
        <v>1454</v>
      </c>
      <c r="FW150" t="s">
        <v>1454</v>
      </c>
      <c r="FX150" t="s">
        <v>1454</v>
      </c>
      <c r="FY150" t="s">
        <v>1454</v>
      </c>
      <c r="GA150" t="s">
        <v>1454</v>
      </c>
      <c r="GB150" t="s">
        <v>1454</v>
      </c>
      <c r="GC150" t="s">
        <v>1454</v>
      </c>
      <c r="GE150" t="s">
        <v>1454</v>
      </c>
      <c r="GF150" t="s">
        <v>1454</v>
      </c>
      <c r="GG150" t="s">
        <v>1454</v>
      </c>
      <c r="GI150" t="s">
        <v>1454</v>
      </c>
      <c r="GJ150" t="s">
        <v>1454</v>
      </c>
      <c r="GK150" t="s">
        <v>1454</v>
      </c>
      <c r="GM150" t="s">
        <v>1454</v>
      </c>
      <c r="GN150" t="s">
        <v>1454</v>
      </c>
      <c r="GO150" t="s">
        <v>1454</v>
      </c>
      <c r="GQ150" t="s">
        <v>1483</v>
      </c>
    </row>
    <row r="151" spans="2:199" s="11" customFormat="1" x14ac:dyDescent="0.25">
      <c r="B151" t="s">
        <v>505</v>
      </c>
      <c r="C151" t="s">
        <v>1454</v>
      </c>
      <c r="D151" t="s">
        <v>1454</v>
      </c>
      <c r="E151" t="s">
        <v>1454</v>
      </c>
      <c r="F151"/>
      <c r="G151" t="s">
        <v>1454</v>
      </c>
      <c r="H151" t="s">
        <v>1454</v>
      </c>
      <c r="I151" t="s">
        <v>1454</v>
      </c>
      <c r="J151"/>
      <c r="K151" t="s">
        <v>1454</v>
      </c>
      <c r="L151" t="s">
        <v>1454</v>
      </c>
      <c r="M151" t="s">
        <v>1454</v>
      </c>
      <c r="N151"/>
      <c r="O151" t="s">
        <v>1454</v>
      </c>
      <c r="P151" t="s">
        <v>1454</v>
      </c>
      <c r="Q151" t="s">
        <v>1454</v>
      </c>
      <c r="R151"/>
      <c r="S151" t="s">
        <v>1454</v>
      </c>
      <c r="T151" t="s">
        <v>1454</v>
      </c>
      <c r="U151" t="s">
        <v>1454</v>
      </c>
      <c r="V151"/>
      <c r="W151" t="s">
        <v>1454</v>
      </c>
      <c r="X151" t="s">
        <v>1454</v>
      </c>
      <c r="Y151" t="s">
        <v>1454</v>
      </c>
      <c r="Z151"/>
      <c r="AA151" t="s">
        <v>1454</v>
      </c>
      <c r="AB151" t="s">
        <v>1454</v>
      </c>
      <c r="AC151" t="s">
        <v>1454</v>
      </c>
      <c r="AD151"/>
      <c r="AE151" t="s">
        <v>1454</v>
      </c>
      <c r="AF151" t="s">
        <v>1454</v>
      </c>
      <c r="AG151" t="s">
        <v>1454</v>
      </c>
      <c r="AH151"/>
      <c r="AI151" t="s">
        <v>1454</v>
      </c>
      <c r="AJ151" t="s">
        <v>1454</v>
      </c>
      <c r="AK151" t="s">
        <v>1454</v>
      </c>
      <c r="AL151"/>
      <c r="AM151" t="s">
        <v>1454</v>
      </c>
      <c r="AN151" t="s">
        <v>1454</v>
      </c>
      <c r="AO151" t="s">
        <v>1454</v>
      </c>
      <c r="AP151"/>
      <c r="AQ151" t="s">
        <v>1454</v>
      </c>
      <c r="AR151" t="s">
        <v>1454</v>
      </c>
      <c r="AS151" t="s">
        <v>1454</v>
      </c>
      <c r="AT151"/>
      <c r="AU151" t="s">
        <v>1454</v>
      </c>
      <c r="AV151" t="s">
        <v>1454</v>
      </c>
      <c r="AW151" t="s">
        <v>1454</v>
      </c>
      <c r="AX151"/>
      <c r="AY151" t="s">
        <v>1454</v>
      </c>
      <c r="AZ151" t="s">
        <v>1454</v>
      </c>
      <c r="BA151" t="s">
        <v>1454</v>
      </c>
      <c r="BB151"/>
      <c r="BC151" t="s">
        <v>1454</v>
      </c>
      <c r="BD151" t="s">
        <v>1454</v>
      </c>
      <c r="BE151" t="s">
        <v>1454</v>
      </c>
      <c r="BF151"/>
      <c r="BG151" t="s">
        <v>1454</v>
      </c>
      <c r="BH151" t="s">
        <v>1454</v>
      </c>
      <c r="BI151" t="s">
        <v>1454</v>
      </c>
      <c r="BJ151"/>
      <c r="BK151" t="s">
        <v>1454</v>
      </c>
      <c r="BL151" t="s">
        <v>1454</v>
      </c>
      <c r="BM151" t="s">
        <v>1454</v>
      </c>
      <c r="BN151"/>
      <c r="BO151" t="s">
        <v>1454</v>
      </c>
      <c r="BP151" t="s">
        <v>1454</v>
      </c>
      <c r="BQ151" t="s">
        <v>1454</v>
      </c>
      <c r="BR151"/>
      <c r="BS151" t="s">
        <v>1454</v>
      </c>
      <c r="BT151" t="s">
        <v>1454</v>
      </c>
      <c r="BU151" t="s">
        <v>1454</v>
      </c>
      <c r="BV151"/>
      <c r="BW151" t="s">
        <v>1454</v>
      </c>
      <c r="BX151" t="s">
        <v>1454</v>
      </c>
      <c r="BY151" t="s">
        <v>1454</v>
      </c>
      <c r="BZ151"/>
      <c r="CA151" t="s">
        <v>1454</v>
      </c>
      <c r="CB151" t="s">
        <v>1454</v>
      </c>
      <c r="CC151" t="s">
        <v>1454</v>
      </c>
      <c r="CD151"/>
      <c r="CE151" t="s">
        <v>1454</v>
      </c>
      <c r="CF151" t="s">
        <v>1454</v>
      </c>
      <c r="CG151" t="s">
        <v>1454</v>
      </c>
      <c r="CH151"/>
      <c r="CI151" t="s">
        <v>1454</v>
      </c>
      <c r="CJ151" t="s">
        <v>1454</v>
      </c>
      <c r="CK151" t="s">
        <v>1454</v>
      </c>
      <c r="CL151"/>
      <c r="CM151" t="s">
        <v>1454</v>
      </c>
      <c r="CN151" t="s">
        <v>1454</v>
      </c>
      <c r="CO151" t="s">
        <v>1454</v>
      </c>
      <c r="CP151"/>
      <c r="CQ151" t="s">
        <v>1454</v>
      </c>
      <c r="CR151" t="s">
        <v>1454</v>
      </c>
      <c r="CS151" t="s">
        <v>1454</v>
      </c>
      <c r="CT151"/>
      <c r="CU151" t="s">
        <v>1454</v>
      </c>
      <c r="CV151" t="s">
        <v>1454</v>
      </c>
      <c r="CW151" t="s">
        <v>1454</v>
      </c>
      <c r="CX151"/>
      <c r="CY151" t="s">
        <v>1454</v>
      </c>
      <c r="CZ151" t="s">
        <v>1454</v>
      </c>
      <c r="DA151" t="s">
        <v>1454</v>
      </c>
      <c r="DB151"/>
      <c r="DC151" t="s">
        <v>1454</v>
      </c>
      <c r="DD151" t="s">
        <v>1454</v>
      </c>
      <c r="DE151" t="s">
        <v>1454</v>
      </c>
      <c r="DF151"/>
      <c r="DG151" t="s">
        <v>1454</v>
      </c>
      <c r="DH151" t="s">
        <v>1454</v>
      </c>
      <c r="DI151" t="s">
        <v>1454</v>
      </c>
      <c r="DJ151"/>
      <c r="DK151" t="s">
        <v>1454</v>
      </c>
      <c r="DL151" t="s">
        <v>1454</v>
      </c>
      <c r="DM151" t="s">
        <v>1454</v>
      </c>
      <c r="DN151"/>
      <c r="DO151" t="s">
        <v>1454</v>
      </c>
      <c r="DP151" t="s">
        <v>1454</v>
      </c>
      <c r="DQ151" t="s">
        <v>1454</v>
      </c>
      <c r="DR151"/>
      <c r="DS151" t="s">
        <v>632</v>
      </c>
      <c r="DT151" t="s">
        <v>1454</v>
      </c>
      <c r="DU151" t="s">
        <v>1454</v>
      </c>
      <c r="DV151"/>
      <c r="DW151" t="s">
        <v>1454</v>
      </c>
      <c r="DX151" t="s">
        <v>1454</v>
      </c>
      <c r="DY151" t="s">
        <v>1454</v>
      </c>
      <c r="DZ151"/>
      <c r="EA151" t="s">
        <v>1454</v>
      </c>
      <c r="EB151" t="s">
        <v>1454</v>
      </c>
      <c r="EC151" t="s">
        <v>1454</v>
      </c>
      <c r="ED151"/>
      <c r="EE151" t="s">
        <v>1454</v>
      </c>
      <c r="EF151" t="s">
        <v>1454</v>
      </c>
      <c r="EG151" t="s">
        <v>1454</v>
      </c>
      <c r="EH151"/>
      <c r="EI151" t="s">
        <v>1454</v>
      </c>
      <c r="EJ151" t="s">
        <v>1454</v>
      </c>
      <c r="EK151" t="s">
        <v>1454</v>
      </c>
      <c r="EL151"/>
      <c r="EM151" t="s">
        <v>1454</v>
      </c>
      <c r="EN151" t="s">
        <v>1454</v>
      </c>
      <c r="EO151" t="s">
        <v>1454</v>
      </c>
      <c r="EP151"/>
      <c r="EQ151" t="s">
        <v>1454</v>
      </c>
      <c r="ER151" t="s">
        <v>1454</v>
      </c>
      <c r="ES151" t="s">
        <v>1454</v>
      </c>
      <c r="ET151"/>
      <c r="EU151" t="s">
        <v>1454</v>
      </c>
      <c r="EV151" t="s">
        <v>1454</v>
      </c>
      <c r="EW151" t="s">
        <v>1454</v>
      </c>
      <c r="EX151"/>
      <c r="EY151" t="s">
        <v>1454</v>
      </c>
      <c r="EZ151" t="s">
        <v>1454</v>
      </c>
      <c r="FA151" t="s">
        <v>1454</v>
      </c>
      <c r="FB151"/>
      <c r="FC151" t="s">
        <v>1454</v>
      </c>
      <c r="FD151" t="s">
        <v>1454</v>
      </c>
      <c r="FE151" t="s">
        <v>1454</v>
      </c>
      <c r="FF151"/>
      <c r="FG151" t="s">
        <v>1454</v>
      </c>
      <c r="FH151" t="s">
        <v>1454</v>
      </c>
      <c r="FI151" t="s">
        <v>1454</v>
      </c>
      <c r="FJ151"/>
      <c r="FK151" t="s">
        <v>1454</v>
      </c>
      <c r="FL151" t="s">
        <v>1454</v>
      </c>
      <c r="FM151" t="s">
        <v>1454</v>
      </c>
      <c r="FN151"/>
      <c r="FO151" t="s">
        <v>1454</v>
      </c>
      <c r="FP151" t="s">
        <v>1454</v>
      </c>
      <c r="FQ151" t="s">
        <v>1454</v>
      </c>
      <c r="FR151"/>
      <c r="FS151" t="s">
        <v>1454</v>
      </c>
      <c r="FT151" t="s">
        <v>1454</v>
      </c>
      <c r="FU151" t="s">
        <v>1454</v>
      </c>
      <c r="FV151"/>
      <c r="FW151" t="s">
        <v>1454</v>
      </c>
      <c r="FX151" t="s">
        <v>1454</v>
      </c>
      <c r="FY151" t="s">
        <v>1454</v>
      </c>
      <c r="FZ151"/>
      <c r="GA151" t="s">
        <v>1454</v>
      </c>
      <c r="GB151" t="s">
        <v>1454</v>
      </c>
      <c r="GC151" t="s">
        <v>1454</v>
      </c>
      <c r="GD151"/>
      <c r="GE151" t="s">
        <v>1454</v>
      </c>
      <c r="GF151" t="s">
        <v>1454</v>
      </c>
      <c r="GG151" t="s">
        <v>1454</v>
      </c>
      <c r="GH151"/>
      <c r="GI151" t="s">
        <v>1454</v>
      </c>
      <c r="GJ151" t="s">
        <v>1454</v>
      </c>
      <c r="GK151" t="s">
        <v>1454</v>
      </c>
      <c r="GL151"/>
      <c r="GM151" t="s">
        <v>1454</v>
      </c>
      <c r="GN151" t="s">
        <v>1454</v>
      </c>
      <c r="GO151" t="s">
        <v>1454</v>
      </c>
      <c r="GP151"/>
      <c r="GQ151" t="s">
        <v>1482</v>
      </c>
    </row>
    <row r="152" spans="2:199" x14ac:dyDescent="0.25">
      <c r="B152" t="s">
        <v>506</v>
      </c>
      <c r="C152" t="s">
        <v>1454</v>
      </c>
      <c r="D152" t="s">
        <v>1454</v>
      </c>
      <c r="E152" t="s">
        <v>1454</v>
      </c>
      <c r="G152" t="s">
        <v>1454</v>
      </c>
      <c r="H152" t="s">
        <v>1454</v>
      </c>
      <c r="I152" t="s">
        <v>1454</v>
      </c>
      <c r="K152" t="s">
        <v>1454</v>
      </c>
      <c r="L152" t="s">
        <v>1454</v>
      </c>
      <c r="M152" t="s">
        <v>1454</v>
      </c>
      <c r="O152" t="s">
        <v>1454</v>
      </c>
      <c r="P152" t="s">
        <v>1454</v>
      </c>
      <c r="Q152" t="s">
        <v>1454</v>
      </c>
      <c r="S152" t="s">
        <v>1454</v>
      </c>
      <c r="T152" t="s">
        <v>1454</v>
      </c>
      <c r="U152" t="s">
        <v>1454</v>
      </c>
      <c r="W152" t="s">
        <v>1454</v>
      </c>
      <c r="X152" t="s">
        <v>1454</v>
      </c>
      <c r="Y152" t="s">
        <v>1454</v>
      </c>
      <c r="AA152" t="s">
        <v>1454</v>
      </c>
      <c r="AB152" t="s">
        <v>1454</v>
      </c>
      <c r="AC152" t="s">
        <v>1454</v>
      </c>
      <c r="AE152" t="s">
        <v>1454</v>
      </c>
      <c r="AF152" t="s">
        <v>1454</v>
      </c>
      <c r="AG152" t="s">
        <v>1454</v>
      </c>
      <c r="AI152" t="s">
        <v>1454</v>
      </c>
      <c r="AJ152" t="s">
        <v>1454</v>
      </c>
      <c r="AK152" t="s">
        <v>1454</v>
      </c>
      <c r="AM152" t="s">
        <v>1454</v>
      </c>
      <c r="AN152" t="s">
        <v>1454</v>
      </c>
      <c r="AO152" t="s">
        <v>1454</v>
      </c>
      <c r="AQ152" t="s">
        <v>1454</v>
      </c>
      <c r="AR152" t="s">
        <v>1454</v>
      </c>
      <c r="AS152" t="s">
        <v>1454</v>
      </c>
      <c r="AU152" t="s">
        <v>1454</v>
      </c>
      <c r="AV152" t="s">
        <v>1454</v>
      </c>
      <c r="AW152" t="s">
        <v>1454</v>
      </c>
      <c r="AY152" t="s">
        <v>1454</v>
      </c>
      <c r="AZ152" t="s">
        <v>1454</v>
      </c>
      <c r="BA152" t="s">
        <v>1454</v>
      </c>
      <c r="BC152" t="s">
        <v>1454</v>
      </c>
      <c r="BD152" t="s">
        <v>1454</v>
      </c>
      <c r="BE152" t="s">
        <v>1454</v>
      </c>
      <c r="BG152" t="s">
        <v>1454</v>
      </c>
      <c r="BH152" t="s">
        <v>1454</v>
      </c>
      <c r="BI152" t="s">
        <v>1454</v>
      </c>
      <c r="BK152" t="s">
        <v>1454</v>
      </c>
      <c r="BL152" t="s">
        <v>1454</v>
      </c>
      <c r="BM152" t="s">
        <v>1454</v>
      </c>
      <c r="BO152" t="s">
        <v>1454</v>
      </c>
      <c r="BP152" t="s">
        <v>1454</v>
      </c>
      <c r="BQ152" t="s">
        <v>1454</v>
      </c>
      <c r="BS152" t="s">
        <v>1454</v>
      </c>
      <c r="BT152" t="s">
        <v>1454</v>
      </c>
      <c r="BU152" t="s">
        <v>1454</v>
      </c>
      <c r="BW152" t="s">
        <v>1454</v>
      </c>
      <c r="BX152" t="s">
        <v>1454</v>
      </c>
      <c r="BY152" t="s">
        <v>1454</v>
      </c>
      <c r="CA152" t="s">
        <v>1454</v>
      </c>
      <c r="CB152" t="s">
        <v>1454</v>
      </c>
      <c r="CC152" t="s">
        <v>1454</v>
      </c>
      <c r="CE152" t="s">
        <v>1454</v>
      </c>
      <c r="CF152" t="s">
        <v>1454</v>
      </c>
      <c r="CG152" t="s">
        <v>1454</v>
      </c>
      <c r="CI152" t="s">
        <v>1454</v>
      </c>
      <c r="CJ152" t="s">
        <v>1454</v>
      </c>
      <c r="CK152" t="s">
        <v>1454</v>
      </c>
      <c r="CM152" t="s">
        <v>1454</v>
      </c>
      <c r="CN152" t="s">
        <v>1454</v>
      </c>
      <c r="CO152" t="s">
        <v>1454</v>
      </c>
      <c r="CQ152" t="s">
        <v>1454</v>
      </c>
      <c r="CR152" t="s">
        <v>1454</v>
      </c>
      <c r="CS152" t="s">
        <v>1454</v>
      </c>
      <c r="CU152" t="s">
        <v>1454</v>
      </c>
      <c r="CV152" t="s">
        <v>1454</v>
      </c>
      <c r="CW152" t="s">
        <v>1454</v>
      </c>
      <c r="CY152" t="s">
        <v>1454</v>
      </c>
      <c r="CZ152" t="s">
        <v>1454</v>
      </c>
      <c r="DA152" t="s">
        <v>1454</v>
      </c>
      <c r="DC152" t="s">
        <v>1454</v>
      </c>
      <c r="DD152" t="s">
        <v>1454</v>
      </c>
      <c r="DE152" t="s">
        <v>1454</v>
      </c>
      <c r="DG152" t="s">
        <v>1454</v>
      </c>
      <c r="DH152" t="s">
        <v>1454</v>
      </c>
      <c r="DI152" t="s">
        <v>1454</v>
      </c>
      <c r="DK152" t="s">
        <v>1454</v>
      </c>
      <c r="DL152" t="s">
        <v>1454</v>
      </c>
      <c r="DM152" t="s">
        <v>1454</v>
      </c>
      <c r="DO152" t="s">
        <v>631</v>
      </c>
      <c r="DP152" t="s">
        <v>1454</v>
      </c>
      <c r="DQ152" t="s">
        <v>1454</v>
      </c>
      <c r="DS152" t="s">
        <v>632</v>
      </c>
      <c r="DT152" t="s">
        <v>1454</v>
      </c>
      <c r="DU152" t="s">
        <v>1454</v>
      </c>
      <c r="DW152" t="s">
        <v>1454</v>
      </c>
      <c r="DX152" t="s">
        <v>1454</v>
      </c>
      <c r="DY152" t="s">
        <v>1454</v>
      </c>
      <c r="EA152" t="s">
        <v>1454</v>
      </c>
      <c r="EB152" t="s">
        <v>1454</v>
      </c>
      <c r="EC152" t="s">
        <v>1454</v>
      </c>
      <c r="EE152" t="s">
        <v>1454</v>
      </c>
      <c r="EF152" t="s">
        <v>1454</v>
      </c>
      <c r="EG152" t="s">
        <v>1454</v>
      </c>
      <c r="EI152" t="s">
        <v>1454</v>
      </c>
      <c r="EJ152" t="s">
        <v>1454</v>
      </c>
      <c r="EK152" t="s">
        <v>1454</v>
      </c>
      <c r="EM152" t="s">
        <v>1454</v>
      </c>
      <c r="EN152" t="s">
        <v>1454</v>
      </c>
      <c r="EO152" t="s">
        <v>1454</v>
      </c>
      <c r="EQ152" t="s">
        <v>1454</v>
      </c>
      <c r="ER152" t="s">
        <v>1454</v>
      </c>
      <c r="ES152" t="s">
        <v>1454</v>
      </c>
      <c r="EU152" t="s">
        <v>1454</v>
      </c>
      <c r="EV152" t="s">
        <v>1454</v>
      </c>
      <c r="EW152" t="s">
        <v>1454</v>
      </c>
      <c r="EY152" t="s">
        <v>1454</v>
      </c>
      <c r="EZ152" t="s">
        <v>1454</v>
      </c>
      <c r="FA152" t="s">
        <v>1454</v>
      </c>
      <c r="FC152" t="s">
        <v>1454</v>
      </c>
      <c r="FD152" t="s">
        <v>1454</v>
      </c>
      <c r="FE152" t="s">
        <v>1454</v>
      </c>
      <c r="FG152" t="s">
        <v>1454</v>
      </c>
      <c r="FH152" t="s">
        <v>1454</v>
      </c>
      <c r="FI152" t="s">
        <v>1454</v>
      </c>
      <c r="FK152" t="s">
        <v>1454</v>
      </c>
      <c r="FL152" t="s">
        <v>1454</v>
      </c>
      <c r="FM152" t="s">
        <v>1454</v>
      </c>
      <c r="FO152" t="s">
        <v>1454</v>
      </c>
      <c r="FP152" t="s">
        <v>1454</v>
      </c>
      <c r="FQ152" t="s">
        <v>1454</v>
      </c>
      <c r="FS152" t="s">
        <v>1454</v>
      </c>
      <c r="FT152" t="s">
        <v>1454</v>
      </c>
      <c r="FU152" t="s">
        <v>1454</v>
      </c>
      <c r="FW152" t="s">
        <v>1454</v>
      </c>
      <c r="FX152" t="s">
        <v>1454</v>
      </c>
      <c r="FY152" t="s">
        <v>1454</v>
      </c>
      <c r="GA152" t="s">
        <v>1454</v>
      </c>
      <c r="GB152" t="s">
        <v>1454</v>
      </c>
      <c r="GC152" t="s">
        <v>1454</v>
      </c>
      <c r="GE152" t="s">
        <v>1454</v>
      </c>
      <c r="GF152" t="s">
        <v>1454</v>
      </c>
      <c r="GG152" t="s">
        <v>1454</v>
      </c>
      <c r="GI152" t="s">
        <v>1454</v>
      </c>
      <c r="GJ152" t="s">
        <v>1454</v>
      </c>
      <c r="GK152" t="s">
        <v>1454</v>
      </c>
      <c r="GM152" t="s">
        <v>1454</v>
      </c>
      <c r="GN152" t="s">
        <v>1454</v>
      </c>
      <c r="GO152" t="s">
        <v>1454</v>
      </c>
      <c r="GQ152" t="s">
        <v>1613</v>
      </c>
    </row>
    <row r="153" spans="2:199" x14ac:dyDescent="0.25">
      <c r="B153" t="s">
        <v>507</v>
      </c>
      <c r="C153" t="s">
        <v>1454</v>
      </c>
      <c r="D153" t="s">
        <v>1454</v>
      </c>
      <c r="E153" t="s">
        <v>1454</v>
      </c>
      <c r="G153" t="s">
        <v>1454</v>
      </c>
      <c r="H153" t="s">
        <v>1454</v>
      </c>
      <c r="I153" t="s">
        <v>1454</v>
      </c>
      <c r="K153" t="s">
        <v>1454</v>
      </c>
      <c r="L153" t="s">
        <v>1454</v>
      </c>
      <c r="M153" t="s">
        <v>1454</v>
      </c>
      <c r="O153" t="s">
        <v>1454</v>
      </c>
      <c r="P153" t="s">
        <v>1454</v>
      </c>
      <c r="Q153" t="s">
        <v>1454</v>
      </c>
      <c r="S153" t="s">
        <v>606</v>
      </c>
      <c r="T153" t="s">
        <v>1454</v>
      </c>
      <c r="U153" t="s">
        <v>1454</v>
      </c>
      <c r="W153" t="s">
        <v>1454</v>
      </c>
      <c r="X153" t="s">
        <v>1454</v>
      </c>
      <c r="Y153" t="s">
        <v>1454</v>
      </c>
      <c r="AA153" t="s">
        <v>1454</v>
      </c>
      <c r="AB153" t="s">
        <v>1454</v>
      </c>
      <c r="AC153" t="s">
        <v>1454</v>
      </c>
      <c r="AE153" t="s">
        <v>1454</v>
      </c>
      <c r="AF153" t="s">
        <v>1454</v>
      </c>
      <c r="AG153" t="s">
        <v>1454</v>
      </c>
      <c r="AI153" t="s">
        <v>1454</v>
      </c>
      <c r="AJ153" t="s">
        <v>1454</v>
      </c>
      <c r="AK153" t="s">
        <v>1454</v>
      </c>
      <c r="AM153" t="s">
        <v>1454</v>
      </c>
      <c r="AN153" t="s">
        <v>1454</v>
      </c>
      <c r="AO153" t="s">
        <v>1454</v>
      </c>
      <c r="AQ153" t="s">
        <v>1454</v>
      </c>
      <c r="AR153" t="s">
        <v>1454</v>
      </c>
      <c r="AS153" t="s">
        <v>1454</v>
      </c>
      <c r="AU153" t="s">
        <v>1454</v>
      </c>
      <c r="AV153" t="s">
        <v>1454</v>
      </c>
      <c r="AW153" t="s">
        <v>1454</v>
      </c>
      <c r="AY153" t="s">
        <v>1454</v>
      </c>
      <c r="AZ153" t="s">
        <v>1454</v>
      </c>
      <c r="BA153" t="s">
        <v>1454</v>
      </c>
      <c r="BC153" t="s">
        <v>1454</v>
      </c>
      <c r="BD153" t="s">
        <v>1454</v>
      </c>
      <c r="BE153" t="s">
        <v>1454</v>
      </c>
      <c r="BG153" t="s">
        <v>1454</v>
      </c>
      <c r="BH153" t="s">
        <v>1454</v>
      </c>
      <c r="BI153" t="s">
        <v>1454</v>
      </c>
      <c r="BK153" t="s">
        <v>617</v>
      </c>
      <c r="BL153" t="s">
        <v>1454</v>
      </c>
      <c r="BM153" t="s">
        <v>1454</v>
      </c>
      <c r="BO153" t="s">
        <v>1454</v>
      </c>
      <c r="BP153" t="s">
        <v>1454</v>
      </c>
      <c r="BQ153" t="s">
        <v>1454</v>
      </c>
      <c r="BS153" t="s">
        <v>1454</v>
      </c>
      <c r="BT153" t="s">
        <v>1454</v>
      </c>
      <c r="BU153" t="s">
        <v>1454</v>
      </c>
      <c r="BW153" t="s">
        <v>1454</v>
      </c>
      <c r="BX153" t="s">
        <v>1454</v>
      </c>
      <c r="BY153" t="s">
        <v>1454</v>
      </c>
      <c r="CA153" t="s">
        <v>1454</v>
      </c>
      <c r="CB153" t="s">
        <v>1454</v>
      </c>
      <c r="CC153" t="s">
        <v>1454</v>
      </c>
      <c r="CE153" t="s">
        <v>1454</v>
      </c>
      <c r="CF153" t="s">
        <v>1454</v>
      </c>
      <c r="CG153" t="s">
        <v>1454</v>
      </c>
      <c r="CI153" t="s">
        <v>1454</v>
      </c>
      <c r="CJ153" t="s">
        <v>1454</v>
      </c>
      <c r="CK153" t="s">
        <v>1454</v>
      </c>
      <c r="CM153" t="s">
        <v>1454</v>
      </c>
      <c r="CN153" t="s">
        <v>1454</v>
      </c>
      <c r="CO153" t="s">
        <v>1454</v>
      </c>
      <c r="CQ153" t="s">
        <v>1454</v>
      </c>
      <c r="CR153" t="s">
        <v>1454</v>
      </c>
      <c r="CS153" t="s">
        <v>1454</v>
      </c>
      <c r="CU153" t="s">
        <v>1454</v>
      </c>
      <c r="CV153" t="s">
        <v>1454</v>
      </c>
      <c r="CW153" t="s">
        <v>1454</v>
      </c>
      <c r="CY153" t="s">
        <v>627</v>
      </c>
      <c r="CZ153" t="s">
        <v>1454</v>
      </c>
      <c r="DA153" t="s">
        <v>1454</v>
      </c>
      <c r="DC153" t="s">
        <v>1454</v>
      </c>
      <c r="DD153" t="s">
        <v>1454</v>
      </c>
      <c r="DE153" t="s">
        <v>1454</v>
      </c>
      <c r="DG153" t="s">
        <v>1454</v>
      </c>
      <c r="DH153" t="s">
        <v>1454</v>
      </c>
      <c r="DI153" t="s">
        <v>1454</v>
      </c>
      <c r="DK153" t="s">
        <v>1454</v>
      </c>
      <c r="DL153" t="s">
        <v>1454</v>
      </c>
      <c r="DM153" t="s">
        <v>1454</v>
      </c>
      <c r="DO153" t="s">
        <v>1454</v>
      </c>
      <c r="DP153" t="s">
        <v>1454</v>
      </c>
      <c r="DQ153" t="s">
        <v>1454</v>
      </c>
      <c r="DS153" t="s">
        <v>1454</v>
      </c>
      <c r="DT153" t="s">
        <v>1454</v>
      </c>
      <c r="DU153" t="s">
        <v>1454</v>
      </c>
      <c r="DW153" t="s">
        <v>1454</v>
      </c>
      <c r="DX153" t="s">
        <v>1454</v>
      </c>
      <c r="DY153" t="s">
        <v>1454</v>
      </c>
      <c r="EA153" t="s">
        <v>1454</v>
      </c>
      <c r="EB153" t="s">
        <v>1454</v>
      </c>
      <c r="EC153" t="s">
        <v>1454</v>
      </c>
      <c r="EE153" t="s">
        <v>1454</v>
      </c>
      <c r="EF153" t="s">
        <v>1454</v>
      </c>
      <c r="EG153" t="s">
        <v>1454</v>
      </c>
      <c r="EI153" t="s">
        <v>1454</v>
      </c>
      <c r="EJ153" t="s">
        <v>1454</v>
      </c>
      <c r="EK153" t="s">
        <v>1454</v>
      </c>
      <c r="EM153" t="s">
        <v>1454</v>
      </c>
      <c r="EN153" t="s">
        <v>1454</v>
      </c>
      <c r="EO153" t="s">
        <v>1454</v>
      </c>
      <c r="EQ153" t="s">
        <v>1454</v>
      </c>
      <c r="ER153" t="s">
        <v>1454</v>
      </c>
      <c r="ES153" t="s">
        <v>1454</v>
      </c>
      <c r="EU153" t="s">
        <v>1454</v>
      </c>
      <c r="EV153" t="s">
        <v>1454</v>
      </c>
      <c r="EW153" t="s">
        <v>1454</v>
      </c>
      <c r="EY153" t="s">
        <v>1454</v>
      </c>
      <c r="EZ153" t="s">
        <v>1454</v>
      </c>
      <c r="FA153" t="s">
        <v>1454</v>
      </c>
      <c r="FC153" t="s">
        <v>1454</v>
      </c>
      <c r="FD153" t="s">
        <v>1454</v>
      </c>
      <c r="FE153" t="s">
        <v>1454</v>
      </c>
      <c r="FG153" t="s">
        <v>1454</v>
      </c>
      <c r="FH153" t="s">
        <v>1454</v>
      </c>
      <c r="FI153" t="s">
        <v>1454</v>
      </c>
      <c r="FK153" t="s">
        <v>1454</v>
      </c>
      <c r="FL153" t="s">
        <v>1454</v>
      </c>
      <c r="FM153" t="s">
        <v>1454</v>
      </c>
      <c r="FO153" t="s">
        <v>1454</v>
      </c>
      <c r="FP153" t="s">
        <v>1454</v>
      </c>
      <c r="FQ153" t="s">
        <v>1454</v>
      </c>
      <c r="FS153" t="s">
        <v>1454</v>
      </c>
      <c r="FT153" t="s">
        <v>1454</v>
      </c>
      <c r="FU153" t="s">
        <v>1454</v>
      </c>
      <c r="FW153" t="s">
        <v>1454</v>
      </c>
      <c r="FX153" t="s">
        <v>1454</v>
      </c>
      <c r="FY153" t="s">
        <v>1454</v>
      </c>
      <c r="GA153" t="s">
        <v>1454</v>
      </c>
      <c r="GB153" t="s">
        <v>1454</v>
      </c>
      <c r="GC153" t="s">
        <v>1454</v>
      </c>
      <c r="GE153" t="s">
        <v>1454</v>
      </c>
      <c r="GF153" t="s">
        <v>1454</v>
      </c>
      <c r="GG153" t="s">
        <v>1454</v>
      </c>
      <c r="GI153" t="s">
        <v>1454</v>
      </c>
      <c r="GJ153" t="s">
        <v>1454</v>
      </c>
      <c r="GK153" t="s">
        <v>1454</v>
      </c>
      <c r="GM153" t="s">
        <v>1454</v>
      </c>
      <c r="GN153" t="s">
        <v>1454</v>
      </c>
      <c r="GO153" t="s">
        <v>1454</v>
      </c>
      <c r="GQ153" t="s">
        <v>1614</v>
      </c>
    </row>
    <row r="154" spans="2:199" x14ac:dyDescent="0.25">
      <c r="B154" t="s">
        <v>394</v>
      </c>
      <c r="C154" t="s">
        <v>603</v>
      </c>
      <c r="D154" t="s">
        <v>1454</v>
      </c>
      <c r="E154" t="s">
        <v>1454</v>
      </c>
      <c r="G154" t="s">
        <v>604</v>
      </c>
      <c r="H154" t="s">
        <v>1454</v>
      </c>
      <c r="I154" t="s">
        <v>1454</v>
      </c>
      <c r="K154" t="s">
        <v>392</v>
      </c>
      <c r="L154" t="s">
        <v>1454</v>
      </c>
      <c r="M154" t="s">
        <v>1454</v>
      </c>
      <c r="O154" t="s">
        <v>1454</v>
      </c>
      <c r="P154" t="s">
        <v>1454</v>
      </c>
      <c r="Q154" t="s">
        <v>1454</v>
      </c>
      <c r="S154" t="s">
        <v>606</v>
      </c>
      <c r="T154" t="s">
        <v>1454</v>
      </c>
      <c r="U154" t="s">
        <v>1454</v>
      </c>
      <c r="W154" t="s">
        <v>1454</v>
      </c>
      <c r="X154" t="s">
        <v>1454</v>
      </c>
      <c r="Y154" t="s">
        <v>1454</v>
      </c>
      <c r="AA154" t="s">
        <v>1454</v>
      </c>
      <c r="AB154" t="s">
        <v>1454</v>
      </c>
      <c r="AC154" t="s">
        <v>1454</v>
      </c>
      <c r="AE154" t="s">
        <v>1454</v>
      </c>
      <c r="AF154" t="s">
        <v>1454</v>
      </c>
      <c r="AG154" t="s">
        <v>1454</v>
      </c>
      <c r="AI154" t="s">
        <v>1454</v>
      </c>
      <c r="AJ154" t="s">
        <v>1454</v>
      </c>
      <c r="AK154" t="s">
        <v>1454</v>
      </c>
      <c r="AM154" t="s">
        <v>1454</v>
      </c>
      <c r="AN154" t="s">
        <v>1454</v>
      </c>
      <c r="AO154" t="s">
        <v>1454</v>
      </c>
      <c r="AQ154" t="s">
        <v>1454</v>
      </c>
      <c r="AR154" t="s">
        <v>1454</v>
      </c>
      <c r="AS154" t="s">
        <v>1454</v>
      </c>
      <c r="AU154" t="s">
        <v>1454</v>
      </c>
      <c r="AV154" t="s">
        <v>1454</v>
      </c>
      <c r="AW154" t="s">
        <v>1454</v>
      </c>
      <c r="AY154" t="s">
        <v>1454</v>
      </c>
      <c r="AZ154" t="s">
        <v>1454</v>
      </c>
      <c r="BA154" t="s">
        <v>1454</v>
      </c>
      <c r="BC154" t="s">
        <v>1454</v>
      </c>
      <c r="BD154" t="s">
        <v>1454</v>
      </c>
      <c r="BE154" t="s">
        <v>1454</v>
      </c>
      <c r="BG154" t="s">
        <v>1454</v>
      </c>
      <c r="BH154" t="s">
        <v>1454</v>
      </c>
      <c r="BI154" t="s">
        <v>1454</v>
      </c>
      <c r="BK154" t="s">
        <v>617</v>
      </c>
      <c r="BL154" t="s">
        <v>1454</v>
      </c>
      <c r="BM154" t="s">
        <v>1454</v>
      </c>
      <c r="BO154" t="s">
        <v>1454</v>
      </c>
      <c r="BP154" t="s">
        <v>1454</v>
      </c>
      <c r="BQ154" t="s">
        <v>1454</v>
      </c>
      <c r="BS154" t="s">
        <v>1454</v>
      </c>
      <c r="BT154" t="s">
        <v>1454</v>
      </c>
      <c r="BU154" t="s">
        <v>1454</v>
      </c>
      <c r="BW154" t="s">
        <v>1454</v>
      </c>
      <c r="BX154" t="s">
        <v>1454</v>
      </c>
      <c r="BY154" t="s">
        <v>1454</v>
      </c>
      <c r="CA154" t="s">
        <v>1454</v>
      </c>
      <c r="CB154" t="s">
        <v>1454</v>
      </c>
      <c r="CC154" t="s">
        <v>1454</v>
      </c>
      <c r="CE154" t="s">
        <v>622</v>
      </c>
      <c r="CF154" t="s">
        <v>1454</v>
      </c>
      <c r="CG154" t="s">
        <v>1454</v>
      </c>
      <c r="CI154" t="s">
        <v>1454</v>
      </c>
      <c r="CJ154" t="s">
        <v>1454</v>
      </c>
      <c r="CK154" t="s">
        <v>1454</v>
      </c>
      <c r="CM154" t="s">
        <v>1454</v>
      </c>
      <c r="CN154" t="s">
        <v>1454</v>
      </c>
      <c r="CO154" t="s">
        <v>1454</v>
      </c>
      <c r="CQ154" t="s">
        <v>1454</v>
      </c>
      <c r="CR154" t="s">
        <v>1454</v>
      </c>
      <c r="CS154" t="s">
        <v>1454</v>
      </c>
      <c r="CU154" t="s">
        <v>1454</v>
      </c>
      <c r="CV154" t="s">
        <v>1454</v>
      </c>
      <c r="CW154" t="s">
        <v>1454</v>
      </c>
      <c r="CY154" t="s">
        <v>1454</v>
      </c>
      <c r="CZ154" t="s">
        <v>1454</v>
      </c>
      <c r="DA154" t="s">
        <v>1454</v>
      </c>
      <c r="DC154" t="s">
        <v>1454</v>
      </c>
      <c r="DD154" t="s">
        <v>1454</v>
      </c>
      <c r="DE154" t="s">
        <v>1454</v>
      </c>
      <c r="DG154" t="s">
        <v>1454</v>
      </c>
      <c r="DH154" t="s">
        <v>1454</v>
      </c>
      <c r="DI154" t="s">
        <v>1454</v>
      </c>
      <c r="DK154" t="s">
        <v>1454</v>
      </c>
      <c r="DL154" t="s">
        <v>1454</v>
      </c>
      <c r="DM154" t="s">
        <v>1454</v>
      </c>
      <c r="DO154" t="s">
        <v>1454</v>
      </c>
      <c r="DP154" t="s">
        <v>1454</v>
      </c>
      <c r="DQ154" t="s">
        <v>1454</v>
      </c>
      <c r="DS154" t="s">
        <v>1454</v>
      </c>
      <c r="DT154" t="s">
        <v>1454</v>
      </c>
      <c r="DU154" t="s">
        <v>1454</v>
      </c>
      <c r="DW154" t="s">
        <v>1454</v>
      </c>
      <c r="DX154" t="s">
        <v>1454</v>
      </c>
      <c r="DY154" t="s">
        <v>1454</v>
      </c>
      <c r="EA154" t="s">
        <v>1454</v>
      </c>
      <c r="EB154" t="s">
        <v>1454</v>
      </c>
      <c r="EC154" t="s">
        <v>1454</v>
      </c>
      <c r="EE154" t="s">
        <v>1454</v>
      </c>
      <c r="EF154" t="s">
        <v>1454</v>
      </c>
      <c r="EG154" t="s">
        <v>1454</v>
      </c>
      <c r="EI154" t="s">
        <v>1454</v>
      </c>
      <c r="EJ154" t="s">
        <v>1454</v>
      </c>
      <c r="EK154" t="s">
        <v>1454</v>
      </c>
      <c r="EM154" t="s">
        <v>1454</v>
      </c>
      <c r="EN154" t="s">
        <v>1454</v>
      </c>
      <c r="EO154" t="s">
        <v>1454</v>
      </c>
      <c r="EQ154" t="s">
        <v>1454</v>
      </c>
      <c r="ER154" t="s">
        <v>1454</v>
      </c>
      <c r="ES154" t="s">
        <v>1454</v>
      </c>
      <c r="EU154" t="s">
        <v>1454</v>
      </c>
      <c r="EV154" t="s">
        <v>1454</v>
      </c>
      <c r="EW154" t="s">
        <v>1454</v>
      </c>
      <c r="EY154" t="s">
        <v>1454</v>
      </c>
      <c r="EZ154" t="s">
        <v>1454</v>
      </c>
      <c r="FA154" t="s">
        <v>1454</v>
      </c>
      <c r="FC154" t="s">
        <v>1454</v>
      </c>
      <c r="FD154" t="s">
        <v>1454</v>
      </c>
      <c r="FE154" t="s">
        <v>1454</v>
      </c>
      <c r="FG154" t="s">
        <v>1454</v>
      </c>
      <c r="FH154" t="s">
        <v>1454</v>
      </c>
      <c r="FI154" t="s">
        <v>1454</v>
      </c>
      <c r="FK154" t="s">
        <v>1454</v>
      </c>
      <c r="FL154" t="s">
        <v>1454</v>
      </c>
      <c r="FM154" t="s">
        <v>1454</v>
      </c>
      <c r="FO154" t="s">
        <v>1454</v>
      </c>
      <c r="FP154" t="s">
        <v>1454</v>
      </c>
      <c r="FQ154" t="s">
        <v>1454</v>
      </c>
      <c r="FS154" t="s">
        <v>1454</v>
      </c>
      <c r="FT154" t="s">
        <v>1454</v>
      </c>
      <c r="FU154" t="s">
        <v>1454</v>
      </c>
      <c r="FW154" t="s">
        <v>1454</v>
      </c>
      <c r="FX154" t="s">
        <v>1454</v>
      </c>
      <c r="FY154" t="s">
        <v>1454</v>
      </c>
      <c r="GA154" t="s">
        <v>1454</v>
      </c>
      <c r="GB154" t="s">
        <v>1454</v>
      </c>
      <c r="GC154" t="s">
        <v>1454</v>
      </c>
      <c r="GE154" t="s">
        <v>1454</v>
      </c>
      <c r="GF154" t="s">
        <v>1454</v>
      </c>
      <c r="GG154" t="s">
        <v>1454</v>
      </c>
      <c r="GI154" t="s">
        <v>1454</v>
      </c>
      <c r="GJ154" t="s">
        <v>1454</v>
      </c>
      <c r="GK154" t="s">
        <v>1454</v>
      </c>
      <c r="GM154" t="s">
        <v>1454</v>
      </c>
      <c r="GN154" t="s">
        <v>1454</v>
      </c>
      <c r="GO154" t="s">
        <v>1454</v>
      </c>
      <c r="GQ154" t="s">
        <v>1615</v>
      </c>
    </row>
    <row r="155" spans="2:199" s="11" customFormat="1" x14ac:dyDescent="0.25">
      <c r="B155" t="s">
        <v>508</v>
      </c>
      <c r="C155" t="s">
        <v>1454</v>
      </c>
      <c r="D155" t="s">
        <v>1454</v>
      </c>
      <c r="E155" t="s">
        <v>1454</v>
      </c>
      <c r="F155"/>
      <c r="G155" t="s">
        <v>1454</v>
      </c>
      <c r="H155" t="s">
        <v>1454</v>
      </c>
      <c r="I155" t="s">
        <v>1454</v>
      </c>
      <c r="J155"/>
      <c r="K155" t="s">
        <v>1454</v>
      </c>
      <c r="L155" t="s">
        <v>1454</v>
      </c>
      <c r="M155" t="s">
        <v>1454</v>
      </c>
      <c r="N155"/>
      <c r="O155" t="s">
        <v>1454</v>
      </c>
      <c r="P155" t="s">
        <v>1454</v>
      </c>
      <c r="Q155" t="s">
        <v>1454</v>
      </c>
      <c r="R155"/>
      <c r="S155" t="s">
        <v>1454</v>
      </c>
      <c r="T155" t="s">
        <v>1454</v>
      </c>
      <c r="U155" t="s">
        <v>1454</v>
      </c>
      <c r="V155"/>
      <c r="W155" t="s">
        <v>1454</v>
      </c>
      <c r="X155" t="s">
        <v>1454</v>
      </c>
      <c r="Y155" t="s">
        <v>1454</v>
      </c>
      <c r="Z155"/>
      <c r="AA155" t="s">
        <v>1454</v>
      </c>
      <c r="AB155" t="s">
        <v>1454</v>
      </c>
      <c r="AC155" t="s">
        <v>1454</v>
      </c>
      <c r="AD155"/>
      <c r="AE155" t="s">
        <v>1454</v>
      </c>
      <c r="AF155" t="s">
        <v>1454</v>
      </c>
      <c r="AG155" t="s">
        <v>1454</v>
      </c>
      <c r="AH155"/>
      <c r="AI155" t="s">
        <v>1454</v>
      </c>
      <c r="AJ155" t="s">
        <v>1454</v>
      </c>
      <c r="AK155" t="s">
        <v>1454</v>
      </c>
      <c r="AL155"/>
      <c r="AM155" t="s">
        <v>1454</v>
      </c>
      <c r="AN155" t="s">
        <v>1454</v>
      </c>
      <c r="AO155" t="s">
        <v>1454</v>
      </c>
      <c r="AP155"/>
      <c r="AQ155" t="s">
        <v>1454</v>
      </c>
      <c r="AR155" t="s">
        <v>1454</v>
      </c>
      <c r="AS155" t="s">
        <v>1454</v>
      </c>
      <c r="AT155"/>
      <c r="AU155" t="s">
        <v>1454</v>
      </c>
      <c r="AV155" t="s">
        <v>1454</v>
      </c>
      <c r="AW155" t="s">
        <v>1454</v>
      </c>
      <c r="AX155"/>
      <c r="AY155" t="s">
        <v>1454</v>
      </c>
      <c r="AZ155" t="s">
        <v>1454</v>
      </c>
      <c r="BA155" t="s">
        <v>1454</v>
      </c>
      <c r="BB155"/>
      <c r="BC155" t="s">
        <v>1454</v>
      </c>
      <c r="BD155" t="s">
        <v>1454</v>
      </c>
      <c r="BE155" t="s">
        <v>1454</v>
      </c>
      <c r="BF155"/>
      <c r="BG155" t="s">
        <v>1454</v>
      </c>
      <c r="BH155" t="s">
        <v>1454</v>
      </c>
      <c r="BI155" t="s">
        <v>1454</v>
      </c>
      <c r="BJ155"/>
      <c r="BK155" t="s">
        <v>1454</v>
      </c>
      <c r="BL155" t="s">
        <v>1454</v>
      </c>
      <c r="BM155" t="s">
        <v>1454</v>
      </c>
      <c r="BN155"/>
      <c r="BO155" t="s">
        <v>1454</v>
      </c>
      <c r="BP155" t="s">
        <v>1454</v>
      </c>
      <c r="BQ155" t="s">
        <v>1454</v>
      </c>
      <c r="BR155"/>
      <c r="BS155" t="s">
        <v>1454</v>
      </c>
      <c r="BT155" t="s">
        <v>1454</v>
      </c>
      <c r="BU155" t="s">
        <v>1454</v>
      </c>
      <c r="BV155"/>
      <c r="BW155" t="s">
        <v>1454</v>
      </c>
      <c r="BX155" t="s">
        <v>1454</v>
      </c>
      <c r="BY155" t="s">
        <v>1454</v>
      </c>
      <c r="BZ155"/>
      <c r="CA155" t="s">
        <v>1454</v>
      </c>
      <c r="CB155" t="s">
        <v>1454</v>
      </c>
      <c r="CC155" t="s">
        <v>1454</v>
      </c>
      <c r="CD155"/>
      <c r="CE155" t="s">
        <v>1454</v>
      </c>
      <c r="CF155" t="s">
        <v>1454</v>
      </c>
      <c r="CG155" t="s">
        <v>1454</v>
      </c>
      <c r="CH155"/>
      <c r="CI155" t="s">
        <v>1454</v>
      </c>
      <c r="CJ155" t="s">
        <v>1454</v>
      </c>
      <c r="CK155" t="s">
        <v>1454</v>
      </c>
      <c r="CL155"/>
      <c r="CM155" t="s">
        <v>1454</v>
      </c>
      <c r="CN155" t="s">
        <v>1454</v>
      </c>
      <c r="CO155" t="s">
        <v>1454</v>
      </c>
      <c r="CP155"/>
      <c r="CQ155" t="s">
        <v>1454</v>
      </c>
      <c r="CR155" t="s">
        <v>1454</v>
      </c>
      <c r="CS155" t="s">
        <v>1454</v>
      </c>
      <c r="CT155"/>
      <c r="CU155" t="s">
        <v>1454</v>
      </c>
      <c r="CV155" t="s">
        <v>1454</v>
      </c>
      <c r="CW155" t="s">
        <v>1454</v>
      </c>
      <c r="CX155"/>
      <c r="CY155" t="s">
        <v>1454</v>
      </c>
      <c r="CZ155" t="s">
        <v>1454</v>
      </c>
      <c r="DA155" t="s">
        <v>1454</v>
      </c>
      <c r="DB155"/>
      <c r="DC155" t="s">
        <v>1454</v>
      </c>
      <c r="DD155" t="s">
        <v>1454</v>
      </c>
      <c r="DE155" t="s">
        <v>1454</v>
      </c>
      <c r="DF155"/>
      <c r="DG155" t="s">
        <v>1454</v>
      </c>
      <c r="DH155" t="s">
        <v>1454</v>
      </c>
      <c r="DI155" t="s">
        <v>1454</v>
      </c>
      <c r="DJ155"/>
      <c r="DK155" t="s">
        <v>1454</v>
      </c>
      <c r="DL155" t="s">
        <v>1454</v>
      </c>
      <c r="DM155" t="s">
        <v>1454</v>
      </c>
      <c r="DN155"/>
      <c r="DO155" t="s">
        <v>1454</v>
      </c>
      <c r="DP155" t="s">
        <v>1454</v>
      </c>
      <c r="DQ155" t="s">
        <v>1454</v>
      </c>
      <c r="DR155"/>
      <c r="DS155" t="s">
        <v>1454</v>
      </c>
      <c r="DT155" t="s">
        <v>1454</v>
      </c>
      <c r="DU155" t="s">
        <v>1454</v>
      </c>
      <c r="DV155"/>
      <c r="DW155" t="s">
        <v>1454</v>
      </c>
      <c r="DX155" t="s">
        <v>1454</v>
      </c>
      <c r="DY155" t="s">
        <v>1454</v>
      </c>
      <c r="DZ155"/>
      <c r="EA155" t="s">
        <v>1454</v>
      </c>
      <c r="EB155" t="s">
        <v>1454</v>
      </c>
      <c r="EC155" t="s">
        <v>1454</v>
      </c>
      <c r="ED155"/>
      <c r="EE155" t="s">
        <v>1454</v>
      </c>
      <c r="EF155" t="s">
        <v>1454</v>
      </c>
      <c r="EG155" t="s">
        <v>1454</v>
      </c>
      <c r="EH155"/>
      <c r="EI155" t="s">
        <v>1454</v>
      </c>
      <c r="EJ155" t="s">
        <v>1454</v>
      </c>
      <c r="EK155" t="s">
        <v>1454</v>
      </c>
      <c r="EL155"/>
      <c r="EM155" t="s">
        <v>1454</v>
      </c>
      <c r="EN155" t="s">
        <v>1454</v>
      </c>
      <c r="EO155" t="s">
        <v>1454</v>
      </c>
      <c r="EP155"/>
      <c r="EQ155" t="s">
        <v>1454</v>
      </c>
      <c r="ER155" t="s">
        <v>1454</v>
      </c>
      <c r="ES155" t="s">
        <v>1454</v>
      </c>
      <c r="ET155"/>
      <c r="EU155" t="s">
        <v>1454</v>
      </c>
      <c r="EV155" t="s">
        <v>1454</v>
      </c>
      <c r="EW155" t="s">
        <v>1454</v>
      </c>
      <c r="EX155"/>
      <c r="EY155" t="s">
        <v>1454</v>
      </c>
      <c r="EZ155" t="s">
        <v>1454</v>
      </c>
      <c r="FA155" t="s">
        <v>1454</v>
      </c>
      <c r="FB155"/>
      <c r="FC155" t="s">
        <v>1454</v>
      </c>
      <c r="FD155" t="s">
        <v>1454</v>
      </c>
      <c r="FE155" t="s">
        <v>1454</v>
      </c>
      <c r="FF155"/>
      <c r="FG155" t="s">
        <v>1454</v>
      </c>
      <c r="FH155" t="s">
        <v>1454</v>
      </c>
      <c r="FI155" t="s">
        <v>1454</v>
      </c>
      <c r="FJ155"/>
      <c r="FK155" t="s">
        <v>1454</v>
      </c>
      <c r="FL155" t="s">
        <v>1454</v>
      </c>
      <c r="FM155" t="s">
        <v>1454</v>
      </c>
      <c r="FN155"/>
      <c r="FO155" t="s">
        <v>602</v>
      </c>
      <c r="FP155" t="s">
        <v>1454</v>
      </c>
      <c r="FQ155" t="s">
        <v>1454</v>
      </c>
      <c r="FR155"/>
      <c r="FS155" t="s">
        <v>1454</v>
      </c>
      <c r="FT155" t="s">
        <v>1454</v>
      </c>
      <c r="FU155" t="s">
        <v>1454</v>
      </c>
      <c r="FV155"/>
      <c r="FW155" t="s">
        <v>1454</v>
      </c>
      <c r="FX155" t="s">
        <v>1454</v>
      </c>
      <c r="FY155" t="s">
        <v>1454</v>
      </c>
      <c r="FZ155"/>
      <c r="GA155" t="s">
        <v>1454</v>
      </c>
      <c r="GB155" t="s">
        <v>1454</v>
      </c>
      <c r="GC155" t="s">
        <v>1454</v>
      </c>
      <c r="GD155"/>
      <c r="GE155" t="s">
        <v>1454</v>
      </c>
      <c r="GF155" t="s">
        <v>1454</v>
      </c>
      <c r="GG155" t="s">
        <v>1454</v>
      </c>
      <c r="GH155"/>
      <c r="GI155" t="s">
        <v>1454</v>
      </c>
      <c r="GJ155" t="s">
        <v>1454</v>
      </c>
      <c r="GK155" t="s">
        <v>1454</v>
      </c>
      <c r="GL155"/>
      <c r="GM155" t="s">
        <v>1454</v>
      </c>
      <c r="GN155" t="s">
        <v>1454</v>
      </c>
      <c r="GO155" t="s">
        <v>1454</v>
      </c>
      <c r="GP155"/>
      <c r="GQ155" t="s">
        <v>1477</v>
      </c>
    </row>
    <row r="156" spans="2:199" x14ac:dyDescent="0.25">
      <c r="B156" t="s">
        <v>509</v>
      </c>
      <c r="C156" t="s">
        <v>1454</v>
      </c>
      <c r="D156" t="s">
        <v>1454</v>
      </c>
      <c r="E156" t="s">
        <v>1454</v>
      </c>
      <c r="G156" t="s">
        <v>1454</v>
      </c>
      <c r="H156" t="s">
        <v>1454</v>
      </c>
      <c r="I156" t="s">
        <v>1454</v>
      </c>
      <c r="K156" t="s">
        <v>392</v>
      </c>
      <c r="L156" t="s">
        <v>1454</v>
      </c>
      <c r="M156" t="s">
        <v>1454</v>
      </c>
      <c r="O156" t="s">
        <v>1454</v>
      </c>
      <c r="P156" t="s">
        <v>1454</v>
      </c>
      <c r="Q156" t="s">
        <v>1454</v>
      </c>
      <c r="S156" t="s">
        <v>1454</v>
      </c>
      <c r="T156" t="s">
        <v>1454</v>
      </c>
      <c r="U156" t="s">
        <v>1454</v>
      </c>
      <c r="W156" t="s">
        <v>1454</v>
      </c>
      <c r="X156" t="s">
        <v>1454</v>
      </c>
      <c r="Y156" t="s">
        <v>1454</v>
      </c>
      <c r="AA156" t="s">
        <v>1454</v>
      </c>
      <c r="AB156" t="s">
        <v>1454</v>
      </c>
      <c r="AC156" t="s">
        <v>1454</v>
      </c>
      <c r="AE156" t="s">
        <v>1454</v>
      </c>
      <c r="AF156" t="s">
        <v>1454</v>
      </c>
      <c r="AG156" t="s">
        <v>1454</v>
      </c>
      <c r="AI156" t="s">
        <v>1454</v>
      </c>
      <c r="AJ156" t="s">
        <v>1454</v>
      </c>
      <c r="AK156" t="s">
        <v>1454</v>
      </c>
      <c r="AM156" t="s">
        <v>1454</v>
      </c>
      <c r="AN156" t="s">
        <v>1454</v>
      </c>
      <c r="AO156" t="s">
        <v>1454</v>
      </c>
      <c r="AQ156" t="s">
        <v>1454</v>
      </c>
      <c r="AR156" t="s">
        <v>1454</v>
      </c>
      <c r="AS156" t="s">
        <v>1454</v>
      </c>
      <c r="AU156" t="s">
        <v>1454</v>
      </c>
      <c r="AV156" t="s">
        <v>1454</v>
      </c>
      <c r="AW156" t="s">
        <v>1454</v>
      </c>
      <c r="AY156" t="s">
        <v>1454</v>
      </c>
      <c r="AZ156" t="s">
        <v>1454</v>
      </c>
      <c r="BA156" t="s">
        <v>1454</v>
      </c>
      <c r="BC156" t="s">
        <v>1454</v>
      </c>
      <c r="BD156" t="s">
        <v>1454</v>
      </c>
      <c r="BE156" t="s">
        <v>1454</v>
      </c>
      <c r="BG156" t="s">
        <v>1454</v>
      </c>
      <c r="BH156" t="s">
        <v>1454</v>
      </c>
      <c r="BI156" t="s">
        <v>1454</v>
      </c>
      <c r="BK156" t="s">
        <v>1454</v>
      </c>
      <c r="BL156" t="s">
        <v>1454</v>
      </c>
      <c r="BM156" t="s">
        <v>1454</v>
      </c>
      <c r="BO156" t="s">
        <v>1454</v>
      </c>
      <c r="BP156" t="s">
        <v>1454</v>
      </c>
      <c r="BQ156" t="s">
        <v>1454</v>
      </c>
      <c r="BS156" t="s">
        <v>1454</v>
      </c>
      <c r="BT156" t="s">
        <v>1454</v>
      </c>
      <c r="BU156" t="s">
        <v>1454</v>
      </c>
      <c r="BW156" t="s">
        <v>1454</v>
      </c>
      <c r="BX156" t="s">
        <v>1454</v>
      </c>
      <c r="BY156" t="s">
        <v>1454</v>
      </c>
      <c r="CA156" t="s">
        <v>1454</v>
      </c>
      <c r="CB156" t="s">
        <v>1454</v>
      </c>
      <c r="CC156" t="s">
        <v>1454</v>
      </c>
      <c r="CE156" t="s">
        <v>622</v>
      </c>
      <c r="CF156" t="s">
        <v>1454</v>
      </c>
      <c r="CG156" t="s">
        <v>1454</v>
      </c>
      <c r="CI156" t="s">
        <v>1454</v>
      </c>
      <c r="CJ156" t="s">
        <v>1454</v>
      </c>
      <c r="CK156" t="s">
        <v>1454</v>
      </c>
      <c r="CM156" t="s">
        <v>1454</v>
      </c>
      <c r="CN156" t="s">
        <v>1454</v>
      </c>
      <c r="CO156" t="s">
        <v>1454</v>
      </c>
      <c r="CQ156" t="s">
        <v>1454</v>
      </c>
      <c r="CR156" t="s">
        <v>1454</v>
      </c>
      <c r="CS156" t="s">
        <v>1454</v>
      </c>
      <c r="CU156" t="s">
        <v>1454</v>
      </c>
      <c r="CV156" t="s">
        <v>1454</v>
      </c>
      <c r="CW156" t="s">
        <v>1454</v>
      </c>
      <c r="CY156" t="s">
        <v>1454</v>
      </c>
      <c r="CZ156" t="s">
        <v>1454</v>
      </c>
      <c r="DA156" t="s">
        <v>1454</v>
      </c>
      <c r="DC156" t="s">
        <v>1454</v>
      </c>
      <c r="DD156" t="s">
        <v>1454</v>
      </c>
      <c r="DE156" t="s">
        <v>1454</v>
      </c>
      <c r="DG156" t="s">
        <v>1454</v>
      </c>
      <c r="DH156" t="s">
        <v>1454</v>
      </c>
      <c r="DI156" t="s">
        <v>1454</v>
      </c>
      <c r="DK156" t="s">
        <v>630</v>
      </c>
      <c r="DL156" t="s">
        <v>1454</v>
      </c>
      <c r="DM156" t="s">
        <v>1454</v>
      </c>
      <c r="DO156" t="s">
        <v>1454</v>
      </c>
      <c r="DP156" t="s">
        <v>1454</v>
      </c>
      <c r="DQ156" t="s">
        <v>1454</v>
      </c>
      <c r="DS156" t="s">
        <v>1454</v>
      </c>
      <c r="DT156" t="s">
        <v>1454</v>
      </c>
      <c r="DU156" t="s">
        <v>1454</v>
      </c>
      <c r="DW156" t="s">
        <v>1454</v>
      </c>
      <c r="DX156" t="s">
        <v>1454</v>
      </c>
      <c r="DY156" t="s">
        <v>1454</v>
      </c>
      <c r="EA156" t="s">
        <v>1454</v>
      </c>
      <c r="EB156" t="s">
        <v>1454</v>
      </c>
      <c r="EC156" t="s">
        <v>1454</v>
      </c>
      <c r="EE156" t="s">
        <v>1454</v>
      </c>
      <c r="EF156" t="s">
        <v>1454</v>
      </c>
      <c r="EG156" t="s">
        <v>1454</v>
      </c>
      <c r="EI156" t="s">
        <v>1454</v>
      </c>
      <c r="EJ156" t="s">
        <v>1454</v>
      </c>
      <c r="EK156" t="s">
        <v>1454</v>
      </c>
      <c r="EM156" t="s">
        <v>1454</v>
      </c>
      <c r="EN156" t="s">
        <v>1454</v>
      </c>
      <c r="EO156" t="s">
        <v>1454</v>
      </c>
      <c r="EQ156" t="s">
        <v>1454</v>
      </c>
      <c r="ER156" t="s">
        <v>1454</v>
      </c>
      <c r="ES156" t="s">
        <v>1454</v>
      </c>
      <c r="EU156" t="s">
        <v>1454</v>
      </c>
      <c r="EV156" t="s">
        <v>1454</v>
      </c>
      <c r="EW156" t="s">
        <v>1454</v>
      </c>
      <c r="EY156" t="s">
        <v>1454</v>
      </c>
      <c r="EZ156" t="s">
        <v>1454</v>
      </c>
      <c r="FA156" t="s">
        <v>1454</v>
      </c>
      <c r="FC156" t="s">
        <v>1454</v>
      </c>
      <c r="FD156" t="s">
        <v>1454</v>
      </c>
      <c r="FE156" t="s">
        <v>1454</v>
      </c>
      <c r="FG156" t="s">
        <v>1454</v>
      </c>
      <c r="FH156" t="s">
        <v>1454</v>
      </c>
      <c r="FI156" t="s">
        <v>1454</v>
      </c>
      <c r="FK156" t="s">
        <v>1454</v>
      </c>
      <c r="FL156" t="s">
        <v>1454</v>
      </c>
      <c r="FM156" t="s">
        <v>1454</v>
      </c>
      <c r="FO156" t="s">
        <v>602</v>
      </c>
      <c r="FP156" t="s">
        <v>1454</v>
      </c>
      <c r="FQ156" t="s">
        <v>1454</v>
      </c>
      <c r="FS156" t="s">
        <v>1454</v>
      </c>
      <c r="FT156" t="s">
        <v>1454</v>
      </c>
      <c r="FU156" t="s">
        <v>1454</v>
      </c>
      <c r="FW156" t="s">
        <v>1454</v>
      </c>
      <c r="FX156" t="s">
        <v>1454</v>
      </c>
      <c r="FY156" t="s">
        <v>1454</v>
      </c>
      <c r="GA156" t="s">
        <v>1454</v>
      </c>
      <c r="GB156" t="s">
        <v>1454</v>
      </c>
      <c r="GC156" t="s">
        <v>1454</v>
      </c>
      <c r="GE156" t="s">
        <v>1454</v>
      </c>
      <c r="GF156" t="s">
        <v>1454</v>
      </c>
      <c r="GG156" t="s">
        <v>1454</v>
      </c>
      <c r="GI156" t="s">
        <v>1454</v>
      </c>
      <c r="GJ156" t="s">
        <v>1454</v>
      </c>
      <c r="GK156" t="s">
        <v>1454</v>
      </c>
      <c r="GM156" t="s">
        <v>1454</v>
      </c>
      <c r="GN156" t="s">
        <v>1454</v>
      </c>
      <c r="GO156" t="s">
        <v>1454</v>
      </c>
      <c r="GQ156" t="s">
        <v>1616</v>
      </c>
    </row>
    <row r="157" spans="2:199" x14ac:dyDescent="0.25">
      <c r="B157" t="s">
        <v>510</v>
      </c>
      <c r="C157" t="s">
        <v>603</v>
      </c>
      <c r="D157" t="s">
        <v>1454</v>
      </c>
      <c r="E157" t="s">
        <v>1454</v>
      </c>
      <c r="G157" t="s">
        <v>1454</v>
      </c>
      <c r="H157" t="s">
        <v>1454</v>
      </c>
      <c r="I157" t="s">
        <v>1454</v>
      </c>
      <c r="K157" t="s">
        <v>392</v>
      </c>
      <c r="L157" t="s">
        <v>1454</v>
      </c>
      <c r="M157" t="s">
        <v>1454</v>
      </c>
      <c r="O157" t="s">
        <v>1454</v>
      </c>
      <c r="P157" t="s">
        <v>1454</v>
      </c>
      <c r="Q157" t="s">
        <v>1454</v>
      </c>
      <c r="S157" t="s">
        <v>606</v>
      </c>
      <c r="T157" t="s">
        <v>1454</v>
      </c>
      <c r="U157" t="s">
        <v>1454</v>
      </c>
      <c r="W157" t="s">
        <v>1454</v>
      </c>
      <c r="X157" t="s">
        <v>1454</v>
      </c>
      <c r="Y157" t="s">
        <v>1454</v>
      </c>
      <c r="AA157" t="s">
        <v>1454</v>
      </c>
      <c r="AB157" t="s">
        <v>1454</v>
      </c>
      <c r="AC157" t="s">
        <v>1454</v>
      </c>
      <c r="AE157" t="s">
        <v>1454</v>
      </c>
      <c r="AF157" t="s">
        <v>1454</v>
      </c>
      <c r="AG157" t="s">
        <v>1454</v>
      </c>
      <c r="AI157" t="s">
        <v>1454</v>
      </c>
      <c r="AJ157" t="s">
        <v>1454</v>
      </c>
      <c r="AK157" t="s">
        <v>1454</v>
      </c>
      <c r="AM157" t="s">
        <v>1454</v>
      </c>
      <c r="AN157" t="s">
        <v>1454</v>
      </c>
      <c r="AO157" t="s">
        <v>1454</v>
      </c>
      <c r="AQ157" t="s">
        <v>1454</v>
      </c>
      <c r="AR157" t="s">
        <v>1454</v>
      </c>
      <c r="AS157" t="s">
        <v>1454</v>
      </c>
      <c r="AU157" t="s">
        <v>1454</v>
      </c>
      <c r="AV157" t="s">
        <v>1454</v>
      </c>
      <c r="AW157" t="s">
        <v>1454</v>
      </c>
      <c r="AY157" t="s">
        <v>1454</v>
      </c>
      <c r="AZ157" t="s">
        <v>1454</v>
      </c>
      <c r="BA157" t="s">
        <v>1454</v>
      </c>
      <c r="BC157" t="s">
        <v>1454</v>
      </c>
      <c r="BD157" t="s">
        <v>1454</v>
      </c>
      <c r="BE157" t="s">
        <v>1454</v>
      </c>
      <c r="BG157" t="s">
        <v>1454</v>
      </c>
      <c r="BH157" t="s">
        <v>1454</v>
      </c>
      <c r="BI157" t="s">
        <v>1454</v>
      </c>
      <c r="BK157" t="s">
        <v>1454</v>
      </c>
      <c r="BL157" t="s">
        <v>1454</v>
      </c>
      <c r="BM157" t="s">
        <v>1454</v>
      </c>
      <c r="BO157" t="s">
        <v>1454</v>
      </c>
      <c r="BP157" t="s">
        <v>1454</v>
      </c>
      <c r="BQ157" t="s">
        <v>1454</v>
      </c>
      <c r="BS157" t="s">
        <v>1454</v>
      </c>
      <c r="BT157" t="s">
        <v>1454</v>
      </c>
      <c r="BU157" t="s">
        <v>1454</v>
      </c>
      <c r="BW157" t="s">
        <v>1454</v>
      </c>
      <c r="BX157" t="s">
        <v>1454</v>
      </c>
      <c r="BY157" t="s">
        <v>1454</v>
      </c>
      <c r="CA157" t="s">
        <v>1454</v>
      </c>
      <c r="CB157" t="s">
        <v>1454</v>
      </c>
      <c r="CC157" t="s">
        <v>1454</v>
      </c>
      <c r="CE157" t="s">
        <v>1454</v>
      </c>
      <c r="CF157" t="s">
        <v>1454</v>
      </c>
      <c r="CG157" t="s">
        <v>1454</v>
      </c>
      <c r="CI157" t="s">
        <v>1454</v>
      </c>
      <c r="CJ157" t="s">
        <v>1454</v>
      </c>
      <c r="CK157" t="s">
        <v>1454</v>
      </c>
      <c r="CM157" t="s">
        <v>1454</v>
      </c>
      <c r="CN157" t="s">
        <v>1454</v>
      </c>
      <c r="CO157" t="s">
        <v>1454</v>
      </c>
      <c r="CQ157" t="s">
        <v>1454</v>
      </c>
      <c r="CR157" t="s">
        <v>1454</v>
      </c>
      <c r="CS157" t="s">
        <v>1454</v>
      </c>
      <c r="CU157" t="s">
        <v>1454</v>
      </c>
      <c r="CV157" t="s">
        <v>1454</v>
      </c>
      <c r="CW157" t="s">
        <v>1454</v>
      </c>
      <c r="CY157" t="s">
        <v>1454</v>
      </c>
      <c r="CZ157" t="s">
        <v>1454</v>
      </c>
      <c r="DA157" t="s">
        <v>1454</v>
      </c>
      <c r="DC157" t="s">
        <v>1454</v>
      </c>
      <c r="DD157" t="s">
        <v>1454</v>
      </c>
      <c r="DE157" t="s">
        <v>1454</v>
      </c>
      <c r="DG157" t="s">
        <v>1454</v>
      </c>
      <c r="DH157" t="s">
        <v>1454</v>
      </c>
      <c r="DI157" t="s">
        <v>1454</v>
      </c>
      <c r="DK157" t="s">
        <v>1454</v>
      </c>
      <c r="DL157" t="s">
        <v>1454</v>
      </c>
      <c r="DM157" t="s">
        <v>1454</v>
      </c>
      <c r="DO157" t="s">
        <v>1454</v>
      </c>
      <c r="DP157" t="s">
        <v>1454</v>
      </c>
      <c r="DQ157" t="s">
        <v>1454</v>
      </c>
      <c r="DS157" t="s">
        <v>1454</v>
      </c>
      <c r="DT157" t="s">
        <v>1454</v>
      </c>
      <c r="DU157" t="s">
        <v>1454</v>
      </c>
      <c r="DW157" t="s">
        <v>1454</v>
      </c>
      <c r="DX157" t="s">
        <v>1454</v>
      </c>
      <c r="DY157" t="s">
        <v>1454</v>
      </c>
      <c r="EA157" t="s">
        <v>1454</v>
      </c>
      <c r="EB157" t="s">
        <v>1454</v>
      </c>
      <c r="EC157" t="s">
        <v>1454</v>
      </c>
      <c r="EE157" t="s">
        <v>1454</v>
      </c>
      <c r="EF157" t="s">
        <v>1454</v>
      </c>
      <c r="EG157" t="s">
        <v>1454</v>
      </c>
      <c r="EI157" t="s">
        <v>1454</v>
      </c>
      <c r="EJ157" t="s">
        <v>1454</v>
      </c>
      <c r="EK157" t="s">
        <v>1454</v>
      </c>
      <c r="EM157" t="s">
        <v>1454</v>
      </c>
      <c r="EN157" t="s">
        <v>1454</v>
      </c>
      <c r="EO157" t="s">
        <v>1454</v>
      </c>
      <c r="EQ157" t="s">
        <v>1454</v>
      </c>
      <c r="ER157" t="s">
        <v>1454</v>
      </c>
      <c r="ES157" t="s">
        <v>1454</v>
      </c>
      <c r="EU157" t="s">
        <v>1454</v>
      </c>
      <c r="EV157" t="s">
        <v>1454</v>
      </c>
      <c r="EW157" t="s">
        <v>1454</v>
      </c>
      <c r="EY157" t="s">
        <v>1454</v>
      </c>
      <c r="EZ157" t="s">
        <v>1454</v>
      </c>
      <c r="FA157" t="s">
        <v>1454</v>
      </c>
      <c r="FC157" t="s">
        <v>1454</v>
      </c>
      <c r="FD157" t="s">
        <v>1454</v>
      </c>
      <c r="FE157" t="s">
        <v>1454</v>
      </c>
      <c r="FG157" t="s">
        <v>1454</v>
      </c>
      <c r="FH157" t="s">
        <v>1454</v>
      </c>
      <c r="FI157" t="s">
        <v>1454</v>
      </c>
      <c r="FK157" t="s">
        <v>1454</v>
      </c>
      <c r="FL157" t="s">
        <v>1454</v>
      </c>
      <c r="FM157" t="s">
        <v>1454</v>
      </c>
      <c r="FO157" t="s">
        <v>1454</v>
      </c>
      <c r="FP157" t="s">
        <v>1454</v>
      </c>
      <c r="FQ157" t="s">
        <v>1454</v>
      </c>
      <c r="FS157" t="s">
        <v>1454</v>
      </c>
      <c r="FT157" t="s">
        <v>1454</v>
      </c>
      <c r="FU157" t="s">
        <v>1454</v>
      </c>
      <c r="FW157" t="s">
        <v>1454</v>
      </c>
      <c r="FX157" t="s">
        <v>1454</v>
      </c>
      <c r="FY157" t="s">
        <v>1454</v>
      </c>
      <c r="GA157" t="s">
        <v>1454</v>
      </c>
      <c r="GB157" t="s">
        <v>1454</v>
      </c>
      <c r="GC157" t="s">
        <v>1454</v>
      </c>
      <c r="GE157" t="s">
        <v>1454</v>
      </c>
      <c r="GF157" t="s">
        <v>1454</v>
      </c>
      <c r="GG157" t="s">
        <v>1454</v>
      </c>
      <c r="GI157" t="s">
        <v>1454</v>
      </c>
      <c r="GJ157" t="s">
        <v>1454</v>
      </c>
      <c r="GK157" t="s">
        <v>1454</v>
      </c>
      <c r="GM157" t="s">
        <v>1454</v>
      </c>
      <c r="GN157" t="s">
        <v>1454</v>
      </c>
      <c r="GO157" t="s">
        <v>1454</v>
      </c>
      <c r="GQ157" t="s">
        <v>1617</v>
      </c>
    </row>
    <row r="158" spans="2:199" ht="16.5" customHeight="1" x14ac:dyDescent="0.25">
      <c r="B158" t="s">
        <v>511</v>
      </c>
      <c r="C158" t="s">
        <v>603</v>
      </c>
      <c r="D158" t="s">
        <v>1454</v>
      </c>
      <c r="E158" t="s">
        <v>1454</v>
      </c>
      <c r="G158" t="s">
        <v>1454</v>
      </c>
      <c r="H158" t="s">
        <v>1454</v>
      </c>
      <c r="I158" t="s">
        <v>1454</v>
      </c>
      <c r="K158" t="s">
        <v>392</v>
      </c>
      <c r="L158" t="s">
        <v>1454</v>
      </c>
      <c r="M158" t="s">
        <v>1454</v>
      </c>
      <c r="O158" t="s">
        <v>1454</v>
      </c>
      <c r="P158" t="s">
        <v>1454</v>
      </c>
      <c r="Q158" t="s">
        <v>1454</v>
      </c>
      <c r="S158" t="s">
        <v>606</v>
      </c>
      <c r="T158" t="s">
        <v>1454</v>
      </c>
      <c r="U158" t="s">
        <v>1454</v>
      </c>
      <c r="W158" t="s">
        <v>1454</v>
      </c>
      <c r="X158" t="s">
        <v>1454</v>
      </c>
      <c r="Y158" t="s">
        <v>1454</v>
      </c>
      <c r="AA158" t="s">
        <v>1454</v>
      </c>
      <c r="AB158" t="s">
        <v>1454</v>
      </c>
      <c r="AC158" t="s">
        <v>1454</v>
      </c>
      <c r="AE158" t="s">
        <v>1454</v>
      </c>
      <c r="AF158" t="s">
        <v>1454</v>
      </c>
      <c r="AG158" t="s">
        <v>1454</v>
      </c>
      <c r="AI158" t="s">
        <v>1454</v>
      </c>
      <c r="AJ158" t="s">
        <v>1454</v>
      </c>
      <c r="AK158" t="s">
        <v>1454</v>
      </c>
      <c r="AM158" t="s">
        <v>1454</v>
      </c>
      <c r="AN158" t="s">
        <v>1454</v>
      </c>
      <c r="AO158" t="s">
        <v>1454</v>
      </c>
      <c r="AQ158" t="s">
        <v>1454</v>
      </c>
      <c r="AR158" t="s">
        <v>1454</v>
      </c>
      <c r="AS158" t="s">
        <v>1454</v>
      </c>
      <c r="AU158" t="s">
        <v>1454</v>
      </c>
      <c r="AV158" t="s">
        <v>1454</v>
      </c>
      <c r="AW158" t="s">
        <v>1454</v>
      </c>
      <c r="AY158" t="s">
        <v>1454</v>
      </c>
      <c r="AZ158" t="s">
        <v>1454</v>
      </c>
      <c r="BA158" t="s">
        <v>1454</v>
      </c>
      <c r="BC158" t="s">
        <v>1454</v>
      </c>
      <c r="BD158" t="s">
        <v>1454</v>
      </c>
      <c r="BE158" t="s">
        <v>1454</v>
      </c>
      <c r="BG158" t="s">
        <v>1454</v>
      </c>
      <c r="BH158" t="s">
        <v>1454</v>
      </c>
      <c r="BI158" t="s">
        <v>1454</v>
      </c>
      <c r="BK158" t="s">
        <v>617</v>
      </c>
      <c r="BL158" t="s">
        <v>1454</v>
      </c>
      <c r="BM158" t="s">
        <v>1454</v>
      </c>
      <c r="BO158" t="s">
        <v>1454</v>
      </c>
      <c r="BP158" t="s">
        <v>1454</v>
      </c>
      <c r="BQ158" t="s">
        <v>1454</v>
      </c>
      <c r="BS158" t="s">
        <v>1454</v>
      </c>
      <c r="BT158" t="s">
        <v>1454</v>
      </c>
      <c r="BU158" t="s">
        <v>1454</v>
      </c>
      <c r="BW158" t="s">
        <v>1454</v>
      </c>
      <c r="BX158" t="s">
        <v>1454</v>
      </c>
      <c r="BY158" t="s">
        <v>1454</v>
      </c>
      <c r="CA158" t="s">
        <v>1454</v>
      </c>
      <c r="CB158" t="s">
        <v>1454</v>
      </c>
      <c r="CC158" t="s">
        <v>1454</v>
      </c>
      <c r="CE158" t="s">
        <v>622</v>
      </c>
      <c r="CF158" t="s">
        <v>1454</v>
      </c>
      <c r="CG158" t="s">
        <v>1454</v>
      </c>
      <c r="CI158" t="s">
        <v>623</v>
      </c>
      <c r="CJ158" t="s">
        <v>1454</v>
      </c>
      <c r="CK158" t="s">
        <v>1454</v>
      </c>
      <c r="CM158" t="s">
        <v>624</v>
      </c>
      <c r="CN158" t="s">
        <v>1454</v>
      </c>
      <c r="CO158" t="s">
        <v>1454</v>
      </c>
      <c r="CQ158" t="s">
        <v>625</v>
      </c>
      <c r="CR158" t="s">
        <v>1454</v>
      </c>
      <c r="CS158" t="s">
        <v>1454</v>
      </c>
      <c r="CU158" t="s">
        <v>1454</v>
      </c>
      <c r="CV158" t="s">
        <v>1454</v>
      </c>
      <c r="CW158" t="s">
        <v>1454</v>
      </c>
      <c r="CY158" t="s">
        <v>1454</v>
      </c>
      <c r="CZ158" t="s">
        <v>1454</v>
      </c>
      <c r="DA158" t="s">
        <v>1454</v>
      </c>
      <c r="DC158" t="s">
        <v>1454</v>
      </c>
      <c r="DD158" t="s">
        <v>1454</v>
      </c>
      <c r="DE158" t="s">
        <v>1454</v>
      </c>
      <c r="DG158" t="s">
        <v>1454</v>
      </c>
      <c r="DH158" t="s">
        <v>1454</v>
      </c>
      <c r="DI158" t="s">
        <v>1454</v>
      </c>
      <c r="DK158" t="s">
        <v>1454</v>
      </c>
      <c r="DL158" t="s">
        <v>1454</v>
      </c>
      <c r="DM158" t="s">
        <v>1454</v>
      </c>
      <c r="DO158" t="s">
        <v>1454</v>
      </c>
      <c r="DP158" t="s">
        <v>1454</v>
      </c>
      <c r="DQ158" t="s">
        <v>1454</v>
      </c>
      <c r="DS158" t="s">
        <v>1454</v>
      </c>
      <c r="DT158" t="s">
        <v>1454</v>
      </c>
      <c r="DU158" t="s">
        <v>1454</v>
      </c>
      <c r="DW158" t="s">
        <v>1454</v>
      </c>
      <c r="DX158" t="s">
        <v>1454</v>
      </c>
      <c r="DY158" t="s">
        <v>1454</v>
      </c>
      <c r="EA158" t="s">
        <v>1454</v>
      </c>
      <c r="EB158" t="s">
        <v>1454</v>
      </c>
      <c r="EC158" t="s">
        <v>1454</v>
      </c>
      <c r="EE158" t="s">
        <v>1454</v>
      </c>
      <c r="EF158" t="s">
        <v>1454</v>
      </c>
      <c r="EG158" t="s">
        <v>1454</v>
      </c>
      <c r="EI158" t="s">
        <v>1454</v>
      </c>
      <c r="EJ158" t="s">
        <v>1454</v>
      </c>
      <c r="EK158" t="s">
        <v>1454</v>
      </c>
      <c r="EM158" t="s">
        <v>1454</v>
      </c>
      <c r="EN158" t="s">
        <v>1454</v>
      </c>
      <c r="EO158" t="s">
        <v>1454</v>
      </c>
      <c r="EQ158" t="s">
        <v>1454</v>
      </c>
      <c r="ER158" t="s">
        <v>1454</v>
      </c>
      <c r="ES158" t="s">
        <v>1454</v>
      </c>
      <c r="EU158" t="s">
        <v>1454</v>
      </c>
      <c r="EV158" t="s">
        <v>1454</v>
      </c>
      <c r="EW158" t="s">
        <v>1454</v>
      </c>
      <c r="EY158" t="s">
        <v>1454</v>
      </c>
      <c r="EZ158" t="s">
        <v>1454</v>
      </c>
      <c r="FA158" t="s">
        <v>1454</v>
      </c>
      <c r="FC158" t="s">
        <v>1454</v>
      </c>
      <c r="FD158" t="s">
        <v>1454</v>
      </c>
      <c r="FE158" t="s">
        <v>1454</v>
      </c>
      <c r="FG158" t="s">
        <v>1454</v>
      </c>
      <c r="FH158" t="s">
        <v>1454</v>
      </c>
      <c r="FI158" t="s">
        <v>1454</v>
      </c>
      <c r="FK158" t="s">
        <v>1454</v>
      </c>
      <c r="FL158" t="s">
        <v>1454</v>
      </c>
      <c r="FM158" t="s">
        <v>1454</v>
      </c>
      <c r="FO158" t="s">
        <v>1454</v>
      </c>
      <c r="FP158" t="s">
        <v>1454</v>
      </c>
      <c r="FQ158" t="s">
        <v>1454</v>
      </c>
      <c r="FS158" t="s">
        <v>1454</v>
      </c>
      <c r="FT158" t="s">
        <v>1454</v>
      </c>
      <c r="FU158" t="s">
        <v>1454</v>
      </c>
      <c r="FW158" t="s">
        <v>1454</v>
      </c>
      <c r="FX158" t="s">
        <v>1454</v>
      </c>
      <c r="FY158" t="s">
        <v>1454</v>
      </c>
      <c r="GA158" t="s">
        <v>1454</v>
      </c>
      <c r="GB158" t="s">
        <v>1454</v>
      </c>
      <c r="GC158" t="s">
        <v>1454</v>
      </c>
      <c r="GE158" t="s">
        <v>1454</v>
      </c>
      <c r="GF158" t="s">
        <v>1454</v>
      </c>
      <c r="GG158" t="s">
        <v>1454</v>
      </c>
      <c r="GI158" t="s">
        <v>1454</v>
      </c>
      <c r="GJ158" t="s">
        <v>1454</v>
      </c>
      <c r="GK158" t="s">
        <v>1454</v>
      </c>
      <c r="GM158" t="s">
        <v>1454</v>
      </c>
      <c r="GN158" t="s">
        <v>1454</v>
      </c>
      <c r="GO158" t="s">
        <v>1454</v>
      </c>
      <c r="GQ158" t="s">
        <v>1618</v>
      </c>
    </row>
    <row r="159" spans="2:199" s="11" customFormat="1" x14ac:dyDescent="0.25">
      <c r="B159" t="s">
        <v>512</v>
      </c>
      <c r="C159" t="s">
        <v>1454</v>
      </c>
      <c r="D159" t="s">
        <v>1454</v>
      </c>
      <c r="E159" t="s">
        <v>1454</v>
      </c>
      <c r="F159"/>
      <c r="G159" t="s">
        <v>1454</v>
      </c>
      <c r="H159" t="s">
        <v>1454</v>
      </c>
      <c r="I159" t="s">
        <v>1454</v>
      </c>
      <c r="J159"/>
      <c r="K159" t="s">
        <v>1454</v>
      </c>
      <c r="L159" t="s">
        <v>1454</v>
      </c>
      <c r="M159" t="s">
        <v>1454</v>
      </c>
      <c r="N159"/>
      <c r="O159" t="s">
        <v>1454</v>
      </c>
      <c r="P159" t="s">
        <v>1454</v>
      </c>
      <c r="Q159" t="s">
        <v>1454</v>
      </c>
      <c r="R159"/>
      <c r="S159" t="s">
        <v>1454</v>
      </c>
      <c r="T159" t="s">
        <v>1454</v>
      </c>
      <c r="U159" t="s">
        <v>1454</v>
      </c>
      <c r="V159"/>
      <c r="W159" t="s">
        <v>1454</v>
      </c>
      <c r="X159" t="s">
        <v>1454</v>
      </c>
      <c r="Y159" t="s">
        <v>1454</v>
      </c>
      <c r="Z159"/>
      <c r="AA159" t="s">
        <v>1454</v>
      </c>
      <c r="AB159" t="s">
        <v>1454</v>
      </c>
      <c r="AC159" t="s">
        <v>1454</v>
      </c>
      <c r="AD159"/>
      <c r="AE159" t="s">
        <v>1454</v>
      </c>
      <c r="AF159" t="s">
        <v>1454</v>
      </c>
      <c r="AG159" t="s">
        <v>1454</v>
      </c>
      <c r="AH159"/>
      <c r="AI159" t="s">
        <v>1454</v>
      </c>
      <c r="AJ159" t="s">
        <v>1454</v>
      </c>
      <c r="AK159" t="s">
        <v>1454</v>
      </c>
      <c r="AL159"/>
      <c r="AM159" t="s">
        <v>1454</v>
      </c>
      <c r="AN159" t="s">
        <v>1454</v>
      </c>
      <c r="AO159" t="s">
        <v>1454</v>
      </c>
      <c r="AP159"/>
      <c r="AQ159" t="s">
        <v>1454</v>
      </c>
      <c r="AR159" t="s">
        <v>1454</v>
      </c>
      <c r="AS159" t="s">
        <v>1454</v>
      </c>
      <c r="AT159"/>
      <c r="AU159" t="s">
        <v>1454</v>
      </c>
      <c r="AV159" t="s">
        <v>1454</v>
      </c>
      <c r="AW159" t="s">
        <v>1454</v>
      </c>
      <c r="AX159"/>
      <c r="AY159" t="s">
        <v>1454</v>
      </c>
      <c r="AZ159" t="s">
        <v>1454</v>
      </c>
      <c r="BA159" t="s">
        <v>1454</v>
      </c>
      <c r="BB159"/>
      <c r="BC159" t="s">
        <v>1454</v>
      </c>
      <c r="BD159" t="s">
        <v>1454</v>
      </c>
      <c r="BE159" t="s">
        <v>1454</v>
      </c>
      <c r="BF159"/>
      <c r="BG159" t="s">
        <v>1454</v>
      </c>
      <c r="BH159" t="s">
        <v>1454</v>
      </c>
      <c r="BI159" t="s">
        <v>1454</v>
      </c>
      <c r="BJ159"/>
      <c r="BK159" t="s">
        <v>1454</v>
      </c>
      <c r="BL159" t="s">
        <v>1454</v>
      </c>
      <c r="BM159" t="s">
        <v>1454</v>
      </c>
      <c r="BN159"/>
      <c r="BO159" t="s">
        <v>1454</v>
      </c>
      <c r="BP159" t="s">
        <v>1454</v>
      </c>
      <c r="BQ159" t="s">
        <v>1454</v>
      </c>
      <c r="BR159"/>
      <c r="BS159" t="s">
        <v>1454</v>
      </c>
      <c r="BT159" t="s">
        <v>1454</v>
      </c>
      <c r="BU159" t="s">
        <v>1454</v>
      </c>
      <c r="BV159"/>
      <c r="BW159" t="s">
        <v>1454</v>
      </c>
      <c r="BX159" t="s">
        <v>1454</v>
      </c>
      <c r="BY159" t="s">
        <v>1454</v>
      </c>
      <c r="BZ159"/>
      <c r="CA159" t="s">
        <v>1454</v>
      </c>
      <c r="CB159" t="s">
        <v>1454</v>
      </c>
      <c r="CC159" t="s">
        <v>1454</v>
      </c>
      <c r="CD159"/>
      <c r="CE159" t="s">
        <v>1454</v>
      </c>
      <c r="CF159" t="s">
        <v>1454</v>
      </c>
      <c r="CG159" t="s">
        <v>1454</v>
      </c>
      <c r="CH159"/>
      <c r="CI159" t="s">
        <v>1454</v>
      </c>
      <c r="CJ159" t="s">
        <v>1454</v>
      </c>
      <c r="CK159" t="s">
        <v>1454</v>
      </c>
      <c r="CL159"/>
      <c r="CM159" t="s">
        <v>1454</v>
      </c>
      <c r="CN159" t="s">
        <v>1454</v>
      </c>
      <c r="CO159" t="s">
        <v>1454</v>
      </c>
      <c r="CP159"/>
      <c r="CQ159" t="s">
        <v>1454</v>
      </c>
      <c r="CR159" t="s">
        <v>1454</v>
      </c>
      <c r="CS159" t="s">
        <v>1454</v>
      </c>
      <c r="CT159"/>
      <c r="CU159" t="s">
        <v>626</v>
      </c>
      <c r="CV159" t="s">
        <v>1454</v>
      </c>
      <c r="CW159" t="s">
        <v>1454</v>
      </c>
      <c r="CX159"/>
      <c r="CY159" t="s">
        <v>1454</v>
      </c>
      <c r="CZ159" t="s">
        <v>1454</v>
      </c>
      <c r="DA159" t="s">
        <v>1454</v>
      </c>
      <c r="DB159"/>
      <c r="DC159" t="s">
        <v>1454</v>
      </c>
      <c r="DD159" t="s">
        <v>1454</v>
      </c>
      <c r="DE159" t="s">
        <v>1454</v>
      </c>
      <c r="DF159"/>
      <c r="DG159" t="s">
        <v>1454</v>
      </c>
      <c r="DH159" t="s">
        <v>1454</v>
      </c>
      <c r="DI159" t="s">
        <v>1454</v>
      </c>
      <c r="DJ159"/>
      <c r="DK159" t="s">
        <v>1454</v>
      </c>
      <c r="DL159" t="s">
        <v>1454</v>
      </c>
      <c r="DM159" t="s">
        <v>1454</v>
      </c>
      <c r="DN159"/>
      <c r="DO159" t="s">
        <v>1454</v>
      </c>
      <c r="DP159" t="s">
        <v>1454</v>
      </c>
      <c r="DQ159" t="s">
        <v>1454</v>
      </c>
      <c r="DR159"/>
      <c r="DS159" t="s">
        <v>1454</v>
      </c>
      <c r="DT159" t="s">
        <v>1454</v>
      </c>
      <c r="DU159" t="s">
        <v>1454</v>
      </c>
      <c r="DV159"/>
      <c r="DW159" t="s">
        <v>1454</v>
      </c>
      <c r="DX159" t="s">
        <v>1454</v>
      </c>
      <c r="DY159" t="s">
        <v>1454</v>
      </c>
      <c r="DZ159"/>
      <c r="EA159" t="s">
        <v>1454</v>
      </c>
      <c r="EB159" t="s">
        <v>1454</v>
      </c>
      <c r="EC159" t="s">
        <v>1454</v>
      </c>
      <c r="ED159"/>
      <c r="EE159" t="s">
        <v>1454</v>
      </c>
      <c r="EF159" t="s">
        <v>1454</v>
      </c>
      <c r="EG159" t="s">
        <v>1454</v>
      </c>
      <c r="EH159"/>
      <c r="EI159" t="s">
        <v>1454</v>
      </c>
      <c r="EJ159" t="s">
        <v>1454</v>
      </c>
      <c r="EK159" t="s">
        <v>1454</v>
      </c>
      <c r="EL159"/>
      <c r="EM159" t="s">
        <v>1454</v>
      </c>
      <c r="EN159" t="s">
        <v>1454</v>
      </c>
      <c r="EO159" t="s">
        <v>1454</v>
      </c>
      <c r="EP159"/>
      <c r="EQ159" t="s">
        <v>1454</v>
      </c>
      <c r="ER159" t="s">
        <v>1454</v>
      </c>
      <c r="ES159" t="s">
        <v>1454</v>
      </c>
      <c r="ET159"/>
      <c r="EU159" t="s">
        <v>1454</v>
      </c>
      <c r="EV159" t="s">
        <v>1454</v>
      </c>
      <c r="EW159" t="s">
        <v>1454</v>
      </c>
      <c r="EX159"/>
      <c r="EY159" t="s">
        <v>1454</v>
      </c>
      <c r="EZ159" t="s">
        <v>1454</v>
      </c>
      <c r="FA159" t="s">
        <v>1454</v>
      </c>
      <c r="FB159"/>
      <c r="FC159" t="s">
        <v>1454</v>
      </c>
      <c r="FD159" t="s">
        <v>1454</v>
      </c>
      <c r="FE159" t="s">
        <v>1454</v>
      </c>
      <c r="FF159"/>
      <c r="FG159" t="s">
        <v>1454</v>
      </c>
      <c r="FH159" t="s">
        <v>1454</v>
      </c>
      <c r="FI159" t="s">
        <v>1454</v>
      </c>
      <c r="FJ159"/>
      <c r="FK159" t="s">
        <v>1454</v>
      </c>
      <c r="FL159" t="s">
        <v>1454</v>
      </c>
      <c r="FM159" t="s">
        <v>1454</v>
      </c>
      <c r="FN159"/>
      <c r="FO159" t="s">
        <v>1454</v>
      </c>
      <c r="FP159" t="s">
        <v>1454</v>
      </c>
      <c r="FQ159" t="s">
        <v>1454</v>
      </c>
      <c r="FR159"/>
      <c r="FS159" t="s">
        <v>1454</v>
      </c>
      <c r="FT159" t="s">
        <v>1454</v>
      </c>
      <c r="FU159" t="s">
        <v>1454</v>
      </c>
      <c r="FV159"/>
      <c r="FW159" t="s">
        <v>1454</v>
      </c>
      <c r="FX159" t="s">
        <v>1454</v>
      </c>
      <c r="FY159" t="s">
        <v>1454</v>
      </c>
      <c r="FZ159"/>
      <c r="GA159" t="s">
        <v>1454</v>
      </c>
      <c r="GB159" t="s">
        <v>1454</v>
      </c>
      <c r="GC159" t="s">
        <v>1454</v>
      </c>
      <c r="GD159"/>
      <c r="GE159" t="s">
        <v>1454</v>
      </c>
      <c r="GF159" t="s">
        <v>1454</v>
      </c>
      <c r="GG159" t="s">
        <v>1454</v>
      </c>
      <c r="GH159"/>
      <c r="GI159" t="s">
        <v>1454</v>
      </c>
      <c r="GJ159" t="s">
        <v>1454</v>
      </c>
      <c r="GK159" t="s">
        <v>1454</v>
      </c>
      <c r="GL159"/>
      <c r="GM159" t="s">
        <v>1454</v>
      </c>
      <c r="GN159" t="s">
        <v>1454</v>
      </c>
      <c r="GO159" t="s">
        <v>1454</v>
      </c>
      <c r="GP159"/>
      <c r="GQ159" t="s">
        <v>1463</v>
      </c>
    </row>
    <row r="160" spans="2:199" x14ac:dyDescent="0.25">
      <c r="B160" t="s">
        <v>563</v>
      </c>
      <c r="C160" t="s">
        <v>1454</v>
      </c>
      <c r="D160" t="s">
        <v>1454</v>
      </c>
      <c r="E160" t="s">
        <v>1454</v>
      </c>
      <c r="G160" t="s">
        <v>604</v>
      </c>
      <c r="H160" t="s">
        <v>1454</v>
      </c>
      <c r="I160" t="s">
        <v>1454</v>
      </c>
      <c r="K160" t="s">
        <v>1454</v>
      </c>
      <c r="L160" t="s">
        <v>1454</v>
      </c>
      <c r="M160" t="s">
        <v>1454</v>
      </c>
      <c r="O160" t="s">
        <v>1454</v>
      </c>
      <c r="P160" t="s">
        <v>1454</v>
      </c>
      <c r="Q160" t="s">
        <v>1454</v>
      </c>
      <c r="S160" t="s">
        <v>606</v>
      </c>
      <c r="T160" t="s">
        <v>1454</v>
      </c>
      <c r="U160" t="s">
        <v>1454</v>
      </c>
      <c r="W160" t="s">
        <v>1454</v>
      </c>
      <c r="X160" t="s">
        <v>1454</v>
      </c>
      <c r="Y160" t="s">
        <v>1454</v>
      </c>
      <c r="AA160" t="s">
        <v>1454</v>
      </c>
      <c r="AB160" t="s">
        <v>1454</v>
      </c>
      <c r="AC160" t="s">
        <v>1454</v>
      </c>
      <c r="AE160" t="s">
        <v>1454</v>
      </c>
      <c r="AF160" t="s">
        <v>1454</v>
      </c>
      <c r="AG160" t="s">
        <v>1454</v>
      </c>
      <c r="AI160" t="s">
        <v>1454</v>
      </c>
      <c r="AJ160" t="s">
        <v>1454</v>
      </c>
      <c r="AK160" t="s">
        <v>1454</v>
      </c>
      <c r="AM160" t="s">
        <v>1454</v>
      </c>
      <c r="AN160" t="s">
        <v>1454</v>
      </c>
      <c r="AO160" t="s">
        <v>1454</v>
      </c>
      <c r="AQ160" t="s">
        <v>1454</v>
      </c>
      <c r="AR160" t="s">
        <v>1454</v>
      </c>
      <c r="AS160" t="s">
        <v>1454</v>
      </c>
      <c r="AU160" t="s">
        <v>1454</v>
      </c>
      <c r="AV160" t="s">
        <v>1454</v>
      </c>
      <c r="AW160" t="s">
        <v>1454</v>
      </c>
      <c r="AY160" t="s">
        <v>1454</v>
      </c>
      <c r="AZ160" t="s">
        <v>1454</v>
      </c>
      <c r="BA160" t="s">
        <v>1454</v>
      </c>
      <c r="BC160" t="s">
        <v>1454</v>
      </c>
      <c r="BD160" t="s">
        <v>1454</v>
      </c>
      <c r="BE160" t="s">
        <v>1454</v>
      </c>
      <c r="BG160" t="s">
        <v>1454</v>
      </c>
      <c r="BH160" t="s">
        <v>1454</v>
      </c>
      <c r="BI160" t="s">
        <v>1454</v>
      </c>
      <c r="BK160" t="s">
        <v>1454</v>
      </c>
      <c r="BL160" t="s">
        <v>1454</v>
      </c>
      <c r="BM160" t="s">
        <v>1454</v>
      </c>
      <c r="BO160" t="s">
        <v>1454</v>
      </c>
      <c r="BP160" t="s">
        <v>1454</v>
      </c>
      <c r="BQ160" t="s">
        <v>1454</v>
      </c>
      <c r="BS160" t="s">
        <v>1454</v>
      </c>
      <c r="BT160" t="s">
        <v>1454</v>
      </c>
      <c r="BU160" t="s">
        <v>1454</v>
      </c>
      <c r="BW160" t="s">
        <v>1454</v>
      </c>
      <c r="BX160" t="s">
        <v>1454</v>
      </c>
      <c r="BY160" t="s">
        <v>1454</v>
      </c>
      <c r="CA160" t="s">
        <v>1454</v>
      </c>
      <c r="CB160" t="s">
        <v>1454</v>
      </c>
      <c r="CC160" t="s">
        <v>1454</v>
      </c>
      <c r="CE160" t="s">
        <v>1454</v>
      </c>
      <c r="CF160" t="s">
        <v>1454</v>
      </c>
      <c r="CG160" t="s">
        <v>1454</v>
      </c>
      <c r="CI160" t="s">
        <v>1454</v>
      </c>
      <c r="CJ160" t="s">
        <v>1454</v>
      </c>
      <c r="CK160" t="s">
        <v>1454</v>
      </c>
      <c r="CM160" t="s">
        <v>1454</v>
      </c>
      <c r="CN160" t="s">
        <v>1454</v>
      </c>
      <c r="CO160" t="s">
        <v>1454</v>
      </c>
      <c r="CQ160" t="s">
        <v>1454</v>
      </c>
      <c r="CR160" t="s">
        <v>1454</v>
      </c>
      <c r="CS160" t="s">
        <v>1454</v>
      </c>
      <c r="CU160" t="s">
        <v>1454</v>
      </c>
      <c r="CV160" t="s">
        <v>1454</v>
      </c>
      <c r="CW160" t="s">
        <v>1454</v>
      </c>
      <c r="CY160" t="s">
        <v>1454</v>
      </c>
      <c r="CZ160" t="s">
        <v>1454</v>
      </c>
      <c r="DA160" t="s">
        <v>1454</v>
      </c>
      <c r="DC160" t="s">
        <v>1454</v>
      </c>
      <c r="DD160" t="s">
        <v>1454</v>
      </c>
      <c r="DE160" t="s">
        <v>1454</v>
      </c>
      <c r="DG160" t="s">
        <v>1454</v>
      </c>
      <c r="DH160" t="s">
        <v>1454</v>
      </c>
      <c r="DI160" t="s">
        <v>1454</v>
      </c>
      <c r="DK160" t="s">
        <v>1454</v>
      </c>
      <c r="DL160" t="s">
        <v>1454</v>
      </c>
      <c r="DM160" t="s">
        <v>1454</v>
      </c>
      <c r="DO160" t="s">
        <v>1454</v>
      </c>
      <c r="DP160" t="s">
        <v>1454</v>
      </c>
      <c r="DQ160" t="s">
        <v>1454</v>
      </c>
      <c r="DS160" t="s">
        <v>1454</v>
      </c>
      <c r="DT160" t="s">
        <v>1454</v>
      </c>
      <c r="DU160" t="s">
        <v>1454</v>
      </c>
      <c r="DW160" t="s">
        <v>1454</v>
      </c>
      <c r="DX160" t="s">
        <v>1454</v>
      </c>
      <c r="DY160" t="s">
        <v>1454</v>
      </c>
      <c r="EA160" t="s">
        <v>1454</v>
      </c>
      <c r="EB160" t="s">
        <v>1454</v>
      </c>
      <c r="EC160" t="s">
        <v>1454</v>
      </c>
      <c r="EE160" t="s">
        <v>1454</v>
      </c>
      <c r="EF160" t="s">
        <v>1454</v>
      </c>
      <c r="EG160" t="s">
        <v>1454</v>
      </c>
      <c r="EI160" t="s">
        <v>1454</v>
      </c>
      <c r="EJ160" t="s">
        <v>1454</v>
      </c>
      <c r="EK160" t="s">
        <v>1454</v>
      </c>
      <c r="EM160" t="s">
        <v>1454</v>
      </c>
      <c r="EN160" t="s">
        <v>1454</v>
      </c>
      <c r="EO160" t="s">
        <v>1454</v>
      </c>
      <c r="EQ160" t="s">
        <v>1454</v>
      </c>
      <c r="ER160" t="s">
        <v>1454</v>
      </c>
      <c r="ES160" t="s">
        <v>1454</v>
      </c>
      <c r="EU160" t="s">
        <v>1454</v>
      </c>
      <c r="EV160" t="s">
        <v>1454</v>
      </c>
      <c r="EW160" t="s">
        <v>1454</v>
      </c>
      <c r="EY160" t="s">
        <v>1454</v>
      </c>
      <c r="EZ160" t="s">
        <v>1454</v>
      </c>
      <c r="FA160" t="s">
        <v>1454</v>
      </c>
      <c r="FC160" t="s">
        <v>1454</v>
      </c>
      <c r="FD160" t="s">
        <v>1454</v>
      </c>
      <c r="FE160" t="s">
        <v>1454</v>
      </c>
      <c r="FG160" t="s">
        <v>1454</v>
      </c>
      <c r="FH160" t="s">
        <v>1454</v>
      </c>
      <c r="FI160" t="s">
        <v>1454</v>
      </c>
      <c r="FK160" t="s">
        <v>1454</v>
      </c>
      <c r="FL160" t="s">
        <v>1454</v>
      </c>
      <c r="FM160" t="s">
        <v>1454</v>
      </c>
      <c r="FO160" t="s">
        <v>602</v>
      </c>
      <c r="FP160" t="s">
        <v>1454</v>
      </c>
      <c r="FQ160" t="s">
        <v>1454</v>
      </c>
      <c r="FS160" t="s">
        <v>1454</v>
      </c>
      <c r="FT160" t="s">
        <v>1454</v>
      </c>
      <c r="FU160" t="s">
        <v>1454</v>
      </c>
      <c r="FW160" t="s">
        <v>1454</v>
      </c>
      <c r="FX160" t="s">
        <v>1454</v>
      </c>
      <c r="FY160" t="s">
        <v>1454</v>
      </c>
      <c r="GA160" t="s">
        <v>1454</v>
      </c>
      <c r="GB160" t="s">
        <v>1454</v>
      </c>
      <c r="GC160" t="s">
        <v>1454</v>
      </c>
      <c r="GE160" t="s">
        <v>1454</v>
      </c>
      <c r="GF160" t="s">
        <v>1454</v>
      </c>
      <c r="GG160" t="s">
        <v>1454</v>
      </c>
      <c r="GI160" t="s">
        <v>1454</v>
      </c>
      <c r="GJ160" t="s">
        <v>1454</v>
      </c>
      <c r="GK160" t="s">
        <v>1454</v>
      </c>
      <c r="GM160" t="s">
        <v>1454</v>
      </c>
      <c r="GN160" t="s">
        <v>1454</v>
      </c>
      <c r="GO160" t="s">
        <v>1454</v>
      </c>
      <c r="GQ160" t="s">
        <v>1619</v>
      </c>
    </row>
    <row r="161" spans="2:199" x14ac:dyDescent="0.25">
      <c r="B161" t="s">
        <v>513</v>
      </c>
      <c r="C161" t="s">
        <v>1454</v>
      </c>
      <c r="D161" t="s">
        <v>1454</v>
      </c>
      <c r="E161" t="s">
        <v>1454</v>
      </c>
      <c r="G161" t="s">
        <v>1454</v>
      </c>
      <c r="H161" t="s">
        <v>1454</v>
      </c>
      <c r="I161" t="s">
        <v>1454</v>
      </c>
      <c r="K161" t="s">
        <v>1454</v>
      </c>
      <c r="L161" t="s">
        <v>1454</v>
      </c>
      <c r="M161" t="s">
        <v>1454</v>
      </c>
      <c r="O161" t="s">
        <v>1454</v>
      </c>
      <c r="P161" t="s">
        <v>1454</v>
      </c>
      <c r="Q161" t="s">
        <v>1454</v>
      </c>
      <c r="S161" t="s">
        <v>1454</v>
      </c>
      <c r="T161" t="s">
        <v>1454</v>
      </c>
      <c r="U161" t="s">
        <v>1454</v>
      </c>
      <c r="W161" t="s">
        <v>1454</v>
      </c>
      <c r="X161" t="s">
        <v>1454</v>
      </c>
      <c r="Y161" t="s">
        <v>1454</v>
      </c>
      <c r="AA161" t="s">
        <v>1454</v>
      </c>
      <c r="AB161" t="s">
        <v>1454</v>
      </c>
      <c r="AC161" t="s">
        <v>1454</v>
      </c>
      <c r="AE161" t="s">
        <v>1454</v>
      </c>
      <c r="AF161" t="s">
        <v>1454</v>
      </c>
      <c r="AG161" t="s">
        <v>1454</v>
      </c>
      <c r="AI161" t="s">
        <v>1454</v>
      </c>
      <c r="AJ161" t="s">
        <v>1454</v>
      </c>
      <c r="AK161" t="s">
        <v>1454</v>
      </c>
      <c r="AM161" t="s">
        <v>1454</v>
      </c>
      <c r="AN161" t="s">
        <v>1454</v>
      </c>
      <c r="AO161" t="s">
        <v>1454</v>
      </c>
      <c r="AQ161" t="s">
        <v>1454</v>
      </c>
      <c r="AR161" t="s">
        <v>1454</v>
      </c>
      <c r="AS161" t="s">
        <v>1454</v>
      </c>
      <c r="AU161" t="s">
        <v>1454</v>
      </c>
      <c r="AV161" t="s">
        <v>1454</v>
      </c>
      <c r="AW161" t="s">
        <v>1454</v>
      </c>
      <c r="AY161" t="s">
        <v>1454</v>
      </c>
      <c r="AZ161" t="s">
        <v>1454</v>
      </c>
      <c r="BA161" t="s">
        <v>1454</v>
      </c>
      <c r="BC161" t="s">
        <v>1454</v>
      </c>
      <c r="BD161" t="s">
        <v>1454</v>
      </c>
      <c r="BE161" t="s">
        <v>1454</v>
      </c>
      <c r="BG161" t="s">
        <v>1454</v>
      </c>
      <c r="BH161" t="s">
        <v>1454</v>
      </c>
      <c r="BI161" t="s">
        <v>1454</v>
      </c>
      <c r="BK161" t="s">
        <v>1454</v>
      </c>
      <c r="BL161" t="s">
        <v>1454</v>
      </c>
      <c r="BM161" t="s">
        <v>1454</v>
      </c>
      <c r="BO161" t="s">
        <v>1454</v>
      </c>
      <c r="BP161" t="s">
        <v>1454</v>
      </c>
      <c r="BQ161" t="s">
        <v>1454</v>
      </c>
      <c r="BS161" t="s">
        <v>1454</v>
      </c>
      <c r="BT161" t="s">
        <v>1454</v>
      </c>
      <c r="BU161" t="s">
        <v>1454</v>
      </c>
      <c r="BW161" t="s">
        <v>1454</v>
      </c>
      <c r="BX161" t="s">
        <v>1454</v>
      </c>
      <c r="BY161" t="s">
        <v>1454</v>
      </c>
      <c r="CA161" t="s">
        <v>1454</v>
      </c>
      <c r="CB161" t="s">
        <v>1454</v>
      </c>
      <c r="CC161" t="s">
        <v>1454</v>
      </c>
      <c r="CE161" t="s">
        <v>1454</v>
      </c>
      <c r="CF161" t="s">
        <v>1454</v>
      </c>
      <c r="CG161" t="s">
        <v>1454</v>
      </c>
      <c r="CI161" t="s">
        <v>1454</v>
      </c>
      <c r="CJ161" t="s">
        <v>1454</v>
      </c>
      <c r="CK161" t="s">
        <v>1454</v>
      </c>
      <c r="CM161" t="s">
        <v>1454</v>
      </c>
      <c r="CN161" t="s">
        <v>1454</v>
      </c>
      <c r="CO161" t="s">
        <v>1454</v>
      </c>
      <c r="CQ161" t="s">
        <v>1454</v>
      </c>
      <c r="CR161" t="s">
        <v>1454</v>
      </c>
      <c r="CS161" t="s">
        <v>1454</v>
      </c>
      <c r="CU161" t="s">
        <v>1454</v>
      </c>
      <c r="CV161" t="s">
        <v>1454</v>
      </c>
      <c r="CW161" t="s">
        <v>1454</v>
      </c>
      <c r="CY161" t="s">
        <v>1454</v>
      </c>
      <c r="CZ161" t="s">
        <v>1454</v>
      </c>
      <c r="DA161" t="s">
        <v>1454</v>
      </c>
      <c r="DC161" t="s">
        <v>1454</v>
      </c>
      <c r="DD161" t="s">
        <v>1454</v>
      </c>
      <c r="DE161" t="s">
        <v>1454</v>
      </c>
      <c r="DG161" t="s">
        <v>1454</v>
      </c>
      <c r="DH161" t="s">
        <v>1454</v>
      </c>
      <c r="DI161" t="s">
        <v>1454</v>
      </c>
      <c r="DK161" t="s">
        <v>1454</v>
      </c>
      <c r="DL161" t="s">
        <v>1454</v>
      </c>
      <c r="DM161" t="s">
        <v>1454</v>
      </c>
      <c r="DO161" t="s">
        <v>1454</v>
      </c>
      <c r="DP161" t="s">
        <v>1454</v>
      </c>
      <c r="DQ161" t="s">
        <v>1454</v>
      </c>
      <c r="DS161" t="s">
        <v>1454</v>
      </c>
      <c r="DT161" t="s">
        <v>1454</v>
      </c>
      <c r="DU161" t="s">
        <v>1454</v>
      </c>
      <c r="DW161" t="s">
        <v>1454</v>
      </c>
      <c r="DX161" t="s">
        <v>1454</v>
      </c>
      <c r="DY161" t="s">
        <v>1454</v>
      </c>
      <c r="EA161" t="s">
        <v>1454</v>
      </c>
      <c r="EB161" t="s">
        <v>1454</v>
      </c>
      <c r="EC161" t="s">
        <v>1454</v>
      </c>
      <c r="EE161" t="s">
        <v>1454</v>
      </c>
      <c r="EF161" t="s">
        <v>1454</v>
      </c>
      <c r="EG161" t="s">
        <v>1454</v>
      </c>
      <c r="EI161" t="s">
        <v>1454</v>
      </c>
      <c r="EJ161" t="s">
        <v>1454</v>
      </c>
      <c r="EK161" t="s">
        <v>1454</v>
      </c>
      <c r="EM161" t="s">
        <v>1454</v>
      </c>
      <c r="EN161" t="s">
        <v>1454</v>
      </c>
      <c r="EO161" t="s">
        <v>1454</v>
      </c>
      <c r="EQ161" t="s">
        <v>1454</v>
      </c>
      <c r="ER161" t="s">
        <v>1454</v>
      </c>
      <c r="ES161" t="s">
        <v>1454</v>
      </c>
      <c r="EU161" t="s">
        <v>1454</v>
      </c>
      <c r="EV161" t="s">
        <v>1454</v>
      </c>
      <c r="EW161" t="s">
        <v>1454</v>
      </c>
      <c r="EY161" t="s">
        <v>1454</v>
      </c>
      <c r="EZ161" t="s">
        <v>1454</v>
      </c>
      <c r="FA161" t="s">
        <v>1454</v>
      </c>
      <c r="FC161" t="s">
        <v>1454</v>
      </c>
      <c r="FD161" t="s">
        <v>1454</v>
      </c>
      <c r="FE161" t="s">
        <v>1454</v>
      </c>
      <c r="FG161" t="s">
        <v>1454</v>
      </c>
      <c r="FH161" t="s">
        <v>1454</v>
      </c>
      <c r="FI161" t="s">
        <v>1454</v>
      </c>
      <c r="FK161" t="s">
        <v>1454</v>
      </c>
      <c r="FL161" t="s">
        <v>1454</v>
      </c>
      <c r="FM161" t="s">
        <v>1454</v>
      </c>
      <c r="FO161" t="s">
        <v>602</v>
      </c>
      <c r="FP161" t="s">
        <v>1454</v>
      </c>
      <c r="FQ161" t="s">
        <v>1454</v>
      </c>
      <c r="FS161" t="s">
        <v>1454</v>
      </c>
      <c r="FT161" t="s">
        <v>1454</v>
      </c>
      <c r="FU161" t="s">
        <v>1454</v>
      </c>
      <c r="FW161" t="s">
        <v>1454</v>
      </c>
      <c r="FX161" t="s">
        <v>1454</v>
      </c>
      <c r="FY161" t="s">
        <v>1454</v>
      </c>
      <c r="GA161" t="s">
        <v>1454</v>
      </c>
      <c r="GB161" t="s">
        <v>1454</v>
      </c>
      <c r="GC161" t="s">
        <v>1454</v>
      </c>
      <c r="GE161" t="s">
        <v>1454</v>
      </c>
      <c r="GF161" t="s">
        <v>1454</v>
      </c>
      <c r="GG161" t="s">
        <v>1454</v>
      </c>
      <c r="GI161" t="s">
        <v>1454</v>
      </c>
      <c r="GJ161" t="s">
        <v>1454</v>
      </c>
      <c r="GK161" t="s">
        <v>1454</v>
      </c>
      <c r="GM161" t="s">
        <v>1454</v>
      </c>
      <c r="GN161" t="s">
        <v>1454</v>
      </c>
      <c r="GO161" t="s">
        <v>1454</v>
      </c>
      <c r="GQ161" t="s">
        <v>1477</v>
      </c>
    </row>
    <row r="162" spans="2:199" x14ac:dyDescent="0.25">
      <c r="B162" t="s">
        <v>514</v>
      </c>
      <c r="C162" t="s">
        <v>1454</v>
      </c>
      <c r="D162" t="s">
        <v>1454</v>
      </c>
      <c r="E162" t="s">
        <v>1454</v>
      </c>
      <c r="G162" t="s">
        <v>1454</v>
      </c>
      <c r="H162" t="s">
        <v>1454</v>
      </c>
      <c r="I162" t="s">
        <v>1454</v>
      </c>
      <c r="K162" t="s">
        <v>1454</v>
      </c>
      <c r="L162" t="s">
        <v>1454</v>
      </c>
      <c r="M162" t="s">
        <v>1454</v>
      </c>
      <c r="O162" t="s">
        <v>605</v>
      </c>
      <c r="P162" t="s">
        <v>1454</v>
      </c>
      <c r="Q162" t="s">
        <v>1454</v>
      </c>
      <c r="S162" t="s">
        <v>1454</v>
      </c>
      <c r="T162" t="s">
        <v>1454</v>
      </c>
      <c r="U162" t="s">
        <v>1454</v>
      </c>
      <c r="W162" t="s">
        <v>607</v>
      </c>
      <c r="X162" t="s">
        <v>1454</v>
      </c>
      <c r="Y162" t="s">
        <v>1454</v>
      </c>
      <c r="AA162" t="s">
        <v>1454</v>
      </c>
      <c r="AB162" t="s">
        <v>1454</v>
      </c>
      <c r="AC162" t="s">
        <v>1454</v>
      </c>
      <c r="AE162" t="s">
        <v>1454</v>
      </c>
      <c r="AF162" t="s">
        <v>1454</v>
      </c>
      <c r="AG162" t="s">
        <v>1454</v>
      </c>
      <c r="AI162" t="s">
        <v>1454</v>
      </c>
      <c r="AJ162" t="s">
        <v>1454</v>
      </c>
      <c r="AK162" t="s">
        <v>1454</v>
      </c>
      <c r="AM162" t="s">
        <v>1454</v>
      </c>
      <c r="AN162" t="s">
        <v>1454</v>
      </c>
      <c r="AO162" t="s">
        <v>1454</v>
      </c>
      <c r="AQ162" t="s">
        <v>612</v>
      </c>
      <c r="AR162" t="s">
        <v>1454</v>
      </c>
      <c r="AS162" t="s">
        <v>1454</v>
      </c>
      <c r="AU162" t="s">
        <v>1454</v>
      </c>
      <c r="AV162" t="s">
        <v>1454</v>
      </c>
      <c r="AW162" t="s">
        <v>1454</v>
      </c>
      <c r="AY162" t="s">
        <v>1454</v>
      </c>
      <c r="AZ162" t="s">
        <v>1454</v>
      </c>
      <c r="BA162" t="s">
        <v>1454</v>
      </c>
      <c r="BC162" t="s">
        <v>615</v>
      </c>
      <c r="BD162" t="s">
        <v>1454</v>
      </c>
      <c r="BE162" t="s">
        <v>1454</v>
      </c>
      <c r="BG162" t="s">
        <v>1454</v>
      </c>
      <c r="BH162" t="s">
        <v>1454</v>
      </c>
      <c r="BI162" t="s">
        <v>1454</v>
      </c>
      <c r="BK162" t="s">
        <v>1454</v>
      </c>
      <c r="BL162" t="s">
        <v>1454</v>
      </c>
      <c r="BM162" t="s">
        <v>1454</v>
      </c>
      <c r="BO162" t="s">
        <v>1454</v>
      </c>
      <c r="BP162" t="s">
        <v>1454</v>
      </c>
      <c r="BQ162" t="s">
        <v>1454</v>
      </c>
      <c r="BS162" t="s">
        <v>619</v>
      </c>
      <c r="BT162" t="s">
        <v>1454</v>
      </c>
      <c r="BU162" t="s">
        <v>1454</v>
      </c>
      <c r="BW162" t="s">
        <v>1454</v>
      </c>
      <c r="BX162" t="s">
        <v>1454</v>
      </c>
      <c r="BY162" t="s">
        <v>1454</v>
      </c>
      <c r="CA162" t="s">
        <v>1454</v>
      </c>
      <c r="CB162" t="s">
        <v>1454</v>
      </c>
      <c r="CC162" t="s">
        <v>1454</v>
      </c>
      <c r="CE162" t="s">
        <v>1454</v>
      </c>
      <c r="CF162" t="s">
        <v>1454</v>
      </c>
      <c r="CG162" t="s">
        <v>1454</v>
      </c>
      <c r="CI162" t="s">
        <v>1454</v>
      </c>
      <c r="CJ162" t="s">
        <v>1454</v>
      </c>
      <c r="CK162" t="s">
        <v>1454</v>
      </c>
      <c r="CM162" t="s">
        <v>1454</v>
      </c>
      <c r="CN162" t="s">
        <v>1454</v>
      </c>
      <c r="CO162" t="s">
        <v>1454</v>
      </c>
      <c r="CQ162" t="s">
        <v>625</v>
      </c>
      <c r="CR162" t="s">
        <v>1454</v>
      </c>
      <c r="CS162" t="s">
        <v>1454</v>
      </c>
      <c r="CU162" t="s">
        <v>1454</v>
      </c>
      <c r="CV162" t="s">
        <v>1454</v>
      </c>
      <c r="CW162" t="s">
        <v>1454</v>
      </c>
      <c r="CY162" t="s">
        <v>1454</v>
      </c>
      <c r="CZ162" t="s">
        <v>1454</v>
      </c>
      <c r="DA162" t="s">
        <v>1454</v>
      </c>
      <c r="DC162" t="s">
        <v>1454</v>
      </c>
      <c r="DD162" t="s">
        <v>1454</v>
      </c>
      <c r="DE162" t="s">
        <v>1454</v>
      </c>
      <c r="DG162" t="s">
        <v>1454</v>
      </c>
      <c r="DH162" t="s">
        <v>1454</v>
      </c>
      <c r="DI162" t="s">
        <v>1454</v>
      </c>
      <c r="DK162" t="s">
        <v>630</v>
      </c>
      <c r="DL162" t="s">
        <v>1454</v>
      </c>
      <c r="DM162" t="s">
        <v>1454</v>
      </c>
      <c r="DO162" t="s">
        <v>1454</v>
      </c>
      <c r="DP162" t="s">
        <v>1454</v>
      </c>
      <c r="DQ162" t="s">
        <v>1454</v>
      </c>
      <c r="DS162" t="s">
        <v>1454</v>
      </c>
      <c r="DT162" t="s">
        <v>1454</v>
      </c>
      <c r="DU162" t="s">
        <v>1454</v>
      </c>
      <c r="DW162" t="s">
        <v>1454</v>
      </c>
      <c r="DX162" t="s">
        <v>1454</v>
      </c>
      <c r="DY162" t="s">
        <v>1454</v>
      </c>
      <c r="EA162" t="s">
        <v>1454</v>
      </c>
      <c r="EB162" t="s">
        <v>1454</v>
      </c>
      <c r="EC162" t="s">
        <v>1454</v>
      </c>
      <c r="EE162" t="s">
        <v>1454</v>
      </c>
      <c r="EF162" t="s">
        <v>1454</v>
      </c>
      <c r="EG162" t="s">
        <v>1454</v>
      </c>
      <c r="EI162" t="s">
        <v>1454</v>
      </c>
      <c r="EJ162" t="s">
        <v>1454</v>
      </c>
      <c r="EK162" t="s">
        <v>1454</v>
      </c>
      <c r="EM162" t="s">
        <v>1454</v>
      </c>
      <c r="EN162" t="s">
        <v>1454</v>
      </c>
      <c r="EO162" t="s">
        <v>1454</v>
      </c>
      <c r="EQ162" t="s">
        <v>638</v>
      </c>
      <c r="ER162" t="s">
        <v>1454</v>
      </c>
      <c r="ES162" t="s">
        <v>1454</v>
      </c>
      <c r="EU162" t="s">
        <v>639</v>
      </c>
      <c r="EV162" t="s">
        <v>1454</v>
      </c>
      <c r="EW162" t="s">
        <v>1454</v>
      </c>
      <c r="EY162" t="s">
        <v>1454</v>
      </c>
      <c r="EZ162" t="s">
        <v>1454</v>
      </c>
      <c r="FA162" t="s">
        <v>1454</v>
      </c>
      <c r="FC162" t="s">
        <v>1454</v>
      </c>
      <c r="FD162" t="s">
        <v>1454</v>
      </c>
      <c r="FE162" t="s">
        <v>1454</v>
      </c>
      <c r="FG162" t="s">
        <v>1454</v>
      </c>
      <c r="FH162" t="s">
        <v>1454</v>
      </c>
      <c r="FI162" t="s">
        <v>1454</v>
      </c>
      <c r="FK162" t="s">
        <v>1454</v>
      </c>
      <c r="FL162" t="s">
        <v>1454</v>
      </c>
      <c r="FM162" t="s">
        <v>1454</v>
      </c>
      <c r="FO162" t="s">
        <v>1454</v>
      </c>
      <c r="FP162" t="s">
        <v>1454</v>
      </c>
      <c r="FQ162" t="s">
        <v>1454</v>
      </c>
      <c r="FS162" t="s">
        <v>644</v>
      </c>
      <c r="FT162" t="s">
        <v>1454</v>
      </c>
      <c r="FU162" t="s">
        <v>1454</v>
      </c>
      <c r="FW162" t="s">
        <v>1454</v>
      </c>
      <c r="FX162" t="s">
        <v>1454</v>
      </c>
      <c r="FY162" t="s">
        <v>1454</v>
      </c>
      <c r="GA162" t="s">
        <v>1454</v>
      </c>
      <c r="GB162" t="s">
        <v>1454</v>
      </c>
      <c r="GC162" t="s">
        <v>1454</v>
      </c>
      <c r="GE162" t="s">
        <v>1454</v>
      </c>
      <c r="GF162" t="s">
        <v>1454</v>
      </c>
      <c r="GG162" t="s">
        <v>1454</v>
      </c>
      <c r="GI162" t="s">
        <v>648</v>
      </c>
      <c r="GJ162" t="s">
        <v>1454</v>
      </c>
      <c r="GK162" t="s">
        <v>1454</v>
      </c>
      <c r="GM162" t="s">
        <v>1454</v>
      </c>
      <c r="GN162" t="s">
        <v>1454</v>
      </c>
      <c r="GO162" t="s">
        <v>1454</v>
      </c>
      <c r="GQ162" t="s">
        <v>1620</v>
      </c>
    </row>
    <row r="163" spans="2:199" s="11" customFormat="1" x14ac:dyDescent="0.25">
      <c r="B163" t="s">
        <v>515</v>
      </c>
      <c r="C163" t="s">
        <v>1454</v>
      </c>
      <c r="D163" t="s">
        <v>1454</v>
      </c>
      <c r="E163" t="s">
        <v>1454</v>
      </c>
      <c r="F163"/>
      <c r="G163" t="s">
        <v>1454</v>
      </c>
      <c r="H163" t="s">
        <v>1454</v>
      </c>
      <c r="I163" t="s">
        <v>1454</v>
      </c>
      <c r="J163"/>
      <c r="K163" t="s">
        <v>1454</v>
      </c>
      <c r="L163" t="s">
        <v>1454</v>
      </c>
      <c r="M163" t="s">
        <v>1454</v>
      </c>
      <c r="N163"/>
      <c r="O163" t="s">
        <v>1454</v>
      </c>
      <c r="P163" t="s">
        <v>1454</v>
      </c>
      <c r="Q163" t="s">
        <v>1454</v>
      </c>
      <c r="R163"/>
      <c r="S163" t="s">
        <v>1454</v>
      </c>
      <c r="T163" t="s">
        <v>1454</v>
      </c>
      <c r="U163" t="s">
        <v>1454</v>
      </c>
      <c r="V163"/>
      <c r="W163" t="s">
        <v>1454</v>
      </c>
      <c r="X163" t="s">
        <v>1454</v>
      </c>
      <c r="Y163" t="s">
        <v>1454</v>
      </c>
      <c r="Z163"/>
      <c r="AA163" t="s">
        <v>1454</v>
      </c>
      <c r="AB163" t="s">
        <v>1454</v>
      </c>
      <c r="AC163" t="s">
        <v>1454</v>
      </c>
      <c r="AD163"/>
      <c r="AE163" t="s">
        <v>1454</v>
      </c>
      <c r="AF163" t="s">
        <v>1454</v>
      </c>
      <c r="AG163" t="s">
        <v>1454</v>
      </c>
      <c r="AH163"/>
      <c r="AI163" t="s">
        <v>1454</v>
      </c>
      <c r="AJ163" t="s">
        <v>1454</v>
      </c>
      <c r="AK163" t="s">
        <v>1454</v>
      </c>
      <c r="AL163"/>
      <c r="AM163" t="s">
        <v>1454</v>
      </c>
      <c r="AN163" t="s">
        <v>1454</v>
      </c>
      <c r="AO163" t="s">
        <v>1454</v>
      </c>
      <c r="AP163"/>
      <c r="AQ163" t="s">
        <v>1454</v>
      </c>
      <c r="AR163" t="s">
        <v>1454</v>
      </c>
      <c r="AS163" t="s">
        <v>1454</v>
      </c>
      <c r="AT163"/>
      <c r="AU163" t="s">
        <v>1454</v>
      </c>
      <c r="AV163" t="s">
        <v>1454</v>
      </c>
      <c r="AW163" t="s">
        <v>1454</v>
      </c>
      <c r="AX163"/>
      <c r="AY163" t="s">
        <v>1454</v>
      </c>
      <c r="AZ163" t="s">
        <v>1454</v>
      </c>
      <c r="BA163" t="s">
        <v>1454</v>
      </c>
      <c r="BB163"/>
      <c r="BC163" t="s">
        <v>1454</v>
      </c>
      <c r="BD163" t="s">
        <v>1454</v>
      </c>
      <c r="BE163" t="s">
        <v>1454</v>
      </c>
      <c r="BF163"/>
      <c r="BG163" t="s">
        <v>1454</v>
      </c>
      <c r="BH163" t="s">
        <v>1454</v>
      </c>
      <c r="BI163" t="s">
        <v>1454</v>
      </c>
      <c r="BJ163"/>
      <c r="BK163" t="s">
        <v>1454</v>
      </c>
      <c r="BL163" t="s">
        <v>1454</v>
      </c>
      <c r="BM163" t="s">
        <v>1454</v>
      </c>
      <c r="BN163"/>
      <c r="BO163" t="s">
        <v>1454</v>
      </c>
      <c r="BP163" t="s">
        <v>1454</v>
      </c>
      <c r="BQ163" t="s">
        <v>1454</v>
      </c>
      <c r="BR163"/>
      <c r="BS163" t="s">
        <v>1454</v>
      </c>
      <c r="BT163" t="s">
        <v>1454</v>
      </c>
      <c r="BU163" t="s">
        <v>1454</v>
      </c>
      <c r="BV163"/>
      <c r="BW163" t="s">
        <v>1454</v>
      </c>
      <c r="BX163" t="s">
        <v>1454</v>
      </c>
      <c r="BY163" t="s">
        <v>1454</v>
      </c>
      <c r="BZ163"/>
      <c r="CA163" t="s">
        <v>1454</v>
      </c>
      <c r="CB163" t="s">
        <v>1454</v>
      </c>
      <c r="CC163" t="s">
        <v>1454</v>
      </c>
      <c r="CD163"/>
      <c r="CE163" t="s">
        <v>1454</v>
      </c>
      <c r="CF163" t="s">
        <v>1454</v>
      </c>
      <c r="CG163" t="s">
        <v>1454</v>
      </c>
      <c r="CH163"/>
      <c r="CI163" t="s">
        <v>623</v>
      </c>
      <c r="CJ163" t="s">
        <v>1454</v>
      </c>
      <c r="CK163" t="s">
        <v>1454</v>
      </c>
      <c r="CL163"/>
      <c r="CM163" t="s">
        <v>1454</v>
      </c>
      <c r="CN163" t="s">
        <v>1454</v>
      </c>
      <c r="CO163" t="s">
        <v>1454</v>
      </c>
      <c r="CP163"/>
      <c r="CQ163" t="s">
        <v>1454</v>
      </c>
      <c r="CR163" t="s">
        <v>1454</v>
      </c>
      <c r="CS163" t="s">
        <v>1454</v>
      </c>
      <c r="CT163"/>
      <c r="CU163" t="s">
        <v>1454</v>
      </c>
      <c r="CV163" t="s">
        <v>1454</v>
      </c>
      <c r="CW163" t="s">
        <v>1454</v>
      </c>
      <c r="CX163"/>
      <c r="CY163" t="s">
        <v>1454</v>
      </c>
      <c r="CZ163" t="s">
        <v>1454</v>
      </c>
      <c r="DA163" t="s">
        <v>1454</v>
      </c>
      <c r="DB163"/>
      <c r="DC163" t="s">
        <v>1454</v>
      </c>
      <c r="DD163" t="s">
        <v>1454</v>
      </c>
      <c r="DE163" t="s">
        <v>1454</v>
      </c>
      <c r="DF163"/>
      <c r="DG163" t="s">
        <v>1454</v>
      </c>
      <c r="DH163" t="s">
        <v>1454</v>
      </c>
      <c r="DI163" t="s">
        <v>1454</v>
      </c>
      <c r="DJ163"/>
      <c r="DK163" t="s">
        <v>1454</v>
      </c>
      <c r="DL163" t="s">
        <v>1454</v>
      </c>
      <c r="DM163" t="s">
        <v>1454</v>
      </c>
      <c r="DN163"/>
      <c r="DO163" t="s">
        <v>1454</v>
      </c>
      <c r="DP163" t="s">
        <v>1454</v>
      </c>
      <c r="DQ163" t="s">
        <v>1454</v>
      </c>
      <c r="DR163"/>
      <c r="DS163" t="s">
        <v>1454</v>
      </c>
      <c r="DT163" t="s">
        <v>1454</v>
      </c>
      <c r="DU163" t="s">
        <v>1454</v>
      </c>
      <c r="DV163"/>
      <c r="DW163" t="s">
        <v>1454</v>
      </c>
      <c r="DX163" t="s">
        <v>1454</v>
      </c>
      <c r="DY163" t="s">
        <v>1454</v>
      </c>
      <c r="DZ163"/>
      <c r="EA163" t="s">
        <v>1454</v>
      </c>
      <c r="EB163" t="s">
        <v>1454</v>
      </c>
      <c r="EC163" t="s">
        <v>1454</v>
      </c>
      <c r="ED163"/>
      <c r="EE163" t="s">
        <v>1454</v>
      </c>
      <c r="EF163" t="s">
        <v>1454</v>
      </c>
      <c r="EG163" t="s">
        <v>1454</v>
      </c>
      <c r="EH163"/>
      <c r="EI163" t="s">
        <v>1454</v>
      </c>
      <c r="EJ163" t="s">
        <v>1454</v>
      </c>
      <c r="EK163" t="s">
        <v>1454</v>
      </c>
      <c r="EL163"/>
      <c r="EM163" t="s">
        <v>1454</v>
      </c>
      <c r="EN163" t="s">
        <v>1454</v>
      </c>
      <c r="EO163" t="s">
        <v>1454</v>
      </c>
      <c r="EP163"/>
      <c r="EQ163" t="s">
        <v>1454</v>
      </c>
      <c r="ER163" t="s">
        <v>1454</v>
      </c>
      <c r="ES163" t="s">
        <v>1454</v>
      </c>
      <c r="ET163"/>
      <c r="EU163" t="s">
        <v>1454</v>
      </c>
      <c r="EV163" t="s">
        <v>1454</v>
      </c>
      <c r="EW163" t="s">
        <v>1454</v>
      </c>
      <c r="EX163"/>
      <c r="EY163" t="s">
        <v>1454</v>
      </c>
      <c r="EZ163" t="s">
        <v>1454</v>
      </c>
      <c r="FA163" t="s">
        <v>1454</v>
      </c>
      <c r="FB163"/>
      <c r="FC163" t="s">
        <v>1454</v>
      </c>
      <c r="FD163" t="s">
        <v>1454</v>
      </c>
      <c r="FE163" t="s">
        <v>1454</v>
      </c>
      <c r="FF163"/>
      <c r="FG163" t="s">
        <v>1454</v>
      </c>
      <c r="FH163" t="s">
        <v>1454</v>
      </c>
      <c r="FI163" t="s">
        <v>1454</v>
      </c>
      <c r="FJ163"/>
      <c r="FK163" t="s">
        <v>1454</v>
      </c>
      <c r="FL163" t="s">
        <v>1454</v>
      </c>
      <c r="FM163" t="s">
        <v>1454</v>
      </c>
      <c r="FN163"/>
      <c r="FO163" t="s">
        <v>1454</v>
      </c>
      <c r="FP163" t="s">
        <v>1454</v>
      </c>
      <c r="FQ163" t="s">
        <v>1454</v>
      </c>
      <c r="FR163"/>
      <c r="FS163" t="s">
        <v>1454</v>
      </c>
      <c r="FT163" t="s">
        <v>1454</v>
      </c>
      <c r="FU163" t="s">
        <v>1454</v>
      </c>
      <c r="FV163"/>
      <c r="FW163" t="s">
        <v>1454</v>
      </c>
      <c r="FX163" t="s">
        <v>1454</v>
      </c>
      <c r="FY163" t="s">
        <v>1454</v>
      </c>
      <c r="FZ163"/>
      <c r="GA163" t="s">
        <v>1454</v>
      </c>
      <c r="GB163" t="s">
        <v>1454</v>
      </c>
      <c r="GC163" t="s">
        <v>1454</v>
      </c>
      <c r="GD163"/>
      <c r="GE163" t="s">
        <v>1454</v>
      </c>
      <c r="GF163" t="s">
        <v>1454</v>
      </c>
      <c r="GG163" t="s">
        <v>1454</v>
      </c>
      <c r="GH163"/>
      <c r="GI163" t="s">
        <v>1454</v>
      </c>
      <c r="GJ163" t="s">
        <v>1454</v>
      </c>
      <c r="GK163" t="s">
        <v>1454</v>
      </c>
      <c r="GL163"/>
      <c r="GM163" t="s">
        <v>1454</v>
      </c>
      <c r="GN163" t="s">
        <v>1454</v>
      </c>
      <c r="GO163" t="s">
        <v>1454</v>
      </c>
      <c r="GP163"/>
      <c r="GQ163" t="s">
        <v>1611</v>
      </c>
    </row>
    <row r="164" spans="2:199" x14ac:dyDescent="0.25">
      <c r="B164" t="s">
        <v>516</v>
      </c>
      <c r="C164" t="s">
        <v>1454</v>
      </c>
      <c r="D164" t="s">
        <v>1454</v>
      </c>
      <c r="E164" t="s">
        <v>1454</v>
      </c>
      <c r="G164" t="s">
        <v>1454</v>
      </c>
      <c r="H164" t="s">
        <v>1454</v>
      </c>
      <c r="I164" t="s">
        <v>1454</v>
      </c>
      <c r="K164" t="s">
        <v>1454</v>
      </c>
      <c r="L164" t="s">
        <v>1454</v>
      </c>
      <c r="M164" t="s">
        <v>1454</v>
      </c>
      <c r="O164" t="s">
        <v>1454</v>
      </c>
      <c r="P164" t="s">
        <v>1454</v>
      </c>
      <c r="Q164" t="s">
        <v>1454</v>
      </c>
      <c r="S164" t="s">
        <v>1454</v>
      </c>
      <c r="T164" t="s">
        <v>1454</v>
      </c>
      <c r="U164" t="s">
        <v>1454</v>
      </c>
      <c r="W164" t="s">
        <v>1454</v>
      </c>
      <c r="X164" t="s">
        <v>1454</v>
      </c>
      <c r="Y164" t="s">
        <v>1454</v>
      </c>
      <c r="AA164" t="s">
        <v>1454</v>
      </c>
      <c r="AB164" t="s">
        <v>1454</v>
      </c>
      <c r="AC164" t="s">
        <v>1454</v>
      </c>
      <c r="AE164" t="s">
        <v>1454</v>
      </c>
      <c r="AF164" t="s">
        <v>1454</v>
      </c>
      <c r="AG164" t="s">
        <v>1454</v>
      </c>
      <c r="AI164" t="s">
        <v>1454</v>
      </c>
      <c r="AJ164" t="s">
        <v>1454</v>
      </c>
      <c r="AK164" t="s">
        <v>1454</v>
      </c>
      <c r="AM164" t="s">
        <v>1454</v>
      </c>
      <c r="AN164" t="s">
        <v>1454</v>
      </c>
      <c r="AO164" t="s">
        <v>1454</v>
      </c>
      <c r="AQ164" t="s">
        <v>1454</v>
      </c>
      <c r="AR164" t="s">
        <v>1454</v>
      </c>
      <c r="AS164" t="s">
        <v>1454</v>
      </c>
      <c r="AU164" t="s">
        <v>1454</v>
      </c>
      <c r="AV164" t="s">
        <v>1454</v>
      </c>
      <c r="AW164" t="s">
        <v>1454</v>
      </c>
      <c r="AY164" t="s">
        <v>1454</v>
      </c>
      <c r="AZ164" t="s">
        <v>1454</v>
      </c>
      <c r="BA164" t="s">
        <v>1454</v>
      </c>
      <c r="BC164" t="s">
        <v>1454</v>
      </c>
      <c r="BD164" t="s">
        <v>1454</v>
      </c>
      <c r="BE164" t="s">
        <v>1454</v>
      </c>
      <c r="BG164" t="s">
        <v>1454</v>
      </c>
      <c r="BH164" t="s">
        <v>1454</v>
      </c>
      <c r="BI164" t="s">
        <v>1454</v>
      </c>
      <c r="BK164" t="s">
        <v>1454</v>
      </c>
      <c r="BL164" t="s">
        <v>1454</v>
      </c>
      <c r="BM164" t="s">
        <v>1454</v>
      </c>
      <c r="BO164" t="s">
        <v>1454</v>
      </c>
      <c r="BP164" t="s">
        <v>1454</v>
      </c>
      <c r="BQ164" t="s">
        <v>1454</v>
      </c>
      <c r="BS164" t="s">
        <v>1454</v>
      </c>
      <c r="BT164" t="s">
        <v>1454</v>
      </c>
      <c r="BU164" t="s">
        <v>1454</v>
      </c>
      <c r="BW164" t="s">
        <v>1454</v>
      </c>
      <c r="BX164" t="s">
        <v>1454</v>
      </c>
      <c r="BY164" t="s">
        <v>1454</v>
      </c>
      <c r="CA164" t="s">
        <v>1454</v>
      </c>
      <c r="CB164" t="s">
        <v>1454</v>
      </c>
      <c r="CC164" t="s">
        <v>1454</v>
      </c>
      <c r="CE164" t="s">
        <v>622</v>
      </c>
      <c r="CF164" t="s">
        <v>1454</v>
      </c>
      <c r="CG164" t="s">
        <v>1454</v>
      </c>
      <c r="CI164" t="s">
        <v>1454</v>
      </c>
      <c r="CJ164" t="s">
        <v>1454</v>
      </c>
      <c r="CK164" t="s">
        <v>1454</v>
      </c>
      <c r="CM164" t="s">
        <v>1454</v>
      </c>
      <c r="CN164" t="s">
        <v>1454</v>
      </c>
      <c r="CO164" t="s">
        <v>1454</v>
      </c>
      <c r="CQ164" t="s">
        <v>1454</v>
      </c>
      <c r="CR164" t="s">
        <v>1454</v>
      </c>
      <c r="CS164" t="s">
        <v>1454</v>
      </c>
      <c r="CU164" t="s">
        <v>1454</v>
      </c>
      <c r="CV164" t="s">
        <v>1454</v>
      </c>
      <c r="CW164" t="s">
        <v>1454</v>
      </c>
      <c r="CY164" t="s">
        <v>627</v>
      </c>
      <c r="CZ164" t="s">
        <v>1454</v>
      </c>
      <c r="DA164" t="s">
        <v>1454</v>
      </c>
      <c r="DC164" t="s">
        <v>1454</v>
      </c>
      <c r="DD164" t="s">
        <v>1454</v>
      </c>
      <c r="DE164" t="s">
        <v>1454</v>
      </c>
      <c r="DG164" t="s">
        <v>1454</v>
      </c>
      <c r="DH164" t="s">
        <v>1454</v>
      </c>
      <c r="DI164" t="s">
        <v>1454</v>
      </c>
      <c r="DK164" t="s">
        <v>1454</v>
      </c>
      <c r="DL164" t="s">
        <v>1454</v>
      </c>
      <c r="DM164" t="s">
        <v>1454</v>
      </c>
      <c r="DO164" t="s">
        <v>1454</v>
      </c>
      <c r="DP164" t="s">
        <v>1454</v>
      </c>
      <c r="DQ164" t="s">
        <v>1454</v>
      </c>
      <c r="DS164" t="s">
        <v>1454</v>
      </c>
      <c r="DT164" t="s">
        <v>1454</v>
      </c>
      <c r="DU164" t="s">
        <v>1454</v>
      </c>
      <c r="DW164" t="s">
        <v>1454</v>
      </c>
      <c r="DX164" t="s">
        <v>1454</v>
      </c>
      <c r="DY164" t="s">
        <v>1454</v>
      </c>
      <c r="EA164" t="s">
        <v>1454</v>
      </c>
      <c r="EB164" t="s">
        <v>1454</v>
      </c>
      <c r="EC164" t="s">
        <v>1454</v>
      </c>
      <c r="EE164" t="s">
        <v>1454</v>
      </c>
      <c r="EF164" t="s">
        <v>1454</v>
      </c>
      <c r="EG164" t="s">
        <v>1454</v>
      </c>
      <c r="EI164" t="s">
        <v>1454</v>
      </c>
      <c r="EJ164" t="s">
        <v>1454</v>
      </c>
      <c r="EK164" t="s">
        <v>1454</v>
      </c>
      <c r="EM164" t="s">
        <v>1454</v>
      </c>
      <c r="EN164" t="s">
        <v>1454</v>
      </c>
      <c r="EO164" t="s">
        <v>1454</v>
      </c>
      <c r="EQ164" t="s">
        <v>1454</v>
      </c>
      <c r="ER164" t="s">
        <v>1454</v>
      </c>
      <c r="ES164" t="s">
        <v>1454</v>
      </c>
      <c r="EU164" t="s">
        <v>1454</v>
      </c>
      <c r="EV164" t="s">
        <v>1454</v>
      </c>
      <c r="EW164" t="s">
        <v>1454</v>
      </c>
      <c r="EY164" t="s">
        <v>1454</v>
      </c>
      <c r="EZ164" t="s">
        <v>1454</v>
      </c>
      <c r="FA164" t="s">
        <v>1454</v>
      </c>
      <c r="FC164" t="s">
        <v>1454</v>
      </c>
      <c r="FD164" t="s">
        <v>1454</v>
      </c>
      <c r="FE164" t="s">
        <v>1454</v>
      </c>
      <c r="FG164" t="s">
        <v>1454</v>
      </c>
      <c r="FH164" t="s">
        <v>1454</v>
      </c>
      <c r="FI164" t="s">
        <v>1454</v>
      </c>
      <c r="FK164" t="s">
        <v>1454</v>
      </c>
      <c r="FL164" t="s">
        <v>1454</v>
      </c>
      <c r="FM164" t="s">
        <v>1454</v>
      </c>
      <c r="FO164" t="s">
        <v>1454</v>
      </c>
      <c r="FP164" t="s">
        <v>1454</v>
      </c>
      <c r="FQ164" t="s">
        <v>1454</v>
      </c>
      <c r="FS164" t="s">
        <v>1454</v>
      </c>
      <c r="FT164" t="s">
        <v>1454</v>
      </c>
      <c r="FU164" t="s">
        <v>1454</v>
      </c>
      <c r="FW164" t="s">
        <v>1454</v>
      </c>
      <c r="FX164" t="s">
        <v>1454</v>
      </c>
      <c r="FY164" t="s">
        <v>1454</v>
      </c>
      <c r="GA164" t="s">
        <v>1454</v>
      </c>
      <c r="GB164" t="s">
        <v>1454</v>
      </c>
      <c r="GC164" t="s">
        <v>1454</v>
      </c>
      <c r="GE164" t="s">
        <v>1454</v>
      </c>
      <c r="GF164" t="s">
        <v>1454</v>
      </c>
      <c r="GG164" t="s">
        <v>1454</v>
      </c>
      <c r="GI164" t="s">
        <v>1454</v>
      </c>
      <c r="GJ164" t="s">
        <v>1454</v>
      </c>
      <c r="GK164" t="s">
        <v>1454</v>
      </c>
      <c r="GM164" t="s">
        <v>1454</v>
      </c>
      <c r="GN164" t="s">
        <v>1454</v>
      </c>
      <c r="GO164" t="s">
        <v>1454</v>
      </c>
      <c r="GQ164" t="s">
        <v>1621</v>
      </c>
    </row>
    <row r="165" spans="2:199" x14ac:dyDescent="0.25">
      <c r="B165" t="s">
        <v>517</v>
      </c>
      <c r="C165" t="s">
        <v>1454</v>
      </c>
      <c r="D165" t="s">
        <v>1454</v>
      </c>
      <c r="E165" t="s">
        <v>1454</v>
      </c>
      <c r="G165" t="s">
        <v>1454</v>
      </c>
      <c r="H165" t="s">
        <v>1454</v>
      </c>
      <c r="I165" t="s">
        <v>1454</v>
      </c>
      <c r="K165" t="s">
        <v>1454</v>
      </c>
      <c r="L165" t="s">
        <v>1454</v>
      </c>
      <c r="M165" t="s">
        <v>1454</v>
      </c>
      <c r="O165" t="s">
        <v>1454</v>
      </c>
      <c r="P165" t="s">
        <v>1454</v>
      </c>
      <c r="Q165" t="s">
        <v>1454</v>
      </c>
      <c r="S165" t="s">
        <v>1454</v>
      </c>
      <c r="T165" t="s">
        <v>1454</v>
      </c>
      <c r="U165" t="s">
        <v>1454</v>
      </c>
      <c r="W165" t="s">
        <v>1454</v>
      </c>
      <c r="X165" t="s">
        <v>1454</v>
      </c>
      <c r="Y165" t="s">
        <v>1454</v>
      </c>
      <c r="AA165" t="s">
        <v>1454</v>
      </c>
      <c r="AB165" t="s">
        <v>1454</v>
      </c>
      <c r="AC165" t="s">
        <v>1454</v>
      </c>
      <c r="AE165" t="s">
        <v>1454</v>
      </c>
      <c r="AF165" t="s">
        <v>1454</v>
      </c>
      <c r="AG165" t="s">
        <v>1454</v>
      </c>
      <c r="AI165" t="s">
        <v>1454</v>
      </c>
      <c r="AJ165" t="s">
        <v>1454</v>
      </c>
      <c r="AK165" t="s">
        <v>1454</v>
      </c>
      <c r="AM165" t="s">
        <v>1454</v>
      </c>
      <c r="AN165" t="s">
        <v>1454</v>
      </c>
      <c r="AO165" t="s">
        <v>1454</v>
      </c>
      <c r="AQ165" t="s">
        <v>1454</v>
      </c>
      <c r="AR165" t="s">
        <v>1454</v>
      </c>
      <c r="AS165" t="s">
        <v>1454</v>
      </c>
      <c r="AU165" t="s">
        <v>1454</v>
      </c>
      <c r="AV165" t="s">
        <v>1454</v>
      </c>
      <c r="AW165" t="s">
        <v>1454</v>
      </c>
      <c r="AY165" t="s">
        <v>1454</v>
      </c>
      <c r="AZ165" t="s">
        <v>1454</v>
      </c>
      <c r="BA165" t="s">
        <v>1454</v>
      </c>
      <c r="BC165" t="s">
        <v>615</v>
      </c>
      <c r="BD165" t="s">
        <v>1454</v>
      </c>
      <c r="BE165" t="s">
        <v>1454</v>
      </c>
      <c r="BG165" t="s">
        <v>1454</v>
      </c>
      <c r="BH165" t="s">
        <v>1454</v>
      </c>
      <c r="BI165" t="s">
        <v>1454</v>
      </c>
      <c r="BK165" t="s">
        <v>617</v>
      </c>
      <c r="BL165" t="s">
        <v>1454</v>
      </c>
      <c r="BM165" t="s">
        <v>1454</v>
      </c>
      <c r="BO165" t="s">
        <v>1454</v>
      </c>
      <c r="BP165" t="s">
        <v>1454</v>
      </c>
      <c r="BQ165" t="s">
        <v>1454</v>
      </c>
      <c r="BS165" t="s">
        <v>1454</v>
      </c>
      <c r="BT165" t="s">
        <v>1454</v>
      </c>
      <c r="BU165" t="s">
        <v>1454</v>
      </c>
      <c r="BW165" t="s">
        <v>1454</v>
      </c>
      <c r="BX165" t="s">
        <v>1454</v>
      </c>
      <c r="BY165" t="s">
        <v>1454</v>
      </c>
      <c r="CA165" t="s">
        <v>1454</v>
      </c>
      <c r="CB165" t="s">
        <v>1454</v>
      </c>
      <c r="CC165" t="s">
        <v>1454</v>
      </c>
      <c r="CE165" t="s">
        <v>1454</v>
      </c>
      <c r="CF165" t="s">
        <v>1454</v>
      </c>
      <c r="CG165" t="s">
        <v>1454</v>
      </c>
      <c r="CI165" t="s">
        <v>1454</v>
      </c>
      <c r="CJ165" t="s">
        <v>1454</v>
      </c>
      <c r="CK165" t="s">
        <v>1454</v>
      </c>
      <c r="CM165" t="s">
        <v>1454</v>
      </c>
      <c r="CN165" t="s">
        <v>1454</v>
      </c>
      <c r="CO165" t="s">
        <v>1454</v>
      </c>
      <c r="CQ165" t="s">
        <v>1454</v>
      </c>
      <c r="CR165" t="s">
        <v>1454</v>
      </c>
      <c r="CS165" t="s">
        <v>1454</v>
      </c>
      <c r="CU165" t="s">
        <v>1454</v>
      </c>
      <c r="CV165" t="s">
        <v>1454</v>
      </c>
      <c r="CW165" t="s">
        <v>1454</v>
      </c>
      <c r="CY165" t="s">
        <v>1454</v>
      </c>
      <c r="CZ165" t="s">
        <v>1454</v>
      </c>
      <c r="DA165" t="s">
        <v>1454</v>
      </c>
      <c r="DC165" t="s">
        <v>1454</v>
      </c>
      <c r="DD165" t="s">
        <v>1454</v>
      </c>
      <c r="DE165" t="s">
        <v>1454</v>
      </c>
      <c r="DG165" t="s">
        <v>1454</v>
      </c>
      <c r="DH165" t="s">
        <v>1454</v>
      </c>
      <c r="DI165" t="s">
        <v>1454</v>
      </c>
      <c r="DK165" t="s">
        <v>1454</v>
      </c>
      <c r="DL165" t="s">
        <v>1454</v>
      </c>
      <c r="DM165" t="s">
        <v>1454</v>
      </c>
      <c r="DO165" t="s">
        <v>1454</v>
      </c>
      <c r="DP165" t="s">
        <v>1454</v>
      </c>
      <c r="DQ165" t="s">
        <v>1454</v>
      </c>
      <c r="DS165" t="s">
        <v>1454</v>
      </c>
      <c r="DT165" t="s">
        <v>1454</v>
      </c>
      <c r="DU165" t="s">
        <v>1454</v>
      </c>
      <c r="DW165" t="s">
        <v>1454</v>
      </c>
      <c r="DX165" t="s">
        <v>1454</v>
      </c>
      <c r="DY165" t="s">
        <v>1454</v>
      </c>
      <c r="EA165" t="s">
        <v>1454</v>
      </c>
      <c r="EB165" t="s">
        <v>1454</v>
      </c>
      <c r="EC165" t="s">
        <v>1454</v>
      </c>
      <c r="EE165" t="s">
        <v>1454</v>
      </c>
      <c r="EF165" t="s">
        <v>1454</v>
      </c>
      <c r="EG165" t="s">
        <v>1454</v>
      </c>
      <c r="EI165" t="s">
        <v>1454</v>
      </c>
      <c r="EJ165" t="s">
        <v>1454</v>
      </c>
      <c r="EK165" t="s">
        <v>1454</v>
      </c>
      <c r="EM165" t="s">
        <v>1454</v>
      </c>
      <c r="EN165" t="s">
        <v>1454</v>
      </c>
      <c r="EO165" t="s">
        <v>1454</v>
      </c>
      <c r="EQ165" t="s">
        <v>1454</v>
      </c>
      <c r="ER165" t="s">
        <v>1454</v>
      </c>
      <c r="ES165" t="s">
        <v>1454</v>
      </c>
      <c r="EU165" t="s">
        <v>1454</v>
      </c>
      <c r="EV165" t="s">
        <v>1454</v>
      </c>
      <c r="EW165" t="s">
        <v>1454</v>
      </c>
      <c r="EY165" t="s">
        <v>1454</v>
      </c>
      <c r="EZ165" t="s">
        <v>1454</v>
      </c>
      <c r="FA165" t="s">
        <v>1454</v>
      </c>
      <c r="FC165" t="s">
        <v>1454</v>
      </c>
      <c r="FD165" t="s">
        <v>1454</v>
      </c>
      <c r="FE165" t="s">
        <v>1454</v>
      </c>
      <c r="FG165" t="s">
        <v>1454</v>
      </c>
      <c r="FH165" t="s">
        <v>1454</v>
      </c>
      <c r="FI165" t="s">
        <v>1454</v>
      </c>
      <c r="FK165" t="s">
        <v>1454</v>
      </c>
      <c r="FL165" t="s">
        <v>1454</v>
      </c>
      <c r="FM165" t="s">
        <v>1454</v>
      </c>
      <c r="FO165" t="s">
        <v>1454</v>
      </c>
      <c r="FP165" t="s">
        <v>1454</v>
      </c>
      <c r="FQ165" t="s">
        <v>1454</v>
      </c>
      <c r="FS165" t="s">
        <v>1454</v>
      </c>
      <c r="FT165" t="s">
        <v>1454</v>
      </c>
      <c r="FU165" t="s">
        <v>1454</v>
      </c>
      <c r="FW165" t="s">
        <v>1454</v>
      </c>
      <c r="FX165" t="s">
        <v>1454</v>
      </c>
      <c r="FY165" t="s">
        <v>1454</v>
      </c>
      <c r="GA165" t="s">
        <v>1454</v>
      </c>
      <c r="GB165" t="s">
        <v>1454</v>
      </c>
      <c r="GC165" t="s">
        <v>1454</v>
      </c>
      <c r="GE165" t="s">
        <v>1454</v>
      </c>
      <c r="GF165" t="s">
        <v>1454</v>
      </c>
      <c r="GG165" t="s">
        <v>1454</v>
      </c>
      <c r="GI165" t="s">
        <v>1454</v>
      </c>
      <c r="GJ165" t="s">
        <v>1454</v>
      </c>
      <c r="GK165" t="s">
        <v>1454</v>
      </c>
      <c r="GM165" t="s">
        <v>1454</v>
      </c>
      <c r="GN165" t="s">
        <v>1454</v>
      </c>
      <c r="GO165" t="s">
        <v>1454</v>
      </c>
      <c r="GQ165" t="s">
        <v>1622</v>
      </c>
    </row>
    <row r="166" spans="2:199" x14ac:dyDescent="0.25">
      <c r="B166" t="s">
        <v>518</v>
      </c>
      <c r="C166" t="s">
        <v>1454</v>
      </c>
      <c r="D166" t="s">
        <v>1454</v>
      </c>
      <c r="E166" t="s">
        <v>1454</v>
      </c>
      <c r="G166" t="s">
        <v>1454</v>
      </c>
      <c r="H166" t="s">
        <v>1454</v>
      </c>
      <c r="I166" t="s">
        <v>1454</v>
      </c>
      <c r="K166" t="s">
        <v>1454</v>
      </c>
      <c r="L166" t="s">
        <v>1454</v>
      </c>
      <c r="M166" t="s">
        <v>1454</v>
      </c>
      <c r="O166" t="s">
        <v>1454</v>
      </c>
      <c r="P166" t="s">
        <v>1454</v>
      </c>
      <c r="Q166" t="s">
        <v>1454</v>
      </c>
      <c r="S166" t="s">
        <v>1454</v>
      </c>
      <c r="T166" t="s">
        <v>1454</v>
      </c>
      <c r="U166" t="s">
        <v>1454</v>
      </c>
      <c r="W166" t="s">
        <v>1454</v>
      </c>
      <c r="X166" t="s">
        <v>1454</v>
      </c>
      <c r="Y166" t="s">
        <v>1454</v>
      </c>
      <c r="AA166" t="s">
        <v>1454</v>
      </c>
      <c r="AB166" t="s">
        <v>1454</v>
      </c>
      <c r="AC166" t="s">
        <v>1454</v>
      </c>
      <c r="AE166" t="s">
        <v>1454</v>
      </c>
      <c r="AF166" t="s">
        <v>1454</v>
      </c>
      <c r="AG166" t="s">
        <v>1454</v>
      </c>
      <c r="AI166" t="s">
        <v>1454</v>
      </c>
      <c r="AJ166" t="s">
        <v>1454</v>
      </c>
      <c r="AK166" t="s">
        <v>1454</v>
      </c>
      <c r="AM166" t="s">
        <v>1454</v>
      </c>
      <c r="AN166" t="s">
        <v>1454</v>
      </c>
      <c r="AO166" t="s">
        <v>1454</v>
      </c>
      <c r="AQ166" t="s">
        <v>1454</v>
      </c>
      <c r="AR166" t="s">
        <v>1454</v>
      </c>
      <c r="AS166" t="s">
        <v>1454</v>
      </c>
      <c r="AU166" t="s">
        <v>1454</v>
      </c>
      <c r="AV166" t="s">
        <v>1454</v>
      </c>
      <c r="AW166" t="s">
        <v>1454</v>
      </c>
      <c r="AY166" t="s">
        <v>1454</v>
      </c>
      <c r="AZ166" t="s">
        <v>1454</v>
      </c>
      <c r="BA166" t="s">
        <v>1454</v>
      </c>
      <c r="BC166" t="s">
        <v>1454</v>
      </c>
      <c r="BD166" t="s">
        <v>1454</v>
      </c>
      <c r="BE166" t="s">
        <v>1454</v>
      </c>
      <c r="BG166" t="s">
        <v>1454</v>
      </c>
      <c r="BH166" t="s">
        <v>1454</v>
      </c>
      <c r="BI166" t="s">
        <v>1454</v>
      </c>
      <c r="BK166" t="s">
        <v>617</v>
      </c>
      <c r="BL166" t="s">
        <v>1454</v>
      </c>
      <c r="BM166" t="s">
        <v>1454</v>
      </c>
      <c r="BO166" t="s">
        <v>1454</v>
      </c>
      <c r="BP166" t="s">
        <v>1454</v>
      </c>
      <c r="BQ166" t="s">
        <v>1454</v>
      </c>
      <c r="BS166" t="s">
        <v>1454</v>
      </c>
      <c r="BT166" t="s">
        <v>1454</v>
      </c>
      <c r="BU166" t="s">
        <v>1454</v>
      </c>
      <c r="BW166" t="s">
        <v>1454</v>
      </c>
      <c r="BX166" t="s">
        <v>1454</v>
      </c>
      <c r="BY166" t="s">
        <v>1454</v>
      </c>
      <c r="CA166" t="s">
        <v>1454</v>
      </c>
      <c r="CB166" t="s">
        <v>1454</v>
      </c>
      <c r="CC166" t="s">
        <v>1454</v>
      </c>
      <c r="CE166" t="s">
        <v>1454</v>
      </c>
      <c r="CF166" t="s">
        <v>1454</v>
      </c>
      <c r="CG166" t="s">
        <v>1454</v>
      </c>
      <c r="CI166" t="s">
        <v>1454</v>
      </c>
      <c r="CJ166" t="s">
        <v>1454</v>
      </c>
      <c r="CK166" t="s">
        <v>1454</v>
      </c>
      <c r="CM166" t="s">
        <v>1454</v>
      </c>
      <c r="CN166" t="s">
        <v>1454</v>
      </c>
      <c r="CO166" t="s">
        <v>1454</v>
      </c>
      <c r="CQ166" t="s">
        <v>625</v>
      </c>
      <c r="CR166" t="s">
        <v>1454</v>
      </c>
      <c r="CS166" t="s">
        <v>1454</v>
      </c>
      <c r="CU166" t="s">
        <v>1454</v>
      </c>
      <c r="CV166" t="s">
        <v>1454</v>
      </c>
      <c r="CW166" t="s">
        <v>1454</v>
      </c>
      <c r="CY166" t="s">
        <v>1454</v>
      </c>
      <c r="CZ166" t="s">
        <v>1454</v>
      </c>
      <c r="DA166" t="s">
        <v>1454</v>
      </c>
      <c r="DC166" t="s">
        <v>1454</v>
      </c>
      <c r="DD166" t="s">
        <v>1454</v>
      </c>
      <c r="DE166" t="s">
        <v>1454</v>
      </c>
      <c r="DG166" t="s">
        <v>1454</v>
      </c>
      <c r="DH166" t="s">
        <v>1454</v>
      </c>
      <c r="DI166" t="s">
        <v>1454</v>
      </c>
      <c r="DK166" t="s">
        <v>1454</v>
      </c>
      <c r="DL166" t="s">
        <v>1454</v>
      </c>
      <c r="DM166" t="s">
        <v>1454</v>
      </c>
      <c r="DO166" t="s">
        <v>1454</v>
      </c>
      <c r="DP166" t="s">
        <v>1454</v>
      </c>
      <c r="DQ166" t="s">
        <v>1454</v>
      </c>
      <c r="DS166" t="s">
        <v>1454</v>
      </c>
      <c r="DT166" t="s">
        <v>1454</v>
      </c>
      <c r="DU166" t="s">
        <v>1454</v>
      </c>
      <c r="DW166" t="s">
        <v>1454</v>
      </c>
      <c r="DX166" t="s">
        <v>1454</v>
      </c>
      <c r="DY166" t="s">
        <v>1454</v>
      </c>
      <c r="EA166" t="s">
        <v>1454</v>
      </c>
      <c r="EB166" t="s">
        <v>1454</v>
      </c>
      <c r="EC166" t="s">
        <v>1454</v>
      </c>
      <c r="EE166" t="s">
        <v>1454</v>
      </c>
      <c r="EF166" t="s">
        <v>1454</v>
      </c>
      <c r="EG166" t="s">
        <v>1454</v>
      </c>
      <c r="EI166" t="s">
        <v>1454</v>
      </c>
      <c r="EJ166" t="s">
        <v>1454</v>
      </c>
      <c r="EK166" t="s">
        <v>1454</v>
      </c>
      <c r="EM166" t="s">
        <v>1454</v>
      </c>
      <c r="EN166" t="s">
        <v>1454</v>
      </c>
      <c r="EO166" t="s">
        <v>1454</v>
      </c>
      <c r="EQ166" t="s">
        <v>638</v>
      </c>
      <c r="ER166" t="s">
        <v>1454</v>
      </c>
      <c r="ES166" t="s">
        <v>1454</v>
      </c>
      <c r="EU166" t="s">
        <v>639</v>
      </c>
      <c r="EV166" t="s">
        <v>1454</v>
      </c>
      <c r="EW166" t="s">
        <v>1454</v>
      </c>
      <c r="EY166" t="s">
        <v>1454</v>
      </c>
      <c r="EZ166" t="s">
        <v>1454</v>
      </c>
      <c r="FA166" t="s">
        <v>1454</v>
      </c>
      <c r="FC166" t="s">
        <v>1454</v>
      </c>
      <c r="FD166" t="s">
        <v>1454</v>
      </c>
      <c r="FE166" t="s">
        <v>1454</v>
      </c>
      <c r="FG166" t="s">
        <v>1454</v>
      </c>
      <c r="FH166" t="s">
        <v>1454</v>
      </c>
      <c r="FI166" t="s">
        <v>1454</v>
      </c>
      <c r="FK166" t="s">
        <v>1454</v>
      </c>
      <c r="FL166" t="s">
        <v>1454</v>
      </c>
      <c r="FM166" t="s">
        <v>1454</v>
      </c>
      <c r="FO166" t="s">
        <v>1454</v>
      </c>
      <c r="FP166" t="s">
        <v>1454</v>
      </c>
      <c r="FQ166" t="s">
        <v>1454</v>
      </c>
      <c r="FS166" t="s">
        <v>644</v>
      </c>
      <c r="FT166" t="s">
        <v>1454</v>
      </c>
      <c r="FU166" t="s">
        <v>1454</v>
      </c>
      <c r="FW166" t="s">
        <v>1454</v>
      </c>
      <c r="FX166" t="s">
        <v>1454</v>
      </c>
      <c r="FY166" t="s">
        <v>1454</v>
      </c>
      <c r="GA166" t="s">
        <v>1454</v>
      </c>
      <c r="GB166" t="s">
        <v>1454</v>
      </c>
      <c r="GC166" t="s">
        <v>1454</v>
      </c>
      <c r="GE166" t="s">
        <v>1454</v>
      </c>
      <c r="GF166" t="s">
        <v>1454</v>
      </c>
      <c r="GG166" t="s">
        <v>1454</v>
      </c>
      <c r="GI166" t="s">
        <v>1454</v>
      </c>
      <c r="GJ166" t="s">
        <v>1454</v>
      </c>
      <c r="GK166" t="s">
        <v>1454</v>
      </c>
      <c r="GM166" t="s">
        <v>1454</v>
      </c>
      <c r="GN166" t="s">
        <v>1454</v>
      </c>
      <c r="GO166" t="s">
        <v>1454</v>
      </c>
      <c r="GQ166" t="s">
        <v>1623</v>
      </c>
    </row>
    <row r="167" spans="2:199" s="11" customFormat="1" x14ac:dyDescent="0.25">
      <c r="B167" t="s">
        <v>299</v>
      </c>
      <c r="C167" t="s">
        <v>1454</v>
      </c>
      <c r="D167" t="s">
        <v>1454</v>
      </c>
      <c r="E167" t="s">
        <v>1454</v>
      </c>
      <c r="F167"/>
      <c r="G167" t="s">
        <v>1454</v>
      </c>
      <c r="H167" t="s">
        <v>1454</v>
      </c>
      <c r="I167" t="s">
        <v>1454</v>
      </c>
      <c r="J167"/>
      <c r="K167" t="s">
        <v>1454</v>
      </c>
      <c r="L167" t="s">
        <v>1454</v>
      </c>
      <c r="M167" t="s">
        <v>1454</v>
      </c>
      <c r="N167"/>
      <c r="O167" t="s">
        <v>1454</v>
      </c>
      <c r="P167" t="s">
        <v>1454</v>
      </c>
      <c r="Q167" t="s">
        <v>1454</v>
      </c>
      <c r="R167"/>
      <c r="S167" t="s">
        <v>1454</v>
      </c>
      <c r="T167" t="s">
        <v>1454</v>
      </c>
      <c r="U167" t="s">
        <v>1454</v>
      </c>
      <c r="V167"/>
      <c r="W167" t="s">
        <v>1454</v>
      </c>
      <c r="X167" t="s">
        <v>1454</v>
      </c>
      <c r="Y167" t="s">
        <v>1454</v>
      </c>
      <c r="Z167"/>
      <c r="AA167" t="s">
        <v>1454</v>
      </c>
      <c r="AB167" t="s">
        <v>1454</v>
      </c>
      <c r="AC167" t="s">
        <v>1454</v>
      </c>
      <c r="AD167"/>
      <c r="AE167" t="s">
        <v>1454</v>
      </c>
      <c r="AF167" t="s">
        <v>1454</v>
      </c>
      <c r="AG167" t="s">
        <v>1454</v>
      </c>
      <c r="AH167"/>
      <c r="AI167" t="s">
        <v>1454</v>
      </c>
      <c r="AJ167" t="s">
        <v>1454</v>
      </c>
      <c r="AK167" t="s">
        <v>1454</v>
      </c>
      <c r="AL167"/>
      <c r="AM167" t="s">
        <v>1454</v>
      </c>
      <c r="AN167" t="s">
        <v>1454</v>
      </c>
      <c r="AO167" t="s">
        <v>1454</v>
      </c>
      <c r="AP167"/>
      <c r="AQ167" t="s">
        <v>1454</v>
      </c>
      <c r="AR167" t="s">
        <v>1454</v>
      </c>
      <c r="AS167" t="s">
        <v>1454</v>
      </c>
      <c r="AT167"/>
      <c r="AU167" t="s">
        <v>1454</v>
      </c>
      <c r="AV167" t="s">
        <v>1454</v>
      </c>
      <c r="AW167" t="s">
        <v>1454</v>
      </c>
      <c r="AX167"/>
      <c r="AY167" t="s">
        <v>1454</v>
      </c>
      <c r="AZ167" t="s">
        <v>1454</v>
      </c>
      <c r="BA167" t="s">
        <v>1454</v>
      </c>
      <c r="BB167"/>
      <c r="BC167" t="s">
        <v>1454</v>
      </c>
      <c r="BD167" t="s">
        <v>1454</v>
      </c>
      <c r="BE167" t="s">
        <v>1454</v>
      </c>
      <c r="BF167"/>
      <c r="BG167" t="s">
        <v>1454</v>
      </c>
      <c r="BH167" t="s">
        <v>1454</v>
      </c>
      <c r="BI167" t="s">
        <v>1454</v>
      </c>
      <c r="BJ167"/>
      <c r="BK167" t="s">
        <v>1454</v>
      </c>
      <c r="BL167" t="s">
        <v>1454</v>
      </c>
      <c r="BM167" t="s">
        <v>1454</v>
      </c>
      <c r="BN167"/>
      <c r="BO167" t="s">
        <v>1454</v>
      </c>
      <c r="BP167" t="s">
        <v>1454</v>
      </c>
      <c r="BQ167" t="s">
        <v>1454</v>
      </c>
      <c r="BR167"/>
      <c r="BS167" t="s">
        <v>1454</v>
      </c>
      <c r="BT167" t="s">
        <v>1454</v>
      </c>
      <c r="BU167" t="s">
        <v>1454</v>
      </c>
      <c r="BV167"/>
      <c r="BW167" t="s">
        <v>1454</v>
      </c>
      <c r="BX167" t="s">
        <v>1454</v>
      </c>
      <c r="BY167" t="s">
        <v>1454</v>
      </c>
      <c r="BZ167"/>
      <c r="CA167" t="s">
        <v>1454</v>
      </c>
      <c r="CB167" t="s">
        <v>1454</v>
      </c>
      <c r="CC167" t="s">
        <v>1454</v>
      </c>
      <c r="CD167"/>
      <c r="CE167" t="s">
        <v>1454</v>
      </c>
      <c r="CF167" t="s">
        <v>1454</v>
      </c>
      <c r="CG167" t="s">
        <v>1454</v>
      </c>
      <c r="CH167"/>
      <c r="CI167" t="s">
        <v>1454</v>
      </c>
      <c r="CJ167" t="s">
        <v>1454</v>
      </c>
      <c r="CK167" t="s">
        <v>1454</v>
      </c>
      <c r="CL167"/>
      <c r="CM167" t="s">
        <v>624</v>
      </c>
      <c r="CN167" t="s">
        <v>1454</v>
      </c>
      <c r="CO167" t="s">
        <v>1454</v>
      </c>
      <c r="CP167"/>
      <c r="CQ167" t="s">
        <v>1454</v>
      </c>
      <c r="CR167" t="s">
        <v>1454</v>
      </c>
      <c r="CS167" t="s">
        <v>1454</v>
      </c>
      <c r="CT167"/>
      <c r="CU167" t="s">
        <v>1454</v>
      </c>
      <c r="CV167" t="s">
        <v>1454</v>
      </c>
      <c r="CW167" t="s">
        <v>1454</v>
      </c>
      <c r="CX167"/>
      <c r="CY167" t="s">
        <v>1454</v>
      </c>
      <c r="CZ167" t="s">
        <v>1454</v>
      </c>
      <c r="DA167" t="s">
        <v>1454</v>
      </c>
      <c r="DB167"/>
      <c r="DC167" t="s">
        <v>1454</v>
      </c>
      <c r="DD167" t="s">
        <v>1454</v>
      </c>
      <c r="DE167" t="s">
        <v>1454</v>
      </c>
      <c r="DF167"/>
      <c r="DG167" t="s">
        <v>1454</v>
      </c>
      <c r="DH167" t="s">
        <v>1454</v>
      </c>
      <c r="DI167" t="s">
        <v>1454</v>
      </c>
      <c r="DJ167"/>
      <c r="DK167" t="s">
        <v>1454</v>
      </c>
      <c r="DL167" t="s">
        <v>1454</v>
      </c>
      <c r="DM167" t="s">
        <v>1454</v>
      </c>
      <c r="DN167"/>
      <c r="DO167" t="s">
        <v>1454</v>
      </c>
      <c r="DP167" t="s">
        <v>1454</v>
      </c>
      <c r="DQ167" t="s">
        <v>1454</v>
      </c>
      <c r="DR167"/>
      <c r="DS167" t="s">
        <v>1454</v>
      </c>
      <c r="DT167" t="s">
        <v>1454</v>
      </c>
      <c r="DU167" t="s">
        <v>1454</v>
      </c>
      <c r="DV167"/>
      <c r="DW167" t="s">
        <v>1454</v>
      </c>
      <c r="DX167" t="s">
        <v>1454</v>
      </c>
      <c r="DY167" t="s">
        <v>1454</v>
      </c>
      <c r="DZ167"/>
      <c r="EA167" t="s">
        <v>1454</v>
      </c>
      <c r="EB167" t="s">
        <v>1454</v>
      </c>
      <c r="EC167" t="s">
        <v>1454</v>
      </c>
      <c r="ED167"/>
      <c r="EE167" t="s">
        <v>1454</v>
      </c>
      <c r="EF167" t="s">
        <v>1454</v>
      </c>
      <c r="EG167" t="s">
        <v>1454</v>
      </c>
      <c r="EH167"/>
      <c r="EI167" t="s">
        <v>1454</v>
      </c>
      <c r="EJ167" t="s">
        <v>1454</v>
      </c>
      <c r="EK167" t="s">
        <v>1454</v>
      </c>
      <c r="EL167"/>
      <c r="EM167" t="s">
        <v>1454</v>
      </c>
      <c r="EN167" t="s">
        <v>1454</v>
      </c>
      <c r="EO167" t="s">
        <v>1454</v>
      </c>
      <c r="EP167"/>
      <c r="EQ167" t="s">
        <v>1454</v>
      </c>
      <c r="ER167" t="s">
        <v>1454</v>
      </c>
      <c r="ES167" t="s">
        <v>1454</v>
      </c>
      <c r="ET167"/>
      <c r="EU167" t="s">
        <v>1454</v>
      </c>
      <c r="EV167" t="s">
        <v>1454</v>
      </c>
      <c r="EW167" t="s">
        <v>1454</v>
      </c>
      <c r="EX167"/>
      <c r="EY167" t="s">
        <v>1454</v>
      </c>
      <c r="EZ167" t="s">
        <v>1454</v>
      </c>
      <c r="FA167" t="s">
        <v>1454</v>
      </c>
      <c r="FB167"/>
      <c r="FC167" t="s">
        <v>1454</v>
      </c>
      <c r="FD167" t="s">
        <v>1454</v>
      </c>
      <c r="FE167" t="s">
        <v>1454</v>
      </c>
      <c r="FF167"/>
      <c r="FG167" t="s">
        <v>1454</v>
      </c>
      <c r="FH167" t="s">
        <v>1454</v>
      </c>
      <c r="FI167" t="s">
        <v>1454</v>
      </c>
      <c r="FJ167"/>
      <c r="FK167" t="s">
        <v>1454</v>
      </c>
      <c r="FL167" t="s">
        <v>1454</v>
      </c>
      <c r="FM167" t="s">
        <v>1454</v>
      </c>
      <c r="FN167"/>
      <c r="FO167" t="s">
        <v>1454</v>
      </c>
      <c r="FP167" t="s">
        <v>1454</v>
      </c>
      <c r="FQ167" t="s">
        <v>1454</v>
      </c>
      <c r="FR167"/>
      <c r="FS167" t="s">
        <v>1454</v>
      </c>
      <c r="FT167" t="s">
        <v>1454</v>
      </c>
      <c r="FU167" t="s">
        <v>1454</v>
      </c>
      <c r="FV167"/>
      <c r="FW167" t="s">
        <v>1454</v>
      </c>
      <c r="FX167" t="s">
        <v>1454</v>
      </c>
      <c r="FY167" t="s">
        <v>1454</v>
      </c>
      <c r="FZ167"/>
      <c r="GA167" t="s">
        <v>1454</v>
      </c>
      <c r="GB167" t="s">
        <v>1454</v>
      </c>
      <c r="GC167" t="s">
        <v>1454</v>
      </c>
      <c r="GD167"/>
      <c r="GE167" t="s">
        <v>1454</v>
      </c>
      <c r="GF167" t="s">
        <v>1454</v>
      </c>
      <c r="GG167" t="s">
        <v>1454</v>
      </c>
      <c r="GH167"/>
      <c r="GI167" t="s">
        <v>1454</v>
      </c>
      <c r="GJ167" t="s">
        <v>1454</v>
      </c>
      <c r="GK167" t="s">
        <v>1454</v>
      </c>
      <c r="GL167"/>
      <c r="GM167" t="s">
        <v>1454</v>
      </c>
      <c r="GN167" t="s">
        <v>1454</v>
      </c>
      <c r="GO167" t="s">
        <v>1454</v>
      </c>
      <c r="GP167"/>
      <c r="GQ167" t="s">
        <v>1610</v>
      </c>
    </row>
    <row r="168" spans="2:199" x14ac:dyDescent="0.25">
      <c r="B168" t="s">
        <v>519</v>
      </c>
      <c r="C168" t="s">
        <v>1454</v>
      </c>
      <c r="D168" t="s">
        <v>1454</v>
      </c>
      <c r="E168" t="s">
        <v>1454</v>
      </c>
      <c r="G168" t="s">
        <v>604</v>
      </c>
      <c r="H168" t="s">
        <v>1454</v>
      </c>
      <c r="I168" t="s">
        <v>1454</v>
      </c>
      <c r="K168" t="s">
        <v>1454</v>
      </c>
      <c r="L168" t="s">
        <v>1454</v>
      </c>
      <c r="M168" t="s">
        <v>1454</v>
      </c>
      <c r="O168" t="s">
        <v>1454</v>
      </c>
      <c r="P168" t="s">
        <v>1454</v>
      </c>
      <c r="Q168" t="s">
        <v>1454</v>
      </c>
      <c r="S168" t="s">
        <v>606</v>
      </c>
      <c r="T168" t="s">
        <v>1454</v>
      </c>
      <c r="U168" t="s">
        <v>1454</v>
      </c>
      <c r="W168" t="s">
        <v>1454</v>
      </c>
      <c r="X168" t="s">
        <v>1454</v>
      </c>
      <c r="Y168" t="s">
        <v>1454</v>
      </c>
      <c r="AA168" t="s">
        <v>1454</v>
      </c>
      <c r="AB168" t="s">
        <v>1454</v>
      </c>
      <c r="AC168" t="s">
        <v>1454</v>
      </c>
      <c r="AE168" t="s">
        <v>1454</v>
      </c>
      <c r="AF168" t="s">
        <v>1454</v>
      </c>
      <c r="AG168" t="s">
        <v>1454</v>
      </c>
      <c r="AI168" t="s">
        <v>1454</v>
      </c>
      <c r="AJ168" t="s">
        <v>1454</v>
      </c>
      <c r="AK168" t="s">
        <v>1454</v>
      </c>
      <c r="AM168" t="s">
        <v>1454</v>
      </c>
      <c r="AN168" t="s">
        <v>1454</v>
      </c>
      <c r="AO168" t="s">
        <v>1454</v>
      </c>
      <c r="AQ168" t="s">
        <v>1454</v>
      </c>
      <c r="AR168" t="s">
        <v>1454</v>
      </c>
      <c r="AS168" t="s">
        <v>1454</v>
      </c>
      <c r="AU168" t="s">
        <v>1454</v>
      </c>
      <c r="AV168" t="s">
        <v>1454</v>
      </c>
      <c r="AW168" t="s">
        <v>1454</v>
      </c>
      <c r="AY168" t="s">
        <v>1454</v>
      </c>
      <c r="AZ168" t="s">
        <v>1454</v>
      </c>
      <c r="BA168" t="s">
        <v>1454</v>
      </c>
      <c r="BC168" t="s">
        <v>1454</v>
      </c>
      <c r="BD168" t="s">
        <v>1454</v>
      </c>
      <c r="BE168" t="s">
        <v>1454</v>
      </c>
      <c r="BG168" t="s">
        <v>1454</v>
      </c>
      <c r="BH168" t="s">
        <v>1454</v>
      </c>
      <c r="BI168" t="s">
        <v>1454</v>
      </c>
      <c r="BK168" t="s">
        <v>1454</v>
      </c>
      <c r="BL168" t="s">
        <v>1454</v>
      </c>
      <c r="BM168" t="s">
        <v>1454</v>
      </c>
      <c r="BO168" t="s">
        <v>1454</v>
      </c>
      <c r="BP168" t="s">
        <v>1454</v>
      </c>
      <c r="BQ168" t="s">
        <v>1454</v>
      </c>
      <c r="BS168" t="s">
        <v>1454</v>
      </c>
      <c r="BT168" t="s">
        <v>1454</v>
      </c>
      <c r="BU168" t="s">
        <v>1454</v>
      </c>
      <c r="BW168" t="s">
        <v>1454</v>
      </c>
      <c r="BX168" t="s">
        <v>1454</v>
      </c>
      <c r="BY168" t="s">
        <v>1454</v>
      </c>
      <c r="CA168" t="s">
        <v>1454</v>
      </c>
      <c r="CB168" t="s">
        <v>1454</v>
      </c>
      <c r="CC168" t="s">
        <v>1454</v>
      </c>
      <c r="CE168" t="s">
        <v>622</v>
      </c>
      <c r="CF168" t="s">
        <v>1454</v>
      </c>
      <c r="CG168" t="s">
        <v>1454</v>
      </c>
      <c r="CI168" t="s">
        <v>1454</v>
      </c>
      <c r="CJ168" t="s">
        <v>1454</v>
      </c>
      <c r="CK168" t="s">
        <v>1454</v>
      </c>
      <c r="CM168" t="s">
        <v>1454</v>
      </c>
      <c r="CN168" t="s">
        <v>1454</v>
      </c>
      <c r="CO168" t="s">
        <v>1454</v>
      </c>
      <c r="CQ168" t="s">
        <v>1454</v>
      </c>
      <c r="CR168" t="s">
        <v>1454</v>
      </c>
      <c r="CS168" t="s">
        <v>1454</v>
      </c>
      <c r="CU168" t="s">
        <v>1454</v>
      </c>
      <c r="CV168" t="s">
        <v>1454</v>
      </c>
      <c r="CW168" t="s">
        <v>1454</v>
      </c>
      <c r="CY168" t="s">
        <v>1454</v>
      </c>
      <c r="CZ168" t="s">
        <v>1454</v>
      </c>
      <c r="DA168" t="s">
        <v>1454</v>
      </c>
      <c r="DC168" t="s">
        <v>1454</v>
      </c>
      <c r="DD168" t="s">
        <v>1454</v>
      </c>
      <c r="DE168" t="s">
        <v>1454</v>
      </c>
      <c r="DG168" t="s">
        <v>1454</v>
      </c>
      <c r="DH168" t="s">
        <v>1454</v>
      </c>
      <c r="DI168" t="s">
        <v>1454</v>
      </c>
      <c r="DK168" t="s">
        <v>630</v>
      </c>
      <c r="DL168" t="s">
        <v>1454</v>
      </c>
      <c r="DM168" t="s">
        <v>1454</v>
      </c>
      <c r="DO168" t="s">
        <v>1454</v>
      </c>
      <c r="DP168" t="s">
        <v>1454</v>
      </c>
      <c r="DQ168" t="s">
        <v>1454</v>
      </c>
      <c r="DS168" t="s">
        <v>1454</v>
      </c>
      <c r="DT168" t="s">
        <v>1454</v>
      </c>
      <c r="DU168" t="s">
        <v>1454</v>
      </c>
      <c r="DW168" t="s">
        <v>1454</v>
      </c>
      <c r="DX168" t="s">
        <v>1454</v>
      </c>
      <c r="DY168" t="s">
        <v>1454</v>
      </c>
      <c r="EA168" t="s">
        <v>1454</v>
      </c>
      <c r="EB168" t="s">
        <v>1454</v>
      </c>
      <c r="EC168" t="s">
        <v>1454</v>
      </c>
      <c r="EE168" t="s">
        <v>1454</v>
      </c>
      <c r="EF168" t="s">
        <v>1454</v>
      </c>
      <c r="EG168" t="s">
        <v>1454</v>
      </c>
      <c r="EI168" t="s">
        <v>1454</v>
      </c>
      <c r="EJ168" t="s">
        <v>1454</v>
      </c>
      <c r="EK168" t="s">
        <v>1454</v>
      </c>
      <c r="EM168" t="s">
        <v>1454</v>
      </c>
      <c r="EN168" t="s">
        <v>1454</v>
      </c>
      <c r="EO168" t="s">
        <v>1454</v>
      </c>
      <c r="EQ168" t="s">
        <v>1454</v>
      </c>
      <c r="ER168" t="s">
        <v>1454</v>
      </c>
      <c r="ES168" t="s">
        <v>1454</v>
      </c>
      <c r="EU168" t="s">
        <v>1454</v>
      </c>
      <c r="EV168" t="s">
        <v>1454</v>
      </c>
      <c r="EW168" t="s">
        <v>1454</v>
      </c>
      <c r="EY168" t="s">
        <v>1454</v>
      </c>
      <c r="EZ168" t="s">
        <v>1454</v>
      </c>
      <c r="FA168" t="s">
        <v>1454</v>
      </c>
      <c r="FC168" t="s">
        <v>1454</v>
      </c>
      <c r="FD168" t="s">
        <v>1454</v>
      </c>
      <c r="FE168" t="s">
        <v>1454</v>
      </c>
      <c r="FG168" t="s">
        <v>1454</v>
      </c>
      <c r="FH168" t="s">
        <v>1454</v>
      </c>
      <c r="FI168" t="s">
        <v>1454</v>
      </c>
      <c r="FK168" t="s">
        <v>1454</v>
      </c>
      <c r="FL168" t="s">
        <v>1454</v>
      </c>
      <c r="FM168" t="s">
        <v>1454</v>
      </c>
      <c r="FO168" t="s">
        <v>1454</v>
      </c>
      <c r="FP168" t="s">
        <v>1454</v>
      </c>
      <c r="FQ168" t="s">
        <v>1454</v>
      </c>
      <c r="FS168" t="s">
        <v>1454</v>
      </c>
      <c r="FT168" t="s">
        <v>1454</v>
      </c>
      <c r="FU168" t="s">
        <v>1454</v>
      </c>
      <c r="FW168" t="s">
        <v>1454</v>
      </c>
      <c r="FX168" t="s">
        <v>1454</v>
      </c>
      <c r="FY168" t="s">
        <v>1454</v>
      </c>
      <c r="GA168" t="s">
        <v>1454</v>
      </c>
      <c r="GB168" t="s">
        <v>1454</v>
      </c>
      <c r="GC168" t="s">
        <v>1454</v>
      </c>
      <c r="GE168" t="s">
        <v>1454</v>
      </c>
      <c r="GF168" t="s">
        <v>1454</v>
      </c>
      <c r="GG168" t="s">
        <v>1454</v>
      </c>
      <c r="GI168" t="s">
        <v>1454</v>
      </c>
      <c r="GJ168" t="s">
        <v>1454</v>
      </c>
      <c r="GK168" t="s">
        <v>1454</v>
      </c>
      <c r="GM168" t="s">
        <v>649</v>
      </c>
      <c r="GN168" t="s">
        <v>1454</v>
      </c>
      <c r="GO168" t="s">
        <v>1454</v>
      </c>
      <c r="GQ168" t="s">
        <v>1624</v>
      </c>
    </row>
    <row r="169" spans="2:199" x14ac:dyDescent="0.25">
      <c r="B169" t="s">
        <v>520</v>
      </c>
      <c r="C169" t="s">
        <v>1454</v>
      </c>
      <c r="D169" t="s">
        <v>1454</v>
      </c>
      <c r="E169" t="s">
        <v>1454</v>
      </c>
      <c r="G169" t="s">
        <v>1454</v>
      </c>
      <c r="H169" t="s">
        <v>1454</v>
      </c>
      <c r="I169" t="s">
        <v>1454</v>
      </c>
      <c r="K169" t="s">
        <v>1454</v>
      </c>
      <c r="L169" t="s">
        <v>1454</v>
      </c>
      <c r="M169" t="s">
        <v>1454</v>
      </c>
      <c r="O169" t="s">
        <v>1454</v>
      </c>
      <c r="P169" t="s">
        <v>1454</v>
      </c>
      <c r="Q169" t="s">
        <v>1454</v>
      </c>
      <c r="S169" t="s">
        <v>1454</v>
      </c>
      <c r="T169" t="s">
        <v>1454</v>
      </c>
      <c r="U169" t="s">
        <v>1454</v>
      </c>
      <c r="W169" t="s">
        <v>1454</v>
      </c>
      <c r="X169" t="s">
        <v>1454</v>
      </c>
      <c r="Y169" t="s">
        <v>1454</v>
      </c>
      <c r="AA169" t="s">
        <v>1454</v>
      </c>
      <c r="AB169" t="s">
        <v>1454</v>
      </c>
      <c r="AC169" t="s">
        <v>1454</v>
      </c>
      <c r="AE169" t="s">
        <v>1454</v>
      </c>
      <c r="AF169" t="s">
        <v>1454</v>
      </c>
      <c r="AG169" t="s">
        <v>1454</v>
      </c>
      <c r="AI169" t="s">
        <v>1454</v>
      </c>
      <c r="AJ169" t="s">
        <v>1454</v>
      </c>
      <c r="AK169" t="s">
        <v>1454</v>
      </c>
      <c r="AM169" t="s">
        <v>1454</v>
      </c>
      <c r="AN169" t="s">
        <v>1454</v>
      </c>
      <c r="AO169" t="s">
        <v>1454</v>
      </c>
      <c r="AQ169" t="s">
        <v>1454</v>
      </c>
      <c r="AR169" t="s">
        <v>1454</v>
      </c>
      <c r="AS169" t="s">
        <v>1454</v>
      </c>
      <c r="AU169" t="s">
        <v>1454</v>
      </c>
      <c r="AV169" t="s">
        <v>1454</v>
      </c>
      <c r="AW169" t="s">
        <v>1454</v>
      </c>
      <c r="AY169" t="s">
        <v>1454</v>
      </c>
      <c r="AZ169" t="s">
        <v>1454</v>
      </c>
      <c r="BA169" t="s">
        <v>1454</v>
      </c>
      <c r="BC169" t="s">
        <v>1454</v>
      </c>
      <c r="BD169" t="s">
        <v>1454</v>
      </c>
      <c r="BE169" t="s">
        <v>1454</v>
      </c>
      <c r="BG169" t="s">
        <v>1454</v>
      </c>
      <c r="BH169" t="s">
        <v>1454</v>
      </c>
      <c r="BI169" t="s">
        <v>1454</v>
      </c>
      <c r="BK169" t="s">
        <v>1454</v>
      </c>
      <c r="BL169" t="s">
        <v>1454</v>
      </c>
      <c r="BM169" t="s">
        <v>1454</v>
      </c>
      <c r="BO169" t="s">
        <v>1454</v>
      </c>
      <c r="BP169" t="s">
        <v>1454</v>
      </c>
      <c r="BQ169" t="s">
        <v>1454</v>
      </c>
      <c r="BS169" t="s">
        <v>1454</v>
      </c>
      <c r="BT169" t="s">
        <v>1454</v>
      </c>
      <c r="BU169" t="s">
        <v>1454</v>
      </c>
      <c r="BW169" t="s">
        <v>1454</v>
      </c>
      <c r="BX169" t="s">
        <v>1454</v>
      </c>
      <c r="BY169" t="s">
        <v>1454</v>
      </c>
      <c r="CA169" t="s">
        <v>1454</v>
      </c>
      <c r="CB169" t="s">
        <v>1454</v>
      </c>
      <c r="CC169" t="s">
        <v>1454</v>
      </c>
      <c r="CE169" t="s">
        <v>1454</v>
      </c>
      <c r="CF169" t="s">
        <v>1454</v>
      </c>
      <c r="CG169" t="s">
        <v>1454</v>
      </c>
      <c r="CI169" t="s">
        <v>1454</v>
      </c>
      <c r="CJ169" t="s">
        <v>1454</v>
      </c>
      <c r="CK169" t="s">
        <v>1454</v>
      </c>
      <c r="CM169" t="s">
        <v>1454</v>
      </c>
      <c r="CN169" t="s">
        <v>1454</v>
      </c>
      <c r="CO169" t="s">
        <v>1454</v>
      </c>
      <c r="CQ169" t="s">
        <v>1454</v>
      </c>
      <c r="CR169" t="s">
        <v>1454</v>
      </c>
      <c r="CS169" t="s">
        <v>1454</v>
      </c>
      <c r="CU169" t="s">
        <v>1454</v>
      </c>
      <c r="CV169" t="s">
        <v>1454</v>
      </c>
      <c r="CW169" t="s">
        <v>1454</v>
      </c>
      <c r="CY169" t="s">
        <v>1454</v>
      </c>
      <c r="CZ169" t="s">
        <v>1454</v>
      </c>
      <c r="DA169" t="s">
        <v>1454</v>
      </c>
      <c r="DC169" t="s">
        <v>1454</v>
      </c>
      <c r="DD169" t="s">
        <v>1454</v>
      </c>
      <c r="DE169" t="s">
        <v>1454</v>
      </c>
      <c r="DG169" t="s">
        <v>1454</v>
      </c>
      <c r="DH169" t="s">
        <v>1454</v>
      </c>
      <c r="DI169" t="s">
        <v>1454</v>
      </c>
      <c r="DK169" t="s">
        <v>1454</v>
      </c>
      <c r="DL169" t="s">
        <v>1454</v>
      </c>
      <c r="DM169" t="s">
        <v>1454</v>
      </c>
      <c r="DO169" t="s">
        <v>1454</v>
      </c>
      <c r="DP169" t="s">
        <v>1454</v>
      </c>
      <c r="DQ169" t="s">
        <v>1454</v>
      </c>
      <c r="DS169" t="s">
        <v>1454</v>
      </c>
      <c r="DT169" t="s">
        <v>1454</v>
      </c>
      <c r="DU169" t="s">
        <v>1454</v>
      </c>
      <c r="DW169" t="s">
        <v>1454</v>
      </c>
      <c r="DX169" t="s">
        <v>1454</v>
      </c>
      <c r="DY169" t="s">
        <v>1454</v>
      </c>
      <c r="EA169" t="s">
        <v>1454</v>
      </c>
      <c r="EB169" t="s">
        <v>1454</v>
      </c>
      <c r="EC169" t="s">
        <v>1454</v>
      </c>
      <c r="EE169" t="s">
        <v>1454</v>
      </c>
      <c r="EF169" t="s">
        <v>1454</v>
      </c>
      <c r="EG169" t="s">
        <v>1454</v>
      </c>
      <c r="EI169" t="s">
        <v>1454</v>
      </c>
      <c r="EJ169" t="s">
        <v>1454</v>
      </c>
      <c r="EK169" t="s">
        <v>1454</v>
      </c>
      <c r="EM169" t="s">
        <v>1454</v>
      </c>
      <c r="EN169" t="s">
        <v>1454</v>
      </c>
      <c r="EO169" t="s">
        <v>1454</v>
      </c>
      <c r="EQ169" t="s">
        <v>638</v>
      </c>
      <c r="ER169" t="s">
        <v>1454</v>
      </c>
      <c r="ES169" t="s">
        <v>1454</v>
      </c>
      <c r="EU169" t="s">
        <v>1454</v>
      </c>
      <c r="EV169" t="s">
        <v>1454</v>
      </c>
      <c r="EW169" t="s">
        <v>1454</v>
      </c>
      <c r="EY169" t="s">
        <v>1454</v>
      </c>
      <c r="EZ169" t="s">
        <v>1454</v>
      </c>
      <c r="FA169" t="s">
        <v>1454</v>
      </c>
      <c r="FC169" t="s">
        <v>1454</v>
      </c>
      <c r="FD169" t="s">
        <v>1454</v>
      </c>
      <c r="FE169" t="s">
        <v>1454</v>
      </c>
      <c r="FG169" t="s">
        <v>642</v>
      </c>
      <c r="FH169" t="s">
        <v>1454</v>
      </c>
      <c r="FI169" t="s">
        <v>1454</v>
      </c>
      <c r="FK169" t="s">
        <v>643</v>
      </c>
      <c r="FL169" t="s">
        <v>1454</v>
      </c>
      <c r="FM169" t="s">
        <v>1454</v>
      </c>
      <c r="FO169" t="s">
        <v>1454</v>
      </c>
      <c r="FP169" t="s">
        <v>1454</v>
      </c>
      <c r="FQ169" t="s">
        <v>1454</v>
      </c>
      <c r="FS169" t="s">
        <v>1454</v>
      </c>
      <c r="FT169" t="s">
        <v>1454</v>
      </c>
      <c r="FU169" t="s">
        <v>1454</v>
      </c>
      <c r="FW169" t="s">
        <v>1454</v>
      </c>
      <c r="FX169" t="s">
        <v>1454</v>
      </c>
      <c r="FY169" t="s">
        <v>1454</v>
      </c>
      <c r="GA169" t="s">
        <v>1454</v>
      </c>
      <c r="GB169" t="s">
        <v>1454</v>
      </c>
      <c r="GC169" t="s">
        <v>1454</v>
      </c>
      <c r="GE169" t="s">
        <v>647</v>
      </c>
      <c r="GF169" t="s">
        <v>1454</v>
      </c>
      <c r="GG169" t="s">
        <v>1454</v>
      </c>
      <c r="GI169" t="s">
        <v>1454</v>
      </c>
      <c r="GJ169" t="s">
        <v>1454</v>
      </c>
      <c r="GK169" t="s">
        <v>1454</v>
      </c>
      <c r="GM169" t="s">
        <v>1454</v>
      </c>
      <c r="GN169" t="s">
        <v>1454</v>
      </c>
      <c r="GO169" t="s">
        <v>1454</v>
      </c>
      <c r="GQ169" t="s">
        <v>1625</v>
      </c>
    </row>
    <row r="170" spans="2:199" x14ac:dyDescent="0.25">
      <c r="B170" t="s">
        <v>521</v>
      </c>
      <c r="C170" t="s">
        <v>1454</v>
      </c>
      <c r="D170" t="s">
        <v>1454</v>
      </c>
      <c r="E170" t="s">
        <v>1454</v>
      </c>
      <c r="G170" t="s">
        <v>1454</v>
      </c>
      <c r="H170" t="s">
        <v>1454</v>
      </c>
      <c r="I170" t="s">
        <v>1454</v>
      </c>
      <c r="K170" t="s">
        <v>1454</v>
      </c>
      <c r="L170" t="s">
        <v>1454</v>
      </c>
      <c r="M170" t="s">
        <v>1454</v>
      </c>
      <c r="O170" t="s">
        <v>1454</v>
      </c>
      <c r="P170" t="s">
        <v>1454</v>
      </c>
      <c r="Q170" t="s">
        <v>1454</v>
      </c>
      <c r="S170" t="s">
        <v>1454</v>
      </c>
      <c r="T170" t="s">
        <v>1454</v>
      </c>
      <c r="U170" t="s">
        <v>1454</v>
      </c>
      <c r="W170" t="s">
        <v>1454</v>
      </c>
      <c r="X170" t="s">
        <v>1454</v>
      </c>
      <c r="Y170" t="s">
        <v>1454</v>
      </c>
      <c r="AA170" t="s">
        <v>1454</v>
      </c>
      <c r="AB170" t="s">
        <v>1454</v>
      </c>
      <c r="AC170" t="s">
        <v>1454</v>
      </c>
      <c r="AE170" t="s">
        <v>1454</v>
      </c>
      <c r="AF170" t="s">
        <v>1454</v>
      </c>
      <c r="AG170" t="s">
        <v>1454</v>
      </c>
      <c r="AI170" t="s">
        <v>1454</v>
      </c>
      <c r="AJ170" t="s">
        <v>1454</v>
      </c>
      <c r="AK170" t="s">
        <v>1454</v>
      </c>
      <c r="AM170" t="s">
        <v>1454</v>
      </c>
      <c r="AN170" t="s">
        <v>1454</v>
      </c>
      <c r="AO170" t="s">
        <v>1454</v>
      </c>
      <c r="AQ170" t="s">
        <v>1454</v>
      </c>
      <c r="AR170" t="s">
        <v>1454</v>
      </c>
      <c r="AS170" t="s">
        <v>1454</v>
      </c>
      <c r="AU170" t="s">
        <v>1454</v>
      </c>
      <c r="AV170" t="s">
        <v>1454</v>
      </c>
      <c r="AW170" t="s">
        <v>1454</v>
      </c>
      <c r="AY170" t="s">
        <v>1454</v>
      </c>
      <c r="AZ170" t="s">
        <v>1454</v>
      </c>
      <c r="BA170" t="s">
        <v>1454</v>
      </c>
      <c r="BC170" t="s">
        <v>1454</v>
      </c>
      <c r="BD170" t="s">
        <v>1454</v>
      </c>
      <c r="BE170" t="s">
        <v>1454</v>
      </c>
      <c r="BG170" t="s">
        <v>1454</v>
      </c>
      <c r="BH170" t="s">
        <v>1454</v>
      </c>
      <c r="BI170" t="s">
        <v>1454</v>
      </c>
      <c r="BK170" t="s">
        <v>1454</v>
      </c>
      <c r="BL170" t="s">
        <v>1454</v>
      </c>
      <c r="BM170" t="s">
        <v>1454</v>
      </c>
      <c r="BO170" t="s">
        <v>1454</v>
      </c>
      <c r="BP170" t="s">
        <v>1454</v>
      </c>
      <c r="BQ170" t="s">
        <v>1454</v>
      </c>
      <c r="BS170" t="s">
        <v>1454</v>
      </c>
      <c r="BT170" t="s">
        <v>1454</v>
      </c>
      <c r="BU170" t="s">
        <v>1454</v>
      </c>
      <c r="BW170" t="s">
        <v>1454</v>
      </c>
      <c r="BX170" t="s">
        <v>1454</v>
      </c>
      <c r="BY170" t="s">
        <v>1454</v>
      </c>
      <c r="CA170" t="s">
        <v>1454</v>
      </c>
      <c r="CB170" t="s">
        <v>1454</v>
      </c>
      <c r="CC170" t="s">
        <v>1454</v>
      </c>
      <c r="CE170" t="s">
        <v>1454</v>
      </c>
      <c r="CF170" t="s">
        <v>1454</v>
      </c>
      <c r="CG170" t="s">
        <v>1454</v>
      </c>
      <c r="CI170" t="s">
        <v>1454</v>
      </c>
      <c r="CJ170" t="s">
        <v>1454</v>
      </c>
      <c r="CK170" t="s">
        <v>1454</v>
      </c>
      <c r="CM170" t="s">
        <v>624</v>
      </c>
      <c r="CN170" t="s">
        <v>1454</v>
      </c>
      <c r="CO170" t="s">
        <v>1454</v>
      </c>
      <c r="CQ170" t="s">
        <v>1454</v>
      </c>
      <c r="CR170" t="s">
        <v>1454</v>
      </c>
      <c r="CS170" t="s">
        <v>1454</v>
      </c>
      <c r="CU170" t="s">
        <v>1454</v>
      </c>
      <c r="CV170" t="s">
        <v>1454</v>
      </c>
      <c r="CW170" t="s">
        <v>1454</v>
      </c>
      <c r="CY170" t="s">
        <v>1454</v>
      </c>
      <c r="CZ170" t="s">
        <v>1454</v>
      </c>
      <c r="DA170" t="s">
        <v>1454</v>
      </c>
      <c r="DC170" t="s">
        <v>1454</v>
      </c>
      <c r="DD170" t="s">
        <v>1454</v>
      </c>
      <c r="DE170" t="s">
        <v>1454</v>
      </c>
      <c r="DG170" t="s">
        <v>1454</v>
      </c>
      <c r="DH170" t="s">
        <v>1454</v>
      </c>
      <c r="DI170" t="s">
        <v>1454</v>
      </c>
      <c r="DK170" t="s">
        <v>1454</v>
      </c>
      <c r="DL170" t="s">
        <v>1454</v>
      </c>
      <c r="DM170" t="s">
        <v>1454</v>
      </c>
      <c r="DO170" t="s">
        <v>1454</v>
      </c>
      <c r="DP170" t="s">
        <v>1454</v>
      </c>
      <c r="DQ170" t="s">
        <v>1454</v>
      </c>
      <c r="DS170" t="s">
        <v>1454</v>
      </c>
      <c r="DT170" t="s">
        <v>1454</v>
      </c>
      <c r="DU170" t="s">
        <v>1454</v>
      </c>
      <c r="DW170" t="s">
        <v>1454</v>
      </c>
      <c r="DX170" t="s">
        <v>1454</v>
      </c>
      <c r="DY170" t="s">
        <v>1454</v>
      </c>
      <c r="EA170" t="s">
        <v>1454</v>
      </c>
      <c r="EB170" t="s">
        <v>1454</v>
      </c>
      <c r="EC170" t="s">
        <v>1454</v>
      </c>
      <c r="EE170" t="s">
        <v>1454</v>
      </c>
      <c r="EF170" t="s">
        <v>1454</v>
      </c>
      <c r="EG170" t="s">
        <v>1454</v>
      </c>
      <c r="EI170" t="s">
        <v>1454</v>
      </c>
      <c r="EJ170" t="s">
        <v>1454</v>
      </c>
      <c r="EK170" t="s">
        <v>1454</v>
      </c>
      <c r="EM170" t="s">
        <v>1454</v>
      </c>
      <c r="EN170" t="s">
        <v>1454</v>
      </c>
      <c r="EO170" t="s">
        <v>1454</v>
      </c>
      <c r="EQ170" t="s">
        <v>1454</v>
      </c>
      <c r="ER170" t="s">
        <v>1454</v>
      </c>
      <c r="ES170" t="s">
        <v>1454</v>
      </c>
      <c r="EU170" t="s">
        <v>1454</v>
      </c>
      <c r="EV170" t="s">
        <v>1454</v>
      </c>
      <c r="EW170" t="s">
        <v>1454</v>
      </c>
      <c r="EY170" t="s">
        <v>1454</v>
      </c>
      <c r="EZ170" t="s">
        <v>1454</v>
      </c>
      <c r="FA170" t="s">
        <v>1454</v>
      </c>
      <c r="FC170" t="s">
        <v>1454</v>
      </c>
      <c r="FD170" t="s">
        <v>1454</v>
      </c>
      <c r="FE170" t="s">
        <v>1454</v>
      </c>
      <c r="FG170" t="s">
        <v>1454</v>
      </c>
      <c r="FH170" t="s">
        <v>1454</v>
      </c>
      <c r="FI170" t="s">
        <v>1454</v>
      </c>
      <c r="FK170" t="s">
        <v>1454</v>
      </c>
      <c r="FL170" t="s">
        <v>1454</v>
      </c>
      <c r="FM170" t="s">
        <v>1454</v>
      </c>
      <c r="FO170" t="s">
        <v>1454</v>
      </c>
      <c r="FP170" t="s">
        <v>1454</v>
      </c>
      <c r="FQ170" t="s">
        <v>1454</v>
      </c>
      <c r="FS170" t="s">
        <v>1454</v>
      </c>
      <c r="FT170" t="s">
        <v>1454</v>
      </c>
      <c r="FU170" t="s">
        <v>1454</v>
      </c>
      <c r="FW170" t="s">
        <v>1454</v>
      </c>
      <c r="FX170" t="s">
        <v>1454</v>
      </c>
      <c r="FY170" t="s">
        <v>1454</v>
      </c>
      <c r="GA170" t="s">
        <v>1454</v>
      </c>
      <c r="GB170" t="s">
        <v>1454</v>
      </c>
      <c r="GC170" t="s">
        <v>1454</v>
      </c>
      <c r="GE170" t="s">
        <v>1454</v>
      </c>
      <c r="GF170" t="s">
        <v>1454</v>
      </c>
      <c r="GG170" t="s">
        <v>1454</v>
      </c>
      <c r="GI170" t="s">
        <v>1454</v>
      </c>
      <c r="GJ170" t="s">
        <v>1454</v>
      </c>
      <c r="GK170" t="s">
        <v>1454</v>
      </c>
      <c r="GM170" t="s">
        <v>1454</v>
      </c>
      <c r="GN170" t="s">
        <v>1454</v>
      </c>
      <c r="GO170" t="s">
        <v>1454</v>
      </c>
      <c r="GQ170" t="s">
        <v>1610</v>
      </c>
    </row>
    <row r="171" spans="2:199" s="11" customFormat="1" x14ac:dyDescent="0.25">
      <c r="B171" t="s">
        <v>522</v>
      </c>
      <c r="C171" t="s">
        <v>1454</v>
      </c>
      <c r="D171" t="s">
        <v>1454</v>
      </c>
      <c r="E171" t="s">
        <v>1454</v>
      </c>
      <c r="F171"/>
      <c r="G171" t="s">
        <v>1454</v>
      </c>
      <c r="H171" t="s">
        <v>1454</v>
      </c>
      <c r="I171" t="s">
        <v>1454</v>
      </c>
      <c r="J171"/>
      <c r="K171" t="s">
        <v>1454</v>
      </c>
      <c r="L171" t="s">
        <v>1454</v>
      </c>
      <c r="M171" t="s">
        <v>1454</v>
      </c>
      <c r="N171"/>
      <c r="O171" t="s">
        <v>1454</v>
      </c>
      <c r="P171" t="s">
        <v>1454</v>
      </c>
      <c r="Q171" t="s">
        <v>1454</v>
      </c>
      <c r="R171"/>
      <c r="S171" t="s">
        <v>1454</v>
      </c>
      <c r="T171" t="s">
        <v>1454</v>
      </c>
      <c r="U171" t="s">
        <v>1454</v>
      </c>
      <c r="V171"/>
      <c r="W171" t="s">
        <v>1454</v>
      </c>
      <c r="X171" t="s">
        <v>1454</v>
      </c>
      <c r="Y171" t="s">
        <v>1454</v>
      </c>
      <c r="Z171"/>
      <c r="AA171" t="s">
        <v>1454</v>
      </c>
      <c r="AB171" t="s">
        <v>1454</v>
      </c>
      <c r="AC171" t="s">
        <v>1454</v>
      </c>
      <c r="AD171"/>
      <c r="AE171" t="s">
        <v>1454</v>
      </c>
      <c r="AF171" t="s">
        <v>1454</v>
      </c>
      <c r="AG171" t="s">
        <v>1454</v>
      </c>
      <c r="AH171"/>
      <c r="AI171" t="s">
        <v>1454</v>
      </c>
      <c r="AJ171" t="s">
        <v>1454</v>
      </c>
      <c r="AK171" t="s">
        <v>1454</v>
      </c>
      <c r="AL171"/>
      <c r="AM171" t="s">
        <v>1454</v>
      </c>
      <c r="AN171" t="s">
        <v>1454</v>
      </c>
      <c r="AO171" t="s">
        <v>1454</v>
      </c>
      <c r="AP171"/>
      <c r="AQ171" t="s">
        <v>1454</v>
      </c>
      <c r="AR171" t="s">
        <v>1454</v>
      </c>
      <c r="AS171" t="s">
        <v>1454</v>
      </c>
      <c r="AT171"/>
      <c r="AU171" t="s">
        <v>1454</v>
      </c>
      <c r="AV171" t="s">
        <v>1454</v>
      </c>
      <c r="AW171" t="s">
        <v>1454</v>
      </c>
      <c r="AX171"/>
      <c r="AY171" t="s">
        <v>1454</v>
      </c>
      <c r="AZ171" t="s">
        <v>1454</v>
      </c>
      <c r="BA171" t="s">
        <v>1454</v>
      </c>
      <c r="BB171"/>
      <c r="BC171" t="s">
        <v>1454</v>
      </c>
      <c r="BD171" t="s">
        <v>1454</v>
      </c>
      <c r="BE171" t="s">
        <v>1454</v>
      </c>
      <c r="BF171"/>
      <c r="BG171" t="s">
        <v>1454</v>
      </c>
      <c r="BH171" t="s">
        <v>1454</v>
      </c>
      <c r="BI171" t="s">
        <v>1454</v>
      </c>
      <c r="BJ171"/>
      <c r="BK171" t="s">
        <v>1454</v>
      </c>
      <c r="BL171" t="s">
        <v>1454</v>
      </c>
      <c r="BM171" t="s">
        <v>1454</v>
      </c>
      <c r="BN171"/>
      <c r="BO171" t="s">
        <v>1454</v>
      </c>
      <c r="BP171" t="s">
        <v>1454</v>
      </c>
      <c r="BQ171" t="s">
        <v>1454</v>
      </c>
      <c r="BR171"/>
      <c r="BS171" t="s">
        <v>1454</v>
      </c>
      <c r="BT171" t="s">
        <v>1454</v>
      </c>
      <c r="BU171" t="s">
        <v>1454</v>
      </c>
      <c r="BV171"/>
      <c r="BW171" t="s">
        <v>1454</v>
      </c>
      <c r="BX171" t="s">
        <v>1454</v>
      </c>
      <c r="BY171" t="s">
        <v>1454</v>
      </c>
      <c r="BZ171"/>
      <c r="CA171" t="s">
        <v>1454</v>
      </c>
      <c r="CB171" t="s">
        <v>1454</v>
      </c>
      <c r="CC171" t="s">
        <v>1454</v>
      </c>
      <c r="CD171"/>
      <c r="CE171" t="s">
        <v>1454</v>
      </c>
      <c r="CF171" t="s">
        <v>1454</v>
      </c>
      <c r="CG171" t="s">
        <v>1454</v>
      </c>
      <c r="CH171"/>
      <c r="CI171" t="s">
        <v>1454</v>
      </c>
      <c r="CJ171" t="s">
        <v>1454</v>
      </c>
      <c r="CK171" t="s">
        <v>1454</v>
      </c>
      <c r="CL171"/>
      <c r="CM171" t="s">
        <v>1454</v>
      </c>
      <c r="CN171" t="s">
        <v>1454</v>
      </c>
      <c r="CO171" t="s">
        <v>1454</v>
      </c>
      <c r="CP171"/>
      <c r="CQ171" t="s">
        <v>1454</v>
      </c>
      <c r="CR171" t="s">
        <v>1454</v>
      </c>
      <c r="CS171" t="s">
        <v>1454</v>
      </c>
      <c r="CT171"/>
      <c r="CU171" t="s">
        <v>1454</v>
      </c>
      <c r="CV171" t="s">
        <v>1454</v>
      </c>
      <c r="CW171" t="s">
        <v>1454</v>
      </c>
      <c r="CX171"/>
      <c r="CY171" t="s">
        <v>1454</v>
      </c>
      <c r="CZ171" t="s">
        <v>1454</v>
      </c>
      <c r="DA171" t="s">
        <v>1454</v>
      </c>
      <c r="DB171"/>
      <c r="DC171" t="s">
        <v>1454</v>
      </c>
      <c r="DD171" t="s">
        <v>1454</v>
      </c>
      <c r="DE171" t="s">
        <v>1454</v>
      </c>
      <c r="DF171"/>
      <c r="DG171" t="s">
        <v>1454</v>
      </c>
      <c r="DH171" t="s">
        <v>1454</v>
      </c>
      <c r="DI171" t="s">
        <v>1454</v>
      </c>
      <c r="DJ171"/>
      <c r="DK171" t="s">
        <v>1454</v>
      </c>
      <c r="DL171" t="s">
        <v>1454</v>
      </c>
      <c r="DM171" t="s">
        <v>1454</v>
      </c>
      <c r="DN171"/>
      <c r="DO171" t="s">
        <v>1454</v>
      </c>
      <c r="DP171" t="s">
        <v>1454</v>
      </c>
      <c r="DQ171" t="s">
        <v>1454</v>
      </c>
      <c r="DR171"/>
      <c r="DS171" t="s">
        <v>1454</v>
      </c>
      <c r="DT171" t="s">
        <v>1454</v>
      </c>
      <c r="DU171" t="s">
        <v>1454</v>
      </c>
      <c r="DV171"/>
      <c r="DW171" t="s">
        <v>1454</v>
      </c>
      <c r="DX171" t="s">
        <v>1454</v>
      </c>
      <c r="DY171" t="s">
        <v>1454</v>
      </c>
      <c r="DZ171"/>
      <c r="EA171" t="s">
        <v>1454</v>
      </c>
      <c r="EB171" t="s">
        <v>1454</v>
      </c>
      <c r="EC171" t="s">
        <v>1454</v>
      </c>
      <c r="ED171"/>
      <c r="EE171" t="s">
        <v>1454</v>
      </c>
      <c r="EF171" t="s">
        <v>1454</v>
      </c>
      <c r="EG171" t="s">
        <v>1454</v>
      </c>
      <c r="EH171"/>
      <c r="EI171" t="s">
        <v>1454</v>
      </c>
      <c r="EJ171" t="s">
        <v>1454</v>
      </c>
      <c r="EK171" t="s">
        <v>1454</v>
      </c>
      <c r="EL171"/>
      <c r="EM171" t="s">
        <v>1454</v>
      </c>
      <c r="EN171" t="s">
        <v>1454</v>
      </c>
      <c r="EO171" t="s">
        <v>1454</v>
      </c>
      <c r="EP171"/>
      <c r="EQ171" t="s">
        <v>1454</v>
      </c>
      <c r="ER171" t="s">
        <v>1454</v>
      </c>
      <c r="ES171" t="s">
        <v>1454</v>
      </c>
      <c r="ET171"/>
      <c r="EU171" t="s">
        <v>1454</v>
      </c>
      <c r="EV171" t="s">
        <v>1454</v>
      </c>
      <c r="EW171" t="s">
        <v>1454</v>
      </c>
      <c r="EX171"/>
      <c r="EY171" t="s">
        <v>1454</v>
      </c>
      <c r="EZ171" t="s">
        <v>1454</v>
      </c>
      <c r="FA171" t="s">
        <v>1454</v>
      </c>
      <c r="FB171"/>
      <c r="FC171" t="s">
        <v>1454</v>
      </c>
      <c r="FD171" t="s">
        <v>1454</v>
      </c>
      <c r="FE171" t="s">
        <v>1454</v>
      </c>
      <c r="FF171"/>
      <c r="FG171" t="s">
        <v>642</v>
      </c>
      <c r="FH171" t="s">
        <v>1454</v>
      </c>
      <c r="FI171" t="s">
        <v>1454</v>
      </c>
      <c r="FJ171"/>
      <c r="FK171" t="s">
        <v>1454</v>
      </c>
      <c r="FL171" t="s">
        <v>1454</v>
      </c>
      <c r="FM171" t="s">
        <v>1454</v>
      </c>
      <c r="FN171"/>
      <c r="FO171" t="s">
        <v>1454</v>
      </c>
      <c r="FP171" t="s">
        <v>1454</v>
      </c>
      <c r="FQ171" t="s">
        <v>1454</v>
      </c>
      <c r="FR171"/>
      <c r="FS171" t="s">
        <v>1454</v>
      </c>
      <c r="FT171" t="s">
        <v>1454</v>
      </c>
      <c r="FU171" t="s">
        <v>1454</v>
      </c>
      <c r="FV171"/>
      <c r="FW171" t="s">
        <v>1454</v>
      </c>
      <c r="FX171" t="s">
        <v>1454</v>
      </c>
      <c r="FY171" t="s">
        <v>1454</v>
      </c>
      <c r="FZ171"/>
      <c r="GA171" t="s">
        <v>1454</v>
      </c>
      <c r="GB171" t="s">
        <v>1454</v>
      </c>
      <c r="GC171" t="s">
        <v>1454</v>
      </c>
      <c r="GD171"/>
      <c r="GE171" t="s">
        <v>1454</v>
      </c>
      <c r="GF171" t="s">
        <v>1454</v>
      </c>
      <c r="GG171" t="s">
        <v>1454</v>
      </c>
      <c r="GH171"/>
      <c r="GI171" t="s">
        <v>1454</v>
      </c>
      <c r="GJ171" t="s">
        <v>1454</v>
      </c>
      <c r="GK171" t="s">
        <v>1454</v>
      </c>
      <c r="GL171"/>
      <c r="GM171" t="s">
        <v>1454</v>
      </c>
      <c r="GN171" t="s">
        <v>1454</v>
      </c>
      <c r="GO171" t="s">
        <v>1454</v>
      </c>
      <c r="GP171"/>
      <c r="GQ171" t="s">
        <v>1556</v>
      </c>
    </row>
    <row r="172" spans="2:199" x14ac:dyDescent="0.25">
      <c r="B172" t="s">
        <v>523</v>
      </c>
      <c r="C172" t="s">
        <v>1454</v>
      </c>
      <c r="D172" t="s">
        <v>1454</v>
      </c>
      <c r="E172" t="s">
        <v>1454</v>
      </c>
      <c r="G172" t="s">
        <v>1454</v>
      </c>
      <c r="H172" t="s">
        <v>1454</v>
      </c>
      <c r="I172" t="s">
        <v>1454</v>
      </c>
      <c r="K172" t="s">
        <v>1454</v>
      </c>
      <c r="L172" t="s">
        <v>1454</v>
      </c>
      <c r="M172" t="s">
        <v>1454</v>
      </c>
      <c r="O172" t="s">
        <v>1454</v>
      </c>
      <c r="P172" t="s">
        <v>1454</v>
      </c>
      <c r="Q172" t="s">
        <v>1454</v>
      </c>
      <c r="S172" t="s">
        <v>1454</v>
      </c>
      <c r="T172" t="s">
        <v>1454</v>
      </c>
      <c r="U172" t="s">
        <v>1454</v>
      </c>
      <c r="W172" t="s">
        <v>1454</v>
      </c>
      <c r="X172" t="s">
        <v>1454</v>
      </c>
      <c r="Y172" t="s">
        <v>1454</v>
      </c>
      <c r="AA172" t="s">
        <v>1454</v>
      </c>
      <c r="AB172" t="s">
        <v>1454</v>
      </c>
      <c r="AC172" t="s">
        <v>1454</v>
      </c>
      <c r="AE172" t="s">
        <v>1454</v>
      </c>
      <c r="AF172" t="s">
        <v>1454</v>
      </c>
      <c r="AG172" t="s">
        <v>1454</v>
      </c>
      <c r="AI172" t="s">
        <v>1454</v>
      </c>
      <c r="AJ172" t="s">
        <v>1454</v>
      </c>
      <c r="AK172" t="s">
        <v>1454</v>
      </c>
      <c r="AM172" t="s">
        <v>1454</v>
      </c>
      <c r="AN172" t="s">
        <v>1454</v>
      </c>
      <c r="AO172" t="s">
        <v>1454</v>
      </c>
      <c r="AQ172" t="s">
        <v>1454</v>
      </c>
      <c r="AR172" t="s">
        <v>1454</v>
      </c>
      <c r="AS172" t="s">
        <v>1454</v>
      </c>
      <c r="AU172" t="s">
        <v>1454</v>
      </c>
      <c r="AV172" t="s">
        <v>1454</v>
      </c>
      <c r="AW172" t="s">
        <v>1454</v>
      </c>
      <c r="AY172" t="s">
        <v>1454</v>
      </c>
      <c r="AZ172" t="s">
        <v>1454</v>
      </c>
      <c r="BA172" t="s">
        <v>1454</v>
      </c>
      <c r="BC172" t="s">
        <v>1454</v>
      </c>
      <c r="BD172" t="s">
        <v>1454</v>
      </c>
      <c r="BE172" t="s">
        <v>1454</v>
      </c>
      <c r="BG172" t="s">
        <v>1454</v>
      </c>
      <c r="BH172" t="s">
        <v>1454</v>
      </c>
      <c r="BI172" t="s">
        <v>1454</v>
      </c>
      <c r="BK172" t="s">
        <v>1454</v>
      </c>
      <c r="BL172" t="s">
        <v>1454</v>
      </c>
      <c r="BM172" t="s">
        <v>1454</v>
      </c>
      <c r="BO172" t="s">
        <v>1454</v>
      </c>
      <c r="BP172" t="s">
        <v>1454</v>
      </c>
      <c r="BQ172" t="s">
        <v>1454</v>
      </c>
      <c r="BS172" t="s">
        <v>1454</v>
      </c>
      <c r="BT172" t="s">
        <v>1454</v>
      </c>
      <c r="BU172" t="s">
        <v>1454</v>
      </c>
      <c r="BW172" t="s">
        <v>1454</v>
      </c>
      <c r="BX172" t="s">
        <v>1454</v>
      </c>
      <c r="BY172" t="s">
        <v>1454</v>
      </c>
      <c r="CA172" t="s">
        <v>1454</v>
      </c>
      <c r="CB172" t="s">
        <v>1454</v>
      </c>
      <c r="CC172" t="s">
        <v>1454</v>
      </c>
      <c r="CE172" t="s">
        <v>1454</v>
      </c>
      <c r="CF172" t="s">
        <v>1454</v>
      </c>
      <c r="CG172" t="s">
        <v>1454</v>
      </c>
      <c r="CI172" t="s">
        <v>1454</v>
      </c>
      <c r="CJ172" t="s">
        <v>1454</v>
      </c>
      <c r="CK172" t="s">
        <v>1454</v>
      </c>
      <c r="CM172" t="s">
        <v>1454</v>
      </c>
      <c r="CN172" t="s">
        <v>1454</v>
      </c>
      <c r="CO172" t="s">
        <v>1454</v>
      </c>
      <c r="CQ172" t="s">
        <v>1454</v>
      </c>
      <c r="CR172" t="s">
        <v>1454</v>
      </c>
      <c r="CS172" t="s">
        <v>1454</v>
      </c>
      <c r="CU172" t="s">
        <v>626</v>
      </c>
      <c r="CV172" t="s">
        <v>1454</v>
      </c>
      <c r="CW172" t="s">
        <v>1454</v>
      </c>
      <c r="CY172" t="s">
        <v>1454</v>
      </c>
      <c r="CZ172" t="s">
        <v>1454</v>
      </c>
      <c r="DA172" t="s">
        <v>1454</v>
      </c>
      <c r="DC172" t="s">
        <v>1454</v>
      </c>
      <c r="DD172" t="s">
        <v>1454</v>
      </c>
      <c r="DE172" t="s">
        <v>1454</v>
      </c>
      <c r="DG172" t="s">
        <v>1454</v>
      </c>
      <c r="DH172" t="s">
        <v>1454</v>
      </c>
      <c r="DI172" t="s">
        <v>1454</v>
      </c>
      <c r="DK172" t="s">
        <v>1454</v>
      </c>
      <c r="DL172" t="s">
        <v>1454</v>
      </c>
      <c r="DM172" t="s">
        <v>1454</v>
      </c>
      <c r="DO172" t="s">
        <v>1454</v>
      </c>
      <c r="DP172" t="s">
        <v>1454</v>
      </c>
      <c r="DQ172" t="s">
        <v>1454</v>
      </c>
      <c r="DS172" t="s">
        <v>1454</v>
      </c>
      <c r="DT172" t="s">
        <v>1454</v>
      </c>
      <c r="DU172" t="s">
        <v>1454</v>
      </c>
      <c r="DW172" t="s">
        <v>1454</v>
      </c>
      <c r="DX172" t="s">
        <v>1454</v>
      </c>
      <c r="DY172" t="s">
        <v>1454</v>
      </c>
      <c r="EA172" t="s">
        <v>1454</v>
      </c>
      <c r="EB172" t="s">
        <v>1454</v>
      </c>
      <c r="EC172" t="s">
        <v>1454</v>
      </c>
      <c r="EE172" t="s">
        <v>1454</v>
      </c>
      <c r="EF172" t="s">
        <v>1454</v>
      </c>
      <c r="EG172" t="s">
        <v>1454</v>
      </c>
      <c r="EI172" t="s">
        <v>1454</v>
      </c>
      <c r="EJ172" t="s">
        <v>1454</v>
      </c>
      <c r="EK172" t="s">
        <v>1454</v>
      </c>
      <c r="EM172" t="s">
        <v>1454</v>
      </c>
      <c r="EN172" t="s">
        <v>1454</v>
      </c>
      <c r="EO172" t="s">
        <v>1454</v>
      </c>
      <c r="EQ172" t="s">
        <v>1454</v>
      </c>
      <c r="ER172" t="s">
        <v>1454</v>
      </c>
      <c r="ES172" t="s">
        <v>1454</v>
      </c>
      <c r="EU172" t="s">
        <v>1454</v>
      </c>
      <c r="EV172" t="s">
        <v>1454</v>
      </c>
      <c r="EW172" t="s">
        <v>1454</v>
      </c>
      <c r="EY172" t="s">
        <v>1454</v>
      </c>
      <c r="EZ172" t="s">
        <v>1454</v>
      </c>
      <c r="FA172" t="s">
        <v>1454</v>
      </c>
      <c r="FC172" t="s">
        <v>1454</v>
      </c>
      <c r="FD172" t="s">
        <v>1454</v>
      </c>
      <c r="FE172" t="s">
        <v>1454</v>
      </c>
      <c r="FG172" t="s">
        <v>1454</v>
      </c>
      <c r="FH172" t="s">
        <v>1454</v>
      </c>
      <c r="FI172" t="s">
        <v>1454</v>
      </c>
      <c r="FK172" t="s">
        <v>1454</v>
      </c>
      <c r="FL172" t="s">
        <v>1454</v>
      </c>
      <c r="FM172" t="s">
        <v>1454</v>
      </c>
      <c r="FO172" t="s">
        <v>1454</v>
      </c>
      <c r="FP172" t="s">
        <v>1454</v>
      </c>
      <c r="FQ172" t="s">
        <v>1454</v>
      </c>
      <c r="FS172" t="s">
        <v>1454</v>
      </c>
      <c r="FT172" t="s">
        <v>1454</v>
      </c>
      <c r="FU172" t="s">
        <v>1454</v>
      </c>
      <c r="FW172" t="s">
        <v>1454</v>
      </c>
      <c r="FX172" t="s">
        <v>1454</v>
      </c>
      <c r="FY172" t="s">
        <v>1454</v>
      </c>
      <c r="GA172" t="s">
        <v>1454</v>
      </c>
      <c r="GB172" t="s">
        <v>1454</v>
      </c>
      <c r="GC172" t="s">
        <v>1454</v>
      </c>
      <c r="GE172" t="s">
        <v>1454</v>
      </c>
      <c r="GF172" t="s">
        <v>1454</v>
      </c>
      <c r="GG172" t="s">
        <v>1454</v>
      </c>
      <c r="GI172" t="s">
        <v>1454</v>
      </c>
      <c r="GJ172" t="s">
        <v>1454</v>
      </c>
      <c r="GK172" t="s">
        <v>1454</v>
      </c>
      <c r="GM172" t="s">
        <v>1454</v>
      </c>
      <c r="GN172" t="s">
        <v>1454</v>
      </c>
      <c r="GO172" t="s">
        <v>1454</v>
      </c>
      <c r="GQ172" t="s">
        <v>1463</v>
      </c>
    </row>
    <row r="173" spans="2:199" x14ac:dyDescent="0.25">
      <c r="B173" t="s">
        <v>524</v>
      </c>
      <c r="C173" t="s">
        <v>1454</v>
      </c>
      <c r="D173" t="s">
        <v>1454</v>
      </c>
      <c r="E173" t="s">
        <v>1454</v>
      </c>
      <c r="G173" t="s">
        <v>1454</v>
      </c>
      <c r="H173" t="s">
        <v>1454</v>
      </c>
      <c r="I173" t="s">
        <v>1454</v>
      </c>
      <c r="K173" t="s">
        <v>1454</v>
      </c>
      <c r="L173" t="s">
        <v>1454</v>
      </c>
      <c r="M173" t="s">
        <v>1454</v>
      </c>
      <c r="O173" t="s">
        <v>1454</v>
      </c>
      <c r="P173" t="s">
        <v>1454</v>
      </c>
      <c r="Q173" t="s">
        <v>1454</v>
      </c>
      <c r="S173" t="s">
        <v>1454</v>
      </c>
      <c r="T173" t="s">
        <v>1454</v>
      </c>
      <c r="U173" t="s">
        <v>1454</v>
      </c>
      <c r="W173" t="s">
        <v>1454</v>
      </c>
      <c r="X173" t="s">
        <v>1454</v>
      </c>
      <c r="Y173" t="s">
        <v>1454</v>
      </c>
      <c r="AA173" t="s">
        <v>1454</v>
      </c>
      <c r="AB173" t="s">
        <v>1454</v>
      </c>
      <c r="AC173" t="s">
        <v>1454</v>
      </c>
      <c r="AE173" t="s">
        <v>1454</v>
      </c>
      <c r="AF173" t="s">
        <v>1454</v>
      </c>
      <c r="AG173" t="s">
        <v>1454</v>
      </c>
      <c r="AI173" t="s">
        <v>1454</v>
      </c>
      <c r="AJ173" t="s">
        <v>1454</v>
      </c>
      <c r="AK173" t="s">
        <v>1454</v>
      </c>
      <c r="AM173" t="s">
        <v>1454</v>
      </c>
      <c r="AN173" t="s">
        <v>1454</v>
      </c>
      <c r="AO173" t="s">
        <v>1454</v>
      </c>
      <c r="AQ173" t="s">
        <v>1454</v>
      </c>
      <c r="AR173" t="s">
        <v>1454</v>
      </c>
      <c r="AS173" t="s">
        <v>1454</v>
      </c>
      <c r="AU173" t="s">
        <v>1454</v>
      </c>
      <c r="AV173" t="s">
        <v>1454</v>
      </c>
      <c r="AW173" t="s">
        <v>1454</v>
      </c>
      <c r="AY173" t="s">
        <v>1454</v>
      </c>
      <c r="AZ173" t="s">
        <v>1454</v>
      </c>
      <c r="BA173" t="s">
        <v>1454</v>
      </c>
      <c r="BC173" t="s">
        <v>1454</v>
      </c>
      <c r="BD173" t="s">
        <v>1454</v>
      </c>
      <c r="BE173" t="s">
        <v>1454</v>
      </c>
      <c r="BG173" t="s">
        <v>1454</v>
      </c>
      <c r="BH173" t="s">
        <v>1454</v>
      </c>
      <c r="BI173" t="s">
        <v>1454</v>
      </c>
      <c r="BK173" t="s">
        <v>1454</v>
      </c>
      <c r="BL173" t="s">
        <v>1454</v>
      </c>
      <c r="BM173" t="s">
        <v>1454</v>
      </c>
      <c r="BO173" t="s">
        <v>1454</v>
      </c>
      <c r="BP173" t="s">
        <v>1454</v>
      </c>
      <c r="BQ173" t="s">
        <v>1454</v>
      </c>
      <c r="BS173" t="s">
        <v>1454</v>
      </c>
      <c r="BT173" t="s">
        <v>1454</v>
      </c>
      <c r="BU173" t="s">
        <v>1454</v>
      </c>
      <c r="BW173" t="s">
        <v>1454</v>
      </c>
      <c r="BX173" t="s">
        <v>1454</v>
      </c>
      <c r="BY173" t="s">
        <v>1454</v>
      </c>
      <c r="CA173" t="s">
        <v>1454</v>
      </c>
      <c r="CB173" t="s">
        <v>1454</v>
      </c>
      <c r="CC173" t="s">
        <v>1454</v>
      </c>
      <c r="CE173" t="s">
        <v>1454</v>
      </c>
      <c r="CF173" t="s">
        <v>1454</v>
      </c>
      <c r="CG173" t="s">
        <v>1454</v>
      </c>
      <c r="CI173" t="s">
        <v>1454</v>
      </c>
      <c r="CJ173" t="s">
        <v>1454</v>
      </c>
      <c r="CK173" t="s">
        <v>1454</v>
      </c>
      <c r="CM173" t="s">
        <v>1454</v>
      </c>
      <c r="CN173" t="s">
        <v>1454</v>
      </c>
      <c r="CO173" t="s">
        <v>1454</v>
      </c>
      <c r="CQ173" t="s">
        <v>1454</v>
      </c>
      <c r="CR173" t="s">
        <v>1454</v>
      </c>
      <c r="CS173" t="s">
        <v>1454</v>
      </c>
      <c r="CU173" t="s">
        <v>1454</v>
      </c>
      <c r="CV173" t="s">
        <v>1454</v>
      </c>
      <c r="CW173" t="s">
        <v>1454</v>
      </c>
      <c r="CY173" t="s">
        <v>1454</v>
      </c>
      <c r="CZ173" t="s">
        <v>1454</v>
      </c>
      <c r="DA173" t="s">
        <v>1454</v>
      </c>
      <c r="DC173" t="s">
        <v>1454</v>
      </c>
      <c r="DD173" t="s">
        <v>1454</v>
      </c>
      <c r="DE173" t="s">
        <v>1454</v>
      </c>
      <c r="DG173" t="s">
        <v>1454</v>
      </c>
      <c r="DH173" t="s">
        <v>1454</v>
      </c>
      <c r="DI173" t="s">
        <v>1454</v>
      </c>
      <c r="DK173" t="s">
        <v>1454</v>
      </c>
      <c r="DL173" t="s">
        <v>1454</v>
      </c>
      <c r="DM173" t="s">
        <v>1454</v>
      </c>
      <c r="DO173" t="s">
        <v>1454</v>
      </c>
      <c r="DP173" t="s">
        <v>1454</v>
      </c>
      <c r="DQ173" t="s">
        <v>1454</v>
      </c>
      <c r="DS173" t="s">
        <v>1454</v>
      </c>
      <c r="DT173" t="s">
        <v>1454</v>
      </c>
      <c r="DU173" t="s">
        <v>1454</v>
      </c>
      <c r="DW173" t="s">
        <v>1454</v>
      </c>
      <c r="DX173" t="s">
        <v>1454</v>
      </c>
      <c r="DY173" t="s">
        <v>1454</v>
      </c>
      <c r="EA173" t="s">
        <v>1454</v>
      </c>
      <c r="EB173" t="s">
        <v>1454</v>
      </c>
      <c r="EC173" t="s">
        <v>1454</v>
      </c>
      <c r="EE173" t="s">
        <v>1454</v>
      </c>
      <c r="EF173" t="s">
        <v>1454</v>
      </c>
      <c r="EG173" t="s">
        <v>1454</v>
      </c>
      <c r="EI173" t="s">
        <v>1454</v>
      </c>
      <c r="EJ173" t="s">
        <v>1454</v>
      </c>
      <c r="EK173" t="s">
        <v>1454</v>
      </c>
      <c r="EM173" t="s">
        <v>1454</v>
      </c>
      <c r="EN173" t="s">
        <v>1454</v>
      </c>
      <c r="EO173" t="s">
        <v>1454</v>
      </c>
      <c r="EQ173" t="s">
        <v>1454</v>
      </c>
      <c r="ER173" t="s">
        <v>1454</v>
      </c>
      <c r="ES173" t="s">
        <v>1454</v>
      </c>
      <c r="EU173" t="s">
        <v>1454</v>
      </c>
      <c r="EV173" t="s">
        <v>1454</v>
      </c>
      <c r="EW173" t="s">
        <v>1454</v>
      </c>
      <c r="EY173" t="s">
        <v>1454</v>
      </c>
      <c r="EZ173" t="s">
        <v>1454</v>
      </c>
      <c r="FA173" t="s">
        <v>1454</v>
      </c>
      <c r="FC173" t="s">
        <v>1454</v>
      </c>
      <c r="FD173" t="s">
        <v>1454</v>
      </c>
      <c r="FE173" t="s">
        <v>1454</v>
      </c>
      <c r="FG173" t="s">
        <v>642</v>
      </c>
      <c r="FH173" t="s">
        <v>1454</v>
      </c>
      <c r="FI173" t="s">
        <v>1454</v>
      </c>
      <c r="FK173" t="s">
        <v>1454</v>
      </c>
      <c r="FL173" t="s">
        <v>1454</v>
      </c>
      <c r="FM173" t="s">
        <v>1454</v>
      </c>
      <c r="FO173" t="s">
        <v>602</v>
      </c>
      <c r="FP173" t="s">
        <v>1454</v>
      </c>
      <c r="FQ173" t="s">
        <v>1454</v>
      </c>
      <c r="FS173" t="s">
        <v>644</v>
      </c>
      <c r="FT173" t="s">
        <v>1454</v>
      </c>
      <c r="FU173" t="s">
        <v>1454</v>
      </c>
      <c r="FW173" t="s">
        <v>1454</v>
      </c>
      <c r="FX173" t="s">
        <v>1454</v>
      </c>
      <c r="FY173" t="s">
        <v>1454</v>
      </c>
      <c r="GA173" t="s">
        <v>1454</v>
      </c>
      <c r="GB173" t="s">
        <v>1454</v>
      </c>
      <c r="GC173" t="s">
        <v>1454</v>
      </c>
      <c r="GE173" t="s">
        <v>647</v>
      </c>
      <c r="GF173" t="s">
        <v>1454</v>
      </c>
      <c r="GG173" t="s">
        <v>1454</v>
      </c>
      <c r="GI173" t="s">
        <v>1454</v>
      </c>
      <c r="GJ173" t="s">
        <v>1454</v>
      </c>
      <c r="GK173" t="s">
        <v>1454</v>
      </c>
      <c r="GM173" t="s">
        <v>1454</v>
      </c>
      <c r="GN173" t="s">
        <v>1454</v>
      </c>
      <c r="GO173" t="s">
        <v>1454</v>
      </c>
      <c r="GQ173" t="s">
        <v>1626</v>
      </c>
    </row>
    <row r="174" spans="2:199" x14ac:dyDescent="0.25">
      <c r="B174" t="s">
        <v>525</v>
      </c>
      <c r="C174" t="s">
        <v>1454</v>
      </c>
      <c r="D174" t="s">
        <v>1454</v>
      </c>
      <c r="E174" t="s">
        <v>1454</v>
      </c>
      <c r="G174" t="s">
        <v>1454</v>
      </c>
      <c r="H174" t="s">
        <v>1454</v>
      </c>
      <c r="I174" t="s">
        <v>1454</v>
      </c>
      <c r="K174" t="s">
        <v>1454</v>
      </c>
      <c r="L174" t="s">
        <v>1454</v>
      </c>
      <c r="M174" t="s">
        <v>1454</v>
      </c>
      <c r="O174" t="s">
        <v>1454</v>
      </c>
      <c r="P174" t="s">
        <v>1454</v>
      </c>
      <c r="Q174" t="s">
        <v>1454</v>
      </c>
      <c r="S174" t="s">
        <v>1454</v>
      </c>
      <c r="T174" t="s">
        <v>1454</v>
      </c>
      <c r="U174" t="s">
        <v>1454</v>
      </c>
      <c r="W174" t="s">
        <v>1454</v>
      </c>
      <c r="X174" t="s">
        <v>1454</v>
      </c>
      <c r="Y174" t="s">
        <v>1454</v>
      </c>
      <c r="AA174" t="s">
        <v>1454</v>
      </c>
      <c r="AB174" t="s">
        <v>1454</v>
      </c>
      <c r="AC174" t="s">
        <v>1454</v>
      </c>
      <c r="AE174" t="s">
        <v>1454</v>
      </c>
      <c r="AF174" t="s">
        <v>1454</v>
      </c>
      <c r="AG174" t="s">
        <v>1454</v>
      </c>
      <c r="AI174" t="s">
        <v>1454</v>
      </c>
      <c r="AJ174" t="s">
        <v>1454</v>
      </c>
      <c r="AK174" t="s">
        <v>1454</v>
      </c>
      <c r="AM174" t="s">
        <v>1454</v>
      </c>
      <c r="AN174" t="s">
        <v>1454</v>
      </c>
      <c r="AO174" t="s">
        <v>1454</v>
      </c>
      <c r="AQ174" t="s">
        <v>1454</v>
      </c>
      <c r="AR174" t="s">
        <v>1454</v>
      </c>
      <c r="AS174" t="s">
        <v>1454</v>
      </c>
      <c r="AU174" t="s">
        <v>1454</v>
      </c>
      <c r="AV174" t="s">
        <v>1454</v>
      </c>
      <c r="AW174" t="s">
        <v>1454</v>
      </c>
      <c r="AY174" t="s">
        <v>1454</v>
      </c>
      <c r="AZ174" t="s">
        <v>1454</v>
      </c>
      <c r="BA174" t="s">
        <v>1454</v>
      </c>
      <c r="BC174" t="s">
        <v>1454</v>
      </c>
      <c r="BD174" t="s">
        <v>1454</v>
      </c>
      <c r="BE174" t="s">
        <v>1454</v>
      </c>
      <c r="BG174" t="s">
        <v>1454</v>
      </c>
      <c r="BH174" t="s">
        <v>1454</v>
      </c>
      <c r="BI174" t="s">
        <v>1454</v>
      </c>
      <c r="BK174" t="s">
        <v>1454</v>
      </c>
      <c r="BL174" t="s">
        <v>1454</v>
      </c>
      <c r="BM174" t="s">
        <v>1454</v>
      </c>
      <c r="BO174" t="s">
        <v>1454</v>
      </c>
      <c r="BP174" t="s">
        <v>1454</v>
      </c>
      <c r="BQ174" t="s">
        <v>1454</v>
      </c>
      <c r="BS174" t="s">
        <v>1454</v>
      </c>
      <c r="BT174" t="s">
        <v>1454</v>
      </c>
      <c r="BU174" t="s">
        <v>1454</v>
      </c>
      <c r="BW174" t="s">
        <v>1454</v>
      </c>
      <c r="BX174" t="s">
        <v>1454</v>
      </c>
      <c r="BY174" t="s">
        <v>1454</v>
      </c>
      <c r="CA174" t="s">
        <v>1454</v>
      </c>
      <c r="CB174" t="s">
        <v>1454</v>
      </c>
      <c r="CC174" t="s">
        <v>1454</v>
      </c>
      <c r="CE174" t="s">
        <v>1454</v>
      </c>
      <c r="CF174" t="s">
        <v>1454</v>
      </c>
      <c r="CG174" t="s">
        <v>1454</v>
      </c>
      <c r="CI174" t="s">
        <v>1454</v>
      </c>
      <c r="CJ174" t="s">
        <v>1454</v>
      </c>
      <c r="CK174" t="s">
        <v>1454</v>
      </c>
      <c r="CM174" t="s">
        <v>1454</v>
      </c>
      <c r="CN174" t="s">
        <v>1454</v>
      </c>
      <c r="CO174" t="s">
        <v>1454</v>
      </c>
      <c r="CQ174" t="s">
        <v>1454</v>
      </c>
      <c r="CR174" t="s">
        <v>1454</v>
      </c>
      <c r="CS174" t="s">
        <v>1454</v>
      </c>
      <c r="CU174" t="s">
        <v>1454</v>
      </c>
      <c r="CV174" t="s">
        <v>1454</v>
      </c>
      <c r="CW174" t="s">
        <v>1454</v>
      </c>
      <c r="CY174" t="s">
        <v>1454</v>
      </c>
      <c r="CZ174" t="s">
        <v>1454</v>
      </c>
      <c r="DA174" t="s">
        <v>1454</v>
      </c>
      <c r="DC174" t="s">
        <v>1454</v>
      </c>
      <c r="DD174" t="s">
        <v>1454</v>
      </c>
      <c r="DE174" t="s">
        <v>1454</v>
      </c>
      <c r="DG174" t="s">
        <v>1454</v>
      </c>
      <c r="DH174" t="s">
        <v>1454</v>
      </c>
      <c r="DI174" t="s">
        <v>1454</v>
      </c>
      <c r="DK174" t="s">
        <v>630</v>
      </c>
      <c r="DL174" t="s">
        <v>1454</v>
      </c>
      <c r="DM174" t="s">
        <v>1454</v>
      </c>
      <c r="DO174" t="s">
        <v>1454</v>
      </c>
      <c r="DP174" t="s">
        <v>1454</v>
      </c>
      <c r="DQ174" t="s">
        <v>1454</v>
      </c>
      <c r="DS174" t="s">
        <v>1454</v>
      </c>
      <c r="DT174" t="s">
        <v>1454</v>
      </c>
      <c r="DU174" t="s">
        <v>1454</v>
      </c>
      <c r="DW174" t="s">
        <v>1454</v>
      </c>
      <c r="DX174" t="s">
        <v>1454</v>
      </c>
      <c r="DY174" t="s">
        <v>1454</v>
      </c>
      <c r="EA174" t="s">
        <v>1454</v>
      </c>
      <c r="EB174" t="s">
        <v>1454</v>
      </c>
      <c r="EC174" t="s">
        <v>1454</v>
      </c>
      <c r="EE174" t="s">
        <v>1454</v>
      </c>
      <c r="EF174" t="s">
        <v>1454</v>
      </c>
      <c r="EG174" t="s">
        <v>1454</v>
      </c>
      <c r="EI174" t="s">
        <v>1454</v>
      </c>
      <c r="EJ174" t="s">
        <v>1454</v>
      </c>
      <c r="EK174" t="s">
        <v>1454</v>
      </c>
      <c r="EM174" t="s">
        <v>1454</v>
      </c>
      <c r="EN174" t="s">
        <v>1454</v>
      </c>
      <c r="EO174" t="s">
        <v>1454</v>
      </c>
      <c r="EQ174" t="s">
        <v>1454</v>
      </c>
      <c r="ER174" t="s">
        <v>1454</v>
      </c>
      <c r="ES174" t="s">
        <v>1454</v>
      </c>
      <c r="EU174" t="s">
        <v>1454</v>
      </c>
      <c r="EV174" t="s">
        <v>1454</v>
      </c>
      <c r="EW174" t="s">
        <v>1454</v>
      </c>
      <c r="EY174" t="s">
        <v>1454</v>
      </c>
      <c r="EZ174" t="s">
        <v>1454</v>
      </c>
      <c r="FA174" t="s">
        <v>1454</v>
      </c>
      <c r="FC174" t="s">
        <v>1454</v>
      </c>
      <c r="FD174" t="s">
        <v>1454</v>
      </c>
      <c r="FE174" t="s">
        <v>1454</v>
      </c>
      <c r="FG174" t="s">
        <v>1454</v>
      </c>
      <c r="FH174" t="s">
        <v>1454</v>
      </c>
      <c r="FI174" t="s">
        <v>1454</v>
      </c>
      <c r="FK174" t="s">
        <v>1454</v>
      </c>
      <c r="FL174" t="s">
        <v>1454</v>
      </c>
      <c r="FM174" t="s">
        <v>1454</v>
      </c>
      <c r="FO174" t="s">
        <v>1454</v>
      </c>
      <c r="FP174" t="s">
        <v>1454</v>
      </c>
      <c r="FQ174" t="s">
        <v>1454</v>
      </c>
      <c r="FS174" t="s">
        <v>1454</v>
      </c>
      <c r="FT174" t="s">
        <v>1454</v>
      </c>
      <c r="FU174" t="s">
        <v>1454</v>
      </c>
      <c r="FW174" t="s">
        <v>1454</v>
      </c>
      <c r="FX174" t="s">
        <v>1454</v>
      </c>
      <c r="FY174" t="s">
        <v>1454</v>
      </c>
      <c r="GA174" t="s">
        <v>1454</v>
      </c>
      <c r="GB174" t="s">
        <v>1454</v>
      </c>
      <c r="GC174" t="s">
        <v>1454</v>
      </c>
      <c r="GE174" t="s">
        <v>1454</v>
      </c>
      <c r="GF174" t="s">
        <v>1454</v>
      </c>
      <c r="GG174" t="s">
        <v>1454</v>
      </c>
      <c r="GI174" t="s">
        <v>1454</v>
      </c>
      <c r="GJ174" t="s">
        <v>1454</v>
      </c>
      <c r="GK174" t="s">
        <v>1454</v>
      </c>
      <c r="GM174" t="s">
        <v>1454</v>
      </c>
      <c r="GN174" t="s">
        <v>1454</v>
      </c>
      <c r="GO174" t="s">
        <v>1454</v>
      </c>
      <c r="GQ174" t="s">
        <v>1568</v>
      </c>
    </row>
    <row r="175" spans="2:199" s="11" customFormat="1" x14ac:dyDescent="0.25">
      <c r="B175" t="s">
        <v>526</v>
      </c>
      <c r="C175" t="s">
        <v>1454</v>
      </c>
      <c r="D175" t="s">
        <v>1454</v>
      </c>
      <c r="E175" t="s">
        <v>1454</v>
      </c>
      <c r="F175"/>
      <c r="G175" t="s">
        <v>1454</v>
      </c>
      <c r="H175" t="s">
        <v>1454</v>
      </c>
      <c r="I175" t="s">
        <v>1454</v>
      </c>
      <c r="J175"/>
      <c r="K175" t="s">
        <v>1454</v>
      </c>
      <c r="L175" t="s">
        <v>1454</v>
      </c>
      <c r="M175" t="s">
        <v>1454</v>
      </c>
      <c r="N175"/>
      <c r="O175" t="s">
        <v>1454</v>
      </c>
      <c r="P175" t="s">
        <v>1454</v>
      </c>
      <c r="Q175" t="s">
        <v>1454</v>
      </c>
      <c r="R175"/>
      <c r="S175" t="s">
        <v>1454</v>
      </c>
      <c r="T175" t="s">
        <v>1454</v>
      </c>
      <c r="U175" t="s">
        <v>1454</v>
      </c>
      <c r="V175"/>
      <c r="W175" t="s">
        <v>1454</v>
      </c>
      <c r="X175" t="s">
        <v>1454</v>
      </c>
      <c r="Y175" t="s">
        <v>1454</v>
      </c>
      <c r="Z175"/>
      <c r="AA175" t="s">
        <v>1454</v>
      </c>
      <c r="AB175" t="s">
        <v>1454</v>
      </c>
      <c r="AC175" t="s">
        <v>1454</v>
      </c>
      <c r="AD175"/>
      <c r="AE175" t="s">
        <v>1454</v>
      </c>
      <c r="AF175" t="s">
        <v>1454</v>
      </c>
      <c r="AG175" t="s">
        <v>1454</v>
      </c>
      <c r="AH175"/>
      <c r="AI175" t="s">
        <v>1454</v>
      </c>
      <c r="AJ175" t="s">
        <v>1454</v>
      </c>
      <c r="AK175" t="s">
        <v>1454</v>
      </c>
      <c r="AL175"/>
      <c r="AM175" t="s">
        <v>1454</v>
      </c>
      <c r="AN175" t="s">
        <v>1454</v>
      </c>
      <c r="AO175" t="s">
        <v>1454</v>
      </c>
      <c r="AP175"/>
      <c r="AQ175" t="s">
        <v>1454</v>
      </c>
      <c r="AR175" t="s">
        <v>1454</v>
      </c>
      <c r="AS175" t="s">
        <v>1454</v>
      </c>
      <c r="AT175"/>
      <c r="AU175" t="s">
        <v>1454</v>
      </c>
      <c r="AV175" t="s">
        <v>1454</v>
      </c>
      <c r="AW175" t="s">
        <v>1454</v>
      </c>
      <c r="AX175"/>
      <c r="AY175" t="s">
        <v>1454</v>
      </c>
      <c r="AZ175" t="s">
        <v>1454</v>
      </c>
      <c r="BA175" t="s">
        <v>1454</v>
      </c>
      <c r="BB175"/>
      <c r="BC175" t="s">
        <v>1454</v>
      </c>
      <c r="BD175" t="s">
        <v>1454</v>
      </c>
      <c r="BE175" t="s">
        <v>1454</v>
      </c>
      <c r="BF175"/>
      <c r="BG175" t="s">
        <v>1454</v>
      </c>
      <c r="BH175" t="s">
        <v>1454</v>
      </c>
      <c r="BI175" t="s">
        <v>1454</v>
      </c>
      <c r="BJ175"/>
      <c r="BK175" t="s">
        <v>1454</v>
      </c>
      <c r="BL175" t="s">
        <v>1454</v>
      </c>
      <c r="BM175" t="s">
        <v>1454</v>
      </c>
      <c r="BN175"/>
      <c r="BO175" t="s">
        <v>1454</v>
      </c>
      <c r="BP175" t="s">
        <v>1454</v>
      </c>
      <c r="BQ175" t="s">
        <v>1454</v>
      </c>
      <c r="BR175"/>
      <c r="BS175" t="s">
        <v>1454</v>
      </c>
      <c r="BT175" t="s">
        <v>1454</v>
      </c>
      <c r="BU175" t="s">
        <v>1454</v>
      </c>
      <c r="BV175"/>
      <c r="BW175" t="s">
        <v>1454</v>
      </c>
      <c r="BX175" t="s">
        <v>1454</v>
      </c>
      <c r="BY175" t="s">
        <v>1454</v>
      </c>
      <c r="BZ175"/>
      <c r="CA175" t="s">
        <v>1454</v>
      </c>
      <c r="CB175" t="s">
        <v>1454</v>
      </c>
      <c r="CC175" t="s">
        <v>1454</v>
      </c>
      <c r="CD175"/>
      <c r="CE175" t="s">
        <v>1454</v>
      </c>
      <c r="CF175" t="s">
        <v>1454</v>
      </c>
      <c r="CG175" t="s">
        <v>1454</v>
      </c>
      <c r="CH175"/>
      <c r="CI175" t="s">
        <v>1454</v>
      </c>
      <c r="CJ175" t="s">
        <v>1454</v>
      </c>
      <c r="CK175" t="s">
        <v>1454</v>
      </c>
      <c r="CL175"/>
      <c r="CM175" t="s">
        <v>1454</v>
      </c>
      <c r="CN175" t="s">
        <v>1454</v>
      </c>
      <c r="CO175" t="s">
        <v>1454</v>
      </c>
      <c r="CP175"/>
      <c r="CQ175" t="s">
        <v>1454</v>
      </c>
      <c r="CR175" t="s">
        <v>1454</v>
      </c>
      <c r="CS175" t="s">
        <v>1454</v>
      </c>
      <c r="CT175"/>
      <c r="CU175" t="s">
        <v>1454</v>
      </c>
      <c r="CV175" t="s">
        <v>1454</v>
      </c>
      <c r="CW175" t="s">
        <v>1454</v>
      </c>
      <c r="CX175"/>
      <c r="CY175" t="s">
        <v>1454</v>
      </c>
      <c r="CZ175" t="s">
        <v>1454</v>
      </c>
      <c r="DA175" t="s">
        <v>1454</v>
      </c>
      <c r="DB175"/>
      <c r="DC175" t="s">
        <v>1454</v>
      </c>
      <c r="DD175" t="s">
        <v>1454</v>
      </c>
      <c r="DE175" t="s">
        <v>1454</v>
      </c>
      <c r="DF175"/>
      <c r="DG175" t="s">
        <v>1454</v>
      </c>
      <c r="DH175" t="s">
        <v>1454</v>
      </c>
      <c r="DI175" t="s">
        <v>1454</v>
      </c>
      <c r="DJ175"/>
      <c r="DK175" t="s">
        <v>1454</v>
      </c>
      <c r="DL175" t="s">
        <v>1454</v>
      </c>
      <c r="DM175" t="s">
        <v>1454</v>
      </c>
      <c r="DN175"/>
      <c r="DO175" t="s">
        <v>1454</v>
      </c>
      <c r="DP175" t="s">
        <v>1454</v>
      </c>
      <c r="DQ175" t="s">
        <v>1454</v>
      </c>
      <c r="DR175"/>
      <c r="DS175" t="s">
        <v>1454</v>
      </c>
      <c r="DT175" t="s">
        <v>1454</v>
      </c>
      <c r="DU175" t="s">
        <v>1454</v>
      </c>
      <c r="DV175"/>
      <c r="DW175" t="s">
        <v>1454</v>
      </c>
      <c r="DX175" t="s">
        <v>1454</v>
      </c>
      <c r="DY175" t="s">
        <v>1454</v>
      </c>
      <c r="DZ175"/>
      <c r="EA175" t="s">
        <v>1454</v>
      </c>
      <c r="EB175" t="s">
        <v>1454</v>
      </c>
      <c r="EC175" t="s">
        <v>1454</v>
      </c>
      <c r="ED175"/>
      <c r="EE175" t="s">
        <v>1454</v>
      </c>
      <c r="EF175" t="s">
        <v>1454</v>
      </c>
      <c r="EG175" t="s">
        <v>1454</v>
      </c>
      <c r="EH175"/>
      <c r="EI175" t="s">
        <v>636</v>
      </c>
      <c r="EJ175" t="s">
        <v>1454</v>
      </c>
      <c r="EK175" t="s">
        <v>1454</v>
      </c>
      <c r="EL175"/>
      <c r="EM175" t="s">
        <v>1454</v>
      </c>
      <c r="EN175" t="s">
        <v>1454</v>
      </c>
      <c r="EO175" t="s">
        <v>1454</v>
      </c>
      <c r="EP175"/>
      <c r="EQ175" t="s">
        <v>1454</v>
      </c>
      <c r="ER175" t="s">
        <v>1454</v>
      </c>
      <c r="ES175" t="s">
        <v>1454</v>
      </c>
      <c r="ET175"/>
      <c r="EU175" t="s">
        <v>1454</v>
      </c>
      <c r="EV175" t="s">
        <v>1454</v>
      </c>
      <c r="EW175" t="s">
        <v>1454</v>
      </c>
      <c r="EX175"/>
      <c r="EY175" t="s">
        <v>1454</v>
      </c>
      <c r="EZ175" t="s">
        <v>1454</v>
      </c>
      <c r="FA175" t="s">
        <v>1454</v>
      </c>
      <c r="FB175"/>
      <c r="FC175" t="s">
        <v>1454</v>
      </c>
      <c r="FD175" t="s">
        <v>1454</v>
      </c>
      <c r="FE175" t="s">
        <v>1454</v>
      </c>
      <c r="FF175"/>
      <c r="FG175" t="s">
        <v>1454</v>
      </c>
      <c r="FH175" t="s">
        <v>1454</v>
      </c>
      <c r="FI175" t="s">
        <v>1454</v>
      </c>
      <c r="FJ175"/>
      <c r="FK175" t="s">
        <v>1454</v>
      </c>
      <c r="FL175" t="s">
        <v>1454</v>
      </c>
      <c r="FM175" t="s">
        <v>1454</v>
      </c>
      <c r="FN175"/>
      <c r="FO175" t="s">
        <v>1454</v>
      </c>
      <c r="FP175" t="s">
        <v>1454</v>
      </c>
      <c r="FQ175" t="s">
        <v>1454</v>
      </c>
      <c r="FR175"/>
      <c r="FS175" t="s">
        <v>1454</v>
      </c>
      <c r="FT175" t="s">
        <v>1454</v>
      </c>
      <c r="FU175" t="s">
        <v>1454</v>
      </c>
      <c r="FV175"/>
      <c r="FW175" t="s">
        <v>1454</v>
      </c>
      <c r="FX175" t="s">
        <v>1454</v>
      </c>
      <c r="FY175" t="s">
        <v>1454</v>
      </c>
      <c r="FZ175"/>
      <c r="GA175" t="s">
        <v>1454</v>
      </c>
      <c r="GB175" t="s">
        <v>1454</v>
      </c>
      <c r="GC175" t="s">
        <v>1454</v>
      </c>
      <c r="GD175"/>
      <c r="GE175" t="s">
        <v>1454</v>
      </c>
      <c r="GF175" t="s">
        <v>1454</v>
      </c>
      <c r="GG175" t="s">
        <v>1454</v>
      </c>
      <c r="GH175"/>
      <c r="GI175" t="s">
        <v>1454</v>
      </c>
      <c r="GJ175" t="s">
        <v>1454</v>
      </c>
      <c r="GK175" t="s">
        <v>1454</v>
      </c>
      <c r="GL175"/>
      <c r="GM175" t="s">
        <v>1454</v>
      </c>
      <c r="GN175" t="s">
        <v>1454</v>
      </c>
      <c r="GO175" t="s">
        <v>1454</v>
      </c>
      <c r="GP175"/>
      <c r="GQ175" t="s">
        <v>1486</v>
      </c>
    </row>
    <row r="176" spans="2:199" x14ac:dyDescent="0.25">
      <c r="B176" t="s">
        <v>527</v>
      </c>
      <c r="C176" t="s">
        <v>1454</v>
      </c>
      <c r="D176" t="s">
        <v>1454</v>
      </c>
      <c r="E176" t="s">
        <v>1454</v>
      </c>
      <c r="G176" t="s">
        <v>1454</v>
      </c>
      <c r="H176" t="s">
        <v>1454</v>
      </c>
      <c r="I176" t="s">
        <v>1454</v>
      </c>
      <c r="K176" t="s">
        <v>1454</v>
      </c>
      <c r="L176" t="s">
        <v>1454</v>
      </c>
      <c r="M176" t="s">
        <v>1454</v>
      </c>
      <c r="O176" t="s">
        <v>1454</v>
      </c>
      <c r="P176" t="s">
        <v>1454</v>
      </c>
      <c r="Q176" t="s">
        <v>1454</v>
      </c>
      <c r="S176" t="s">
        <v>1454</v>
      </c>
      <c r="T176" t="s">
        <v>1454</v>
      </c>
      <c r="U176" t="s">
        <v>1454</v>
      </c>
      <c r="W176" t="s">
        <v>1454</v>
      </c>
      <c r="X176" t="s">
        <v>1454</v>
      </c>
      <c r="Y176" t="s">
        <v>1454</v>
      </c>
      <c r="AA176" t="s">
        <v>1454</v>
      </c>
      <c r="AB176" t="s">
        <v>1454</v>
      </c>
      <c r="AC176" t="s">
        <v>1454</v>
      </c>
      <c r="AE176" t="s">
        <v>1454</v>
      </c>
      <c r="AF176" t="s">
        <v>1454</v>
      </c>
      <c r="AG176" t="s">
        <v>1454</v>
      </c>
      <c r="AI176" t="s">
        <v>1454</v>
      </c>
      <c r="AJ176" t="s">
        <v>1454</v>
      </c>
      <c r="AK176" t="s">
        <v>1454</v>
      </c>
      <c r="AM176" t="s">
        <v>1454</v>
      </c>
      <c r="AN176" t="s">
        <v>1454</v>
      </c>
      <c r="AO176" t="s">
        <v>1454</v>
      </c>
      <c r="AQ176" t="s">
        <v>1454</v>
      </c>
      <c r="AR176" t="s">
        <v>1454</v>
      </c>
      <c r="AS176" t="s">
        <v>1454</v>
      </c>
      <c r="AU176" t="s">
        <v>1454</v>
      </c>
      <c r="AV176" t="s">
        <v>1454</v>
      </c>
      <c r="AW176" t="s">
        <v>1454</v>
      </c>
      <c r="AY176" t="s">
        <v>1454</v>
      </c>
      <c r="AZ176" t="s">
        <v>1454</v>
      </c>
      <c r="BA176" t="s">
        <v>1454</v>
      </c>
      <c r="BC176" t="s">
        <v>1454</v>
      </c>
      <c r="BD176" t="s">
        <v>1454</v>
      </c>
      <c r="BE176" t="s">
        <v>1454</v>
      </c>
      <c r="BG176" t="s">
        <v>1454</v>
      </c>
      <c r="BH176" t="s">
        <v>1454</v>
      </c>
      <c r="BI176" t="s">
        <v>1454</v>
      </c>
      <c r="BK176" t="s">
        <v>1454</v>
      </c>
      <c r="BL176" t="s">
        <v>1454</v>
      </c>
      <c r="BM176" t="s">
        <v>1454</v>
      </c>
      <c r="BO176" t="s">
        <v>1454</v>
      </c>
      <c r="BP176" t="s">
        <v>1454</v>
      </c>
      <c r="BQ176" t="s">
        <v>1454</v>
      </c>
      <c r="BS176" t="s">
        <v>1454</v>
      </c>
      <c r="BT176" t="s">
        <v>1454</v>
      </c>
      <c r="BU176" t="s">
        <v>1454</v>
      </c>
      <c r="BW176" t="s">
        <v>1454</v>
      </c>
      <c r="BX176" t="s">
        <v>1454</v>
      </c>
      <c r="BY176" t="s">
        <v>1454</v>
      </c>
      <c r="CA176" t="s">
        <v>1454</v>
      </c>
      <c r="CB176" t="s">
        <v>1454</v>
      </c>
      <c r="CC176" t="s">
        <v>1454</v>
      </c>
      <c r="CE176" t="s">
        <v>1454</v>
      </c>
      <c r="CF176" t="s">
        <v>1454</v>
      </c>
      <c r="CG176" t="s">
        <v>1454</v>
      </c>
      <c r="CI176" t="s">
        <v>1454</v>
      </c>
      <c r="CJ176" t="s">
        <v>1454</v>
      </c>
      <c r="CK176" t="s">
        <v>1454</v>
      </c>
      <c r="CM176" t="s">
        <v>1454</v>
      </c>
      <c r="CN176" t="s">
        <v>1454</v>
      </c>
      <c r="CO176" t="s">
        <v>1454</v>
      </c>
      <c r="CQ176" t="s">
        <v>1454</v>
      </c>
      <c r="CR176" t="s">
        <v>1454</v>
      </c>
      <c r="CS176" t="s">
        <v>1454</v>
      </c>
      <c r="CU176" t="s">
        <v>1454</v>
      </c>
      <c r="CV176" t="s">
        <v>1454</v>
      </c>
      <c r="CW176" t="s">
        <v>1454</v>
      </c>
      <c r="CY176" t="s">
        <v>1454</v>
      </c>
      <c r="CZ176" t="s">
        <v>1454</v>
      </c>
      <c r="DA176" t="s">
        <v>1454</v>
      </c>
      <c r="DC176" t="s">
        <v>1454</v>
      </c>
      <c r="DD176" t="s">
        <v>1454</v>
      </c>
      <c r="DE176" t="s">
        <v>1454</v>
      </c>
      <c r="DG176" t="s">
        <v>1454</v>
      </c>
      <c r="DH176" t="s">
        <v>1454</v>
      </c>
      <c r="DI176" t="s">
        <v>1454</v>
      </c>
      <c r="DK176" t="s">
        <v>1454</v>
      </c>
      <c r="DL176" t="s">
        <v>1454</v>
      </c>
      <c r="DM176" t="s">
        <v>1454</v>
      </c>
      <c r="DO176" t="s">
        <v>1454</v>
      </c>
      <c r="DP176" t="s">
        <v>1454</v>
      </c>
      <c r="DQ176" t="s">
        <v>1454</v>
      </c>
      <c r="DS176" t="s">
        <v>1454</v>
      </c>
      <c r="DT176" t="s">
        <v>1454</v>
      </c>
      <c r="DU176" t="s">
        <v>1454</v>
      </c>
      <c r="DW176" t="s">
        <v>1454</v>
      </c>
      <c r="DX176" t="s">
        <v>1454</v>
      </c>
      <c r="DY176" t="s">
        <v>1454</v>
      </c>
      <c r="EA176" t="s">
        <v>1454</v>
      </c>
      <c r="EB176" t="s">
        <v>1454</v>
      </c>
      <c r="EC176" t="s">
        <v>1454</v>
      </c>
      <c r="EE176" t="s">
        <v>1454</v>
      </c>
      <c r="EF176" t="s">
        <v>1454</v>
      </c>
      <c r="EG176" t="s">
        <v>1454</v>
      </c>
      <c r="EI176" t="s">
        <v>1454</v>
      </c>
      <c r="EJ176" t="s">
        <v>1454</v>
      </c>
      <c r="EK176" t="s">
        <v>1454</v>
      </c>
      <c r="EM176" t="s">
        <v>1454</v>
      </c>
      <c r="EN176" t="s">
        <v>1454</v>
      </c>
      <c r="EO176" t="s">
        <v>1454</v>
      </c>
      <c r="EQ176" t="s">
        <v>1454</v>
      </c>
      <c r="ER176" t="s">
        <v>1454</v>
      </c>
      <c r="ES176" t="s">
        <v>1454</v>
      </c>
      <c r="EU176" t="s">
        <v>1454</v>
      </c>
      <c r="EV176" t="s">
        <v>1454</v>
      </c>
      <c r="EW176" t="s">
        <v>1454</v>
      </c>
      <c r="EY176" t="s">
        <v>1454</v>
      </c>
      <c r="EZ176" t="s">
        <v>1454</v>
      </c>
      <c r="FA176" t="s">
        <v>1454</v>
      </c>
      <c r="FC176" t="s">
        <v>1454</v>
      </c>
      <c r="FD176" t="s">
        <v>1454</v>
      </c>
      <c r="FE176" t="s">
        <v>1454</v>
      </c>
      <c r="FG176" t="s">
        <v>1454</v>
      </c>
      <c r="FH176" t="s">
        <v>1454</v>
      </c>
      <c r="FI176" t="s">
        <v>1454</v>
      </c>
      <c r="FK176" t="s">
        <v>1454</v>
      </c>
      <c r="FL176" t="s">
        <v>1454</v>
      </c>
      <c r="FM176" t="s">
        <v>1454</v>
      </c>
      <c r="FO176" t="s">
        <v>1454</v>
      </c>
      <c r="FP176" t="s">
        <v>1454</v>
      </c>
      <c r="FQ176" t="s">
        <v>1454</v>
      </c>
      <c r="FS176" t="s">
        <v>1454</v>
      </c>
      <c r="FT176" t="s">
        <v>1454</v>
      </c>
      <c r="FU176" t="s">
        <v>1454</v>
      </c>
      <c r="FW176" t="s">
        <v>1454</v>
      </c>
      <c r="FX176" t="s">
        <v>1454</v>
      </c>
      <c r="FY176" t="s">
        <v>1454</v>
      </c>
      <c r="GA176" t="s">
        <v>1454</v>
      </c>
      <c r="GB176" t="s">
        <v>1454</v>
      </c>
      <c r="GC176" t="s">
        <v>1454</v>
      </c>
      <c r="GE176" t="s">
        <v>1454</v>
      </c>
      <c r="GF176" t="s">
        <v>1454</v>
      </c>
      <c r="GG176" t="s">
        <v>1454</v>
      </c>
      <c r="GI176" t="s">
        <v>1454</v>
      </c>
      <c r="GJ176" t="s">
        <v>1454</v>
      </c>
      <c r="GK176" t="s">
        <v>1454</v>
      </c>
      <c r="GM176" t="s">
        <v>649</v>
      </c>
      <c r="GN176" t="s">
        <v>1454</v>
      </c>
      <c r="GO176" t="s">
        <v>1454</v>
      </c>
      <c r="GQ176" t="s">
        <v>649</v>
      </c>
    </row>
    <row r="177" spans="2:199" x14ac:dyDescent="0.25">
      <c r="B177" t="s">
        <v>528</v>
      </c>
      <c r="C177" t="s">
        <v>1454</v>
      </c>
      <c r="D177" t="s">
        <v>1454</v>
      </c>
      <c r="E177" t="s">
        <v>1454</v>
      </c>
      <c r="G177" t="s">
        <v>1454</v>
      </c>
      <c r="H177" t="s">
        <v>1454</v>
      </c>
      <c r="I177" t="s">
        <v>1454</v>
      </c>
      <c r="K177" t="s">
        <v>1454</v>
      </c>
      <c r="L177" t="s">
        <v>1454</v>
      </c>
      <c r="M177" t="s">
        <v>1454</v>
      </c>
      <c r="O177" t="s">
        <v>1454</v>
      </c>
      <c r="P177" t="s">
        <v>1454</v>
      </c>
      <c r="Q177" t="s">
        <v>1454</v>
      </c>
      <c r="S177" t="s">
        <v>1454</v>
      </c>
      <c r="T177" t="s">
        <v>1454</v>
      </c>
      <c r="U177" t="s">
        <v>1454</v>
      </c>
      <c r="W177" t="s">
        <v>1454</v>
      </c>
      <c r="X177" t="s">
        <v>1454</v>
      </c>
      <c r="Y177" t="s">
        <v>1454</v>
      </c>
      <c r="AA177" t="s">
        <v>1454</v>
      </c>
      <c r="AB177" t="s">
        <v>1454</v>
      </c>
      <c r="AC177" t="s">
        <v>1454</v>
      </c>
      <c r="AE177" t="s">
        <v>1454</v>
      </c>
      <c r="AF177" t="s">
        <v>1454</v>
      </c>
      <c r="AG177" t="s">
        <v>1454</v>
      </c>
      <c r="AI177" t="s">
        <v>1454</v>
      </c>
      <c r="AJ177" t="s">
        <v>1454</v>
      </c>
      <c r="AK177" t="s">
        <v>1454</v>
      </c>
      <c r="AM177" t="s">
        <v>1454</v>
      </c>
      <c r="AN177" t="s">
        <v>1454</v>
      </c>
      <c r="AO177" t="s">
        <v>1454</v>
      </c>
      <c r="AQ177" t="s">
        <v>612</v>
      </c>
      <c r="AR177" t="s">
        <v>1454</v>
      </c>
      <c r="AS177" t="s">
        <v>1454</v>
      </c>
      <c r="AU177" t="s">
        <v>1454</v>
      </c>
      <c r="AV177" t="s">
        <v>1454</v>
      </c>
      <c r="AW177" t="s">
        <v>1454</v>
      </c>
      <c r="AY177" t="s">
        <v>1454</v>
      </c>
      <c r="AZ177" t="s">
        <v>1454</v>
      </c>
      <c r="BA177" t="s">
        <v>1454</v>
      </c>
      <c r="BC177" t="s">
        <v>615</v>
      </c>
      <c r="BD177" t="s">
        <v>1454</v>
      </c>
      <c r="BE177" t="s">
        <v>1454</v>
      </c>
      <c r="BG177" t="s">
        <v>616</v>
      </c>
      <c r="BH177" t="s">
        <v>1454</v>
      </c>
      <c r="BI177" t="s">
        <v>1454</v>
      </c>
      <c r="BK177" t="s">
        <v>1454</v>
      </c>
      <c r="BL177" t="s">
        <v>1454</v>
      </c>
      <c r="BM177" t="s">
        <v>1454</v>
      </c>
      <c r="BO177" t="s">
        <v>1454</v>
      </c>
      <c r="BP177" t="s">
        <v>1454</v>
      </c>
      <c r="BQ177" t="s">
        <v>1454</v>
      </c>
      <c r="BS177" t="s">
        <v>1454</v>
      </c>
      <c r="BT177" t="s">
        <v>1454</v>
      </c>
      <c r="BU177" t="s">
        <v>1454</v>
      </c>
      <c r="BW177" t="s">
        <v>1454</v>
      </c>
      <c r="BX177" t="s">
        <v>1454</v>
      </c>
      <c r="BY177" t="s">
        <v>1454</v>
      </c>
      <c r="CA177" t="s">
        <v>1454</v>
      </c>
      <c r="CB177" t="s">
        <v>1454</v>
      </c>
      <c r="CC177" t="s">
        <v>1454</v>
      </c>
      <c r="CE177" t="s">
        <v>1454</v>
      </c>
      <c r="CF177" t="s">
        <v>1454</v>
      </c>
      <c r="CG177" t="s">
        <v>1454</v>
      </c>
      <c r="CI177" t="s">
        <v>1454</v>
      </c>
      <c r="CJ177" t="s">
        <v>1454</v>
      </c>
      <c r="CK177" t="s">
        <v>1454</v>
      </c>
      <c r="CM177" t="s">
        <v>1454</v>
      </c>
      <c r="CN177" t="s">
        <v>1454</v>
      </c>
      <c r="CO177" t="s">
        <v>1454</v>
      </c>
      <c r="CQ177" t="s">
        <v>1454</v>
      </c>
      <c r="CR177" t="s">
        <v>1454</v>
      </c>
      <c r="CS177" t="s">
        <v>1454</v>
      </c>
      <c r="CU177" t="s">
        <v>1454</v>
      </c>
      <c r="CV177" t="s">
        <v>1454</v>
      </c>
      <c r="CW177" t="s">
        <v>1454</v>
      </c>
      <c r="CY177" t="s">
        <v>1454</v>
      </c>
      <c r="CZ177" t="s">
        <v>1454</v>
      </c>
      <c r="DA177" t="s">
        <v>1454</v>
      </c>
      <c r="DC177" t="s">
        <v>1454</v>
      </c>
      <c r="DD177" t="s">
        <v>1454</v>
      </c>
      <c r="DE177" t="s">
        <v>1454</v>
      </c>
      <c r="DG177" t="s">
        <v>1454</v>
      </c>
      <c r="DH177" t="s">
        <v>1454</v>
      </c>
      <c r="DI177" t="s">
        <v>1454</v>
      </c>
      <c r="DK177" t="s">
        <v>1454</v>
      </c>
      <c r="DL177" t="s">
        <v>1454</v>
      </c>
      <c r="DM177" t="s">
        <v>1454</v>
      </c>
      <c r="DO177" t="s">
        <v>1454</v>
      </c>
      <c r="DP177" t="s">
        <v>1454</v>
      </c>
      <c r="DQ177" t="s">
        <v>1454</v>
      </c>
      <c r="DS177" t="s">
        <v>1454</v>
      </c>
      <c r="DT177" t="s">
        <v>1454</v>
      </c>
      <c r="DU177" t="s">
        <v>1454</v>
      </c>
      <c r="DW177" t="s">
        <v>1454</v>
      </c>
      <c r="DX177" t="s">
        <v>1454</v>
      </c>
      <c r="DY177" t="s">
        <v>1454</v>
      </c>
      <c r="EA177" t="s">
        <v>1454</v>
      </c>
      <c r="EB177" t="s">
        <v>1454</v>
      </c>
      <c r="EC177" t="s">
        <v>1454</v>
      </c>
      <c r="EE177" t="s">
        <v>1454</v>
      </c>
      <c r="EF177" t="s">
        <v>1454</v>
      </c>
      <c r="EG177" t="s">
        <v>1454</v>
      </c>
      <c r="EI177" t="s">
        <v>1454</v>
      </c>
      <c r="EJ177" t="s">
        <v>1454</v>
      </c>
      <c r="EK177" t="s">
        <v>1454</v>
      </c>
      <c r="EM177" t="s">
        <v>1454</v>
      </c>
      <c r="EN177" t="s">
        <v>1454</v>
      </c>
      <c r="EO177" t="s">
        <v>1454</v>
      </c>
      <c r="EQ177" t="s">
        <v>1454</v>
      </c>
      <c r="ER177" t="s">
        <v>1454</v>
      </c>
      <c r="ES177" t="s">
        <v>1454</v>
      </c>
      <c r="EU177" t="s">
        <v>1454</v>
      </c>
      <c r="EV177" t="s">
        <v>1454</v>
      </c>
      <c r="EW177" t="s">
        <v>1454</v>
      </c>
      <c r="EY177" t="s">
        <v>1454</v>
      </c>
      <c r="EZ177" t="s">
        <v>1454</v>
      </c>
      <c r="FA177" t="s">
        <v>1454</v>
      </c>
      <c r="FC177" t="s">
        <v>1454</v>
      </c>
      <c r="FD177" t="s">
        <v>1454</v>
      </c>
      <c r="FE177" t="s">
        <v>1454</v>
      </c>
      <c r="FG177" t="s">
        <v>1454</v>
      </c>
      <c r="FH177" t="s">
        <v>1454</v>
      </c>
      <c r="FI177" t="s">
        <v>1454</v>
      </c>
      <c r="FK177" t="s">
        <v>643</v>
      </c>
      <c r="FL177" t="s">
        <v>1454</v>
      </c>
      <c r="FM177" t="s">
        <v>1454</v>
      </c>
      <c r="FO177" t="s">
        <v>1454</v>
      </c>
      <c r="FP177" t="s">
        <v>1454</v>
      </c>
      <c r="FQ177" t="s">
        <v>1454</v>
      </c>
      <c r="FS177" t="s">
        <v>1454</v>
      </c>
      <c r="FT177" t="s">
        <v>1454</v>
      </c>
      <c r="FU177" t="s">
        <v>1454</v>
      </c>
      <c r="FW177" t="s">
        <v>1454</v>
      </c>
      <c r="FX177" t="s">
        <v>1454</v>
      </c>
      <c r="FY177" t="s">
        <v>1454</v>
      </c>
      <c r="GA177" t="s">
        <v>646</v>
      </c>
      <c r="GB177" t="s">
        <v>1454</v>
      </c>
      <c r="GC177" t="s">
        <v>1454</v>
      </c>
      <c r="GE177" t="s">
        <v>1454</v>
      </c>
      <c r="GF177" t="s">
        <v>1454</v>
      </c>
      <c r="GG177" t="s">
        <v>1454</v>
      </c>
      <c r="GI177" t="s">
        <v>1454</v>
      </c>
      <c r="GJ177" t="s">
        <v>1454</v>
      </c>
      <c r="GK177" t="s">
        <v>1454</v>
      </c>
      <c r="GM177" t="s">
        <v>1454</v>
      </c>
      <c r="GN177" t="s">
        <v>1454</v>
      </c>
      <c r="GO177" t="s">
        <v>1454</v>
      </c>
      <c r="GQ177" t="s">
        <v>1627</v>
      </c>
    </row>
    <row r="178" spans="2:199" x14ac:dyDescent="0.25">
      <c r="B178" t="s">
        <v>529</v>
      </c>
      <c r="C178" t="s">
        <v>1454</v>
      </c>
      <c r="D178" t="s">
        <v>1454</v>
      </c>
      <c r="E178" t="s">
        <v>1454</v>
      </c>
      <c r="G178" t="s">
        <v>1454</v>
      </c>
      <c r="H178" t="s">
        <v>1454</v>
      </c>
      <c r="I178" t="s">
        <v>1454</v>
      </c>
      <c r="K178" t="s">
        <v>1454</v>
      </c>
      <c r="L178" t="s">
        <v>1454</v>
      </c>
      <c r="M178" t="s">
        <v>1454</v>
      </c>
      <c r="O178" t="s">
        <v>1454</v>
      </c>
      <c r="P178" t="s">
        <v>1454</v>
      </c>
      <c r="Q178" t="s">
        <v>1454</v>
      </c>
      <c r="S178" t="s">
        <v>1454</v>
      </c>
      <c r="T178" t="s">
        <v>1454</v>
      </c>
      <c r="U178" t="s">
        <v>1454</v>
      </c>
      <c r="W178" t="s">
        <v>1454</v>
      </c>
      <c r="X178" t="s">
        <v>1454</v>
      </c>
      <c r="Y178" t="s">
        <v>1454</v>
      </c>
      <c r="AA178" t="s">
        <v>1454</v>
      </c>
      <c r="AB178" t="s">
        <v>1454</v>
      </c>
      <c r="AC178" t="s">
        <v>1454</v>
      </c>
      <c r="AE178" t="s">
        <v>1454</v>
      </c>
      <c r="AF178" t="s">
        <v>1454</v>
      </c>
      <c r="AG178" t="s">
        <v>1454</v>
      </c>
      <c r="AI178" t="s">
        <v>1454</v>
      </c>
      <c r="AJ178" t="s">
        <v>1454</v>
      </c>
      <c r="AK178" t="s">
        <v>1454</v>
      </c>
      <c r="AM178" t="s">
        <v>1454</v>
      </c>
      <c r="AN178" t="s">
        <v>1454</v>
      </c>
      <c r="AO178" t="s">
        <v>1454</v>
      </c>
      <c r="AQ178" t="s">
        <v>1454</v>
      </c>
      <c r="AR178" t="s">
        <v>1454</v>
      </c>
      <c r="AS178" t="s">
        <v>1454</v>
      </c>
      <c r="AU178" t="s">
        <v>1454</v>
      </c>
      <c r="AV178" t="s">
        <v>1454</v>
      </c>
      <c r="AW178" t="s">
        <v>1454</v>
      </c>
      <c r="AY178" t="s">
        <v>1454</v>
      </c>
      <c r="AZ178" t="s">
        <v>1454</v>
      </c>
      <c r="BA178" t="s">
        <v>1454</v>
      </c>
      <c r="BC178" t="s">
        <v>1454</v>
      </c>
      <c r="BD178" t="s">
        <v>1454</v>
      </c>
      <c r="BE178" t="s">
        <v>1454</v>
      </c>
      <c r="BG178" t="s">
        <v>1454</v>
      </c>
      <c r="BH178" t="s">
        <v>1454</v>
      </c>
      <c r="BI178" t="s">
        <v>1454</v>
      </c>
      <c r="BK178" t="s">
        <v>1454</v>
      </c>
      <c r="BL178" t="s">
        <v>1454</v>
      </c>
      <c r="BM178" t="s">
        <v>1454</v>
      </c>
      <c r="BO178" t="s">
        <v>1454</v>
      </c>
      <c r="BP178" t="s">
        <v>1454</v>
      </c>
      <c r="BQ178" t="s">
        <v>1454</v>
      </c>
      <c r="BS178" t="s">
        <v>1454</v>
      </c>
      <c r="BT178" t="s">
        <v>1454</v>
      </c>
      <c r="BU178" t="s">
        <v>1454</v>
      </c>
      <c r="BW178" t="s">
        <v>1454</v>
      </c>
      <c r="BX178" t="s">
        <v>1454</v>
      </c>
      <c r="BY178" t="s">
        <v>1454</v>
      </c>
      <c r="CA178" t="s">
        <v>1454</v>
      </c>
      <c r="CB178" t="s">
        <v>1454</v>
      </c>
      <c r="CC178" t="s">
        <v>1454</v>
      </c>
      <c r="CE178" t="s">
        <v>1454</v>
      </c>
      <c r="CF178" t="s">
        <v>1454</v>
      </c>
      <c r="CG178" t="s">
        <v>1454</v>
      </c>
      <c r="CI178" t="s">
        <v>623</v>
      </c>
      <c r="CJ178" t="s">
        <v>1454</v>
      </c>
      <c r="CK178" t="s">
        <v>1454</v>
      </c>
      <c r="CM178" t="s">
        <v>1454</v>
      </c>
      <c r="CN178" t="s">
        <v>1454</v>
      </c>
      <c r="CO178" t="s">
        <v>1454</v>
      </c>
      <c r="CQ178" t="s">
        <v>1454</v>
      </c>
      <c r="CR178" t="s">
        <v>1454</v>
      </c>
      <c r="CS178" t="s">
        <v>1454</v>
      </c>
      <c r="CU178" t="s">
        <v>1454</v>
      </c>
      <c r="CV178" t="s">
        <v>1454</v>
      </c>
      <c r="CW178" t="s">
        <v>1454</v>
      </c>
      <c r="CY178" t="s">
        <v>1454</v>
      </c>
      <c r="CZ178" t="s">
        <v>1454</v>
      </c>
      <c r="DA178" t="s">
        <v>1454</v>
      </c>
      <c r="DC178" t="s">
        <v>1454</v>
      </c>
      <c r="DD178" t="s">
        <v>1454</v>
      </c>
      <c r="DE178" t="s">
        <v>1454</v>
      </c>
      <c r="DG178" t="s">
        <v>1454</v>
      </c>
      <c r="DH178" t="s">
        <v>1454</v>
      </c>
      <c r="DI178" t="s">
        <v>1454</v>
      </c>
      <c r="DK178" t="s">
        <v>1454</v>
      </c>
      <c r="DL178" t="s">
        <v>1454</v>
      </c>
      <c r="DM178" t="s">
        <v>1454</v>
      </c>
      <c r="DO178" t="s">
        <v>1454</v>
      </c>
      <c r="DP178" t="s">
        <v>1454</v>
      </c>
      <c r="DQ178" t="s">
        <v>1454</v>
      </c>
      <c r="DS178" t="s">
        <v>1454</v>
      </c>
      <c r="DT178" t="s">
        <v>1454</v>
      </c>
      <c r="DU178" t="s">
        <v>1454</v>
      </c>
      <c r="DW178" t="s">
        <v>1454</v>
      </c>
      <c r="DX178" t="s">
        <v>1454</v>
      </c>
      <c r="DY178" t="s">
        <v>1454</v>
      </c>
      <c r="EA178" t="s">
        <v>1454</v>
      </c>
      <c r="EB178" t="s">
        <v>1454</v>
      </c>
      <c r="EC178" t="s">
        <v>1454</v>
      </c>
      <c r="EE178" t="s">
        <v>1454</v>
      </c>
      <c r="EF178" t="s">
        <v>1454</v>
      </c>
      <c r="EG178" t="s">
        <v>1454</v>
      </c>
      <c r="EI178" t="s">
        <v>1454</v>
      </c>
      <c r="EJ178" t="s">
        <v>1454</v>
      </c>
      <c r="EK178" t="s">
        <v>1454</v>
      </c>
      <c r="EM178" t="s">
        <v>1454</v>
      </c>
      <c r="EN178" t="s">
        <v>1454</v>
      </c>
      <c r="EO178" t="s">
        <v>1454</v>
      </c>
      <c r="EQ178" t="s">
        <v>1454</v>
      </c>
      <c r="ER178" t="s">
        <v>1454</v>
      </c>
      <c r="ES178" t="s">
        <v>1454</v>
      </c>
      <c r="EU178" t="s">
        <v>1454</v>
      </c>
      <c r="EV178" t="s">
        <v>1454</v>
      </c>
      <c r="EW178" t="s">
        <v>1454</v>
      </c>
      <c r="EY178" t="s">
        <v>1454</v>
      </c>
      <c r="EZ178" t="s">
        <v>1454</v>
      </c>
      <c r="FA178" t="s">
        <v>1454</v>
      </c>
      <c r="FC178" t="s">
        <v>1454</v>
      </c>
      <c r="FD178" t="s">
        <v>1454</v>
      </c>
      <c r="FE178" t="s">
        <v>1454</v>
      </c>
      <c r="FG178" t="s">
        <v>1454</v>
      </c>
      <c r="FH178" t="s">
        <v>1454</v>
      </c>
      <c r="FI178" t="s">
        <v>1454</v>
      </c>
      <c r="FK178" t="s">
        <v>1454</v>
      </c>
      <c r="FL178" t="s">
        <v>1454</v>
      </c>
      <c r="FM178" t="s">
        <v>1454</v>
      </c>
      <c r="FO178" t="s">
        <v>1454</v>
      </c>
      <c r="FP178" t="s">
        <v>1454</v>
      </c>
      <c r="FQ178" t="s">
        <v>1454</v>
      </c>
      <c r="FS178" t="s">
        <v>1454</v>
      </c>
      <c r="FT178" t="s">
        <v>1454</v>
      </c>
      <c r="FU178" t="s">
        <v>1454</v>
      </c>
      <c r="FW178" t="s">
        <v>1454</v>
      </c>
      <c r="FX178" t="s">
        <v>1454</v>
      </c>
      <c r="FY178" t="s">
        <v>1454</v>
      </c>
      <c r="GA178" t="s">
        <v>1454</v>
      </c>
      <c r="GB178" t="s">
        <v>1454</v>
      </c>
      <c r="GC178" t="s">
        <v>1454</v>
      </c>
      <c r="GE178" t="s">
        <v>1454</v>
      </c>
      <c r="GF178" t="s">
        <v>1454</v>
      </c>
      <c r="GG178" t="s">
        <v>1454</v>
      </c>
      <c r="GI178" t="s">
        <v>1454</v>
      </c>
      <c r="GJ178" t="s">
        <v>1454</v>
      </c>
      <c r="GK178" t="s">
        <v>1454</v>
      </c>
      <c r="GM178" t="s">
        <v>1454</v>
      </c>
      <c r="GN178" t="s">
        <v>1454</v>
      </c>
      <c r="GO178" t="s">
        <v>1454</v>
      </c>
      <c r="GQ178" t="s">
        <v>1611</v>
      </c>
    </row>
    <row r="179" spans="2:199" s="11" customFormat="1" x14ac:dyDescent="0.25">
      <c r="B179" t="s">
        <v>530</v>
      </c>
      <c r="C179" t="s">
        <v>1454</v>
      </c>
      <c r="D179" t="s">
        <v>1454</v>
      </c>
      <c r="E179" t="s">
        <v>1454</v>
      </c>
      <c r="F179"/>
      <c r="G179" t="s">
        <v>1454</v>
      </c>
      <c r="H179" t="s">
        <v>1454</v>
      </c>
      <c r="I179" t="s">
        <v>1454</v>
      </c>
      <c r="J179"/>
      <c r="K179" t="s">
        <v>1454</v>
      </c>
      <c r="L179" t="s">
        <v>1454</v>
      </c>
      <c r="M179" t="s">
        <v>1454</v>
      </c>
      <c r="N179"/>
      <c r="O179" t="s">
        <v>1454</v>
      </c>
      <c r="P179" t="s">
        <v>1454</v>
      </c>
      <c r="Q179" t="s">
        <v>1454</v>
      </c>
      <c r="R179"/>
      <c r="S179" t="s">
        <v>1454</v>
      </c>
      <c r="T179" t="s">
        <v>1454</v>
      </c>
      <c r="U179" t="s">
        <v>1454</v>
      </c>
      <c r="V179"/>
      <c r="W179" t="s">
        <v>1454</v>
      </c>
      <c r="X179" t="s">
        <v>1454</v>
      </c>
      <c r="Y179" t="s">
        <v>1454</v>
      </c>
      <c r="Z179"/>
      <c r="AA179" t="s">
        <v>1454</v>
      </c>
      <c r="AB179" t="s">
        <v>1454</v>
      </c>
      <c r="AC179" t="s">
        <v>1454</v>
      </c>
      <c r="AD179"/>
      <c r="AE179" t="s">
        <v>1454</v>
      </c>
      <c r="AF179" t="s">
        <v>1454</v>
      </c>
      <c r="AG179" t="s">
        <v>1454</v>
      </c>
      <c r="AH179"/>
      <c r="AI179" t="s">
        <v>1454</v>
      </c>
      <c r="AJ179" t="s">
        <v>1454</v>
      </c>
      <c r="AK179" t="s">
        <v>1454</v>
      </c>
      <c r="AL179"/>
      <c r="AM179" t="s">
        <v>1454</v>
      </c>
      <c r="AN179" t="s">
        <v>1454</v>
      </c>
      <c r="AO179" t="s">
        <v>1454</v>
      </c>
      <c r="AP179"/>
      <c r="AQ179" t="s">
        <v>1454</v>
      </c>
      <c r="AR179" t="s">
        <v>1454</v>
      </c>
      <c r="AS179" t="s">
        <v>1454</v>
      </c>
      <c r="AT179"/>
      <c r="AU179" t="s">
        <v>1454</v>
      </c>
      <c r="AV179" t="s">
        <v>1454</v>
      </c>
      <c r="AW179" t="s">
        <v>1454</v>
      </c>
      <c r="AX179"/>
      <c r="AY179" t="s">
        <v>1454</v>
      </c>
      <c r="AZ179" t="s">
        <v>1454</v>
      </c>
      <c r="BA179" t="s">
        <v>1454</v>
      </c>
      <c r="BB179"/>
      <c r="BC179" t="s">
        <v>1454</v>
      </c>
      <c r="BD179" t="s">
        <v>1454</v>
      </c>
      <c r="BE179" t="s">
        <v>1454</v>
      </c>
      <c r="BF179"/>
      <c r="BG179" t="s">
        <v>1454</v>
      </c>
      <c r="BH179" t="s">
        <v>1454</v>
      </c>
      <c r="BI179" t="s">
        <v>1454</v>
      </c>
      <c r="BJ179"/>
      <c r="BK179" t="s">
        <v>1454</v>
      </c>
      <c r="BL179" t="s">
        <v>1454</v>
      </c>
      <c r="BM179" t="s">
        <v>1454</v>
      </c>
      <c r="BN179"/>
      <c r="BO179" t="s">
        <v>1454</v>
      </c>
      <c r="BP179" t="s">
        <v>1454</v>
      </c>
      <c r="BQ179" t="s">
        <v>1454</v>
      </c>
      <c r="BR179"/>
      <c r="BS179" t="s">
        <v>1454</v>
      </c>
      <c r="BT179" t="s">
        <v>1454</v>
      </c>
      <c r="BU179" t="s">
        <v>1454</v>
      </c>
      <c r="BV179"/>
      <c r="BW179" t="s">
        <v>1454</v>
      </c>
      <c r="BX179" t="s">
        <v>1454</v>
      </c>
      <c r="BY179" t="s">
        <v>1454</v>
      </c>
      <c r="BZ179"/>
      <c r="CA179" t="s">
        <v>1454</v>
      </c>
      <c r="CB179" t="s">
        <v>1454</v>
      </c>
      <c r="CC179" t="s">
        <v>1454</v>
      </c>
      <c r="CD179"/>
      <c r="CE179" t="s">
        <v>1454</v>
      </c>
      <c r="CF179" t="s">
        <v>1454</v>
      </c>
      <c r="CG179" t="s">
        <v>1454</v>
      </c>
      <c r="CH179"/>
      <c r="CI179" t="s">
        <v>623</v>
      </c>
      <c r="CJ179" t="s">
        <v>1454</v>
      </c>
      <c r="CK179" t="s">
        <v>1454</v>
      </c>
      <c r="CL179"/>
      <c r="CM179" t="s">
        <v>1454</v>
      </c>
      <c r="CN179" t="s">
        <v>1454</v>
      </c>
      <c r="CO179" t="s">
        <v>1454</v>
      </c>
      <c r="CP179"/>
      <c r="CQ179" t="s">
        <v>1454</v>
      </c>
      <c r="CR179" t="s">
        <v>1454</v>
      </c>
      <c r="CS179" t="s">
        <v>1454</v>
      </c>
      <c r="CT179"/>
      <c r="CU179" t="s">
        <v>1454</v>
      </c>
      <c r="CV179" t="s">
        <v>1454</v>
      </c>
      <c r="CW179" t="s">
        <v>1454</v>
      </c>
      <c r="CX179"/>
      <c r="CY179" t="s">
        <v>1454</v>
      </c>
      <c r="CZ179" t="s">
        <v>1454</v>
      </c>
      <c r="DA179" t="s">
        <v>1454</v>
      </c>
      <c r="DB179"/>
      <c r="DC179" t="s">
        <v>1454</v>
      </c>
      <c r="DD179" t="s">
        <v>1454</v>
      </c>
      <c r="DE179" t="s">
        <v>1454</v>
      </c>
      <c r="DF179"/>
      <c r="DG179" t="s">
        <v>1454</v>
      </c>
      <c r="DH179" t="s">
        <v>1454</v>
      </c>
      <c r="DI179" t="s">
        <v>1454</v>
      </c>
      <c r="DJ179"/>
      <c r="DK179" t="s">
        <v>1454</v>
      </c>
      <c r="DL179" t="s">
        <v>1454</v>
      </c>
      <c r="DM179" t="s">
        <v>1454</v>
      </c>
      <c r="DN179"/>
      <c r="DO179" t="s">
        <v>1454</v>
      </c>
      <c r="DP179" t="s">
        <v>1454</v>
      </c>
      <c r="DQ179" t="s">
        <v>1454</v>
      </c>
      <c r="DR179"/>
      <c r="DS179" t="s">
        <v>1454</v>
      </c>
      <c r="DT179" t="s">
        <v>1454</v>
      </c>
      <c r="DU179" t="s">
        <v>1454</v>
      </c>
      <c r="DV179"/>
      <c r="DW179" t="s">
        <v>1454</v>
      </c>
      <c r="DX179" t="s">
        <v>1454</v>
      </c>
      <c r="DY179" t="s">
        <v>1454</v>
      </c>
      <c r="DZ179"/>
      <c r="EA179" t="s">
        <v>1454</v>
      </c>
      <c r="EB179" t="s">
        <v>1454</v>
      </c>
      <c r="EC179" t="s">
        <v>1454</v>
      </c>
      <c r="ED179"/>
      <c r="EE179" t="s">
        <v>1454</v>
      </c>
      <c r="EF179" t="s">
        <v>1454</v>
      </c>
      <c r="EG179" t="s">
        <v>1454</v>
      </c>
      <c r="EH179"/>
      <c r="EI179" t="s">
        <v>1454</v>
      </c>
      <c r="EJ179" t="s">
        <v>1454</v>
      </c>
      <c r="EK179" t="s">
        <v>1454</v>
      </c>
      <c r="EL179"/>
      <c r="EM179" t="s">
        <v>1454</v>
      </c>
      <c r="EN179" t="s">
        <v>1454</v>
      </c>
      <c r="EO179" t="s">
        <v>1454</v>
      </c>
      <c r="EP179"/>
      <c r="EQ179" t="s">
        <v>1454</v>
      </c>
      <c r="ER179" t="s">
        <v>1454</v>
      </c>
      <c r="ES179" t="s">
        <v>1454</v>
      </c>
      <c r="ET179"/>
      <c r="EU179" t="s">
        <v>1454</v>
      </c>
      <c r="EV179" t="s">
        <v>1454</v>
      </c>
      <c r="EW179" t="s">
        <v>1454</v>
      </c>
      <c r="EX179"/>
      <c r="EY179" t="s">
        <v>1454</v>
      </c>
      <c r="EZ179" t="s">
        <v>1454</v>
      </c>
      <c r="FA179" t="s">
        <v>1454</v>
      </c>
      <c r="FB179"/>
      <c r="FC179" t="s">
        <v>1454</v>
      </c>
      <c r="FD179" t="s">
        <v>1454</v>
      </c>
      <c r="FE179" t="s">
        <v>1454</v>
      </c>
      <c r="FF179"/>
      <c r="FG179" t="s">
        <v>1454</v>
      </c>
      <c r="FH179" t="s">
        <v>1454</v>
      </c>
      <c r="FI179" t="s">
        <v>1454</v>
      </c>
      <c r="FJ179"/>
      <c r="FK179" t="s">
        <v>1454</v>
      </c>
      <c r="FL179" t="s">
        <v>1454</v>
      </c>
      <c r="FM179" t="s">
        <v>1454</v>
      </c>
      <c r="FN179"/>
      <c r="FO179" t="s">
        <v>1454</v>
      </c>
      <c r="FP179" t="s">
        <v>1454</v>
      </c>
      <c r="FQ179" t="s">
        <v>1454</v>
      </c>
      <c r="FR179"/>
      <c r="FS179" t="s">
        <v>1454</v>
      </c>
      <c r="FT179" t="s">
        <v>1454</v>
      </c>
      <c r="FU179" t="s">
        <v>1454</v>
      </c>
      <c r="FV179"/>
      <c r="FW179" t="s">
        <v>1454</v>
      </c>
      <c r="FX179" t="s">
        <v>1454</v>
      </c>
      <c r="FY179" t="s">
        <v>1454</v>
      </c>
      <c r="FZ179"/>
      <c r="GA179" t="s">
        <v>1454</v>
      </c>
      <c r="GB179" t="s">
        <v>1454</v>
      </c>
      <c r="GC179" t="s">
        <v>1454</v>
      </c>
      <c r="GD179"/>
      <c r="GE179" t="s">
        <v>1454</v>
      </c>
      <c r="GF179" t="s">
        <v>1454</v>
      </c>
      <c r="GG179" t="s">
        <v>1454</v>
      </c>
      <c r="GH179"/>
      <c r="GI179" t="s">
        <v>1454</v>
      </c>
      <c r="GJ179" t="s">
        <v>1454</v>
      </c>
      <c r="GK179" t="s">
        <v>1454</v>
      </c>
      <c r="GL179"/>
      <c r="GM179" t="s">
        <v>1454</v>
      </c>
      <c r="GN179" t="s">
        <v>1454</v>
      </c>
      <c r="GO179" t="s">
        <v>1454</v>
      </c>
      <c r="GP179"/>
      <c r="GQ179" t="s">
        <v>1611</v>
      </c>
    </row>
    <row r="180" spans="2:199" x14ac:dyDescent="0.25">
      <c r="B180" t="s">
        <v>531</v>
      </c>
      <c r="C180" t="s">
        <v>1454</v>
      </c>
      <c r="D180" t="s">
        <v>1454</v>
      </c>
      <c r="E180" t="s">
        <v>1454</v>
      </c>
      <c r="G180" t="s">
        <v>1454</v>
      </c>
      <c r="H180" t="s">
        <v>1454</v>
      </c>
      <c r="I180" t="s">
        <v>1454</v>
      </c>
      <c r="K180" t="s">
        <v>1454</v>
      </c>
      <c r="L180" t="s">
        <v>1454</v>
      </c>
      <c r="M180" t="s">
        <v>1454</v>
      </c>
      <c r="O180" t="s">
        <v>1454</v>
      </c>
      <c r="P180" t="s">
        <v>1454</v>
      </c>
      <c r="Q180" t="s">
        <v>1454</v>
      </c>
      <c r="S180" t="s">
        <v>1454</v>
      </c>
      <c r="T180" t="s">
        <v>1454</v>
      </c>
      <c r="U180" t="s">
        <v>1454</v>
      </c>
      <c r="W180" t="s">
        <v>1454</v>
      </c>
      <c r="X180" t="s">
        <v>1454</v>
      </c>
      <c r="Y180" t="s">
        <v>1454</v>
      </c>
      <c r="AA180" t="s">
        <v>1454</v>
      </c>
      <c r="AB180" t="s">
        <v>1454</v>
      </c>
      <c r="AC180" t="s">
        <v>1454</v>
      </c>
      <c r="AE180" t="s">
        <v>1454</v>
      </c>
      <c r="AF180" t="s">
        <v>1454</v>
      </c>
      <c r="AG180" t="s">
        <v>1454</v>
      </c>
      <c r="AI180" t="s">
        <v>1454</v>
      </c>
      <c r="AJ180" t="s">
        <v>1454</v>
      </c>
      <c r="AK180" t="s">
        <v>1454</v>
      </c>
      <c r="AM180" t="s">
        <v>1454</v>
      </c>
      <c r="AN180" t="s">
        <v>1454</v>
      </c>
      <c r="AO180" t="s">
        <v>1454</v>
      </c>
      <c r="AQ180" t="s">
        <v>1454</v>
      </c>
      <c r="AR180" t="s">
        <v>1454</v>
      </c>
      <c r="AS180" t="s">
        <v>1454</v>
      </c>
      <c r="AU180" t="s">
        <v>1454</v>
      </c>
      <c r="AV180" t="s">
        <v>1454</v>
      </c>
      <c r="AW180" t="s">
        <v>1454</v>
      </c>
      <c r="AY180" t="s">
        <v>1454</v>
      </c>
      <c r="AZ180" t="s">
        <v>1454</v>
      </c>
      <c r="BA180" t="s">
        <v>1454</v>
      </c>
      <c r="BC180" t="s">
        <v>1454</v>
      </c>
      <c r="BD180" t="s">
        <v>1454</v>
      </c>
      <c r="BE180" t="s">
        <v>1454</v>
      </c>
      <c r="BG180" t="s">
        <v>1454</v>
      </c>
      <c r="BH180" t="s">
        <v>1454</v>
      </c>
      <c r="BI180" t="s">
        <v>1454</v>
      </c>
      <c r="BK180" t="s">
        <v>1454</v>
      </c>
      <c r="BL180" t="s">
        <v>1454</v>
      </c>
      <c r="BM180" t="s">
        <v>1454</v>
      </c>
      <c r="BO180" t="s">
        <v>1454</v>
      </c>
      <c r="BP180" t="s">
        <v>1454</v>
      </c>
      <c r="BQ180" t="s">
        <v>1454</v>
      </c>
      <c r="BS180" t="s">
        <v>1454</v>
      </c>
      <c r="BT180" t="s">
        <v>1454</v>
      </c>
      <c r="BU180" t="s">
        <v>1454</v>
      </c>
      <c r="BW180" t="s">
        <v>1454</v>
      </c>
      <c r="BX180" t="s">
        <v>1454</v>
      </c>
      <c r="BY180" t="s">
        <v>1454</v>
      </c>
      <c r="CA180" t="s">
        <v>1454</v>
      </c>
      <c r="CB180" t="s">
        <v>1454</v>
      </c>
      <c r="CC180" t="s">
        <v>1454</v>
      </c>
      <c r="CE180" t="s">
        <v>622</v>
      </c>
      <c r="CF180" t="s">
        <v>1454</v>
      </c>
      <c r="CG180" t="s">
        <v>1454</v>
      </c>
      <c r="CI180" t="s">
        <v>1454</v>
      </c>
      <c r="CJ180" t="s">
        <v>1454</v>
      </c>
      <c r="CK180" t="s">
        <v>1454</v>
      </c>
      <c r="CM180" t="s">
        <v>1454</v>
      </c>
      <c r="CN180" t="s">
        <v>1454</v>
      </c>
      <c r="CO180" t="s">
        <v>1454</v>
      </c>
      <c r="CQ180" t="s">
        <v>1454</v>
      </c>
      <c r="CR180" t="s">
        <v>1454</v>
      </c>
      <c r="CS180" t="s">
        <v>1454</v>
      </c>
      <c r="CU180" t="s">
        <v>1454</v>
      </c>
      <c r="CV180" t="s">
        <v>1454</v>
      </c>
      <c r="CW180" t="s">
        <v>1454</v>
      </c>
      <c r="CY180" t="s">
        <v>627</v>
      </c>
      <c r="CZ180" t="s">
        <v>1454</v>
      </c>
      <c r="DA180" t="s">
        <v>1454</v>
      </c>
      <c r="DC180" t="s">
        <v>1454</v>
      </c>
      <c r="DD180" t="s">
        <v>1454</v>
      </c>
      <c r="DE180" t="s">
        <v>1454</v>
      </c>
      <c r="DG180" t="s">
        <v>1454</v>
      </c>
      <c r="DH180" t="s">
        <v>1454</v>
      </c>
      <c r="DI180" t="s">
        <v>1454</v>
      </c>
      <c r="DK180" t="s">
        <v>630</v>
      </c>
      <c r="DL180" t="s">
        <v>1454</v>
      </c>
      <c r="DM180" t="s">
        <v>1454</v>
      </c>
      <c r="DO180" t="s">
        <v>1454</v>
      </c>
      <c r="DP180" t="s">
        <v>1454</v>
      </c>
      <c r="DQ180" t="s">
        <v>1454</v>
      </c>
      <c r="DS180" t="s">
        <v>1454</v>
      </c>
      <c r="DT180" t="s">
        <v>1454</v>
      </c>
      <c r="DU180" t="s">
        <v>1454</v>
      </c>
      <c r="DW180" t="s">
        <v>1454</v>
      </c>
      <c r="DX180" t="s">
        <v>1454</v>
      </c>
      <c r="DY180" t="s">
        <v>1454</v>
      </c>
      <c r="EA180" t="s">
        <v>1454</v>
      </c>
      <c r="EB180" t="s">
        <v>1454</v>
      </c>
      <c r="EC180" t="s">
        <v>1454</v>
      </c>
      <c r="EE180" t="s">
        <v>1454</v>
      </c>
      <c r="EF180" t="s">
        <v>1454</v>
      </c>
      <c r="EG180" t="s">
        <v>1454</v>
      </c>
      <c r="EI180" t="s">
        <v>1454</v>
      </c>
      <c r="EJ180" t="s">
        <v>1454</v>
      </c>
      <c r="EK180" t="s">
        <v>1454</v>
      </c>
      <c r="EM180" t="s">
        <v>1454</v>
      </c>
      <c r="EN180" t="s">
        <v>1454</v>
      </c>
      <c r="EO180" t="s">
        <v>1454</v>
      </c>
      <c r="EQ180" t="s">
        <v>638</v>
      </c>
      <c r="ER180" t="s">
        <v>1454</v>
      </c>
      <c r="ES180" t="s">
        <v>1454</v>
      </c>
      <c r="EU180" t="s">
        <v>1454</v>
      </c>
      <c r="EV180" t="s">
        <v>1454</v>
      </c>
      <c r="EW180" t="s">
        <v>1454</v>
      </c>
      <c r="EY180" t="s">
        <v>1454</v>
      </c>
      <c r="EZ180" t="s">
        <v>1454</v>
      </c>
      <c r="FA180" t="s">
        <v>1454</v>
      </c>
      <c r="FC180" t="s">
        <v>1454</v>
      </c>
      <c r="FD180" t="s">
        <v>1454</v>
      </c>
      <c r="FE180" t="s">
        <v>1454</v>
      </c>
      <c r="FG180" t="s">
        <v>1454</v>
      </c>
      <c r="FH180" t="s">
        <v>1454</v>
      </c>
      <c r="FI180" t="s">
        <v>1454</v>
      </c>
      <c r="FK180" t="s">
        <v>1454</v>
      </c>
      <c r="FL180" t="s">
        <v>1454</v>
      </c>
      <c r="FM180" t="s">
        <v>1454</v>
      </c>
      <c r="FO180" t="s">
        <v>602</v>
      </c>
      <c r="FP180" t="s">
        <v>1454</v>
      </c>
      <c r="FQ180" t="s">
        <v>1454</v>
      </c>
      <c r="FS180" t="s">
        <v>1454</v>
      </c>
      <c r="FT180" t="s">
        <v>1454</v>
      </c>
      <c r="FU180" t="s">
        <v>1454</v>
      </c>
      <c r="FW180" t="s">
        <v>1454</v>
      </c>
      <c r="FX180" t="s">
        <v>1454</v>
      </c>
      <c r="FY180" t="s">
        <v>1454</v>
      </c>
      <c r="GA180" t="s">
        <v>1454</v>
      </c>
      <c r="GB180" t="s">
        <v>1454</v>
      </c>
      <c r="GC180" t="s">
        <v>1454</v>
      </c>
      <c r="GE180" t="s">
        <v>1454</v>
      </c>
      <c r="GF180" t="s">
        <v>1454</v>
      </c>
      <c r="GG180" t="s">
        <v>1454</v>
      </c>
      <c r="GI180" t="s">
        <v>648</v>
      </c>
      <c r="GJ180" t="s">
        <v>1454</v>
      </c>
      <c r="GK180" t="s">
        <v>1454</v>
      </c>
      <c r="GM180" t="s">
        <v>1454</v>
      </c>
      <c r="GN180" t="s">
        <v>1454</v>
      </c>
      <c r="GO180" t="s">
        <v>1454</v>
      </c>
      <c r="GQ180" t="s">
        <v>1628</v>
      </c>
    </row>
    <row r="181" spans="2:199" x14ac:dyDescent="0.25">
      <c r="B181" t="s">
        <v>532</v>
      </c>
      <c r="C181" t="s">
        <v>1454</v>
      </c>
      <c r="D181" t="s">
        <v>1454</v>
      </c>
      <c r="E181" t="s">
        <v>1454</v>
      </c>
      <c r="G181" t="s">
        <v>1454</v>
      </c>
      <c r="H181" t="s">
        <v>1454</v>
      </c>
      <c r="I181" t="s">
        <v>1454</v>
      </c>
      <c r="K181" t="s">
        <v>1454</v>
      </c>
      <c r="L181" t="s">
        <v>1454</v>
      </c>
      <c r="M181" t="s">
        <v>1454</v>
      </c>
      <c r="O181" t="s">
        <v>1454</v>
      </c>
      <c r="P181" t="s">
        <v>1454</v>
      </c>
      <c r="Q181" t="s">
        <v>1454</v>
      </c>
      <c r="S181" t="s">
        <v>1454</v>
      </c>
      <c r="T181" t="s">
        <v>1454</v>
      </c>
      <c r="U181" t="s">
        <v>1454</v>
      </c>
      <c r="W181" t="s">
        <v>1454</v>
      </c>
      <c r="X181" t="s">
        <v>1454</v>
      </c>
      <c r="Y181" t="s">
        <v>1454</v>
      </c>
      <c r="AA181" t="s">
        <v>1454</v>
      </c>
      <c r="AB181" t="s">
        <v>1454</v>
      </c>
      <c r="AC181" t="s">
        <v>1454</v>
      </c>
      <c r="AE181" t="s">
        <v>1454</v>
      </c>
      <c r="AF181" t="s">
        <v>1454</v>
      </c>
      <c r="AG181" t="s">
        <v>1454</v>
      </c>
      <c r="AI181" t="s">
        <v>1454</v>
      </c>
      <c r="AJ181" t="s">
        <v>1454</v>
      </c>
      <c r="AK181" t="s">
        <v>1454</v>
      </c>
      <c r="AM181" t="s">
        <v>1454</v>
      </c>
      <c r="AN181" t="s">
        <v>1454</v>
      </c>
      <c r="AO181" t="s">
        <v>1454</v>
      </c>
      <c r="AQ181" t="s">
        <v>1454</v>
      </c>
      <c r="AR181" t="s">
        <v>1454</v>
      </c>
      <c r="AS181" t="s">
        <v>1454</v>
      </c>
      <c r="AU181" t="s">
        <v>1454</v>
      </c>
      <c r="AV181" t="s">
        <v>1454</v>
      </c>
      <c r="AW181" t="s">
        <v>1454</v>
      </c>
      <c r="AY181" t="s">
        <v>1454</v>
      </c>
      <c r="AZ181" t="s">
        <v>1454</v>
      </c>
      <c r="BA181" t="s">
        <v>1454</v>
      </c>
      <c r="BC181" t="s">
        <v>1454</v>
      </c>
      <c r="BD181" t="s">
        <v>1454</v>
      </c>
      <c r="BE181" t="s">
        <v>1454</v>
      </c>
      <c r="BG181" t="s">
        <v>1454</v>
      </c>
      <c r="BH181" t="s">
        <v>1454</v>
      </c>
      <c r="BI181" t="s">
        <v>1454</v>
      </c>
      <c r="BK181" t="s">
        <v>1454</v>
      </c>
      <c r="BL181" t="s">
        <v>1454</v>
      </c>
      <c r="BM181" t="s">
        <v>1454</v>
      </c>
      <c r="BO181" t="s">
        <v>1454</v>
      </c>
      <c r="BP181" t="s">
        <v>1454</v>
      </c>
      <c r="BQ181" t="s">
        <v>1454</v>
      </c>
      <c r="BS181" t="s">
        <v>1454</v>
      </c>
      <c r="BT181" t="s">
        <v>1454</v>
      </c>
      <c r="BU181" t="s">
        <v>1454</v>
      </c>
      <c r="BW181" t="s">
        <v>1454</v>
      </c>
      <c r="BX181" t="s">
        <v>1454</v>
      </c>
      <c r="BY181" t="s">
        <v>1454</v>
      </c>
      <c r="CA181" t="s">
        <v>1454</v>
      </c>
      <c r="CB181" t="s">
        <v>1454</v>
      </c>
      <c r="CC181" t="s">
        <v>1454</v>
      </c>
      <c r="CE181" t="s">
        <v>1454</v>
      </c>
      <c r="CF181" t="s">
        <v>1454</v>
      </c>
      <c r="CG181" t="s">
        <v>1454</v>
      </c>
      <c r="CI181" t="s">
        <v>1454</v>
      </c>
      <c r="CJ181" t="s">
        <v>1454</v>
      </c>
      <c r="CK181" t="s">
        <v>1454</v>
      </c>
      <c r="CM181" t="s">
        <v>624</v>
      </c>
      <c r="CN181" t="s">
        <v>1454</v>
      </c>
      <c r="CO181" t="s">
        <v>1454</v>
      </c>
      <c r="CQ181" t="s">
        <v>1454</v>
      </c>
      <c r="CR181" t="s">
        <v>1454</v>
      </c>
      <c r="CS181" t="s">
        <v>1454</v>
      </c>
      <c r="CU181" t="s">
        <v>1454</v>
      </c>
      <c r="CV181" t="s">
        <v>1454</v>
      </c>
      <c r="CW181" t="s">
        <v>1454</v>
      </c>
      <c r="CY181" t="s">
        <v>1454</v>
      </c>
      <c r="CZ181" t="s">
        <v>1454</v>
      </c>
      <c r="DA181" t="s">
        <v>1454</v>
      </c>
      <c r="DC181" t="s">
        <v>1454</v>
      </c>
      <c r="DD181" t="s">
        <v>1454</v>
      </c>
      <c r="DE181" t="s">
        <v>1454</v>
      </c>
      <c r="DG181" t="s">
        <v>1454</v>
      </c>
      <c r="DH181" t="s">
        <v>1454</v>
      </c>
      <c r="DI181" t="s">
        <v>1454</v>
      </c>
      <c r="DK181" t="s">
        <v>1454</v>
      </c>
      <c r="DL181" t="s">
        <v>1454</v>
      </c>
      <c r="DM181" t="s">
        <v>1454</v>
      </c>
      <c r="DO181" t="s">
        <v>1454</v>
      </c>
      <c r="DP181" t="s">
        <v>1454</v>
      </c>
      <c r="DQ181" t="s">
        <v>1454</v>
      </c>
      <c r="DS181" t="s">
        <v>1454</v>
      </c>
      <c r="DT181" t="s">
        <v>1454</v>
      </c>
      <c r="DU181" t="s">
        <v>1454</v>
      </c>
      <c r="DW181" t="s">
        <v>1454</v>
      </c>
      <c r="DX181" t="s">
        <v>1454</v>
      </c>
      <c r="DY181" t="s">
        <v>1454</v>
      </c>
      <c r="EA181" t="s">
        <v>1454</v>
      </c>
      <c r="EB181" t="s">
        <v>1454</v>
      </c>
      <c r="EC181" t="s">
        <v>1454</v>
      </c>
      <c r="EE181" t="s">
        <v>1454</v>
      </c>
      <c r="EF181" t="s">
        <v>1454</v>
      </c>
      <c r="EG181" t="s">
        <v>1454</v>
      </c>
      <c r="EI181" t="s">
        <v>1454</v>
      </c>
      <c r="EJ181" t="s">
        <v>1454</v>
      </c>
      <c r="EK181" t="s">
        <v>1454</v>
      </c>
      <c r="EM181" t="s">
        <v>1454</v>
      </c>
      <c r="EN181" t="s">
        <v>1454</v>
      </c>
      <c r="EO181" t="s">
        <v>1454</v>
      </c>
      <c r="EQ181" t="s">
        <v>1454</v>
      </c>
      <c r="ER181" t="s">
        <v>1454</v>
      </c>
      <c r="ES181" t="s">
        <v>1454</v>
      </c>
      <c r="EU181" t="s">
        <v>1454</v>
      </c>
      <c r="EV181" t="s">
        <v>1454</v>
      </c>
      <c r="EW181" t="s">
        <v>1454</v>
      </c>
      <c r="EY181" t="s">
        <v>1454</v>
      </c>
      <c r="EZ181" t="s">
        <v>1454</v>
      </c>
      <c r="FA181" t="s">
        <v>1454</v>
      </c>
      <c r="FC181" t="s">
        <v>1454</v>
      </c>
      <c r="FD181" t="s">
        <v>1454</v>
      </c>
      <c r="FE181" t="s">
        <v>1454</v>
      </c>
      <c r="FG181" t="s">
        <v>1454</v>
      </c>
      <c r="FH181" t="s">
        <v>1454</v>
      </c>
      <c r="FI181" t="s">
        <v>1454</v>
      </c>
      <c r="FK181" t="s">
        <v>1454</v>
      </c>
      <c r="FL181" t="s">
        <v>1454</v>
      </c>
      <c r="FM181" t="s">
        <v>1454</v>
      </c>
      <c r="FO181" t="s">
        <v>1454</v>
      </c>
      <c r="FP181" t="s">
        <v>1454</v>
      </c>
      <c r="FQ181" t="s">
        <v>1454</v>
      </c>
      <c r="FS181" t="s">
        <v>1454</v>
      </c>
      <c r="FT181" t="s">
        <v>1454</v>
      </c>
      <c r="FU181" t="s">
        <v>1454</v>
      </c>
      <c r="FW181" t="s">
        <v>1454</v>
      </c>
      <c r="FX181" t="s">
        <v>1454</v>
      </c>
      <c r="FY181" t="s">
        <v>1454</v>
      </c>
      <c r="GA181" t="s">
        <v>1454</v>
      </c>
      <c r="GB181" t="s">
        <v>1454</v>
      </c>
      <c r="GC181" t="s">
        <v>1454</v>
      </c>
      <c r="GE181" t="s">
        <v>1454</v>
      </c>
      <c r="GF181" t="s">
        <v>1454</v>
      </c>
      <c r="GG181" t="s">
        <v>1454</v>
      </c>
      <c r="GI181" t="s">
        <v>1454</v>
      </c>
      <c r="GJ181" t="s">
        <v>1454</v>
      </c>
      <c r="GK181" t="s">
        <v>1454</v>
      </c>
      <c r="GM181" t="s">
        <v>1454</v>
      </c>
      <c r="GN181" t="s">
        <v>1454</v>
      </c>
      <c r="GO181" t="s">
        <v>1454</v>
      </c>
      <c r="GQ181" t="s">
        <v>1610</v>
      </c>
    </row>
    <row r="182" spans="2:199" x14ac:dyDescent="0.25">
      <c r="B182" t="s">
        <v>533</v>
      </c>
      <c r="C182" t="s">
        <v>1454</v>
      </c>
      <c r="D182" t="s">
        <v>1454</v>
      </c>
      <c r="E182" t="s">
        <v>1454</v>
      </c>
      <c r="G182" t="s">
        <v>1454</v>
      </c>
      <c r="H182" t="s">
        <v>1454</v>
      </c>
      <c r="I182" t="s">
        <v>1454</v>
      </c>
      <c r="K182" t="s">
        <v>1454</v>
      </c>
      <c r="L182" t="s">
        <v>1454</v>
      </c>
      <c r="M182" t="s">
        <v>1454</v>
      </c>
      <c r="O182" t="s">
        <v>1454</v>
      </c>
      <c r="P182" t="s">
        <v>1454</v>
      </c>
      <c r="Q182" t="s">
        <v>1454</v>
      </c>
      <c r="S182" t="s">
        <v>1454</v>
      </c>
      <c r="T182" t="s">
        <v>1454</v>
      </c>
      <c r="U182" t="s">
        <v>1454</v>
      </c>
      <c r="W182" t="s">
        <v>1454</v>
      </c>
      <c r="X182" t="s">
        <v>1454</v>
      </c>
      <c r="Y182" t="s">
        <v>1454</v>
      </c>
      <c r="AA182" t="s">
        <v>1454</v>
      </c>
      <c r="AB182" t="s">
        <v>1454</v>
      </c>
      <c r="AC182" t="s">
        <v>1454</v>
      </c>
      <c r="AE182" t="s">
        <v>1454</v>
      </c>
      <c r="AF182" t="s">
        <v>1454</v>
      </c>
      <c r="AG182" t="s">
        <v>1454</v>
      </c>
      <c r="AI182" t="s">
        <v>1454</v>
      </c>
      <c r="AJ182" t="s">
        <v>1454</v>
      </c>
      <c r="AK182" t="s">
        <v>1454</v>
      </c>
      <c r="AM182" t="s">
        <v>1454</v>
      </c>
      <c r="AN182" t="s">
        <v>1454</v>
      </c>
      <c r="AO182" t="s">
        <v>1454</v>
      </c>
      <c r="AQ182" t="s">
        <v>1454</v>
      </c>
      <c r="AR182" t="s">
        <v>1454</v>
      </c>
      <c r="AS182" t="s">
        <v>1454</v>
      </c>
      <c r="AU182" t="s">
        <v>613</v>
      </c>
      <c r="AV182" t="s">
        <v>1454</v>
      </c>
      <c r="AW182" t="s">
        <v>1454</v>
      </c>
      <c r="AY182" t="s">
        <v>1454</v>
      </c>
      <c r="AZ182" t="s">
        <v>1454</v>
      </c>
      <c r="BA182" t="s">
        <v>1454</v>
      </c>
      <c r="BC182" t="s">
        <v>1454</v>
      </c>
      <c r="BD182" t="s">
        <v>1454</v>
      </c>
      <c r="BE182" t="s">
        <v>1454</v>
      </c>
      <c r="BG182" t="s">
        <v>1454</v>
      </c>
      <c r="BH182" t="s">
        <v>1454</v>
      </c>
      <c r="BI182" t="s">
        <v>1454</v>
      </c>
      <c r="BK182" t="s">
        <v>1454</v>
      </c>
      <c r="BL182" t="s">
        <v>1454</v>
      </c>
      <c r="BM182" t="s">
        <v>1454</v>
      </c>
      <c r="BO182" t="s">
        <v>1454</v>
      </c>
      <c r="BP182" t="s">
        <v>1454</v>
      </c>
      <c r="BQ182" t="s">
        <v>1454</v>
      </c>
      <c r="BS182" t="s">
        <v>1454</v>
      </c>
      <c r="BT182" t="s">
        <v>1454</v>
      </c>
      <c r="BU182" t="s">
        <v>1454</v>
      </c>
      <c r="BW182" t="s">
        <v>1454</v>
      </c>
      <c r="BX182" t="s">
        <v>1454</v>
      </c>
      <c r="BY182" t="s">
        <v>1454</v>
      </c>
      <c r="CA182" t="s">
        <v>1454</v>
      </c>
      <c r="CB182" t="s">
        <v>1454</v>
      </c>
      <c r="CC182" t="s">
        <v>1454</v>
      </c>
      <c r="CE182" t="s">
        <v>1454</v>
      </c>
      <c r="CF182" t="s">
        <v>1454</v>
      </c>
      <c r="CG182" t="s">
        <v>1454</v>
      </c>
      <c r="CI182" t="s">
        <v>1454</v>
      </c>
      <c r="CJ182" t="s">
        <v>1454</v>
      </c>
      <c r="CK182" t="s">
        <v>1454</v>
      </c>
      <c r="CM182" t="s">
        <v>624</v>
      </c>
      <c r="CN182" t="s">
        <v>1454</v>
      </c>
      <c r="CO182" t="s">
        <v>1454</v>
      </c>
      <c r="CQ182" t="s">
        <v>1454</v>
      </c>
      <c r="CR182" t="s">
        <v>1454</v>
      </c>
      <c r="CS182" t="s">
        <v>1454</v>
      </c>
      <c r="CU182" t="s">
        <v>1454</v>
      </c>
      <c r="CV182" t="s">
        <v>1454</v>
      </c>
      <c r="CW182" t="s">
        <v>1454</v>
      </c>
      <c r="CY182" t="s">
        <v>1454</v>
      </c>
      <c r="CZ182" t="s">
        <v>1454</v>
      </c>
      <c r="DA182" t="s">
        <v>1454</v>
      </c>
      <c r="DC182" t="s">
        <v>1454</v>
      </c>
      <c r="DD182" t="s">
        <v>1454</v>
      </c>
      <c r="DE182" t="s">
        <v>1454</v>
      </c>
      <c r="DG182" t="s">
        <v>1454</v>
      </c>
      <c r="DH182" t="s">
        <v>1454</v>
      </c>
      <c r="DI182" t="s">
        <v>1454</v>
      </c>
      <c r="DK182" t="s">
        <v>1454</v>
      </c>
      <c r="DL182" t="s">
        <v>1454</v>
      </c>
      <c r="DM182" t="s">
        <v>1454</v>
      </c>
      <c r="DO182" t="s">
        <v>1454</v>
      </c>
      <c r="DP182" t="s">
        <v>1454</v>
      </c>
      <c r="DQ182" t="s">
        <v>1454</v>
      </c>
      <c r="DS182" t="s">
        <v>1454</v>
      </c>
      <c r="DT182" t="s">
        <v>1454</v>
      </c>
      <c r="DU182" t="s">
        <v>1454</v>
      </c>
      <c r="DW182" t="s">
        <v>1454</v>
      </c>
      <c r="DX182" t="s">
        <v>1454</v>
      </c>
      <c r="DY182" t="s">
        <v>1454</v>
      </c>
      <c r="EA182" t="s">
        <v>1454</v>
      </c>
      <c r="EB182" t="s">
        <v>1454</v>
      </c>
      <c r="EC182" t="s">
        <v>1454</v>
      </c>
      <c r="EE182" t="s">
        <v>1454</v>
      </c>
      <c r="EF182" t="s">
        <v>1454</v>
      </c>
      <c r="EG182" t="s">
        <v>1454</v>
      </c>
      <c r="EI182" t="s">
        <v>1454</v>
      </c>
      <c r="EJ182" t="s">
        <v>1454</v>
      </c>
      <c r="EK182" t="s">
        <v>1454</v>
      </c>
      <c r="EM182" t="s">
        <v>1454</v>
      </c>
      <c r="EN182" t="s">
        <v>1454</v>
      </c>
      <c r="EO182" t="s">
        <v>1454</v>
      </c>
      <c r="EQ182" t="s">
        <v>1454</v>
      </c>
      <c r="ER182" t="s">
        <v>1454</v>
      </c>
      <c r="ES182" t="s">
        <v>1454</v>
      </c>
      <c r="EU182" t="s">
        <v>1454</v>
      </c>
      <c r="EV182" t="s">
        <v>1454</v>
      </c>
      <c r="EW182" t="s">
        <v>1454</v>
      </c>
      <c r="EY182" t="s">
        <v>1454</v>
      </c>
      <c r="EZ182" t="s">
        <v>1454</v>
      </c>
      <c r="FA182" t="s">
        <v>1454</v>
      </c>
      <c r="FC182" t="s">
        <v>1454</v>
      </c>
      <c r="FD182" t="s">
        <v>1454</v>
      </c>
      <c r="FE182" t="s">
        <v>1454</v>
      </c>
      <c r="FG182" t="s">
        <v>1454</v>
      </c>
      <c r="FH182" t="s">
        <v>1454</v>
      </c>
      <c r="FI182" t="s">
        <v>1454</v>
      </c>
      <c r="FK182" t="s">
        <v>1454</v>
      </c>
      <c r="FL182" t="s">
        <v>1454</v>
      </c>
      <c r="FM182" t="s">
        <v>1454</v>
      </c>
      <c r="FO182" t="s">
        <v>1454</v>
      </c>
      <c r="FP182" t="s">
        <v>1454</v>
      </c>
      <c r="FQ182" t="s">
        <v>1454</v>
      </c>
      <c r="FS182" t="s">
        <v>1454</v>
      </c>
      <c r="FT182" t="s">
        <v>1454</v>
      </c>
      <c r="FU182" t="s">
        <v>1454</v>
      </c>
      <c r="FW182" t="s">
        <v>1454</v>
      </c>
      <c r="FX182" t="s">
        <v>1454</v>
      </c>
      <c r="FY182" t="s">
        <v>1454</v>
      </c>
      <c r="GA182" t="s">
        <v>1454</v>
      </c>
      <c r="GB182" t="s">
        <v>1454</v>
      </c>
      <c r="GC182" t="s">
        <v>1454</v>
      </c>
      <c r="GE182" t="s">
        <v>1454</v>
      </c>
      <c r="GF182" t="s">
        <v>1454</v>
      </c>
      <c r="GG182" t="s">
        <v>1454</v>
      </c>
      <c r="GI182" t="s">
        <v>1454</v>
      </c>
      <c r="GJ182" t="s">
        <v>1454</v>
      </c>
      <c r="GK182" t="s">
        <v>1454</v>
      </c>
      <c r="GM182" t="s">
        <v>1454</v>
      </c>
      <c r="GN182" t="s">
        <v>1454</v>
      </c>
      <c r="GO182" t="s">
        <v>1454</v>
      </c>
      <c r="GQ182" t="s">
        <v>1629</v>
      </c>
    </row>
    <row r="183" spans="2:199" s="11" customFormat="1" x14ac:dyDescent="0.25">
      <c r="B183" t="s">
        <v>534</v>
      </c>
      <c r="C183" t="s">
        <v>1454</v>
      </c>
      <c r="D183" t="s">
        <v>1454</v>
      </c>
      <c r="E183" t="s">
        <v>1454</v>
      </c>
      <c r="F183"/>
      <c r="G183" t="s">
        <v>604</v>
      </c>
      <c r="H183" t="s">
        <v>1454</v>
      </c>
      <c r="I183" t="s">
        <v>1454</v>
      </c>
      <c r="J183"/>
      <c r="K183" t="s">
        <v>1454</v>
      </c>
      <c r="L183" t="s">
        <v>1454</v>
      </c>
      <c r="M183" t="s">
        <v>1454</v>
      </c>
      <c r="N183"/>
      <c r="O183" t="s">
        <v>1454</v>
      </c>
      <c r="P183" t="s">
        <v>1454</v>
      </c>
      <c r="Q183" t="s">
        <v>1454</v>
      </c>
      <c r="R183"/>
      <c r="S183" t="s">
        <v>1454</v>
      </c>
      <c r="T183" t="s">
        <v>1454</v>
      </c>
      <c r="U183" t="s">
        <v>1454</v>
      </c>
      <c r="V183"/>
      <c r="W183" t="s">
        <v>1454</v>
      </c>
      <c r="X183" t="s">
        <v>1454</v>
      </c>
      <c r="Y183" t="s">
        <v>1454</v>
      </c>
      <c r="Z183"/>
      <c r="AA183" t="s">
        <v>1454</v>
      </c>
      <c r="AB183" t="s">
        <v>1454</v>
      </c>
      <c r="AC183" t="s">
        <v>1454</v>
      </c>
      <c r="AD183"/>
      <c r="AE183" t="s">
        <v>1454</v>
      </c>
      <c r="AF183" t="s">
        <v>1454</v>
      </c>
      <c r="AG183" t="s">
        <v>1454</v>
      </c>
      <c r="AH183"/>
      <c r="AI183" t="s">
        <v>1454</v>
      </c>
      <c r="AJ183" t="s">
        <v>1454</v>
      </c>
      <c r="AK183" t="s">
        <v>1454</v>
      </c>
      <c r="AL183"/>
      <c r="AM183" t="s">
        <v>1454</v>
      </c>
      <c r="AN183" t="s">
        <v>1454</v>
      </c>
      <c r="AO183" t="s">
        <v>1454</v>
      </c>
      <c r="AP183"/>
      <c r="AQ183" t="s">
        <v>1454</v>
      </c>
      <c r="AR183" t="s">
        <v>1454</v>
      </c>
      <c r="AS183" t="s">
        <v>1454</v>
      </c>
      <c r="AT183"/>
      <c r="AU183" t="s">
        <v>1454</v>
      </c>
      <c r="AV183" t="s">
        <v>1454</v>
      </c>
      <c r="AW183" t="s">
        <v>1454</v>
      </c>
      <c r="AX183"/>
      <c r="AY183" t="s">
        <v>1454</v>
      </c>
      <c r="AZ183" t="s">
        <v>1454</v>
      </c>
      <c r="BA183" t="s">
        <v>1454</v>
      </c>
      <c r="BB183"/>
      <c r="BC183" t="s">
        <v>1454</v>
      </c>
      <c r="BD183" t="s">
        <v>1454</v>
      </c>
      <c r="BE183" t="s">
        <v>1454</v>
      </c>
      <c r="BF183"/>
      <c r="BG183" t="s">
        <v>1454</v>
      </c>
      <c r="BH183" t="s">
        <v>1454</v>
      </c>
      <c r="BI183" t="s">
        <v>1454</v>
      </c>
      <c r="BJ183"/>
      <c r="BK183" t="s">
        <v>1454</v>
      </c>
      <c r="BL183" t="s">
        <v>1454</v>
      </c>
      <c r="BM183" t="s">
        <v>1454</v>
      </c>
      <c r="BN183"/>
      <c r="BO183" t="s">
        <v>1454</v>
      </c>
      <c r="BP183" t="s">
        <v>1454</v>
      </c>
      <c r="BQ183" t="s">
        <v>1454</v>
      </c>
      <c r="BR183"/>
      <c r="BS183" t="s">
        <v>1454</v>
      </c>
      <c r="BT183" t="s">
        <v>1454</v>
      </c>
      <c r="BU183" t="s">
        <v>1454</v>
      </c>
      <c r="BV183"/>
      <c r="BW183" t="s">
        <v>1454</v>
      </c>
      <c r="BX183" t="s">
        <v>1454</v>
      </c>
      <c r="BY183" t="s">
        <v>1454</v>
      </c>
      <c r="BZ183"/>
      <c r="CA183" t="s">
        <v>621</v>
      </c>
      <c r="CB183" t="s">
        <v>1454</v>
      </c>
      <c r="CC183" t="s">
        <v>1454</v>
      </c>
      <c r="CD183"/>
      <c r="CE183" t="s">
        <v>1454</v>
      </c>
      <c r="CF183" t="s">
        <v>1454</v>
      </c>
      <c r="CG183" t="s">
        <v>1454</v>
      </c>
      <c r="CH183"/>
      <c r="CI183" t="s">
        <v>1454</v>
      </c>
      <c r="CJ183" t="s">
        <v>1454</v>
      </c>
      <c r="CK183" t="s">
        <v>1454</v>
      </c>
      <c r="CL183"/>
      <c r="CM183" t="s">
        <v>1454</v>
      </c>
      <c r="CN183" t="s">
        <v>1454</v>
      </c>
      <c r="CO183" t="s">
        <v>1454</v>
      </c>
      <c r="CP183"/>
      <c r="CQ183" t="s">
        <v>1454</v>
      </c>
      <c r="CR183" t="s">
        <v>1454</v>
      </c>
      <c r="CS183" t="s">
        <v>1454</v>
      </c>
      <c r="CT183"/>
      <c r="CU183" t="s">
        <v>1454</v>
      </c>
      <c r="CV183" t="s">
        <v>1454</v>
      </c>
      <c r="CW183" t="s">
        <v>1454</v>
      </c>
      <c r="CX183"/>
      <c r="CY183" t="s">
        <v>1454</v>
      </c>
      <c r="CZ183" t="s">
        <v>1454</v>
      </c>
      <c r="DA183" t="s">
        <v>1454</v>
      </c>
      <c r="DB183"/>
      <c r="DC183" t="s">
        <v>1454</v>
      </c>
      <c r="DD183" t="s">
        <v>1454</v>
      </c>
      <c r="DE183" t="s">
        <v>1454</v>
      </c>
      <c r="DF183"/>
      <c r="DG183" t="s">
        <v>1454</v>
      </c>
      <c r="DH183" t="s">
        <v>1454</v>
      </c>
      <c r="DI183" t="s">
        <v>1454</v>
      </c>
      <c r="DJ183"/>
      <c r="DK183" t="s">
        <v>1454</v>
      </c>
      <c r="DL183" t="s">
        <v>1454</v>
      </c>
      <c r="DM183" t="s">
        <v>1454</v>
      </c>
      <c r="DN183"/>
      <c r="DO183" t="s">
        <v>1454</v>
      </c>
      <c r="DP183" t="s">
        <v>1454</v>
      </c>
      <c r="DQ183" t="s">
        <v>1454</v>
      </c>
      <c r="DR183"/>
      <c r="DS183" t="s">
        <v>1454</v>
      </c>
      <c r="DT183" t="s">
        <v>1454</v>
      </c>
      <c r="DU183" t="s">
        <v>1454</v>
      </c>
      <c r="DV183"/>
      <c r="DW183" t="s">
        <v>1454</v>
      </c>
      <c r="DX183" t="s">
        <v>1454</v>
      </c>
      <c r="DY183" t="s">
        <v>1454</v>
      </c>
      <c r="DZ183"/>
      <c r="EA183" t="s">
        <v>1454</v>
      </c>
      <c r="EB183" t="s">
        <v>1454</v>
      </c>
      <c r="EC183" t="s">
        <v>1454</v>
      </c>
      <c r="ED183"/>
      <c r="EE183" t="s">
        <v>1454</v>
      </c>
      <c r="EF183" t="s">
        <v>1454</v>
      </c>
      <c r="EG183" t="s">
        <v>1454</v>
      </c>
      <c r="EH183"/>
      <c r="EI183" t="s">
        <v>1454</v>
      </c>
      <c r="EJ183" t="s">
        <v>1454</v>
      </c>
      <c r="EK183" t="s">
        <v>1454</v>
      </c>
      <c r="EL183"/>
      <c r="EM183" t="s">
        <v>1454</v>
      </c>
      <c r="EN183" t="s">
        <v>1454</v>
      </c>
      <c r="EO183" t="s">
        <v>1454</v>
      </c>
      <c r="EP183"/>
      <c r="EQ183" t="s">
        <v>1454</v>
      </c>
      <c r="ER183" t="s">
        <v>1454</v>
      </c>
      <c r="ES183" t="s">
        <v>1454</v>
      </c>
      <c r="ET183"/>
      <c r="EU183" t="s">
        <v>1454</v>
      </c>
      <c r="EV183" t="s">
        <v>1454</v>
      </c>
      <c r="EW183" t="s">
        <v>1454</v>
      </c>
      <c r="EX183"/>
      <c r="EY183" t="s">
        <v>1454</v>
      </c>
      <c r="EZ183" t="s">
        <v>1454</v>
      </c>
      <c r="FA183" t="s">
        <v>1454</v>
      </c>
      <c r="FB183"/>
      <c r="FC183" t="s">
        <v>1454</v>
      </c>
      <c r="FD183" t="s">
        <v>1454</v>
      </c>
      <c r="FE183" t="s">
        <v>1454</v>
      </c>
      <c r="FF183"/>
      <c r="FG183" t="s">
        <v>1454</v>
      </c>
      <c r="FH183" t="s">
        <v>1454</v>
      </c>
      <c r="FI183" t="s">
        <v>1454</v>
      </c>
      <c r="FJ183"/>
      <c r="FK183" t="s">
        <v>1454</v>
      </c>
      <c r="FL183" t="s">
        <v>1454</v>
      </c>
      <c r="FM183" t="s">
        <v>1454</v>
      </c>
      <c r="FN183"/>
      <c r="FO183" t="s">
        <v>1454</v>
      </c>
      <c r="FP183" t="s">
        <v>1454</v>
      </c>
      <c r="FQ183" t="s">
        <v>1454</v>
      </c>
      <c r="FR183"/>
      <c r="FS183" t="s">
        <v>1454</v>
      </c>
      <c r="FT183" t="s">
        <v>1454</v>
      </c>
      <c r="FU183" t="s">
        <v>1454</v>
      </c>
      <c r="FV183"/>
      <c r="FW183" t="s">
        <v>1454</v>
      </c>
      <c r="FX183" t="s">
        <v>1454</v>
      </c>
      <c r="FY183" t="s">
        <v>1454</v>
      </c>
      <c r="FZ183"/>
      <c r="GA183" t="s">
        <v>1454</v>
      </c>
      <c r="GB183" t="s">
        <v>1454</v>
      </c>
      <c r="GC183" t="s">
        <v>1454</v>
      </c>
      <c r="GD183"/>
      <c r="GE183" t="s">
        <v>1454</v>
      </c>
      <c r="GF183" t="s">
        <v>1454</v>
      </c>
      <c r="GG183" t="s">
        <v>1454</v>
      </c>
      <c r="GH183"/>
      <c r="GI183" t="s">
        <v>648</v>
      </c>
      <c r="GJ183" t="s">
        <v>1454</v>
      </c>
      <c r="GK183" t="s">
        <v>1454</v>
      </c>
      <c r="GL183"/>
      <c r="GM183" t="s">
        <v>1454</v>
      </c>
      <c r="GN183" t="s">
        <v>1454</v>
      </c>
      <c r="GO183" t="s">
        <v>1454</v>
      </c>
      <c r="GP183"/>
      <c r="GQ183" t="s">
        <v>1630</v>
      </c>
    </row>
    <row r="184" spans="2:199" x14ac:dyDescent="0.25">
      <c r="B184" t="s">
        <v>535</v>
      </c>
      <c r="C184" t="s">
        <v>1454</v>
      </c>
      <c r="D184" t="s">
        <v>1454</v>
      </c>
      <c r="E184" t="s">
        <v>1454</v>
      </c>
      <c r="G184" t="s">
        <v>1454</v>
      </c>
      <c r="H184" t="s">
        <v>1454</v>
      </c>
      <c r="I184" t="s">
        <v>1454</v>
      </c>
      <c r="K184" t="s">
        <v>1454</v>
      </c>
      <c r="L184" t="s">
        <v>1454</v>
      </c>
      <c r="M184" t="s">
        <v>1454</v>
      </c>
      <c r="O184" t="s">
        <v>1454</v>
      </c>
      <c r="P184" t="s">
        <v>1454</v>
      </c>
      <c r="Q184" t="s">
        <v>1454</v>
      </c>
      <c r="S184" t="s">
        <v>1454</v>
      </c>
      <c r="T184" t="s">
        <v>1454</v>
      </c>
      <c r="U184" t="s">
        <v>1454</v>
      </c>
      <c r="W184" t="s">
        <v>1454</v>
      </c>
      <c r="X184" t="s">
        <v>1454</v>
      </c>
      <c r="Y184" t="s">
        <v>1454</v>
      </c>
      <c r="AA184" t="s">
        <v>1454</v>
      </c>
      <c r="AB184" t="s">
        <v>1454</v>
      </c>
      <c r="AC184" t="s">
        <v>1454</v>
      </c>
      <c r="AE184" t="s">
        <v>1454</v>
      </c>
      <c r="AF184" t="s">
        <v>1454</v>
      </c>
      <c r="AG184" t="s">
        <v>1454</v>
      </c>
      <c r="AI184" t="s">
        <v>1454</v>
      </c>
      <c r="AJ184" t="s">
        <v>1454</v>
      </c>
      <c r="AK184" t="s">
        <v>1454</v>
      </c>
      <c r="AM184" t="s">
        <v>1454</v>
      </c>
      <c r="AN184" t="s">
        <v>1454</v>
      </c>
      <c r="AO184" t="s">
        <v>1454</v>
      </c>
      <c r="AQ184" t="s">
        <v>1454</v>
      </c>
      <c r="AR184" t="s">
        <v>1454</v>
      </c>
      <c r="AS184" t="s">
        <v>1454</v>
      </c>
      <c r="AU184" t="s">
        <v>1454</v>
      </c>
      <c r="AV184" t="s">
        <v>1454</v>
      </c>
      <c r="AW184" t="s">
        <v>1454</v>
      </c>
      <c r="AY184" t="s">
        <v>1454</v>
      </c>
      <c r="AZ184" t="s">
        <v>1454</v>
      </c>
      <c r="BA184" t="s">
        <v>1454</v>
      </c>
      <c r="BC184" t="s">
        <v>1454</v>
      </c>
      <c r="BD184" t="s">
        <v>1454</v>
      </c>
      <c r="BE184" t="s">
        <v>1454</v>
      </c>
      <c r="BG184" t="s">
        <v>1454</v>
      </c>
      <c r="BH184" t="s">
        <v>1454</v>
      </c>
      <c r="BI184" t="s">
        <v>1454</v>
      </c>
      <c r="BK184" t="s">
        <v>1454</v>
      </c>
      <c r="BL184" t="s">
        <v>1454</v>
      </c>
      <c r="BM184" t="s">
        <v>1454</v>
      </c>
      <c r="BO184" t="s">
        <v>1454</v>
      </c>
      <c r="BP184" t="s">
        <v>1454</v>
      </c>
      <c r="BQ184" t="s">
        <v>1454</v>
      </c>
      <c r="BS184" t="s">
        <v>1454</v>
      </c>
      <c r="BT184" t="s">
        <v>1454</v>
      </c>
      <c r="BU184" t="s">
        <v>1454</v>
      </c>
      <c r="BW184" t="s">
        <v>1454</v>
      </c>
      <c r="BX184" t="s">
        <v>1454</v>
      </c>
      <c r="BY184" t="s">
        <v>1454</v>
      </c>
      <c r="CA184" t="s">
        <v>1454</v>
      </c>
      <c r="CB184" t="s">
        <v>1454</v>
      </c>
      <c r="CC184" t="s">
        <v>1454</v>
      </c>
      <c r="CE184" t="s">
        <v>622</v>
      </c>
      <c r="CF184" t="s">
        <v>1454</v>
      </c>
      <c r="CG184" t="s">
        <v>1454</v>
      </c>
      <c r="CI184" t="s">
        <v>1454</v>
      </c>
      <c r="CJ184" t="s">
        <v>1454</v>
      </c>
      <c r="CK184" t="s">
        <v>1454</v>
      </c>
      <c r="CM184" t="s">
        <v>1454</v>
      </c>
      <c r="CN184" t="s">
        <v>1454</v>
      </c>
      <c r="CO184" t="s">
        <v>1454</v>
      </c>
      <c r="CQ184" t="s">
        <v>1454</v>
      </c>
      <c r="CR184" t="s">
        <v>1454</v>
      </c>
      <c r="CS184" t="s">
        <v>1454</v>
      </c>
      <c r="CU184" t="s">
        <v>1454</v>
      </c>
      <c r="CV184" t="s">
        <v>1454</v>
      </c>
      <c r="CW184" t="s">
        <v>1454</v>
      </c>
      <c r="CY184" t="s">
        <v>1454</v>
      </c>
      <c r="CZ184" t="s">
        <v>1454</v>
      </c>
      <c r="DA184" t="s">
        <v>1454</v>
      </c>
      <c r="DC184" t="s">
        <v>1454</v>
      </c>
      <c r="DD184" t="s">
        <v>1454</v>
      </c>
      <c r="DE184" t="s">
        <v>1454</v>
      </c>
      <c r="DG184" t="s">
        <v>1454</v>
      </c>
      <c r="DH184" t="s">
        <v>1454</v>
      </c>
      <c r="DI184" t="s">
        <v>1454</v>
      </c>
      <c r="DK184" t="s">
        <v>1454</v>
      </c>
      <c r="DL184" t="s">
        <v>1454</v>
      </c>
      <c r="DM184" t="s">
        <v>1454</v>
      </c>
      <c r="DO184" t="s">
        <v>1454</v>
      </c>
      <c r="DP184" t="s">
        <v>1454</v>
      </c>
      <c r="DQ184" t="s">
        <v>1454</v>
      </c>
      <c r="DS184" t="s">
        <v>1454</v>
      </c>
      <c r="DT184" t="s">
        <v>1454</v>
      </c>
      <c r="DU184" t="s">
        <v>1454</v>
      </c>
      <c r="DW184" t="s">
        <v>1454</v>
      </c>
      <c r="DX184" t="s">
        <v>1454</v>
      </c>
      <c r="DY184" t="s">
        <v>1454</v>
      </c>
      <c r="EA184" t="s">
        <v>1454</v>
      </c>
      <c r="EB184" t="s">
        <v>1454</v>
      </c>
      <c r="EC184" t="s">
        <v>1454</v>
      </c>
      <c r="EE184" t="s">
        <v>1454</v>
      </c>
      <c r="EF184" t="s">
        <v>1454</v>
      </c>
      <c r="EG184" t="s">
        <v>1454</v>
      </c>
      <c r="EI184" t="s">
        <v>1454</v>
      </c>
      <c r="EJ184" t="s">
        <v>1454</v>
      </c>
      <c r="EK184" t="s">
        <v>1454</v>
      </c>
      <c r="EM184" t="s">
        <v>1454</v>
      </c>
      <c r="EN184" t="s">
        <v>1454</v>
      </c>
      <c r="EO184" t="s">
        <v>1454</v>
      </c>
      <c r="EQ184" t="s">
        <v>1454</v>
      </c>
      <c r="ER184" t="s">
        <v>1454</v>
      </c>
      <c r="ES184" t="s">
        <v>1454</v>
      </c>
      <c r="EU184" t="s">
        <v>1454</v>
      </c>
      <c r="EV184" t="s">
        <v>1454</v>
      </c>
      <c r="EW184" t="s">
        <v>1454</v>
      </c>
      <c r="EY184" t="s">
        <v>1454</v>
      </c>
      <c r="EZ184" t="s">
        <v>1454</v>
      </c>
      <c r="FA184" t="s">
        <v>1454</v>
      </c>
      <c r="FC184" t="s">
        <v>1454</v>
      </c>
      <c r="FD184" t="s">
        <v>1454</v>
      </c>
      <c r="FE184" t="s">
        <v>1454</v>
      </c>
      <c r="FG184" t="s">
        <v>1454</v>
      </c>
      <c r="FH184" t="s">
        <v>1454</v>
      </c>
      <c r="FI184" t="s">
        <v>1454</v>
      </c>
      <c r="FK184" t="s">
        <v>1454</v>
      </c>
      <c r="FL184" t="s">
        <v>1454</v>
      </c>
      <c r="FM184" t="s">
        <v>1454</v>
      </c>
      <c r="FO184" t="s">
        <v>1454</v>
      </c>
      <c r="FP184" t="s">
        <v>1454</v>
      </c>
      <c r="FQ184" t="s">
        <v>1454</v>
      </c>
      <c r="FS184" t="s">
        <v>1454</v>
      </c>
      <c r="FT184" t="s">
        <v>1454</v>
      </c>
      <c r="FU184" t="s">
        <v>1454</v>
      </c>
      <c r="FW184" t="s">
        <v>1454</v>
      </c>
      <c r="FX184" t="s">
        <v>1454</v>
      </c>
      <c r="FY184" t="s">
        <v>1454</v>
      </c>
      <c r="GA184" t="s">
        <v>1454</v>
      </c>
      <c r="GB184" t="s">
        <v>1454</v>
      </c>
      <c r="GC184" t="s">
        <v>1454</v>
      </c>
      <c r="GE184" t="s">
        <v>1454</v>
      </c>
      <c r="GF184" t="s">
        <v>1454</v>
      </c>
      <c r="GG184" t="s">
        <v>1454</v>
      </c>
      <c r="GI184" t="s">
        <v>1454</v>
      </c>
      <c r="GJ184" t="s">
        <v>1454</v>
      </c>
      <c r="GK184" t="s">
        <v>1454</v>
      </c>
      <c r="GM184" t="s">
        <v>1454</v>
      </c>
      <c r="GN184" t="s">
        <v>1454</v>
      </c>
      <c r="GO184" t="s">
        <v>1454</v>
      </c>
      <c r="GQ184" t="s">
        <v>1582</v>
      </c>
    </row>
    <row r="185" spans="2:199" x14ac:dyDescent="0.25">
      <c r="B185" t="s">
        <v>536</v>
      </c>
      <c r="C185" t="s">
        <v>1454</v>
      </c>
      <c r="D185" t="s">
        <v>1454</v>
      </c>
      <c r="E185" t="s">
        <v>1454</v>
      </c>
      <c r="G185" t="s">
        <v>1454</v>
      </c>
      <c r="H185" t="s">
        <v>1454</v>
      </c>
      <c r="I185" t="s">
        <v>1454</v>
      </c>
      <c r="K185" t="s">
        <v>1454</v>
      </c>
      <c r="L185" t="s">
        <v>1454</v>
      </c>
      <c r="M185" t="s">
        <v>1454</v>
      </c>
      <c r="O185" t="s">
        <v>1454</v>
      </c>
      <c r="P185" t="s">
        <v>1454</v>
      </c>
      <c r="Q185" t="s">
        <v>1454</v>
      </c>
      <c r="S185" t="s">
        <v>1454</v>
      </c>
      <c r="T185" t="s">
        <v>1454</v>
      </c>
      <c r="U185" t="s">
        <v>1454</v>
      </c>
      <c r="W185" t="s">
        <v>1454</v>
      </c>
      <c r="X185" t="s">
        <v>1454</v>
      </c>
      <c r="Y185" t="s">
        <v>1454</v>
      </c>
      <c r="AA185" t="s">
        <v>1454</v>
      </c>
      <c r="AB185" t="s">
        <v>1454</v>
      </c>
      <c r="AC185" t="s">
        <v>1454</v>
      </c>
      <c r="AE185" t="s">
        <v>1454</v>
      </c>
      <c r="AF185" t="s">
        <v>1454</v>
      </c>
      <c r="AG185" t="s">
        <v>1454</v>
      </c>
      <c r="AI185" t="s">
        <v>1454</v>
      </c>
      <c r="AJ185" t="s">
        <v>1454</v>
      </c>
      <c r="AK185" t="s">
        <v>1454</v>
      </c>
      <c r="AM185" t="s">
        <v>1454</v>
      </c>
      <c r="AN185" t="s">
        <v>1454</v>
      </c>
      <c r="AO185" t="s">
        <v>1454</v>
      </c>
      <c r="AQ185" t="s">
        <v>1454</v>
      </c>
      <c r="AR185" t="s">
        <v>1454</v>
      </c>
      <c r="AS185" t="s">
        <v>1454</v>
      </c>
      <c r="AU185" t="s">
        <v>1454</v>
      </c>
      <c r="AV185" t="s">
        <v>1454</v>
      </c>
      <c r="AW185" t="s">
        <v>1454</v>
      </c>
      <c r="AY185" t="s">
        <v>1454</v>
      </c>
      <c r="AZ185" t="s">
        <v>1454</v>
      </c>
      <c r="BA185" t="s">
        <v>1454</v>
      </c>
      <c r="BC185" t="s">
        <v>1454</v>
      </c>
      <c r="BD185" t="s">
        <v>1454</v>
      </c>
      <c r="BE185" t="s">
        <v>1454</v>
      </c>
      <c r="BG185" t="s">
        <v>1454</v>
      </c>
      <c r="BH185" t="s">
        <v>1454</v>
      </c>
      <c r="BI185" t="s">
        <v>1454</v>
      </c>
      <c r="BK185" t="s">
        <v>1454</v>
      </c>
      <c r="BL185" t="s">
        <v>1454</v>
      </c>
      <c r="BM185" t="s">
        <v>1454</v>
      </c>
      <c r="BO185" t="s">
        <v>1454</v>
      </c>
      <c r="BP185" t="s">
        <v>1454</v>
      </c>
      <c r="BQ185" t="s">
        <v>1454</v>
      </c>
      <c r="BS185" t="s">
        <v>1454</v>
      </c>
      <c r="BT185" t="s">
        <v>1454</v>
      </c>
      <c r="BU185" t="s">
        <v>1454</v>
      </c>
      <c r="BW185" t="s">
        <v>1454</v>
      </c>
      <c r="BX185" t="s">
        <v>1454</v>
      </c>
      <c r="BY185" t="s">
        <v>1454</v>
      </c>
      <c r="CA185" t="s">
        <v>1454</v>
      </c>
      <c r="CB185" t="s">
        <v>1454</v>
      </c>
      <c r="CC185" t="s">
        <v>1454</v>
      </c>
      <c r="CE185" t="s">
        <v>1454</v>
      </c>
      <c r="CF185" t="s">
        <v>1454</v>
      </c>
      <c r="CG185" t="s">
        <v>1454</v>
      </c>
      <c r="CI185" t="s">
        <v>1454</v>
      </c>
      <c r="CJ185" t="s">
        <v>1454</v>
      </c>
      <c r="CK185" t="s">
        <v>1454</v>
      </c>
      <c r="CM185" t="s">
        <v>1454</v>
      </c>
      <c r="CN185" t="s">
        <v>1454</v>
      </c>
      <c r="CO185" t="s">
        <v>1454</v>
      </c>
      <c r="CQ185" t="s">
        <v>1454</v>
      </c>
      <c r="CR185" t="s">
        <v>1454</v>
      </c>
      <c r="CS185" t="s">
        <v>1454</v>
      </c>
      <c r="CU185" t="s">
        <v>1454</v>
      </c>
      <c r="CV185" t="s">
        <v>1454</v>
      </c>
      <c r="CW185" t="s">
        <v>1454</v>
      </c>
      <c r="CY185" t="s">
        <v>1454</v>
      </c>
      <c r="CZ185" t="s">
        <v>1454</v>
      </c>
      <c r="DA185" t="s">
        <v>1454</v>
      </c>
      <c r="DC185" t="s">
        <v>1454</v>
      </c>
      <c r="DD185" t="s">
        <v>1454</v>
      </c>
      <c r="DE185" t="s">
        <v>1454</v>
      </c>
      <c r="DG185" t="s">
        <v>1454</v>
      </c>
      <c r="DH185" t="s">
        <v>1454</v>
      </c>
      <c r="DI185" t="s">
        <v>1454</v>
      </c>
      <c r="DK185" t="s">
        <v>1454</v>
      </c>
      <c r="DL185" t="s">
        <v>1454</v>
      </c>
      <c r="DM185" t="s">
        <v>1454</v>
      </c>
      <c r="DO185" t="s">
        <v>1454</v>
      </c>
      <c r="DP185" t="s">
        <v>1454</v>
      </c>
      <c r="DQ185" t="s">
        <v>1454</v>
      </c>
      <c r="DS185" t="s">
        <v>1454</v>
      </c>
      <c r="DT185" t="s">
        <v>1454</v>
      </c>
      <c r="DU185" t="s">
        <v>1454</v>
      </c>
      <c r="DW185" t="s">
        <v>1454</v>
      </c>
      <c r="DX185" t="s">
        <v>1454</v>
      </c>
      <c r="DY185" t="s">
        <v>1454</v>
      </c>
      <c r="EA185" t="s">
        <v>1454</v>
      </c>
      <c r="EB185" t="s">
        <v>1454</v>
      </c>
      <c r="EC185" t="s">
        <v>1454</v>
      </c>
      <c r="EE185" t="s">
        <v>1454</v>
      </c>
      <c r="EF185" t="s">
        <v>1454</v>
      </c>
      <c r="EG185" t="s">
        <v>1454</v>
      </c>
      <c r="EI185" t="s">
        <v>1454</v>
      </c>
      <c r="EJ185" t="s">
        <v>1454</v>
      </c>
      <c r="EK185" t="s">
        <v>1454</v>
      </c>
      <c r="EM185" t="s">
        <v>1454</v>
      </c>
      <c r="EN185" t="s">
        <v>1454</v>
      </c>
      <c r="EO185" t="s">
        <v>1454</v>
      </c>
      <c r="EQ185" t="s">
        <v>1454</v>
      </c>
      <c r="ER185" t="s">
        <v>1454</v>
      </c>
      <c r="ES185" t="s">
        <v>1454</v>
      </c>
      <c r="EU185" t="s">
        <v>1454</v>
      </c>
      <c r="EV185" t="s">
        <v>1454</v>
      </c>
      <c r="EW185" t="s">
        <v>1454</v>
      </c>
      <c r="EY185" t="s">
        <v>1454</v>
      </c>
      <c r="EZ185" t="s">
        <v>1454</v>
      </c>
      <c r="FA185" t="s">
        <v>1454</v>
      </c>
      <c r="FC185" t="s">
        <v>1454</v>
      </c>
      <c r="FD185" t="s">
        <v>1454</v>
      </c>
      <c r="FE185" t="s">
        <v>1454</v>
      </c>
      <c r="FG185" t="s">
        <v>1454</v>
      </c>
      <c r="FH185" t="s">
        <v>1454</v>
      </c>
      <c r="FI185" t="s">
        <v>1454</v>
      </c>
      <c r="FK185" t="s">
        <v>1454</v>
      </c>
      <c r="FL185" t="s">
        <v>1454</v>
      </c>
      <c r="FM185" t="s">
        <v>1454</v>
      </c>
      <c r="FO185" t="s">
        <v>1454</v>
      </c>
      <c r="FP185" t="s">
        <v>1454</v>
      </c>
      <c r="FQ185" t="s">
        <v>1454</v>
      </c>
      <c r="FS185" t="s">
        <v>1454</v>
      </c>
      <c r="FT185" t="s">
        <v>1454</v>
      </c>
      <c r="FU185" t="s">
        <v>1454</v>
      </c>
      <c r="FW185" t="s">
        <v>1454</v>
      </c>
      <c r="FX185" t="s">
        <v>1454</v>
      </c>
      <c r="FY185" t="s">
        <v>1454</v>
      </c>
      <c r="GA185" t="s">
        <v>646</v>
      </c>
      <c r="GB185" t="s">
        <v>1454</v>
      </c>
      <c r="GC185" t="s">
        <v>1454</v>
      </c>
      <c r="GE185" t="s">
        <v>1454</v>
      </c>
      <c r="GF185" t="s">
        <v>1454</v>
      </c>
      <c r="GG185" t="s">
        <v>1454</v>
      </c>
      <c r="GI185" t="s">
        <v>1454</v>
      </c>
      <c r="GJ185" t="s">
        <v>1454</v>
      </c>
      <c r="GK185" t="s">
        <v>1454</v>
      </c>
      <c r="GM185" t="s">
        <v>1454</v>
      </c>
      <c r="GN185" t="s">
        <v>1454</v>
      </c>
      <c r="GO185" t="s">
        <v>1454</v>
      </c>
      <c r="GQ185" t="s">
        <v>1631</v>
      </c>
    </row>
    <row r="186" spans="2:199" x14ac:dyDescent="0.25">
      <c r="B186" t="s">
        <v>537</v>
      </c>
      <c r="C186" t="s">
        <v>1454</v>
      </c>
      <c r="D186" t="s">
        <v>1454</v>
      </c>
      <c r="E186" t="s">
        <v>1454</v>
      </c>
      <c r="G186" t="s">
        <v>1454</v>
      </c>
      <c r="H186" t="s">
        <v>1454</v>
      </c>
      <c r="I186" t="s">
        <v>1454</v>
      </c>
      <c r="K186" t="s">
        <v>1454</v>
      </c>
      <c r="L186" t="s">
        <v>1454</v>
      </c>
      <c r="M186" t="s">
        <v>1454</v>
      </c>
      <c r="O186" t="s">
        <v>1454</v>
      </c>
      <c r="P186" t="s">
        <v>1454</v>
      </c>
      <c r="Q186" t="s">
        <v>1454</v>
      </c>
      <c r="S186" t="s">
        <v>1454</v>
      </c>
      <c r="T186" t="s">
        <v>1454</v>
      </c>
      <c r="U186" t="s">
        <v>1454</v>
      </c>
      <c r="W186" t="s">
        <v>1454</v>
      </c>
      <c r="X186" t="s">
        <v>1454</v>
      </c>
      <c r="Y186" t="s">
        <v>1454</v>
      </c>
      <c r="AA186" t="s">
        <v>1454</v>
      </c>
      <c r="AB186" t="s">
        <v>1454</v>
      </c>
      <c r="AC186" t="s">
        <v>1454</v>
      </c>
      <c r="AE186" t="s">
        <v>1454</v>
      </c>
      <c r="AF186" t="s">
        <v>1454</v>
      </c>
      <c r="AG186" t="s">
        <v>1454</v>
      </c>
      <c r="AI186" t="s">
        <v>1454</v>
      </c>
      <c r="AJ186" t="s">
        <v>1454</v>
      </c>
      <c r="AK186" t="s">
        <v>1454</v>
      </c>
      <c r="AM186" t="s">
        <v>1454</v>
      </c>
      <c r="AN186" t="s">
        <v>1454</v>
      </c>
      <c r="AO186" t="s">
        <v>1454</v>
      </c>
      <c r="AQ186" t="s">
        <v>1454</v>
      </c>
      <c r="AR186" t="s">
        <v>1454</v>
      </c>
      <c r="AS186" t="s">
        <v>1454</v>
      </c>
      <c r="AU186" t="s">
        <v>1454</v>
      </c>
      <c r="AV186" t="s">
        <v>1454</v>
      </c>
      <c r="AW186" t="s">
        <v>1454</v>
      </c>
      <c r="AY186" t="s">
        <v>1454</v>
      </c>
      <c r="AZ186" t="s">
        <v>1454</v>
      </c>
      <c r="BA186" t="s">
        <v>1454</v>
      </c>
      <c r="BC186" t="s">
        <v>1454</v>
      </c>
      <c r="BD186" t="s">
        <v>1454</v>
      </c>
      <c r="BE186" t="s">
        <v>1454</v>
      </c>
      <c r="BG186" t="s">
        <v>1454</v>
      </c>
      <c r="BH186" t="s">
        <v>1454</v>
      </c>
      <c r="BI186" t="s">
        <v>1454</v>
      </c>
      <c r="BK186" t="s">
        <v>1454</v>
      </c>
      <c r="BL186" t="s">
        <v>1454</v>
      </c>
      <c r="BM186" t="s">
        <v>1454</v>
      </c>
      <c r="BO186" t="s">
        <v>1454</v>
      </c>
      <c r="BP186" t="s">
        <v>1454</v>
      </c>
      <c r="BQ186" t="s">
        <v>1454</v>
      </c>
      <c r="BS186" t="s">
        <v>1454</v>
      </c>
      <c r="BT186" t="s">
        <v>1454</v>
      </c>
      <c r="BU186" t="s">
        <v>1454</v>
      </c>
      <c r="BW186" t="s">
        <v>1454</v>
      </c>
      <c r="BX186" t="s">
        <v>1454</v>
      </c>
      <c r="BY186" t="s">
        <v>1454</v>
      </c>
      <c r="CA186" t="s">
        <v>1454</v>
      </c>
      <c r="CB186" t="s">
        <v>1454</v>
      </c>
      <c r="CC186" t="s">
        <v>1454</v>
      </c>
      <c r="CE186" t="s">
        <v>1454</v>
      </c>
      <c r="CF186" t="s">
        <v>1454</v>
      </c>
      <c r="CG186" t="s">
        <v>1454</v>
      </c>
      <c r="CI186" t="s">
        <v>1454</v>
      </c>
      <c r="CJ186" t="s">
        <v>1454</v>
      </c>
      <c r="CK186" t="s">
        <v>1454</v>
      </c>
      <c r="CM186" t="s">
        <v>1454</v>
      </c>
      <c r="CN186" t="s">
        <v>1454</v>
      </c>
      <c r="CO186" t="s">
        <v>1454</v>
      </c>
      <c r="CQ186" t="s">
        <v>1454</v>
      </c>
      <c r="CR186" t="s">
        <v>1454</v>
      </c>
      <c r="CS186" t="s">
        <v>1454</v>
      </c>
      <c r="CU186" t="s">
        <v>1454</v>
      </c>
      <c r="CV186" t="s">
        <v>1454</v>
      </c>
      <c r="CW186" t="s">
        <v>1454</v>
      </c>
      <c r="CY186" t="s">
        <v>1454</v>
      </c>
      <c r="CZ186" t="s">
        <v>1454</v>
      </c>
      <c r="DA186" t="s">
        <v>1454</v>
      </c>
      <c r="DC186" t="s">
        <v>1454</v>
      </c>
      <c r="DD186" t="s">
        <v>1454</v>
      </c>
      <c r="DE186" t="s">
        <v>1454</v>
      </c>
      <c r="DG186" t="s">
        <v>1454</v>
      </c>
      <c r="DH186" t="s">
        <v>1454</v>
      </c>
      <c r="DI186" t="s">
        <v>1454</v>
      </c>
      <c r="DK186" t="s">
        <v>1454</v>
      </c>
      <c r="DL186" t="s">
        <v>1454</v>
      </c>
      <c r="DM186" t="s">
        <v>1454</v>
      </c>
      <c r="DO186" t="s">
        <v>1454</v>
      </c>
      <c r="DP186" t="s">
        <v>1454</v>
      </c>
      <c r="DQ186" t="s">
        <v>1454</v>
      </c>
      <c r="DS186" t="s">
        <v>1454</v>
      </c>
      <c r="DT186" t="s">
        <v>1454</v>
      </c>
      <c r="DU186" t="s">
        <v>1454</v>
      </c>
      <c r="DW186" t="s">
        <v>1454</v>
      </c>
      <c r="DX186" t="s">
        <v>1454</v>
      </c>
      <c r="DY186" t="s">
        <v>1454</v>
      </c>
      <c r="EA186" t="s">
        <v>1454</v>
      </c>
      <c r="EB186" t="s">
        <v>1454</v>
      </c>
      <c r="EC186" t="s">
        <v>1454</v>
      </c>
      <c r="EE186" t="s">
        <v>1454</v>
      </c>
      <c r="EF186" t="s">
        <v>1454</v>
      </c>
      <c r="EG186" t="s">
        <v>1454</v>
      </c>
      <c r="EI186" t="s">
        <v>1454</v>
      </c>
      <c r="EJ186" t="s">
        <v>1454</v>
      </c>
      <c r="EK186" t="s">
        <v>1454</v>
      </c>
      <c r="EM186" t="s">
        <v>1454</v>
      </c>
      <c r="EN186" t="s">
        <v>1454</v>
      </c>
      <c r="EO186" t="s">
        <v>1454</v>
      </c>
      <c r="EQ186" t="s">
        <v>638</v>
      </c>
      <c r="ER186" t="s">
        <v>1454</v>
      </c>
      <c r="ES186" t="s">
        <v>1454</v>
      </c>
      <c r="EU186" t="s">
        <v>1454</v>
      </c>
      <c r="EV186" t="s">
        <v>1454</v>
      </c>
      <c r="EW186" t="s">
        <v>1454</v>
      </c>
      <c r="EY186" t="s">
        <v>1454</v>
      </c>
      <c r="EZ186" t="s">
        <v>1454</v>
      </c>
      <c r="FA186" t="s">
        <v>1454</v>
      </c>
      <c r="FC186" t="s">
        <v>641</v>
      </c>
      <c r="FD186" t="s">
        <v>1454</v>
      </c>
      <c r="FE186" t="s">
        <v>1454</v>
      </c>
      <c r="FG186" t="s">
        <v>642</v>
      </c>
      <c r="FH186" t="s">
        <v>1454</v>
      </c>
      <c r="FI186" t="s">
        <v>1454</v>
      </c>
      <c r="FK186" t="s">
        <v>643</v>
      </c>
      <c r="FL186" t="s">
        <v>1454</v>
      </c>
      <c r="FM186" t="s">
        <v>1454</v>
      </c>
      <c r="FO186" t="s">
        <v>1454</v>
      </c>
      <c r="FP186" t="s">
        <v>1454</v>
      </c>
      <c r="FQ186" t="s">
        <v>1454</v>
      </c>
      <c r="FS186" t="s">
        <v>644</v>
      </c>
      <c r="FT186" t="s">
        <v>1454</v>
      </c>
      <c r="FU186" t="s">
        <v>1454</v>
      </c>
      <c r="FW186" t="s">
        <v>1454</v>
      </c>
      <c r="FX186" t="s">
        <v>1454</v>
      </c>
      <c r="FY186" t="s">
        <v>1454</v>
      </c>
      <c r="GA186" t="s">
        <v>1454</v>
      </c>
      <c r="GB186" t="s">
        <v>1454</v>
      </c>
      <c r="GC186" t="s">
        <v>1454</v>
      </c>
      <c r="GE186" t="s">
        <v>647</v>
      </c>
      <c r="GF186" t="s">
        <v>1454</v>
      </c>
      <c r="GG186" t="s">
        <v>1454</v>
      </c>
      <c r="GI186" t="s">
        <v>1454</v>
      </c>
      <c r="GJ186" t="s">
        <v>1454</v>
      </c>
      <c r="GK186" t="s">
        <v>1454</v>
      </c>
      <c r="GM186" t="s">
        <v>649</v>
      </c>
      <c r="GN186" t="s">
        <v>1454</v>
      </c>
      <c r="GO186" t="s">
        <v>1454</v>
      </c>
      <c r="GQ186" t="s">
        <v>1632</v>
      </c>
    </row>
    <row r="187" spans="2:199" s="11" customFormat="1" x14ac:dyDescent="0.25">
      <c r="B187" t="s">
        <v>538</v>
      </c>
      <c r="C187" t="s">
        <v>1454</v>
      </c>
      <c r="D187" t="s">
        <v>1454</v>
      </c>
      <c r="E187" t="s">
        <v>1454</v>
      </c>
      <c r="F187"/>
      <c r="G187" t="s">
        <v>1454</v>
      </c>
      <c r="H187" t="s">
        <v>1454</v>
      </c>
      <c r="I187" t="s">
        <v>1454</v>
      </c>
      <c r="J187"/>
      <c r="K187" t="s">
        <v>1454</v>
      </c>
      <c r="L187" t="s">
        <v>1454</v>
      </c>
      <c r="M187" t="s">
        <v>1454</v>
      </c>
      <c r="N187"/>
      <c r="O187" t="s">
        <v>1454</v>
      </c>
      <c r="P187" t="s">
        <v>1454</v>
      </c>
      <c r="Q187" t="s">
        <v>1454</v>
      </c>
      <c r="R187"/>
      <c r="S187" t="s">
        <v>1454</v>
      </c>
      <c r="T187" t="s">
        <v>1454</v>
      </c>
      <c r="U187" t="s">
        <v>1454</v>
      </c>
      <c r="V187"/>
      <c r="W187" t="s">
        <v>1454</v>
      </c>
      <c r="X187" t="s">
        <v>1454</v>
      </c>
      <c r="Y187" t="s">
        <v>1454</v>
      </c>
      <c r="Z187"/>
      <c r="AA187" t="s">
        <v>1454</v>
      </c>
      <c r="AB187" t="s">
        <v>1454</v>
      </c>
      <c r="AC187" t="s">
        <v>1454</v>
      </c>
      <c r="AD187"/>
      <c r="AE187" t="s">
        <v>1454</v>
      </c>
      <c r="AF187" t="s">
        <v>1454</v>
      </c>
      <c r="AG187" t="s">
        <v>1454</v>
      </c>
      <c r="AH187"/>
      <c r="AI187" t="s">
        <v>1454</v>
      </c>
      <c r="AJ187" t="s">
        <v>1454</v>
      </c>
      <c r="AK187" t="s">
        <v>1454</v>
      </c>
      <c r="AL187"/>
      <c r="AM187" t="s">
        <v>1454</v>
      </c>
      <c r="AN187" t="s">
        <v>1454</v>
      </c>
      <c r="AO187" t="s">
        <v>1454</v>
      </c>
      <c r="AP187"/>
      <c r="AQ187" t="s">
        <v>1454</v>
      </c>
      <c r="AR187" t="s">
        <v>1454</v>
      </c>
      <c r="AS187" t="s">
        <v>1454</v>
      </c>
      <c r="AT187"/>
      <c r="AU187" t="s">
        <v>1454</v>
      </c>
      <c r="AV187" t="s">
        <v>1454</v>
      </c>
      <c r="AW187" t="s">
        <v>1454</v>
      </c>
      <c r="AX187"/>
      <c r="AY187" t="s">
        <v>1454</v>
      </c>
      <c r="AZ187" t="s">
        <v>1454</v>
      </c>
      <c r="BA187" t="s">
        <v>1454</v>
      </c>
      <c r="BB187"/>
      <c r="BC187" t="s">
        <v>1454</v>
      </c>
      <c r="BD187" t="s">
        <v>1454</v>
      </c>
      <c r="BE187" t="s">
        <v>1454</v>
      </c>
      <c r="BF187"/>
      <c r="BG187" t="s">
        <v>1454</v>
      </c>
      <c r="BH187" t="s">
        <v>1454</v>
      </c>
      <c r="BI187" t="s">
        <v>1454</v>
      </c>
      <c r="BJ187"/>
      <c r="BK187" t="s">
        <v>1454</v>
      </c>
      <c r="BL187" t="s">
        <v>1454</v>
      </c>
      <c r="BM187" t="s">
        <v>1454</v>
      </c>
      <c r="BN187"/>
      <c r="BO187" t="s">
        <v>1454</v>
      </c>
      <c r="BP187" t="s">
        <v>1454</v>
      </c>
      <c r="BQ187" t="s">
        <v>1454</v>
      </c>
      <c r="BR187"/>
      <c r="BS187" t="s">
        <v>1454</v>
      </c>
      <c r="BT187" t="s">
        <v>1454</v>
      </c>
      <c r="BU187" t="s">
        <v>1454</v>
      </c>
      <c r="BV187"/>
      <c r="BW187" t="s">
        <v>1454</v>
      </c>
      <c r="BX187" t="s">
        <v>1454</v>
      </c>
      <c r="BY187" t="s">
        <v>1454</v>
      </c>
      <c r="BZ187"/>
      <c r="CA187" t="s">
        <v>1454</v>
      </c>
      <c r="CB187" t="s">
        <v>1454</v>
      </c>
      <c r="CC187" t="s">
        <v>1454</v>
      </c>
      <c r="CD187"/>
      <c r="CE187" t="s">
        <v>1454</v>
      </c>
      <c r="CF187" t="s">
        <v>1454</v>
      </c>
      <c r="CG187" t="s">
        <v>1454</v>
      </c>
      <c r="CH187"/>
      <c r="CI187" t="s">
        <v>1454</v>
      </c>
      <c r="CJ187" t="s">
        <v>1454</v>
      </c>
      <c r="CK187" t="s">
        <v>1454</v>
      </c>
      <c r="CL187"/>
      <c r="CM187" t="s">
        <v>1454</v>
      </c>
      <c r="CN187" t="s">
        <v>1454</v>
      </c>
      <c r="CO187" t="s">
        <v>1454</v>
      </c>
      <c r="CP187"/>
      <c r="CQ187" t="s">
        <v>1454</v>
      </c>
      <c r="CR187" t="s">
        <v>1454</v>
      </c>
      <c r="CS187" t="s">
        <v>1454</v>
      </c>
      <c r="CT187"/>
      <c r="CU187" t="s">
        <v>1454</v>
      </c>
      <c r="CV187" t="s">
        <v>1454</v>
      </c>
      <c r="CW187" t="s">
        <v>1454</v>
      </c>
      <c r="CX187"/>
      <c r="CY187" t="s">
        <v>1454</v>
      </c>
      <c r="CZ187" t="s">
        <v>1454</v>
      </c>
      <c r="DA187" t="s">
        <v>1454</v>
      </c>
      <c r="DB187"/>
      <c r="DC187" t="s">
        <v>1454</v>
      </c>
      <c r="DD187" t="s">
        <v>1454</v>
      </c>
      <c r="DE187" t="s">
        <v>1454</v>
      </c>
      <c r="DF187"/>
      <c r="DG187" t="s">
        <v>1454</v>
      </c>
      <c r="DH187" t="s">
        <v>1454</v>
      </c>
      <c r="DI187" t="s">
        <v>1454</v>
      </c>
      <c r="DJ187"/>
      <c r="DK187" t="s">
        <v>1454</v>
      </c>
      <c r="DL187" t="s">
        <v>1454</v>
      </c>
      <c r="DM187" t="s">
        <v>1454</v>
      </c>
      <c r="DN187"/>
      <c r="DO187" t="s">
        <v>1454</v>
      </c>
      <c r="DP187" t="s">
        <v>1454</v>
      </c>
      <c r="DQ187" t="s">
        <v>1454</v>
      </c>
      <c r="DR187"/>
      <c r="DS187" t="s">
        <v>1454</v>
      </c>
      <c r="DT187" t="s">
        <v>1454</v>
      </c>
      <c r="DU187" t="s">
        <v>1454</v>
      </c>
      <c r="DV187"/>
      <c r="DW187" t="s">
        <v>1454</v>
      </c>
      <c r="DX187" t="s">
        <v>1454</v>
      </c>
      <c r="DY187" t="s">
        <v>1454</v>
      </c>
      <c r="DZ187"/>
      <c r="EA187" t="s">
        <v>1454</v>
      </c>
      <c r="EB187" t="s">
        <v>1454</v>
      </c>
      <c r="EC187" t="s">
        <v>1454</v>
      </c>
      <c r="ED187"/>
      <c r="EE187" t="s">
        <v>1454</v>
      </c>
      <c r="EF187" t="s">
        <v>1454</v>
      </c>
      <c r="EG187" t="s">
        <v>1454</v>
      </c>
      <c r="EH187"/>
      <c r="EI187" t="s">
        <v>1454</v>
      </c>
      <c r="EJ187" t="s">
        <v>1454</v>
      </c>
      <c r="EK187" t="s">
        <v>1454</v>
      </c>
      <c r="EL187"/>
      <c r="EM187" t="s">
        <v>1454</v>
      </c>
      <c r="EN187" t="s">
        <v>1454</v>
      </c>
      <c r="EO187" t="s">
        <v>1454</v>
      </c>
      <c r="EP187"/>
      <c r="EQ187" t="s">
        <v>638</v>
      </c>
      <c r="ER187" t="s">
        <v>1454</v>
      </c>
      <c r="ES187" t="s">
        <v>1454</v>
      </c>
      <c r="ET187"/>
      <c r="EU187" t="s">
        <v>1454</v>
      </c>
      <c r="EV187" t="s">
        <v>1454</v>
      </c>
      <c r="EW187" t="s">
        <v>1454</v>
      </c>
      <c r="EX187"/>
      <c r="EY187" t="s">
        <v>1454</v>
      </c>
      <c r="EZ187" t="s">
        <v>1454</v>
      </c>
      <c r="FA187" t="s">
        <v>1454</v>
      </c>
      <c r="FB187"/>
      <c r="FC187" t="s">
        <v>641</v>
      </c>
      <c r="FD187" t="s">
        <v>1454</v>
      </c>
      <c r="FE187" t="s">
        <v>1454</v>
      </c>
      <c r="FF187"/>
      <c r="FG187" t="s">
        <v>642</v>
      </c>
      <c r="FH187" t="s">
        <v>1454</v>
      </c>
      <c r="FI187" t="s">
        <v>1454</v>
      </c>
      <c r="FJ187"/>
      <c r="FK187" t="s">
        <v>643</v>
      </c>
      <c r="FL187" t="s">
        <v>1454</v>
      </c>
      <c r="FM187" t="s">
        <v>1454</v>
      </c>
      <c r="FN187"/>
      <c r="FO187" t="s">
        <v>1454</v>
      </c>
      <c r="FP187" t="s">
        <v>1454</v>
      </c>
      <c r="FQ187" t="s">
        <v>1454</v>
      </c>
      <c r="FR187"/>
      <c r="FS187" t="s">
        <v>1454</v>
      </c>
      <c r="FT187" t="s">
        <v>1454</v>
      </c>
      <c r="FU187" t="s">
        <v>1454</v>
      </c>
      <c r="FV187"/>
      <c r="FW187" t="s">
        <v>1454</v>
      </c>
      <c r="FX187" t="s">
        <v>1454</v>
      </c>
      <c r="FY187" t="s">
        <v>1454</v>
      </c>
      <c r="FZ187"/>
      <c r="GA187" t="s">
        <v>1454</v>
      </c>
      <c r="GB187" t="s">
        <v>1454</v>
      </c>
      <c r="GC187" t="s">
        <v>1454</v>
      </c>
      <c r="GD187"/>
      <c r="GE187" t="s">
        <v>1454</v>
      </c>
      <c r="GF187" t="s">
        <v>1454</v>
      </c>
      <c r="GG187" t="s">
        <v>1454</v>
      </c>
      <c r="GH187"/>
      <c r="GI187" t="s">
        <v>1454</v>
      </c>
      <c r="GJ187" t="s">
        <v>1454</v>
      </c>
      <c r="GK187" t="s">
        <v>1454</v>
      </c>
      <c r="GL187"/>
      <c r="GM187" t="s">
        <v>649</v>
      </c>
      <c r="GN187" t="s">
        <v>1454</v>
      </c>
      <c r="GO187" t="s">
        <v>1454</v>
      </c>
      <c r="GP187"/>
      <c r="GQ187" t="s">
        <v>1633</v>
      </c>
    </row>
    <row r="188" spans="2:199" x14ac:dyDescent="0.25">
      <c r="B188" t="s">
        <v>595</v>
      </c>
      <c r="C188" t="s">
        <v>1454</v>
      </c>
      <c r="D188" t="s">
        <v>1454</v>
      </c>
      <c r="E188" t="s">
        <v>1454</v>
      </c>
      <c r="G188" t="s">
        <v>1454</v>
      </c>
      <c r="H188" t="s">
        <v>1454</v>
      </c>
      <c r="I188" t="s">
        <v>1454</v>
      </c>
      <c r="K188" t="s">
        <v>1454</v>
      </c>
      <c r="L188" t="s">
        <v>1454</v>
      </c>
      <c r="M188" t="s">
        <v>1454</v>
      </c>
      <c r="O188" t="s">
        <v>1454</v>
      </c>
      <c r="P188" t="s">
        <v>1454</v>
      </c>
      <c r="Q188" t="s">
        <v>1454</v>
      </c>
      <c r="S188" t="s">
        <v>1454</v>
      </c>
      <c r="T188" t="s">
        <v>1454</v>
      </c>
      <c r="U188" t="s">
        <v>1454</v>
      </c>
      <c r="W188" t="s">
        <v>1454</v>
      </c>
      <c r="X188" t="s">
        <v>1454</v>
      </c>
      <c r="Y188" t="s">
        <v>1454</v>
      </c>
      <c r="AA188" t="s">
        <v>1454</v>
      </c>
      <c r="AB188" t="s">
        <v>1454</v>
      </c>
      <c r="AC188" t="s">
        <v>1454</v>
      </c>
      <c r="AE188" t="s">
        <v>1454</v>
      </c>
      <c r="AF188" t="s">
        <v>1454</v>
      </c>
      <c r="AG188" t="s">
        <v>1454</v>
      </c>
      <c r="AI188" t="s">
        <v>1454</v>
      </c>
      <c r="AJ188" t="s">
        <v>1454</v>
      </c>
      <c r="AK188" t="s">
        <v>1454</v>
      </c>
      <c r="AM188" t="s">
        <v>1454</v>
      </c>
      <c r="AN188" t="s">
        <v>1454</v>
      </c>
      <c r="AO188" t="s">
        <v>1454</v>
      </c>
      <c r="AQ188" t="s">
        <v>1454</v>
      </c>
      <c r="AR188" t="s">
        <v>1454</v>
      </c>
      <c r="AS188" t="s">
        <v>1454</v>
      </c>
      <c r="AU188" t="s">
        <v>613</v>
      </c>
      <c r="AV188" t="s">
        <v>1454</v>
      </c>
      <c r="AW188" t="s">
        <v>1454</v>
      </c>
      <c r="AY188" t="s">
        <v>1454</v>
      </c>
      <c r="AZ188" t="s">
        <v>1454</v>
      </c>
      <c r="BA188" t="s">
        <v>1454</v>
      </c>
      <c r="BC188" t="s">
        <v>1454</v>
      </c>
      <c r="BD188" t="s">
        <v>1454</v>
      </c>
      <c r="BE188" t="s">
        <v>1454</v>
      </c>
      <c r="BG188" t="s">
        <v>1454</v>
      </c>
      <c r="BH188" t="s">
        <v>1454</v>
      </c>
      <c r="BI188" t="s">
        <v>1454</v>
      </c>
      <c r="BK188" t="s">
        <v>1454</v>
      </c>
      <c r="BL188" t="s">
        <v>1454</v>
      </c>
      <c r="BM188" t="s">
        <v>1454</v>
      </c>
      <c r="BO188" t="s">
        <v>1454</v>
      </c>
      <c r="BP188" t="s">
        <v>1454</v>
      </c>
      <c r="BQ188" t="s">
        <v>1454</v>
      </c>
      <c r="BS188" t="s">
        <v>1454</v>
      </c>
      <c r="BT188" t="s">
        <v>1454</v>
      </c>
      <c r="BU188" t="s">
        <v>1454</v>
      </c>
      <c r="BW188" t="s">
        <v>1454</v>
      </c>
      <c r="BX188" t="s">
        <v>1454</v>
      </c>
      <c r="BY188" t="s">
        <v>1454</v>
      </c>
      <c r="CA188" t="s">
        <v>1454</v>
      </c>
      <c r="CB188" t="s">
        <v>1454</v>
      </c>
      <c r="CC188" t="s">
        <v>1454</v>
      </c>
      <c r="CE188" t="s">
        <v>1454</v>
      </c>
      <c r="CF188" t="s">
        <v>1454</v>
      </c>
      <c r="CG188" t="s">
        <v>1454</v>
      </c>
      <c r="CI188" t="s">
        <v>1454</v>
      </c>
      <c r="CJ188" t="s">
        <v>1454</v>
      </c>
      <c r="CK188" t="s">
        <v>1454</v>
      </c>
      <c r="CM188" t="s">
        <v>1454</v>
      </c>
      <c r="CN188" t="s">
        <v>1454</v>
      </c>
      <c r="CO188" t="s">
        <v>1454</v>
      </c>
      <c r="CQ188" t="s">
        <v>1454</v>
      </c>
      <c r="CR188" t="s">
        <v>1454</v>
      </c>
      <c r="CS188" t="s">
        <v>1454</v>
      </c>
      <c r="CU188" t="s">
        <v>1454</v>
      </c>
      <c r="CV188" t="s">
        <v>1454</v>
      </c>
      <c r="CW188" t="s">
        <v>1454</v>
      </c>
      <c r="CY188" t="s">
        <v>1454</v>
      </c>
      <c r="CZ188" t="s">
        <v>1454</v>
      </c>
      <c r="DA188" t="s">
        <v>1454</v>
      </c>
      <c r="DC188" t="s">
        <v>1454</v>
      </c>
      <c r="DD188" t="s">
        <v>1454</v>
      </c>
      <c r="DE188" t="s">
        <v>1454</v>
      </c>
      <c r="DG188" t="s">
        <v>1454</v>
      </c>
      <c r="DH188" t="s">
        <v>1454</v>
      </c>
      <c r="DI188" t="s">
        <v>1454</v>
      </c>
      <c r="DK188" t="s">
        <v>1454</v>
      </c>
      <c r="DL188" t="s">
        <v>1454</v>
      </c>
      <c r="DM188" t="s">
        <v>1454</v>
      </c>
      <c r="DO188" t="s">
        <v>1454</v>
      </c>
      <c r="DP188" t="s">
        <v>1454</v>
      </c>
      <c r="DQ188" t="s">
        <v>1454</v>
      </c>
      <c r="DS188" t="s">
        <v>1454</v>
      </c>
      <c r="DT188" t="s">
        <v>1454</v>
      </c>
      <c r="DU188" t="s">
        <v>1454</v>
      </c>
      <c r="DW188" t="s">
        <v>1454</v>
      </c>
      <c r="DX188" t="s">
        <v>1454</v>
      </c>
      <c r="DY188" t="s">
        <v>1454</v>
      </c>
      <c r="EA188" t="s">
        <v>1454</v>
      </c>
      <c r="EB188" t="s">
        <v>1454</v>
      </c>
      <c r="EC188" t="s">
        <v>1454</v>
      </c>
      <c r="EE188" t="s">
        <v>1454</v>
      </c>
      <c r="EF188" t="s">
        <v>1454</v>
      </c>
      <c r="EG188" t="s">
        <v>1454</v>
      </c>
      <c r="EI188" t="s">
        <v>1454</v>
      </c>
      <c r="EJ188" t="s">
        <v>1454</v>
      </c>
      <c r="EK188" t="s">
        <v>1454</v>
      </c>
      <c r="EM188" t="s">
        <v>1454</v>
      </c>
      <c r="EN188" t="s">
        <v>1454</v>
      </c>
      <c r="EO188" t="s">
        <v>1454</v>
      </c>
      <c r="EQ188" t="s">
        <v>1454</v>
      </c>
      <c r="ER188" t="s">
        <v>1454</v>
      </c>
      <c r="ES188" t="s">
        <v>1454</v>
      </c>
      <c r="EU188" t="s">
        <v>1454</v>
      </c>
      <c r="EV188" t="s">
        <v>1454</v>
      </c>
      <c r="EW188" t="s">
        <v>1454</v>
      </c>
      <c r="EY188" t="s">
        <v>1454</v>
      </c>
      <c r="EZ188" t="s">
        <v>1454</v>
      </c>
      <c r="FA188" t="s">
        <v>1454</v>
      </c>
      <c r="FC188" t="s">
        <v>1454</v>
      </c>
      <c r="FD188" t="s">
        <v>1454</v>
      </c>
      <c r="FE188" t="s">
        <v>1454</v>
      </c>
      <c r="FG188" t="s">
        <v>642</v>
      </c>
      <c r="FH188" t="s">
        <v>1454</v>
      </c>
      <c r="FI188" t="s">
        <v>1454</v>
      </c>
      <c r="FK188" t="s">
        <v>1454</v>
      </c>
      <c r="FL188" t="s">
        <v>1454</v>
      </c>
      <c r="FM188" t="s">
        <v>1454</v>
      </c>
      <c r="FO188" t="s">
        <v>1454</v>
      </c>
      <c r="FP188" t="s">
        <v>1454</v>
      </c>
      <c r="FQ188" t="s">
        <v>1454</v>
      </c>
      <c r="FS188" t="s">
        <v>1454</v>
      </c>
      <c r="FT188" t="s">
        <v>1454</v>
      </c>
      <c r="FU188" t="s">
        <v>1454</v>
      </c>
      <c r="FW188" t="s">
        <v>1454</v>
      </c>
      <c r="FX188" t="s">
        <v>1454</v>
      </c>
      <c r="FY188" t="s">
        <v>1454</v>
      </c>
      <c r="GA188" t="s">
        <v>1454</v>
      </c>
      <c r="GB188" t="s">
        <v>1454</v>
      </c>
      <c r="GC188" t="s">
        <v>1454</v>
      </c>
      <c r="GE188" t="s">
        <v>1454</v>
      </c>
      <c r="GF188" t="s">
        <v>1454</v>
      </c>
      <c r="GG188" t="s">
        <v>1454</v>
      </c>
      <c r="GI188" t="s">
        <v>1454</v>
      </c>
      <c r="GJ188" t="s">
        <v>1454</v>
      </c>
      <c r="GK188" t="s">
        <v>1454</v>
      </c>
      <c r="GM188" t="s">
        <v>1454</v>
      </c>
      <c r="GN188" t="s">
        <v>1454</v>
      </c>
      <c r="GO188" t="s">
        <v>1454</v>
      </c>
      <c r="GQ188" t="s">
        <v>1601</v>
      </c>
    </row>
    <row r="189" spans="2:199" x14ac:dyDescent="0.25">
      <c r="B189" t="s">
        <v>301</v>
      </c>
      <c r="C189" t="s">
        <v>1454</v>
      </c>
      <c r="D189" t="s">
        <v>1454</v>
      </c>
      <c r="E189" t="s">
        <v>1454</v>
      </c>
      <c r="G189" t="s">
        <v>1454</v>
      </c>
      <c r="H189" t="s">
        <v>1454</v>
      </c>
      <c r="I189" t="s">
        <v>1454</v>
      </c>
      <c r="K189" t="s">
        <v>1454</v>
      </c>
      <c r="L189" t="s">
        <v>1454</v>
      </c>
      <c r="M189" t="s">
        <v>1454</v>
      </c>
      <c r="O189" t="s">
        <v>1454</v>
      </c>
      <c r="P189" t="s">
        <v>1454</v>
      </c>
      <c r="Q189" t="s">
        <v>1454</v>
      </c>
      <c r="S189" t="s">
        <v>606</v>
      </c>
      <c r="T189" t="s">
        <v>1454</v>
      </c>
      <c r="U189" t="s">
        <v>1454</v>
      </c>
      <c r="W189" t="s">
        <v>1454</v>
      </c>
      <c r="X189" t="s">
        <v>1454</v>
      </c>
      <c r="Y189" t="s">
        <v>1454</v>
      </c>
      <c r="AA189" t="s">
        <v>1454</v>
      </c>
      <c r="AB189" t="s">
        <v>1454</v>
      </c>
      <c r="AC189" t="s">
        <v>1454</v>
      </c>
      <c r="AE189" t="s">
        <v>1454</v>
      </c>
      <c r="AF189" t="s">
        <v>1454</v>
      </c>
      <c r="AG189" t="s">
        <v>1454</v>
      </c>
      <c r="AI189" t="s">
        <v>1454</v>
      </c>
      <c r="AJ189" t="s">
        <v>1454</v>
      </c>
      <c r="AK189" t="s">
        <v>1454</v>
      </c>
      <c r="AM189" t="s">
        <v>1454</v>
      </c>
      <c r="AN189" t="s">
        <v>1454</v>
      </c>
      <c r="AO189" t="s">
        <v>1454</v>
      </c>
      <c r="AQ189" t="s">
        <v>1454</v>
      </c>
      <c r="AR189" t="s">
        <v>1454</v>
      </c>
      <c r="AS189" t="s">
        <v>1454</v>
      </c>
      <c r="AU189" t="s">
        <v>1454</v>
      </c>
      <c r="AV189" t="s">
        <v>1454</v>
      </c>
      <c r="AW189" t="s">
        <v>1454</v>
      </c>
      <c r="AY189" t="s">
        <v>1454</v>
      </c>
      <c r="AZ189" t="s">
        <v>1454</v>
      </c>
      <c r="BA189" t="s">
        <v>1454</v>
      </c>
      <c r="BC189" t="s">
        <v>1454</v>
      </c>
      <c r="BD189" t="s">
        <v>1454</v>
      </c>
      <c r="BE189" t="s">
        <v>1454</v>
      </c>
      <c r="BG189" t="s">
        <v>1454</v>
      </c>
      <c r="BH189" t="s">
        <v>1454</v>
      </c>
      <c r="BI189" t="s">
        <v>1454</v>
      </c>
      <c r="BK189" t="s">
        <v>1454</v>
      </c>
      <c r="BL189" t="s">
        <v>1454</v>
      </c>
      <c r="BM189" t="s">
        <v>1454</v>
      </c>
      <c r="BO189" t="s">
        <v>1454</v>
      </c>
      <c r="BP189" t="s">
        <v>1454</v>
      </c>
      <c r="BQ189" t="s">
        <v>1454</v>
      </c>
      <c r="BS189" t="s">
        <v>1454</v>
      </c>
      <c r="BT189" t="s">
        <v>1454</v>
      </c>
      <c r="BU189" t="s">
        <v>1454</v>
      </c>
      <c r="BW189" t="s">
        <v>1454</v>
      </c>
      <c r="BX189" t="s">
        <v>1454</v>
      </c>
      <c r="BY189" t="s">
        <v>1454</v>
      </c>
      <c r="CA189" t="s">
        <v>1454</v>
      </c>
      <c r="CB189" t="s">
        <v>1454</v>
      </c>
      <c r="CC189" t="s">
        <v>1454</v>
      </c>
      <c r="CE189" t="s">
        <v>1454</v>
      </c>
      <c r="CF189" t="s">
        <v>1454</v>
      </c>
      <c r="CG189" t="s">
        <v>1454</v>
      </c>
      <c r="CI189" t="s">
        <v>1454</v>
      </c>
      <c r="CJ189" t="s">
        <v>1454</v>
      </c>
      <c r="CK189" t="s">
        <v>1454</v>
      </c>
      <c r="CM189" t="s">
        <v>1454</v>
      </c>
      <c r="CN189" t="s">
        <v>1454</v>
      </c>
      <c r="CO189" t="s">
        <v>1454</v>
      </c>
      <c r="CQ189" t="s">
        <v>1454</v>
      </c>
      <c r="CR189" t="s">
        <v>1454</v>
      </c>
      <c r="CS189" t="s">
        <v>1454</v>
      </c>
      <c r="CU189" t="s">
        <v>1454</v>
      </c>
      <c r="CV189" t="s">
        <v>1454</v>
      </c>
      <c r="CW189" t="s">
        <v>1454</v>
      </c>
      <c r="CY189" t="s">
        <v>1454</v>
      </c>
      <c r="CZ189" t="s">
        <v>1454</v>
      </c>
      <c r="DA189" t="s">
        <v>1454</v>
      </c>
      <c r="DC189" t="s">
        <v>1454</v>
      </c>
      <c r="DD189" t="s">
        <v>1454</v>
      </c>
      <c r="DE189" t="s">
        <v>1454</v>
      </c>
      <c r="DG189" t="s">
        <v>1454</v>
      </c>
      <c r="DH189" t="s">
        <v>1454</v>
      </c>
      <c r="DI189" t="s">
        <v>1454</v>
      </c>
      <c r="DK189" t="s">
        <v>630</v>
      </c>
      <c r="DL189" t="s">
        <v>1454</v>
      </c>
      <c r="DM189" t="s">
        <v>1454</v>
      </c>
      <c r="DO189" t="s">
        <v>1454</v>
      </c>
      <c r="DP189" t="s">
        <v>1454</v>
      </c>
      <c r="DQ189" t="s">
        <v>1454</v>
      </c>
      <c r="DS189" t="s">
        <v>1454</v>
      </c>
      <c r="DT189" t="s">
        <v>1454</v>
      </c>
      <c r="DU189" t="s">
        <v>1454</v>
      </c>
      <c r="DW189" t="s">
        <v>1454</v>
      </c>
      <c r="DX189" t="s">
        <v>1454</v>
      </c>
      <c r="DY189" t="s">
        <v>1454</v>
      </c>
      <c r="EA189" t="s">
        <v>1454</v>
      </c>
      <c r="EB189" t="s">
        <v>1454</v>
      </c>
      <c r="EC189" t="s">
        <v>1454</v>
      </c>
      <c r="EE189" t="s">
        <v>1454</v>
      </c>
      <c r="EF189" t="s">
        <v>1454</v>
      </c>
      <c r="EG189" t="s">
        <v>1454</v>
      </c>
      <c r="EI189" t="s">
        <v>1454</v>
      </c>
      <c r="EJ189" t="s">
        <v>1454</v>
      </c>
      <c r="EK189" t="s">
        <v>1454</v>
      </c>
      <c r="EM189" t="s">
        <v>1454</v>
      </c>
      <c r="EN189" t="s">
        <v>1454</v>
      </c>
      <c r="EO189" t="s">
        <v>1454</v>
      </c>
      <c r="EQ189" t="s">
        <v>1454</v>
      </c>
      <c r="ER189" t="s">
        <v>1454</v>
      </c>
      <c r="ES189" t="s">
        <v>1454</v>
      </c>
      <c r="EU189" t="s">
        <v>1454</v>
      </c>
      <c r="EV189" t="s">
        <v>1454</v>
      </c>
      <c r="EW189" t="s">
        <v>1454</v>
      </c>
      <c r="EY189" t="s">
        <v>1454</v>
      </c>
      <c r="EZ189" t="s">
        <v>1454</v>
      </c>
      <c r="FA189" t="s">
        <v>1454</v>
      </c>
      <c r="FC189" t="s">
        <v>1454</v>
      </c>
      <c r="FD189" t="s">
        <v>1454</v>
      </c>
      <c r="FE189" t="s">
        <v>1454</v>
      </c>
      <c r="FG189" t="s">
        <v>1454</v>
      </c>
      <c r="FH189" t="s">
        <v>1454</v>
      </c>
      <c r="FI189" t="s">
        <v>1454</v>
      </c>
      <c r="FK189" t="s">
        <v>1454</v>
      </c>
      <c r="FL189" t="s">
        <v>1454</v>
      </c>
      <c r="FM189" t="s">
        <v>1454</v>
      </c>
      <c r="FO189" t="s">
        <v>1454</v>
      </c>
      <c r="FP189" t="s">
        <v>1454</v>
      </c>
      <c r="FQ189" t="s">
        <v>1454</v>
      </c>
      <c r="FS189" t="s">
        <v>1454</v>
      </c>
      <c r="FT189" t="s">
        <v>1454</v>
      </c>
      <c r="FU189" t="s">
        <v>1454</v>
      </c>
      <c r="FW189" t="s">
        <v>1454</v>
      </c>
      <c r="FX189" t="s">
        <v>1454</v>
      </c>
      <c r="FY189" t="s">
        <v>1454</v>
      </c>
      <c r="GA189" t="s">
        <v>1454</v>
      </c>
      <c r="GB189" t="s">
        <v>1454</v>
      </c>
      <c r="GC189" t="s">
        <v>1454</v>
      </c>
      <c r="GE189" t="s">
        <v>1454</v>
      </c>
      <c r="GF189" t="s">
        <v>1454</v>
      </c>
      <c r="GG189" t="s">
        <v>1454</v>
      </c>
      <c r="GI189" t="s">
        <v>1454</v>
      </c>
      <c r="GJ189" t="s">
        <v>1454</v>
      </c>
      <c r="GK189" t="s">
        <v>1454</v>
      </c>
      <c r="GM189" t="s">
        <v>1454</v>
      </c>
      <c r="GN189" t="s">
        <v>1454</v>
      </c>
      <c r="GO189" t="s">
        <v>1454</v>
      </c>
      <c r="GQ189" t="s">
        <v>1634</v>
      </c>
    </row>
    <row r="190" spans="2:199" x14ac:dyDescent="0.25">
      <c r="B190" t="s">
        <v>303</v>
      </c>
      <c r="C190" t="s">
        <v>1454</v>
      </c>
      <c r="D190" t="s">
        <v>1454</v>
      </c>
      <c r="E190" t="s">
        <v>1454</v>
      </c>
      <c r="G190" t="s">
        <v>1454</v>
      </c>
      <c r="H190" t="s">
        <v>1454</v>
      </c>
      <c r="I190" t="s">
        <v>1454</v>
      </c>
      <c r="K190" t="s">
        <v>1454</v>
      </c>
      <c r="L190" t="s">
        <v>1454</v>
      </c>
      <c r="M190" t="s">
        <v>1454</v>
      </c>
      <c r="O190" t="s">
        <v>1454</v>
      </c>
      <c r="P190" t="s">
        <v>1454</v>
      </c>
      <c r="Q190" t="s">
        <v>1454</v>
      </c>
      <c r="S190" t="s">
        <v>1454</v>
      </c>
      <c r="T190" t="s">
        <v>1454</v>
      </c>
      <c r="U190" t="s">
        <v>1454</v>
      </c>
      <c r="W190" t="s">
        <v>1454</v>
      </c>
      <c r="X190" t="s">
        <v>1454</v>
      </c>
      <c r="Y190" t="s">
        <v>1454</v>
      </c>
      <c r="AA190" t="s">
        <v>1454</v>
      </c>
      <c r="AB190" t="s">
        <v>1454</v>
      </c>
      <c r="AC190" t="s">
        <v>1454</v>
      </c>
      <c r="AE190" t="s">
        <v>1454</v>
      </c>
      <c r="AF190" t="s">
        <v>1454</v>
      </c>
      <c r="AG190" t="s">
        <v>1454</v>
      </c>
      <c r="AI190" t="s">
        <v>1454</v>
      </c>
      <c r="AJ190" t="s">
        <v>1454</v>
      </c>
      <c r="AK190" t="s">
        <v>1454</v>
      </c>
      <c r="AM190" t="s">
        <v>1454</v>
      </c>
      <c r="AN190" t="s">
        <v>1454</v>
      </c>
      <c r="AO190" t="s">
        <v>1454</v>
      </c>
      <c r="AQ190" t="s">
        <v>1454</v>
      </c>
      <c r="AR190" t="s">
        <v>1454</v>
      </c>
      <c r="AS190" t="s">
        <v>1454</v>
      </c>
      <c r="AU190" t="s">
        <v>1454</v>
      </c>
      <c r="AV190" t="s">
        <v>1454</v>
      </c>
      <c r="AW190" t="s">
        <v>1454</v>
      </c>
      <c r="AY190" t="s">
        <v>1454</v>
      </c>
      <c r="AZ190" t="s">
        <v>1454</v>
      </c>
      <c r="BA190" t="s">
        <v>1454</v>
      </c>
      <c r="BC190" t="s">
        <v>1454</v>
      </c>
      <c r="BD190" t="s">
        <v>1454</v>
      </c>
      <c r="BE190" t="s">
        <v>1454</v>
      </c>
      <c r="BG190" t="s">
        <v>1454</v>
      </c>
      <c r="BH190" t="s">
        <v>1454</v>
      </c>
      <c r="BI190" t="s">
        <v>1454</v>
      </c>
      <c r="BK190" t="s">
        <v>1454</v>
      </c>
      <c r="BL190" t="s">
        <v>1454</v>
      </c>
      <c r="BM190" t="s">
        <v>1454</v>
      </c>
      <c r="BO190" t="s">
        <v>1454</v>
      </c>
      <c r="BP190" t="s">
        <v>1454</v>
      </c>
      <c r="BQ190" t="s">
        <v>1454</v>
      </c>
      <c r="BS190" t="s">
        <v>1454</v>
      </c>
      <c r="BT190" t="s">
        <v>1454</v>
      </c>
      <c r="BU190" t="s">
        <v>1454</v>
      </c>
      <c r="BW190" t="s">
        <v>1454</v>
      </c>
      <c r="BX190" t="s">
        <v>1454</v>
      </c>
      <c r="BY190" t="s">
        <v>1454</v>
      </c>
      <c r="CA190" t="s">
        <v>1454</v>
      </c>
      <c r="CB190" t="s">
        <v>1454</v>
      </c>
      <c r="CC190" t="s">
        <v>1454</v>
      </c>
      <c r="CE190" t="s">
        <v>1454</v>
      </c>
      <c r="CF190" t="s">
        <v>1454</v>
      </c>
      <c r="CG190" t="s">
        <v>1454</v>
      </c>
      <c r="CI190" t="s">
        <v>1454</v>
      </c>
      <c r="CJ190" t="s">
        <v>1454</v>
      </c>
      <c r="CK190" t="s">
        <v>1454</v>
      </c>
      <c r="CM190" t="s">
        <v>1454</v>
      </c>
      <c r="CN190" t="s">
        <v>1454</v>
      </c>
      <c r="CO190" t="s">
        <v>1454</v>
      </c>
      <c r="CQ190" t="s">
        <v>1454</v>
      </c>
      <c r="CR190" t="s">
        <v>1454</v>
      </c>
      <c r="CS190" t="s">
        <v>1454</v>
      </c>
      <c r="CU190" t="s">
        <v>1454</v>
      </c>
      <c r="CV190" t="s">
        <v>1454</v>
      </c>
      <c r="CW190" t="s">
        <v>1454</v>
      </c>
      <c r="CY190" t="s">
        <v>1454</v>
      </c>
      <c r="CZ190" t="s">
        <v>1454</v>
      </c>
      <c r="DA190" t="s">
        <v>1454</v>
      </c>
      <c r="DC190" t="s">
        <v>1454</v>
      </c>
      <c r="DD190" t="s">
        <v>1454</v>
      </c>
      <c r="DE190" t="s">
        <v>1454</v>
      </c>
      <c r="DG190" t="s">
        <v>1454</v>
      </c>
      <c r="DH190" t="s">
        <v>1454</v>
      </c>
      <c r="DI190" t="s">
        <v>1454</v>
      </c>
      <c r="DK190" t="s">
        <v>630</v>
      </c>
      <c r="DL190" t="s">
        <v>1454</v>
      </c>
      <c r="DM190" t="s">
        <v>1454</v>
      </c>
      <c r="DO190" t="s">
        <v>1454</v>
      </c>
      <c r="DP190" t="s">
        <v>1454</v>
      </c>
      <c r="DQ190" t="s">
        <v>1454</v>
      </c>
      <c r="DS190" t="s">
        <v>1454</v>
      </c>
      <c r="DT190" t="s">
        <v>1454</v>
      </c>
      <c r="DU190" t="s">
        <v>1454</v>
      </c>
      <c r="DW190" t="s">
        <v>1454</v>
      </c>
      <c r="DX190" t="s">
        <v>1454</v>
      </c>
      <c r="DY190" t="s">
        <v>1454</v>
      </c>
      <c r="EA190" t="s">
        <v>1454</v>
      </c>
      <c r="EB190" t="s">
        <v>1454</v>
      </c>
      <c r="EC190" t="s">
        <v>1454</v>
      </c>
      <c r="EE190" t="s">
        <v>1454</v>
      </c>
      <c r="EF190" t="s">
        <v>1454</v>
      </c>
      <c r="EG190" t="s">
        <v>1454</v>
      </c>
      <c r="EI190" t="s">
        <v>1454</v>
      </c>
      <c r="EJ190" t="s">
        <v>1454</v>
      </c>
      <c r="EK190" t="s">
        <v>1454</v>
      </c>
      <c r="EM190" t="s">
        <v>1454</v>
      </c>
      <c r="EN190" t="s">
        <v>1454</v>
      </c>
      <c r="EO190" t="s">
        <v>1454</v>
      </c>
      <c r="EQ190" t="s">
        <v>1454</v>
      </c>
      <c r="ER190" t="s">
        <v>1454</v>
      </c>
      <c r="ES190" t="s">
        <v>1454</v>
      </c>
      <c r="EU190" t="s">
        <v>1454</v>
      </c>
      <c r="EV190" t="s">
        <v>1454</v>
      </c>
      <c r="EW190" t="s">
        <v>1454</v>
      </c>
      <c r="EY190" t="s">
        <v>1454</v>
      </c>
      <c r="EZ190" t="s">
        <v>1454</v>
      </c>
      <c r="FA190" t="s">
        <v>1454</v>
      </c>
      <c r="FC190" t="s">
        <v>1454</v>
      </c>
      <c r="FD190" t="s">
        <v>1454</v>
      </c>
      <c r="FE190" t="s">
        <v>1454</v>
      </c>
      <c r="FG190" t="s">
        <v>1454</v>
      </c>
      <c r="FH190" t="s">
        <v>1454</v>
      </c>
      <c r="FI190" t="s">
        <v>1454</v>
      </c>
      <c r="FK190" t="s">
        <v>1454</v>
      </c>
      <c r="FL190" t="s">
        <v>1454</v>
      </c>
      <c r="FM190" t="s">
        <v>1454</v>
      </c>
      <c r="FO190" t="s">
        <v>602</v>
      </c>
      <c r="FP190" t="s">
        <v>1454</v>
      </c>
      <c r="FQ190" t="s">
        <v>1454</v>
      </c>
      <c r="FS190" t="s">
        <v>1454</v>
      </c>
      <c r="FT190" t="s">
        <v>1454</v>
      </c>
      <c r="FU190" t="s">
        <v>1454</v>
      </c>
      <c r="FW190" t="s">
        <v>1454</v>
      </c>
      <c r="FX190" t="s">
        <v>1454</v>
      </c>
      <c r="FY190" t="s">
        <v>1454</v>
      </c>
      <c r="GA190" t="s">
        <v>1454</v>
      </c>
      <c r="GB190" t="s">
        <v>1454</v>
      </c>
      <c r="GC190" t="s">
        <v>1454</v>
      </c>
      <c r="GE190" t="s">
        <v>1454</v>
      </c>
      <c r="GF190" t="s">
        <v>1454</v>
      </c>
      <c r="GG190" t="s">
        <v>1454</v>
      </c>
      <c r="GI190" t="s">
        <v>1454</v>
      </c>
      <c r="GJ190" t="s">
        <v>1454</v>
      </c>
      <c r="GK190" t="s">
        <v>1454</v>
      </c>
      <c r="GM190" t="s">
        <v>1454</v>
      </c>
      <c r="GN190" t="s">
        <v>1454</v>
      </c>
      <c r="GO190" t="s">
        <v>1454</v>
      </c>
      <c r="GQ190" t="s">
        <v>1566</v>
      </c>
    </row>
    <row r="191" spans="2:199" s="11" customFormat="1" x14ac:dyDescent="0.25">
      <c r="B191" t="s">
        <v>305</v>
      </c>
      <c r="C191" t="s">
        <v>1454</v>
      </c>
      <c r="D191" t="s">
        <v>1454</v>
      </c>
      <c r="E191" t="s">
        <v>1454</v>
      </c>
      <c r="F191"/>
      <c r="G191" t="s">
        <v>1454</v>
      </c>
      <c r="H191" t="s">
        <v>1454</v>
      </c>
      <c r="I191" t="s">
        <v>1454</v>
      </c>
      <c r="J191"/>
      <c r="K191" t="s">
        <v>1454</v>
      </c>
      <c r="L191" t="s">
        <v>1454</v>
      </c>
      <c r="M191" t="s">
        <v>1454</v>
      </c>
      <c r="N191"/>
      <c r="O191" t="s">
        <v>1454</v>
      </c>
      <c r="P191" t="s">
        <v>1454</v>
      </c>
      <c r="Q191" t="s">
        <v>1454</v>
      </c>
      <c r="R191"/>
      <c r="S191" t="s">
        <v>1454</v>
      </c>
      <c r="T191" t="s">
        <v>1454</v>
      </c>
      <c r="U191" t="s">
        <v>1454</v>
      </c>
      <c r="V191"/>
      <c r="W191" t="s">
        <v>1454</v>
      </c>
      <c r="X191" t="s">
        <v>1454</v>
      </c>
      <c r="Y191" t="s">
        <v>1454</v>
      </c>
      <c r="Z191"/>
      <c r="AA191" t="s">
        <v>1454</v>
      </c>
      <c r="AB191" t="s">
        <v>1454</v>
      </c>
      <c r="AC191" t="s">
        <v>1454</v>
      </c>
      <c r="AD191"/>
      <c r="AE191" t="s">
        <v>1454</v>
      </c>
      <c r="AF191" t="s">
        <v>1454</v>
      </c>
      <c r="AG191" t="s">
        <v>1454</v>
      </c>
      <c r="AH191"/>
      <c r="AI191" t="s">
        <v>1454</v>
      </c>
      <c r="AJ191" t="s">
        <v>1454</v>
      </c>
      <c r="AK191" t="s">
        <v>1454</v>
      </c>
      <c r="AL191"/>
      <c r="AM191" t="s">
        <v>1454</v>
      </c>
      <c r="AN191" t="s">
        <v>1454</v>
      </c>
      <c r="AO191" t="s">
        <v>1454</v>
      </c>
      <c r="AP191"/>
      <c r="AQ191" t="s">
        <v>1454</v>
      </c>
      <c r="AR191" t="s">
        <v>1454</v>
      </c>
      <c r="AS191" t="s">
        <v>1454</v>
      </c>
      <c r="AT191"/>
      <c r="AU191" t="s">
        <v>1454</v>
      </c>
      <c r="AV191" t="s">
        <v>1454</v>
      </c>
      <c r="AW191" t="s">
        <v>1454</v>
      </c>
      <c r="AX191"/>
      <c r="AY191" t="s">
        <v>1454</v>
      </c>
      <c r="AZ191" t="s">
        <v>1454</v>
      </c>
      <c r="BA191" t="s">
        <v>1454</v>
      </c>
      <c r="BB191"/>
      <c r="BC191" t="s">
        <v>1454</v>
      </c>
      <c r="BD191" t="s">
        <v>1454</v>
      </c>
      <c r="BE191" t="s">
        <v>1454</v>
      </c>
      <c r="BF191"/>
      <c r="BG191" t="s">
        <v>1454</v>
      </c>
      <c r="BH191" t="s">
        <v>1454</v>
      </c>
      <c r="BI191" t="s">
        <v>1454</v>
      </c>
      <c r="BJ191"/>
      <c r="BK191" t="s">
        <v>1454</v>
      </c>
      <c r="BL191" t="s">
        <v>1454</v>
      </c>
      <c r="BM191" t="s">
        <v>1454</v>
      </c>
      <c r="BN191"/>
      <c r="BO191" t="s">
        <v>1454</v>
      </c>
      <c r="BP191" t="s">
        <v>1454</v>
      </c>
      <c r="BQ191" t="s">
        <v>1454</v>
      </c>
      <c r="BR191"/>
      <c r="BS191" t="s">
        <v>1454</v>
      </c>
      <c r="BT191" t="s">
        <v>1454</v>
      </c>
      <c r="BU191" t="s">
        <v>1454</v>
      </c>
      <c r="BV191"/>
      <c r="BW191" t="s">
        <v>1454</v>
      </c>
      <c r="BX191" t="s">
        <v>1454</v>
      </c>
      <c r="BY191" t="s">
        <v>1454</v>
      </c>
      <c r="BZ191"/>
      <c r="CA191" t="s">
        <v>1454</v>
      </c>
      <c r="CB191" t="s">
        <v>1454</v>
      </c>
      <c r="CC191" t="s">
        <v>1454</v>
      </c>
      <c r="CD191"/>
      <c r="CE191" t="s">
        <v>1454</v>
      </c>
      <c r="CF191" t="s">
        <v>1454</v>
      </c>
      <c r="CG191" t="s">
        <v>1454</v>
      </c>
      <c r="CH191"/>
      <c r="CI191" t="s">
        <v>1454</v>
      </c>
      <c r="CJ191" t="s">
        <v>1454</v>
      </c>
      <c r="CK191" t="s">
        <v>1454</v>
      </c>
      <c r="CL191"/>
      <c r="CM191" t="s">
        <v>1454</v>
      </c>
      <c r="CN191" t="s">
        <v>1454</v>
      </c>
      <c r="CO191" t="s">
        <v>1454</v>
      </c>
      <c r="CP191"/>
      <c r="CQ191" t="s">
        <v>1454</v>
      </c>
      <c r="CR191" t="s">
        <v>1454</v>
      </c>
      <c r="CS191" t="s">
        <v>1454</v>
      </c>
      <c r="CT191"/>
      <c r="CU191" t="s">
        <v>1454</v>
      </c>
      <c r="CV191" t="s">
        <v>1454</v>
      </c>
      <c r="CW191" t="s">
        <v>1454</v>
      </c>
      <c r="CX191"/>
      <c r="CY191" t="s">
        <v>1454</v>
      </c>
      <c r="CZ191" t="s">
        <v>1454</v>
      </c>
      <c r="DA191" t="s">
        <v>1454</v>
      </c>
      <c r="DB191"/>
      <c r="DC191" t="s">
        <v>1454</v>
      </c>
      <c r="DD191" t="s">
        <v>1454</v>
      </c>
      <c r="DE191" t="s">
        <v>1454</v>
      </c>
      <c r="DF191"/>
      <c r="DG191" t="s">
        <v>1454</v>
      </c>
      <c r="DH191" t="s">
        <v>1454</v>
      </c>
      <c r="DI191" t="s">
        <v>1454</v>
      </c>
      <c r="DJ191"/>
      <c r="DK191" t="s">
        <v>1454</v>
      </c>
      <c r="DL191" t="s">
        <v>1454</v>
      </c>
      <c r="DM191" t="s">
        <v>1454</v>
      </c>
      <c r="DN191"/>
      <c r="DO191" t="s">
        <v>1454</v>
      </c>
      <c r="DP191" t="s">
        <v>1454</v>
      </c>
      <c r="DQ191" t="s">
        <v>1454</v>
      </c>
      <c r="DR191"/>
      <c r="DS191" t="s">
        <v>1454</v>
      </c>
      <c r="DT191" t="s">
        <v>1454</v>
      </c>
      <c r="DU191" t="s">
        <v>1454</v>
      </c>
      <c r="DV191"/>
      <c r="DW191" t="s">
        <v>1454</v>
      </c>
      <c r="DX191" t="s">
        <v>1454</v>
      </c>
      <c r="DY191" t="s">
        <v>1454</v>
      </c>
      <c r="DZ191"/>
      <c r="EA191" t="s">
        <v>1454</v>
      </c>
      <c r="EB191" t="s">
        <v>1454</v>
      </c>
      <c r="EC191" t="s">
        <v>1454</v>
      </c>
      <c r="ED191"/>
      <c r="EE191" t="s">
        <v>1454</v>
      </c>
      <c r="EF191" t="s">
        <v>1454</v>
      </c>
      <c r="EG191" t="s">
        <v>1454</v>
      </c>
      <c r="EH191"/>
      <c r="EI191" t="s">
        <v>1454</v>
      </c>
      <c r="EJ191" t="s">
        <v>1454</v>
      </c>
      <c r="EK191" t="s">
        <v>1454</v>
      </c>
      <c r="EL191"/>
      <c r="EM191" t="s">
        <v>1454</v>
      </c>
      <c r="EN191" t="s">
        <v>1454</v>
      </c>
      <c r="EO191" t="s">
        <v>1454</v>
      </c>
      <c r="EP191"/>
      <c r="EQ191" t="s">
        <v>1454</v>
      </c>
      <c r="ER191" t="s">
        <v>1454</v>
      </c>
      <c r="ES191" t="s">
        <v>1454</v>
      </c>
      <c r="ET191"/>
      <c r="EU191" t="s">
        <v>1454</v>
      </c>
      <c r="EV191" t="s">
        <v>1454</v>
      </c>
      <c r="EW191" t="s">
        <v>1454</v>
      </c>
      <c r="EX191"/>
      <c r="EY191" t="s">
        <v>1454</v>
      </c>
      <c r="EZ191" t="s">
        <v>1454</v>
      </c>
      <c r="FA191" t="s">
        <v>1454</v>
      </c>
      <c r="FB191"/>
      <c r="FC191" t="s">
        <v>1454</v>
      </c>
      <c r="FD191" t="s">
        <v>1454</v>
      </c>
      <c r="FE191" t="s">
        <v>1454</v>
      </c>
      <c r="FF191"/>
      <c r="FG191" t="s">
        <v>1454</v>
      </c>
      <c r="FH191" t="s">
        <v>1454</v>
      </c>
      <c r="FI191" t="s">
        <v>1454</v>
      </c>
      <c r="FJ191"/>
      <c r="FK191" t="s">
        <v>1454</v>
      </c>
      <c r="FL191" t="s">
        <v>1454</v>
      </c>
      <c r="FM191" t="s">
        <v>1454</v>
      </c>
      <c r="FN191"/>
      <c r="FO191" t="s">
        <v>602</v>
      </c>
      <c r="FP191" t="s">
        <v>1454</v>
      </c>
      <c r="FQ191" t="s">
        <v>1454</v>
      </c>
      <c r="FR191"/>
      <c r="FS191" t="s">
        <v>1454</v>
      </c>
      <c r="FT191" t="s">
        <v>1454</v>
      </c>
      <c r="FU191" t="s">
        <v>1454</v>
      </c>
      <c r="FV191"/>
      <c r="FW191" t="s">
        <v>1454</v>
      </c>
      <c r="FX191" t="s">
        <v>1454</v>
      </c>
      <c r="FY191" t="s">
        <v>1454</v>
      </c>
      <c r="FZ191"/>
      <c r="GA191" t="s">
        <v>1454</v>
      </c>
      <c r="GB191" t="s">
        <v>1454</v>
      </c>
      <c r="GC191" t="s">
        <v>1454</v>
      </c>
      <c r="GD191"/>
      <c r="GE191" t="s">
        <v>1454</v>
      </c>
      <c r="GF191" t="s">
        <v>1454</v>
      </c>
      <c r="GG191" t="s">
        <v>1454</v>
      </c>
      <c r="GH191"/>
      <c r="GI191" t="s">
        <v>1454</v>
      </c>
      <c r="GJ191" t="s">
        <v>1454</v>
      </c>
      <c r="GK191" t="s">
        <v>1454</v>
      </c>
      <c r="GL191"/>
      <c r="GM191" t="s">
        <v>1454</v>
      </c>
      <c r="GN191" t="s">
        <v>1454</v>
      </c>
      <c r="GO191" t="s">
        <v>1454</v>
      </c>
      <c r="GP191"/>
      <c r="GQ191" t="s">
        <v>1477</v>
      </c>
    </row>
    <row r="192" spans="2:199" x14ac:dyDescent="0.25">
      <c r="B192" t="s">
        <v>596</v>
      </c>
      <c r="C192" t="s">
        <v>1454</v>
      </c>
      <c r="D192" t="s">
        <v>1454</v>
      </c>
      <c r="E192" t="s">
        <v>1454</v>
      </c>
      <c r="G192" t="s">
        <v>1454</v>
      </c>
      <c r="H192" t="s">
        <v>1454</v>
      </c>
      <c r="I192" t="s">
        <v>1454</v>
      </c>
      <c r="K192" t="s">
        <v>1454</v>
      </c>
      <c r="L192" t="s">
        <v>1454</v>
      </c>
      <c r="M192" t="s">
        <v>1454</v>
      </c>
      <c r="O192" t="s">
        <v>1454</v>
      </c>
      <c r="P192" t="s">
        <v>1454</v>
      </c>
      <c r="Q192" t="s">
        <v>1454</v>
      </c>
      <c r="S192" t="s">
        <v>1454</v>
      </c>
      <c r="T192" t="s">
        <v>1454</v>
      </c>
      <c r="U192" t="s">
        <v>1454</v>
      </c>
      <c r="W192" t="s">
        <v>1454</v>
      </c>
      <c r="X192" t="s">
        <v>1454</v>
      </c>
      <c r="Y192" t="s">
        <v>1454</v>
      </c>
      <c r="AA192" t="s">
        <v>1454</v>
      </c>
      <c r="AB192" t="s">
        <v>1454</v>
      </c>
      <c r="AC192" t="s">
        <v>1454</v>
      </c>
      <c r="AE192" t="s">
        <v>1454</v>
      </c>
      <c r="AF192" t="s">
        <v>1454</v>
      </c>
      <c r="AG192" t="s">
        <v>1454</v>
      </c>
      <c r="AI192" t="s">
        <v>1454</v>
      </c>
      <c r="AJ192" t="s">
        <v>1454</v>
      </c>
      <c r="AK192" t="s">
        <v>1454</v>
      </c>
      <c r="AM192" t="s">
        <v>1454</v>
      </c>
      <c r="AN192" t="s">
        <v>1454</v>
      </c>
      <c r="AO192" t="s">
        <v>1454</v>
      </c>
      <c r="AQ192" t="s">
        <v>1454</v>
      </c>
      <c r="AR192" t="s">
        <v>1454</v>
      </c>
      <c r="AS192" t="s">
        <v>1454</v>
      </c>
      <c r="AU192" t="s">
        <v>1454</v>
      </c>
      <c r="AV192" t="s">
        <v>1454</v>
      </c>
      <c r="AW192" t="s">
        <v>1454</v>
      </c>
      <c r="AY192" t="s">
        <v>1454</v>
      </c>
      <c r="AZ192" t="s">
        <v>1454</v>
      </c>
      <c r="BA192" t="s">
        <v>1454</v>
      </c>
      <c r="BC192" t="s">
        <v>1454</v>
      </c>
      <c r="BD192" t="s">
        <v>1454</v>
      </c>
      <c r="BE192" t="s">
        <v>1454</v>
      </c>
      <c r="BG192" t="s">
        <v>1454</v>
      </c>
      <c r="BH192" t="s">
        <v>1454</v>
      </c>
      <c r="BI192" t="s">
        <v>1454</v>
      </c>
      <c r="BK192" t="s">
        <v>617</v>
      </c>
      <c r="BL192" t="s">
        <v>1454</v>
      </c>
      <c r="BM192" t="s">
        <v>1454</v>
      </c>
      <c r="BO192" t="s">
        <v>1454</v>
      </c>
      <c r="BP192" t="s">
        <v>1454</v>
      </c>
      <c r="BQ192" t="s">
        <v>1454</v>
      </c>
      <c r="BS192" t="s">
        <v>1454</v>
      </c>
      <c r="BT192" t="s">
        <v>1454</v>
      </c>
      <c r="BU192" t="s">
        <v>1454</v>
      </c>
      <c r="BW192" t="s">
        <v>1454</v>
      </c>
      <c r="BX192" t="s">
        <v>1454</v>
      </c>
      <c r="BY192" t="s">
        <v>1454</v>
      </c>
      <c r="CA192" t="s">
        <v>1454</v>
      </c>
      <c r="CB192" t="s">
        <v>1454</v>
      </c>
      <c r="CC192" t="s">
        <v>1454</v>
      </c>
      <c r="CE192" t="s">
        <v>1454</v>
      </c>
      <c r="CF192" t="s">
        <v>1454</v>
      </c>
      <c r="CG192" t="s">
        <v>1454</v>
      </c>
      <c r="CI192" t="s">
        <v>1454</v>
      </c>
      <c r="CJ192" t="s">
        <v>1454</v>
      </c>
      <c r="CK192" t="s">
        <v>1454</v>
      </c>
      <c r="CM192" t="s">
        <v>1454</v>
      </c>
      <c r="CN192" t="s">
        <v>1454</v>
      </c>
      <c r="CO192" t="s">
        <v>1454</v>
      </c>
      <c r="CQ192" t="s">
        <v>1454</v>
      </c>
      <c r="CR192" t="s">
        <v>1454</v>
      </c>
      <c r="CS192" t="s">
        <v>1454</v>
      </c>
      <c r="CU192" t="s">
        <v>1454</v>
      </c>
      <c r="CV192" t="s">
        <v>1454</v>
      </c>
      <c r="CW192" t="s">
        <v>1454</v>
      </c>
      <c r="CY192" t="s">
        <v>1454</v>
      </c>
      <c r="CZ192" t="s">
        <v>1454</v>
      </c>
      <c r="DA192" t="s">
        <v>1454</v>
      </c>
      <c r="DC192" t="s">
        <v>1454</v>
      </c>
      <c r="DD192" t="s">
        <v>1454</v>
      </c>
      <c r="DE192" t="s">
        <v>1454</v>
      </c>
      <c r="DG192" t="s">
        <v>1454</v>
      </c>
      <c r="DH192" t="s">
        <v>1454</v>
      </c>
      <c r="DI192" t="s">
        <v>1454</v>
      </c>
      <c r="DK192" t="s">
        <v>630</v>
      </c>
      <c r="DL192" t="s">
        <v>1454</v>
      </c>
      <c r="DM192" t="s">
        <v>1454</v>
      </c>
      <c r="DO192" t="s">
        <v>1454</v>
      </c>
      <c r="DP192" t="s">
        <v>1454</v>
      </c>
      <c r="DQ192" t="s">
        <v>1454</v>
      </c>
      <c r="DS192" t="s">
        <v>1454</v>
      </c>
      <c r="DT192" t="s">
        <v>1454</v>
      </c>
      <c r="DU192" t="s">
        <v>1454</v>
      </c>
      <c r="DW192" t="s">
        <v>1454</v>
      </c>
      <c r="DX192" t="s">
        <v>1454</v>
      </c>
      <c r="DY192" t="s">
        <v>1454</v>
      </c>
      <c r="EA192" t="s">
        <v>1454</v>
      </c>
      <c r="EB192" t="s">
        <v>1454</v>
      </c>
      <c r="EC192" t="s">
        <v>1454</v>
      </c>
      <c r="EE192" t="s">
        <v>1454</v>
      </c>
      <c r="EF192" t="s">
        <v>1454</v>
      </c>
      <c r="EG192" t="s">
        <v>1454</v>
      </c>
      <c r="EI192" t="s">
        <v>1454</v>
      </c>
      <c r="EJ192" t="s">
        <v>1454</v>
      </c>
      <c r="EK192" t="s">
        <v>1454</v>
      </c>
      <c r="EM192" t="s">
        <v>1454</v>
      </c>
      <c r="EN192" t="s">
        <v>1454</v>
      </c>
      <c r="EO192" t="s">
        <v>1454</v>
      </c>
      <c r="EQ192" t="s">
        <v>1454</v>
      </c>
      <c r="ER192" t="s">
        <v>1454</v>
      </c>
      <c r="ES192" t="s">
        <v>1454</v>
      </c>
      <c r="EU192" t="s">
        <v>1454</v>
      </c>
      <c r="EV192" t="s">
        <v>1454</v>
      </c>
      <c r="EW192" t="s">
        <v>1454</v>
      </c>
      <c r="EY192" t="s">
        <v>1454</v>
      </c>
      <c r="EZ192" t="s">
        <v>1454</v>
      </c>
      <c r="FA192" t="s">
        <v>1454</v>
      </c>
      <c r="FC192" t="s">
        <v>1454</v>
      </c>
      <c r="FD192" t="s">
        <v>1454</v>
      </c>
      <c r="FE192" t="s">
        <v>1454</v>
      </c>
      <c r="FG192" t="s">
        <v>1454</v>
      </c>
      <c r="FH192" t="s">
        <v>1454</v>
      </c>
      <c r="FI192" t="s">
        <v>1454</v>
      </c>
      <c r="FK192" t="s">
        <v>1454</v>
      </c>
      <c r="FL192" t="s">
        <v>1454</v>
      </c>
      <c r="FM192" t="s">
        <v>1454</v>
      </c>
      <c r="FO192" t="s">
        <v>1454</v>
      </c>
      <c r="FP192" t="s">
        <v>1454</v>
      </c>
      <c r="FQ192" t="s">
        <v>1454</v>
      </c>
      <c r="FS192" t="s">
        <v>1454</v>
      </c>
      <c r="FT192" t="s">
        <v>1454</v>
      </c>
      <c r="FU192" t="s">
        <v>1454</v>
      </c>
      <c r="FW192" t="s">
        <v>1454</v>
      </c>
      <c r="FX192" t="s">
        <v>1454</v>
      </c>
      <c r="FY192" t="s">
        <v>1454</v>
      </c>
      <c r="GA192" t="s">
        <v>1454</v>
      </c>
      <c r="GB192" t="s">
        <v>1454</v>
      </c>
      <c r="GC192" t="s">
        <v>1454</v>
      </c>
      <c r="GE192" t="s">
        <v>1454</v>
      </c>
      <c r="GF192" t="s">
        <v>1454</v>
      </c>
      <c r="GG192" t="s">
        <v>1454</v>
      </c>
      <c r="GI192" t="s">
        <v>1454</v>
      </c>
      <c r="GJ192" t="s">
        <v>1454</v>
      </c>
      <c r="GK192" t="s">
        <v>1454</v>
      </c>
      <c r="GM192" t="s">
        <v>1454</v>
      </c>
      <c r="GN192" t="s">
        <v>1454</v>
      </c>
      <c r="GO192" t="s">
        <v>1454</v>
      </c>
      <c r="GQ192" t="s">
        <v>1635</v>
      </c>
    </row>
    <row r="193" spans="2:199" x14ac:dyDescent="0.25">
      <c r="B193" t="s">
        <v>307</v>
      </c>
      <c r="C193" t="s">
        <v>1454</v>
      </c>
      <c r="D193" t="s">
        <v>1454</v>
      </c>
      <c r="E193" t="s">
        <v>1454</v>
      </c>
      <c r="G193" t="s">
        <v>1454</v>
      </c>
      <c r="H193" t="s">
        <v>1454</v>
      </c>
      <c r="I193" t="s">
        <v>1454</v>
      </c>
      <c r="K193" t="s">
        <v>1454</v>
      </c>
      <c r="L193" t="s">
        <v>1454</v>
      </c>
      <c r="M193" t="s">
        <v>1454</v>
      </c>
      <c r="O193" t="s">
        <v>1454</v>
      </c>
      <c r="P193" t="s">
        <v>1454</v>
      </c>
      <c r="Q193" t="s">
        <v>1454</v>
      </c>
      <c r="S193" t="s">
        <v>1454</v>
      </c>
      <c r="T193" t="s">
        <v>1454</v>
      </c>
      <c r="U193" t="s">
        <v>1454</v>
      </c>
      <c r="W193" t="s">
        <v>1454</v>
      </c>
      <c r="X193" t="s">
        <v>1454</v>
      </c>
      <c r="Y193" t="s">
        <v>1454</v>
      </c>
      <c r="AA193" t="s">
        <v>1454</v>
      </c>
      <c r="AB193" t="s">
        <v>1454</v>
      </c>
      <c r="AC193" t="s">
        <v>1454</v>
      </c>
      <c r="AE193" t="s">
        <v>1454</v>
      </c>
      <c r="AF193" t="s">
        <v>1454</v>
      </c>
      <c r="AG193" t="s">
        <v>1454</v>
      </c>
      <c r="AI193" t="s">
        <v>1454</v>
      </c>
      <c r="AJ193" t="s">
        <v>1454</v>
      </c>
      <c r="AK193" t="s">
        <v>1454</v>
      </c>
      <c r="AM193" t="s">
        <v>1454</v>
      </c>
      <c r="AN193" t="s">
        <v>1454</v>
      </c>
      <c r="AO193" t="s">
        <v>1454</v>
      </c>
      <c r="AQ193" t="s">
        <v>1454</v>
      </c>
      <c r="AR193" t="s">
        <v>1454</v>
      </c>
      <c r="AS193" t="s">
        <v>1454</v>
      </c>
      <c r="AU193" t="s">
        <v>1454</v>
      </c>
      <c r="AV193" t="s">
        <v>1454</v>
      </c>
      <c r="AW193" t="s">
        <v>1454</v>
      </c>
      <c r="AY193" t="s">
        <v>1454</v>
      </c>
      <c r="AZ193" t="s">
        <v>1454</v>
      </c>
      <c r="BA193" t="s">
        <v>1454</v>
      </c>
      <c r="BC193" t="s">
        <v>1454</v>
      </c>
      <c r="BD193" t="s">
        <v>1454</v>
      </c>
      <c r="BE193" t="s">
        <v>1454</v>
      </c>
      <c r="BG193" t="s">
        <v>1454</v>
      </c>
      <c r="BH193" t="s">
        <v>1454</v>
      </c>
      <c r="BI193" t="s">
        <v>1454</v>
      </c>
      <c r="BK193" t="s">
        <v>1454</v>
      </c>
      <c r="BL193" t="s">
        <v>1454</v>
      </c>
      <c r="BM193" t="s">
        <v>1454</v>
      </c>
      <c r="BO193" t="s">
        <v>618</v>
      </c>
      <c r="BP193" t="s">
        <v>1454</v>
      </c>
      <c r="BQ193" t="s">
        <v>1454</v>
      </c>
      <c r="BS193" t="s">
        <v>1454</v>
      </c>
      <c r="BT193" t="s">
        <v>1454</v>
      </c>
      <c r="BU193" t="s">
        <v>1454</v>
      </c>
      <c r="BW193" t="s">
        <v>1454</v>
      </c>
      <c r="BX193" t="s">
        <v>1454</v>
      </c>
      <c r="BY193" t="s">
        <v>1454</v>
      </c>
      <c r="CA193" t="s">
        <v>1454</v>
      </c>
      <c r="CB193" t="s">
        <v>1454</v>
      </c>
      <c r="CC193" t="s">
        <v>1454</v>
      </c>
      <c r="CE193" t="s">
        <v>1454</v>
      </c>
      <c r="CF193" t="s">
        <v>1454</v>
      </c>
      <c r="CG193" t="s">
        <v>1454</v>
      </c>
      <c r="CI193" t="s">
        <v>623</v>
      </c>
      <c r="CJ193" t="s">
        <v>1454</v>
      </c>
      <c r="CK193" t="s">
        <v>1454</v>
      </c>
      <c r="CM193" t="s">
        <v>1454</v>
      </c>
      <c r="CN193" t="s">
        <v>1454</v>
      </c>
      <c r="CO193" t="s">
        <v>1454</v>
      </c>
      <c r="CQ193" t="s">
        <v>1454</v>
      </c>
      <c r="CR193" t="s">
        <v>1454</v>
      </c>
      <c r="CS193" t="s">
        <v>1454</v>
      </c>
      <c r="CU193" t="s">
        <v>1454</v>
      </c>
      <c r="CV193" t="s">
        <v>1454</v>
      </c>
      <c r="CW193" t="s">
        <v>1454</v>
      </c>
      <c r="CY193" t="s">
        <v>1454</v>
      </c>
      <c r="CZ193" t="s">
        <v>1454</v>
      </c>
      <c r="DA193" t="s">
        <v>1454</v>
      </c>
      <c r="DC193" t="s">
        <v>1454</v>
      </c>
      <c r="DD193" t="s">
        <v>1454</v>
      </c>
      <c r="DE193" t="s">
        <v>1454</v>
      </c>
      <c r="DG193" t="s">
        <v>1454</v>
      </c>
      <c r="DH193" t="s">
        <v>1454</v>
      </c>
      <c r="DI193" t="s">
        <v>1454</v>
      </c>
      <c r="DK193" t="s">
        <v>1454</v>
      </c>
      <c r="DL193" t="s">
        <v>1454</v>
      </c>
      <c r="DM193" t="s">
        <v>1454</v>
      </c>
      <c r="DO193" t="s">
        <v>1454</v>
      </c>
      <c r="DP193" t="s">
        <v>1454</v>
      </c>
      <c r="DQ193" t="s">
        <v>1454</v>
      </c>
      <c r="DS193" t="s">
        <v>1454</v>
      </c>
      <c r="DT193" t="s">
        <v>1454</v>
      </c>
      <c r="DU193" t="s">
        <v>1454</v>
      </c>
      <c r="DW193" t="s">
        <v>1454</v>
      </c>
      <c r="DX193" t="s">
        <v>1454</v>
      </c>
      <c r="DY193" t="s">
        <v>1454</v>
      </c>
      <c r="EA193" t="s">
        <v>1454</v>
      </c>
      <c r="EB193" t="s">
        <v>1454</v>
      </c>
      <c r="EC193" t="s">
        <v>1454</v>
      </c>
      <c r="EE193" t="s">
        <v>1454</v>
      </c>
      <c r="EF193" t="s">
        <v>1454</v>
      </c>
      <c r="EG193" t="s">
        <v>1454</v>
      </c>
      <c r="EI193" t="s">
        <v>1454</v>
      </c>
      <c r="EJ193" t="s">
        <v>1454</v>
      </c>
      <c r="EK193" t="s">
        <v>1454</v>
      </c>
      <c r="EM193" t="s">
        <v>1454</v>
      </c>
      <c r="EN193" t="s">
        <v>1454</v>
      </c>
      <c r="EO193" t="s">
        <v>1454</v>
      </c>
      <c r="EQ193" t="s">
        <v>1454</v>
      </c>
      <c r="ER193" t="s">
        <v>1454</v>
      </c>
      <c r="ES193" t="s">
        <v>1454</v>
      </c>
      <c r="EU193" t="s">
        <v>1454</v>
      </c>
      <c r="EV193" t="s">
        <v>1454</v>
      </c>
      <c r="EW193" t="s">
        <v>1454</v>
      </c>
      <c r="EY193" t="s">
        <v>1454</v>
      </c>
      <c r="EZ193" t="s">
        <v>1454</v>
      </c>
      <c r="FA193" t="s">
        <v>1454</v>
      </c>
      <c r="FC193" t="s">
        <v>1454</v>
      </c>
      <c r="FD193" t="s">
        <v>1454</v>
      </c>
      <c r="FE193" t="s">
        <v>1454</v>
      </c>
      <c r="FG193" t="s">
        <v>1454</v>
      </c>
      <c r="FH193" t="s">
        <v>1454</v>
      </c>
      <c r="FI193" t="s">
        <v>1454</v>
      </c>
      <c r="FK193" t="s">
        <v>1454</v>
      </c>
      <c r="FL193" t="s">
        <v>1454</v>
      </c>
      <c r="FM193" t="s">
        <v>1454</v>
      </c>
      <c r="FO193" t="s">
        <v>1454</v>
      </c>
      <c r="FP193" t="s">
        <v>1454</v>
      </c>
      <c r="FQ193" t="s">
        <v>1454</v>
      </c>
      <c r="FS193" t="s">
        <v>1454</v>
      </c>
      <c r="FT193" t="s">
        <v>1454</v>
      </c>
      <c r="FU193" t="s">
        <v>1454</v>
      </c>
      <c r="FW193" t="s">
        <v>1454</v>
      </c>
      <c r="FX193" t="s">
        <v>1454</v>
      </c>
      <c r="FY193" t="s">
        <v>1454</v>
      </c>
      <c r="GA193" t="s">
        <v>1454</v>
      </c>
      <c r="GB193" t="s">
        <v>1454</v>
      </c>
      <c r="GC193" t="s">
        <v>1454</v>
      </c>
      <c r="GE193" t="s">
        <v>1454</v>
      </c>
      <c r="GF193" t="s">
        <v>1454</v>
      </c>
      <c r="GG193" t="s">
        <v>1454</v>
      </c>
      <c r="GI193" t="s">
        <v>1454</v>
      </c>
      <c r="GJ193" t="s">
        <v>1454</v>
      </c>
      <c r="GK193" t="s">
        <v>1454</v>
      </c>
      <c r="GM193" t="s">
        <v>1454</v>
      </c>
      <c r="GN193" t="s">
        <v>1454</v>
      </c>
      <c r="GO193" t="s">
        <v>1454</v>
      </c>
      <c r="GQ193" t="s">
        <v>1636</v>
      </c>
    </row>
    <row r="194" spans="2:199" ht="16.5" customHeight="1" x14ac:dyDescent="0.25">
      <c r="B194" t="s">
        <v>309</v>
      </c>
      <c r="C194" t="s">
        <v>1454</v>
      </c>
      <c r="D194" t="s">
        <v>1454</v>
      </c>
      <c r="E194" t="s">
        <v>1454</v>
      </c>
      <c r="G194" t="s">
        <v>1454</v>
      </c>
      <c r="H194" t="s">
        <v>1454</v>
      </c>
      <c r="I194" t="s">
        <v>1454</v>
      </c>
      <c r="K194" t="s">
        <v>1454</v>
      </c>
      <c r="L194" t="s">
        <v>1454</v>
      </c>
      <c r="M194" t="s">
        <v>1454</v>
      </c>
      <c r="O194" t="s">
        <v>1454</v>
      </c>
      <c r="P194" t="s">
        <v>1454</v>
      </c>
      <c r="Q194" t="s">
        <v>1454</v>
      </c>
      <c r="S194" t="s">
        <v>1454</v>
      </c>
      <c r="T194" t="s">
        <v>1454</v>
      </c>
      <c r="U194" t="s">
        <v>1454</v>
      </c>
      <c r="W194" t="s">
        <v>1454</v>
      </c>
      <c r="X194" t="s">
        <v>1454</v>
      </c>
      <c r="Y194" t="s">
        <v>1454</v>
      </c>
      <c r="AA194" t="s">
        <v>1454</v>
      </c>
      <c r="AB194" t="s">
        <v>1454</v>
      </c>
      <c r="AC194" t="s">
        <v>1454</v>
      </c>
      <c r="AE194" t="s">
        <v>1454</v>
      </c>
      <c r="AF194" t="s">
        <v>1454</v>
      </c>
      <c r="AG194" t="s">
        <v>1454</v>
      </c>
      <c r="AI194" t="s">
        <v>1454</v>
      </c>
      <c r="AJ194" t="s">
        <v>1454</v>
      </c>
      <c r="AK194" t="s">
        <v>1454</v>
      </c>
      <c r="AM194" t="s">
        <v>1454</v>
      </c>
      <c r="AN194" t="s">
        <v>1454</v>
      </c>
      <c r="AO194" t="s">
        <v>1454</v>
      </c>
      <c r="AQ194" t="s">
        <v>1454</v>
      </c>
      <c r="AR194" t="s">
        <v>1454</v>
      </c>
      <c r="AS194" t="s">
        <v>1454</v>
      </c>
      <c r="AU194" t="s">
        <v>1454</v>
      </c>
      <c r="AV194" t="s">
        <v>1454</v>
      </c>
      <c r="AW194" t="s">
        <v>1454</v>
      </c>
      <c r="AY194" t="s">
        <v>1454</v>
      </c>
      <c r="AZ194" t="s">
        <v>1454</v>
      </c>
      <c r="BA194" t="s">
        <v>1454</v>
      </c>
      <c r="BC194" t="s">
        <v>1454</v>
      </c>
      <c r="BD194" t="s">
        <v>1454</v>
      </c>
      <c r="BE194" t="s">
        <v>1454</v>
      </c>
      <c r="BG194" t="s">
        <v>1454</v>
      </c>
      <c r="BH194" t="s">
        <v>1454</v>
      </c>
      <c r="BI194" t="s">
        <v>1454</v>
      </c>
      <c r="BK194" t="s">
        <v>1454</v>
      </c>
      <c r="BL194" t="s">
        <v>1454</v>
      </c>
      <c r="BM194" t="s">
        <v>1454</v>
      </c>
      <c r="BO194" t="s">
        <v>1454</v>
      </c>
      <c r="BP194" t="s">
        <v>1454</v>
      </c>
      <c r="BQ194" t="s">
        <v>1454</v>
      </c>
      <c r="BS194" t="s">
        <v>1454</v>
      </c>
      <c r="BT194" t="s">
        <v>1454</v>
      </c>
      <c r="BU194" t="s">
        <v>1454</v>
      </c>
      <c r="BW194" t="s">
        <v>1454</v>
      </c>
      <c r="BX194" t="s">
        <v>1454</v>
      </c>
      <c r="BY194" t="s">
        <v>1454</v>
      </c>
      <c r="CA194" t="s">
        <v>1454</v>
      </c>
      <c r="CB194" t="s">
        <v>1454</v>
      </c>
      <c r="CC194" t="s">
        <v>1454</v>
      </c>
      <c r="CE194" t="s">
        <v>1454</v>
      </c>
      <c r="CF194" t="s">
        <v>1454</v>
      </c>
      <c r="CG194" t="s">
        <v>1454</v>
      </c>
      <c r="CI194" t="s">
        <v>1454</v>
      </c>
      <c r="CJ194" t="s">
        <v>1454</v>
      </c>
      <c r="CK194" t="s">
        <v>1454</v>
      </c>
      <c r="CM194" t="s">
        <v>1454</v>
      </c>
      <c r="CN194" t="s">
        <v>1454</v>
      </c>
      <c r="CO194" t="s">
        <v>1454</v>
      </c>
      <c r="CQ194" t="s">
        <v>1454</v>
      </c>
      <c r="CR194" t="s">
        <v>1454</v>
      </c>
      <c r="CS194" t="s">
        <v>1454</v>
      </c>
      <c r="CU194" t="s">
        <v>1454</v>
      </c>
      <c r="CV194" t="s">
        <v>1454</v>
      </c>
      <c r="CW194" t="s">
        <v>1454</v>
      </c>
      <c r="CY194" t="s">
        <v>1454</v>
      </c>
      <c r="CZ194" t="s">
        <v>1454</v>
      </c>
      <c r="DA194" t="s">
        <v>1454</v>
      </c>
      <c r="DC194" t="s">
        <v>1454</v>
      </c>
      <c r="DD194" t="s">
        <v>1454</v>
      </c>
      <c r="DE194" t="s">
        <v>1454</v>
      </c>
      <c r="DG194" t="s">
        <v>1454</v>
      </c>
      <c r="DH194" t="s">
        <v>1454</v>
      </c>
      <c r="DI194" t="s">
        <v>1454</v>
      </c>
      <c r="DK194" t="s">
        <v>630</v>
      </c>
      <c r="DL194" t="s">
        <v>1454</v>
      </c>
      <c r="DM194" t="s">
        <v>1454</v>
      </c>
      <c r="DO194" t="s">
        <v>1454</v>
      </c>
      <c r="DP194" t="s">
        <v>1454</v>
      </c>
      <c r="DQ194" t="s">
        <v>1454</v>
      </c>
      <c r="DS194" t="s">
        <v>1454</v>
      </c>
      <c r="DT194" t="s">
        <v>1454</v>
      </c>
      <c r="DU194" t="s">
        <v>1454</v>
      </c>
      <c r="DW194" t="s">
        <v>1454</v>
      </c>
      <c r="DX194" t="s">
        <v>1454</v>
      </c>
      <c r="DY194" t="s">
        <v>1454</v>
      </c>
      <c r="EA194" t="s">
        <v>1454</v>
      </c>
      <c r="EB194" t="s">
        <v>1454</v>
      </c>
      <c r="EC194" t="s">
        <v>1454</v>
      </c>
      <c r="EE194" t="s">
        <v>1454</v>
      </c>
      <c r="EF194" t="s">
        <v>1454</v>
      </c>
      <c r="EG194" t="s">
        <v>1454</v>
      </c>
      <c r="EI194" t="s">
        <v>1454</v>
      </c>
      <c r="EJ194" t="s">
        <v>1454</v>
      </c>
      <c r="EK194" t="s">
        <v>1454</v>
      </c>
      <c r="EM194" t="s">
        <v>1454</v>
      </c>
      <c r="EN194" t="s">
        <v>1454</v>
      </c>
      <c r="EO194" t="s">
        <v>1454</v>
      </c>
      <c r="EQ194" t="s">
        <v>1454</v>
      </c>
      <c r="ER194" t="s">
        <v>1454</v>
      </c>
      <c r="ES194" t="s">
        <v>1454</v>
      </c>
      <c r="EU194" t="s">
        <v>1454</v>
      </c>
      <c r="EV194" t="s">
        <v>1454</v>
      </c>
      <c r="EW194" t="s">
        <v>1454</v>
      </c>
      <c r="EY194" t="s">
        <v>1454</v>
      </c>
      <c r="EZ194" t="s">
        <v>1454</v>
      </c>
      <c r="FA194" t="s">
        <v>1454</v>
      </c>
      <c r="FC194" t="s">
        <v>1454</v>
      </c>
      <c r="FD194" t="s">
        <v>1454</v>
      </c>
      <c r="FE194" t="s">
        <v>1454</v>
      </c>
      <c r="FG194" t="s">
        <v>1454</v>
      </c>
      <c r="FH194" t="s">
        <v>1454</v>
      </c>
      <c r="FI194" t="s">
        <v>1454</v>
      </c>
      <c r="FK194" t="s">
        <v>1454</v>
      </c>
      <c r="FL194" t="s">
        <v>1454</v>
      </c>
      <c r="FM194" t="s">
        <v>1454</v>
      </c>
      <c r="FO194" t="s">
        <v>602</v>
      </c>
      <c r="FP194" t="s">
        <v>1454</v>
      </c>
      <c r="FQ194" t="s">
        <v>1454</v>
      </c>
      <c r="FS194" t="s">
        <v>1454</v>
      </c>
      <c r="FT194" t="s">
        <v>1454</v>
      </c>
      <c r="FU194" t="s">
        <v>1454</v>
      </c>
      <c r="FW194" t="s">
        <v>1454</v>
      </c>
      <c r="FX194" t="s">
        <v>1454</v>
      </c>
      <c r="FY194" t="s">
        <v>1454</v>
      </c>
      <c r="GA194" t="s">
        <v>1454</v>
      </c>
      <c r="GB194" t="s">
        <v>1454</v>
      </c>
      <c r="GC194" t="s">
        <v>1454</v>
      </c>
      <c r="GE194" t="s">
        <v>1454</v>
      </c>
      <c r="GF194" t="s">
        <v>1454</v>
      </c>
      <c r="GG194" t="s">
        <v>1454</v>
      </c>
      <c r="GI194" t="s">
        <v>1454</v>
      </c>
      <c r="GJ194" t="s">
        <v>1454</v>
      </c>
      <c r="GK194" t="s">
        <v>1454</v>
      </c>
      <c r="GM194" t="s">
        <v>1454</v>
      </c>
      <c r="GN194" t="s">
        <v>1454</v>
      </c>
      <c r="GO194" t="s">
        <v>1454</v>
      </c>
      <c r="GQ194" t="s">
        <v>1566</v>
      </c>
    </row>
    <row r="195" spans="2:199" s="11" customFormat="1" x14ac:dyDescent="0.25">
      <c r="B195" t="s">
        <v>311</v>
      </c>
      <c r="C195" t="s">
        <v>1454</v>
      </c>
      <c r="D195" t="s">
        <v>1454</v>
      </c>
      <c r="E195" t="s">
        <v>1454</v>
      </c>
      <c r="F195"/>
      <c r="G195" t="s">
        <v>1454</v>
      </c>
      <c r="H195" t="s">
        <v>1454</v>
      </c>
      <c r="I195" t="s">
        <v>1454</v>
      </c>
      <c r="J195"/>
      <c r="K195" t="s">
        <v>1454</v>
      </c>
      <c r="L195" t="s">
        <v>1454</v>
      </c>
      <c r="M195" t="s">
        <v>1454</v>
      </c>
      <c r="N195"/>
      <c r="O195" t="s">
        <v>1454</v>
      </c>
      <c r="P195" t="s">
        <v>1454</v>
      </c>
      <c r="Q195" t="s">
        <v>1454</v>
      </c>
      <c r="R195"/>
      <c r="S195" t="s">
        <v>1454</v>
      </c>
      <c r="T195" t="s">
        <v>1454</v>
      </c>
      <c r="U195" t="s">
        <v>1454</v>
      </c>
      <c r="V195"/>
      <c r="W195" t="s">
        <v>1454</v>
      </c>
      <c r="X195" t="s">
        <v>1454</v>
      </c>
      <c r="Y195" t="s">
        <v>1454</v>
      </c>
      <c r="Z195"/>
      <c r="AA195" t="s">
        <v>1454</v>
      </c>
      <c r="AB195" t="s">
        <v>1454</v>
      </c>
      <c r="AC195" t="s">
        <v>1454</v>
      </c>
      <c r="AD195"/>
      <c r="AE195" t="s">
        <v>1454</v>
      </c>
      <c r="AF195" t="s">
        <v>1454</v>
      </c>
      <c r="AG195" t="s">
        <v>1454</v>
      </c>
      <c r="AH195"/>
      <c r="AI195" t="s">
        <v>1454</v>
      </c>
      <c r="AJ195" t="s">
        <v>1454</v>
      </c>
      <c r="AK195" t="s">
        <v>1454</v>
      </c>
      <c r="AL195"/>
      <c r="AM195" t="s">
        <v>1454</v>
      </c>
      <c r="AN195" t="s">
        <v>1454</v>
      </c>
      <c r="AO195" t="s">
        <v>1454</v>
      </c>
      <c r="AP195"/>
      <c r="AQ195" t="s">
        <v>1454</v>
      </c>
      <c r="AR195" t="s">
        <v>1454</v>
      </c>
      <c r="AS195" t="s">
        <v>1454</v>
      </c>
      <c r="AT195"/>
      <c r="AU195" t="s">
        <v>1454</v>
      </c>
      <c r="AV195" t="s">
        <v>1454</v>
      </c>
      <c r="AW195" t="s">
        <v>1454</v>
      </c>
      <c r="AX195"/>
      <c r="AY195" t="s">
        <v>1454</v>
      </c>
      <c r="AZ195" t="s">
        <v>1454</v>
      </c>
      <c r="BA195" t="s">
        <v>1454</v>
      </c>
      <c r="BB195"/>
      <c r="BC195" t="s">
        <v>1454</v>
      </c>
      <c r="BD195" t="s">
        <v>1454</v>
      </c>
      <c r="BE195" t="s">
        <v>1454</v>
      </c>
      <c r="BF195"/>
      <c r="BG195" t="s">
        <v>1454</v>
      </c>
      <c r="BH195" t="s">
        <v>1454</v>
      </c>
      <c r="BI195" t="s">
        <v>1454</v>
      </c>
      <c r="BJ195"/>
      <c r="BK195" t="s">
        <v>617</v>
      </c>
      <c r="BL195" t="s">
        <v>1454</v>
      </c>
      <c r="BM195" t="s">
        <v>1454</v>
      </c>
      <c r="BN195"/>
      <c r="BO195" t="s">
        <v>1454</v>
      </c>
      <c r="BP195" t="s">
        <v>1454</v>
      </c>
      <c r="BQ195" t="s">
        <v>1454</v>
      </c>
      <c r="BR195"/>
      <c r="BS195" t="s">
        <v>1454</v>
      </c>
      <c r="BT195" t="s">
        <v>1454</v>
      </c>
      <c r="BU195" t="s">
        <v>1454</v>
      </c>
      <c r="BV195"/>
      <c r="BW195" t="s">
        <v>1454</v>
      </c>
      <c r="BX195" t="s">
        <v>1454</v>
      </c>
      <c r="BY195" t="s">
        <v>1454</v>
      </c>
      <c r="BZ195"/>
      <c r="CA195" t="s">
        <v>1454</v>
      </c>
      <c r="CB195" t="s">
        <v>1454</v>
      </c>
      <c r="CC195" t="s">
        <v>1454</v>
      </c>
      <c r="CD195"/>
      <c r="CE195" t="s">
        <v>1454</v>
      </c>
      <c r="CF195" t="s">
        <v>1454</v>
      </c>
      <c r="CG195" t="s">
        <v>1454</v>
      </c>
      <c r="CH195"/>
      <c r="CI195" t="s">
        <v>1454</v>
      </c>
      <c r="CJ195" t="s">
        <v>1454</v>
      </c>
      <c r="CK195" t="s">
        <v>1454</v>
      </c>
      <c r="CL195"/>
      <c r="CM195" t="s">
        <v>1454</v>
      </c>
      <c r="CN195" t="s">
        <v>1454</v>
      </c>
      <c r="CO195" t="s">
        <v>1454</v>
      </c>
      <c r="CP195"/>
      <c r="CQ195" t="s">
        <v>1454</v>
      </c>
      <c r="CR195" t="s">
        <v>1454</v>
      </c>
      <c r="CS195" t="s">
        <v>1454</v>
      </c>
      <c r="CT195"/>
      <c r="CU195" t="s">
        <v>1454</v>
      </c>
      <c r="CV195" t="s">
        <v>1454</v>
      </c>
      <c r="CW195" t="s">
        <v>1454</v>
      </c>
      <c r="CX195"/>
      <c r="CY195" t="s">
        <v>1454</v>
      </c>
      <c r="CZ195" t="s">
        <v>1454</v>
      </c>
      <c r="DA195" t="s">
        <v>1454</v>
      </c>
      <c r="DB195"/>
      <c r="DC195" t="s">
        <v>1454</v>
      </c>
      <c r="DD195" t="s">
        <v>1454</v>
      </c>
      <c r="DE195" t="s">
        <v>1454</v>
      </c>
      <c r="DF195"/>
      <c r="DG195" t="s">
        <v>1454</v>
      </c>
      <c r="DH195" t="s">
        <v>1454</v>
      </c>
      <c r="DI195" t="s">
        <v>1454</v>
      </c>
      <c r="DJ195"/>
      <c r="DK195" t="s">
        <v>1454</v>
      </c>
      <c r="DL195" t="s">
        <v>1454</v>
      </c>
      <c r="DM195" t="s">
        <v>1454</v>
      </c>
      <c r="DN195"/>
      <c r="DO195" t="s">
        <v>1454</v>
      </c>
      <c r="DP195" t="s">
        <v>1454</v>
      </c>
      <c r="DQ195" t="s">
        <v>1454</v>
      </c>
      <c r="DR195"/>
      <c r="DS195" t="s">
        <v>1454</v>
      </c>
      <c r="DT195" t="s">
        <v>1454</v>
      </c>
      <c r="DU195" t="s">
        <v>1454</v>
      </c>
      <c r="DV195"/>
      <c r="DW195" t="s">
        <v>1454</v>
      </c>
      <c r="DX195" t="s">
        <v>1454</v>
      </c>
      <c r="DY195" t="s">
        <v>1454</v>
      </c>
      <c r="DZ195"/>
      <c r="EA195" t="s">
        <v>1454</v>
      </c>
      <c r="EB195" t="s">
        <v>1454</v>
      </c>
      <c r="EC195" t="s">
        <v>1454</v>
      </c>
      <c r="ED195"/>
      <c r="EE195" t="s">
        <v>1454</v>
      </c>
      <c r="EF195" t="s">
        <v>1454</v>
      </c>
      <c r="EG195" t="s">
        <v>1454</v>
      </c>
      <c r="EH195"/>
      <c r="EI195" t="s">
        <v>1454</v>
      </c>
      <c r="EJ195" t="s">
        <v>1454</v>
      </c>
      <c r="EK195" t="s">
        <v>1454</v>
      </c>
      <c r="EL195"/>
      <c r="EM195" t="s">
        <v>1454</v>
      </c>
      <c r="EN195" t="s">
        <v>1454</v>
      </c>
      <c r="EO195" t="s">
        <v>1454</v>
      </c>
      <c r="EP195"/>
      <c r="EQ195" t="s">
        <v>1454</v>
      </c>
      <c r="ER195" t="s">
        <v>1454</v>
      </c>
      <c r="ES195" t="s">
        <v>1454</v>
      </c>
      <c r="ET195"/>
      <c r="EU195" t="s">
        <v>1454</v>
      </c>
      <c r="EV195" t="s">
        <v>1454</v>
      </c>
      <c r="EW195" t="s">
        <v>1454</v>
      </c>
      <c r="EX195"/>
      <c r="EY195" t="s">
        <v>1454</v>
      </c>
      <c r="EZ195" t="s">
        <v>1454</v>
      </c>
      <c r="FA195" t="s">
        <v>1454</v>
      </c>
      <c r="FB195"/>
      <c r="FC195" t="s">
        <v>1454</v>
      </c>
      <c r="FD195" t="s">
        <v>1454</v>
      </c>
      <c r="FE195" t="s">
        <v>1454</v>
      </c>
      <c r="FF195"/>
      <c r="FG195" t="s">
        <v>1454</v>
      </c>
      <c r="FH195" t="s">
        <v>1454</v>
      </c>
      <c r="FI195" t="s">
        <v>1454</v>
      </c>
      <c r="FJ195"/>
      <c r="FK195" t="s">
        <v>1454</v>
      </c>
      <c r="FL195" t="s">
        <v>1454</v>
      </c>
      <c r="FM195" t="s">
        <v>1454</v>
      </c>
      <c r="FN195"/>
      <c r="FO195" t="s">
        <v>1454</v>
      </c>
      <c r="FP195" t="s">
        <v>1454</v>
      </c>
      <c r="FQ195" t="s">
        <v>1454</v>
      </c>
      <c r="FR195"/>
      <c r="FS195" t="s">
        <v>1454</v>
      </c>
      <c r="FT195" t="s">
        <v>1454</v>
      </c>
      <c r="FU195" t="s">
        <v>1454</v>
      </c>
      <c r="FV195"/>
      <c r="FW195" t="s">
        <v>1454</v>
      </c>
      <c r="FX195" t="s">
        <v>1454</v>
      </c>
      <c r="FY195" t="s">
        <v>1454</v>
      </c>
      <c r="FZ195"/>
      <c r="GA195" t="s">
        <v>1454</v>
      </c>
      <c r="GB195" t="s">
        <v>1454</v>
      </c>
      <c r="GC195" t="s">
        <v>1454</v>
      </c>
      <c r="GD195"/>
      <c r="GE195" t="s">
        <v>1454</v>
      </c>
      <c r="GF195" t="s">
        <v>1454</v>
      </c>
      <c r="GG195" t="s">
        <v>1454</v>
      </c>
      <c r="GH195"/>
      <c r="GI195" t="s">
        <v>1454</v>
      </c>
      <c r="GJ195" t="s">
        <v>1454</v>
      </c>
      <c r="GK195" t="s">
        <v>1454</v>
      </c>
      <c r="GL195"/>
      <c r="GM195" t="s">
        <v>1454</v>
      </c>
      <c r="GN195" t="s">
        <v>1454</v>
      </c>
      <c r="GO195" t="s">
        <v>1454</v>
      </c>
      <c r="GP195"/>
      <c r="GQ195" t="s">
        <v>1500</v>
      </c>
    </row>
    <row r="196" spans="2:199" x14ac:dyDescent="0.25">
      <c r="B196" t="s">
        <v>312</v>
      </c>
      <c r="C196" t="s">
        <v>1454</v>
      </c>
      <c r="D196" t="s">
        <v>1454</v>
      </c>
      <c r="E196" t="s">
        <v>1454</v>
      </c>
      <c r="G196" t="s">
        <v>1454</v>
      </c>
      <c r="H196" t="s">
        <v>1454</v>
      </c>
      <c r="I196" t="s">
        <v>1454</v>
      </c>
      <c r="K196" t="s">
        <v>1454</v>
      </c>
      <c r="L196" t="s">
        <v>1454</v>
      </c>
      <c r="M196" t="s">
        <v>1454</v>
      </c>
      <c r="O196" t="s">
        <v>1454</v>
      </c>
      <c r="P196" t="s">
        <v>1454</v>
      </c>
      <c r="Q196" t="s">
        <v>1454</v>
      </c>
      <c r="S196" t="s">
        <v>1454</v>
      </c>
      <c r="T196" t="s">
        <v>1454</v>
      </c>
      <c r="U196" t="s">
        <v>1454</v>
      </c>
      <c r="W196" t="s">
        <v>1454</v>
      </c>
      <c r="X196" t="s">
        <v>1454</v>
      </c>
      <c r="Y196" t="s">
        <v>1454</v>
      </c>
      <c r="AA196" t="s">
        <v>1454</v>
      </c>
      <c r="AB196" t="s">
        <v>1454</v>
      </c>
      <c r="AC196" t="s">
        <v>1454</v>
      </c>
      <c r="AE196" t="s">
        <v>1454</v>
      </c>
      <c r="AF196" t="s">
        <v>1454</v>
      </c>
      <c r="AG196" t="s">
        <v>1454</v>
      </c>
      <c r="AI196" t="s">
        <v>1454</v>
      </c>
      <c r="AJ196" t="s">
        <v>1454</v>
      </c>
      <c r="AK196" t="s">
        <v>1454</v>
      </c>
      <c r="AM196" t="s">
        <v>1454</v>
      </c>
      <c r="AN196" t="s">
        <v>1454</v>
      </c>
      <c r="AO196" t="s">
        <v>1454</v>
      </c>
      <c r="AQ196" t="s">
        <v>1454</v>
      </c>
      <c r="AR196" t="s">
        <v>1454</v>
      </c>
      <c r="AS196" t="s">
        <v>1454</v>
      </c>
      <c r="AU196" t="s">
        <v>1454</v>
      </c>
      <c r="AV196" t="s">
        <v>1454</v>
      </c>
      <c r="AW196" t="s">
        <v>1454</v>
      </c>
      <c r="AY196" t="s">
        <v>1454</v>
      </c>
      <c r="AZ196" t="s">
        <v>1454</v>
      </c>
      <c r="BA196" t="s">
        <v>1454</v>
      </c>
      <c r="BC196" t="s">
        <v>1454</v>
      </c>
      <c r="BD196" t="s">
        <v>1454</v>
      </c>
      <c r="BE196" t="s">
        <v>1454</v>
      </c>
      <c r="BG196" t="s">
        <v>1454</v>
      </c>
      <c r="BH196" t="s">
        <v>1454</v>
      </c>
      <c r="BI196" t="s">
        <v>1454</v>
      </c>
      <c r="BK196" t="s">
        <v>617</v>
      </c>
      <c r="BL196" t="s">
        <v>1454</v>
      </c>
      <c r="BM196" t="s">
        <v>1454</v>
      </c>
      <c r="BO196" t="s">
        <v>1454</v>
      </c>
      <c r="BP196" t="s">
        <v>1454</v>
      </c>
      <c r="BQ196" t="s">
        <v>1454</v>
      </c>
      <c r="BS196" t="s">
        <v>1454</v>
      </c>
      <c r="BT196" t="s">
        <v>1454</v>
      </c>
      <c r="BU196" t="s">
        <v>1454</v>
      </c>
      <c r="BW196" t="s">
        <v>1454</v>
      </c>
      <c r="BX196" t="s">
        <v>1454</v>
      </c>
      <c r="BY196" t="s">
        <v>1454</v>
      </c>
      <c r="CA196" t="s">
        <v>1454</v>
      </c>
      <c r="CB196" t="s">
        <v>1454</v>
      </c>
      <c r="CC196" t="s">
        <v>1454</v>
      </c>
      <c r="CE196" t="s">
        <v>1454</v>
      </c>
      <c r="CF196" t="s">
        <v>1454</v>
      </c>
      <c r="CG196" t="s">
        <v>1454</v>
      </c>
      <c r="CI196" t="s">
        <v>1454</v>
      </c>
      <c r="CJ196" t="s">
        <v>1454</v>
      </c>
      <c r="CK196" t="s">
        <v>1454</v>
      </c>
      <c r="CM196" t="s">
        <v>1454</v>
      </c>
      <c r="CN196" t="s">
        <v>1454</v>
      </c>
      <c r="CO196" t="s">
        <v>1454</v>
      </c>
      <c r="CQ196" t="s">
        <v>1454</v>
      </c>
      <c r="CR196" t="s">
        <v>1454</v>
      </c>
      <c r="CS196" t="s">
        <v>1454</v>
      </c>
      <c r="CU196" t="s">
        <v>1454</v>
      </c>
      <c r="CV196" t="s">
        <v>1454</v>
      </c>
      <c r="CW196" t="s">
        <v>1454</v>
      </c>
      <c r="CY196" t="s">
        <v>1454</v>
      </c>
      <c r="CZ196" t="s">
        <v>1454</v>
      </c>
      <c r="DA196" t="s">
        <v>1454</v>
      </c>
      <c r="DC196" t="s">
        <v>1454</v>
      </c>
      <c r="DD196" t="s">
        <v>1454</v>
      </c>
      <c r="DE196" t="s">
        <v>1454</v>
      </c>
      <c r="DG196" t="s">
        <v>1454</v>
      </c>
      <c r="DH196" t="s">
        <v>1454</v>
      </c>
      <c r="DI196" t="s">
        <v>1454</v>
      </c>
      <c r="DK196" t="s">
        <v>630</v>
      </c>
      <c r="DL196" t="s">
        <v>1454</v>
      </c>
      <c r="DM196" t="s">
        <v>1454</v>
      </c>
      <c r="DO196" t="s">
        <v>1454</v>
      </c>
      <c r="DP196" t="s">
        <v>1454</v>
      </c>
      <c r="DQ196" t="s">
        <v>1454</v>
      </c>
      <c r="DS196" t="s">
        <v>1454</v>
      </c>
      <c r="DT196" t="s">
        <v>1454</v>
      </c>
      <c r="DU196" t="s">
        <v>1454</v>
      </c>
      <c r="DW196" t="s">
        <v>1454</v>
      </c>
      <c r="DX196" t="s">
        <v>1454</v>
      </c>
      <c r="DY196" t="s">
        <v>1454</v>
      </c>
      <c r="EA196" t="s">
        <v>1454</v>
      </c>
      <c r="EB196" t="s">
        <v>1454</v>
      </c>
      <c r="EC196" t="s">
        <v>1454</v>
      </c>
      <c r="EE196" t="s">
        <v>1454</v>
      </c>
      <c r="EF196" t="s">
        <v>1454</v>
      </c>
      <c r="EG196" t="s">
        <v>1454</v>
      </c>
      <c r="EI196" t="s">
        <v>1454</v>
      </c>
      <c r="EJ196" t="s">
        <v>1454</v>
      </c>
      <c r="EK196" t="s">
        <v>1454</v>
      </c>
      <c r="EM196" t="s">
        <v>1454</v>
      </c>
      <c r="EN196" t="s">
        <v>1454</v>
      </c>
      <c r="EO196" t="s">
        <v>1454</v>
      </c>
      <c r="EQ196" t="s">
        <v>1454</v>
      </c>
      <c r="ER196" t="s">
        <v>1454</v>
      </c>
      <c r="ES196" t="s">
        <v>1454</v>
      </c>
      <c r="EU196" t="s">
        <v>1454</v>
      </c>
      <c r="EV196" t="s">
        <v>1454</v>
      </c>
      <c r="EW196" t="s">
        <v>1454</v>
      </c>
      <c r="EY196" t="s">
        <v>1454</v>
      </c>
      <c r="EZ196" t="s">
        <v>1454</v>
      </c>
      <c r="FA196" t="s">
        <v>1454</v>
      </c>
      <c r="FC196" t="s">
        <v>1454</v>
      </c>
      <c r="FD196" t="s">
        <v>1454</v>
      </c>
      <c r="FE196" t="s">
        <v>1454</v>
      </c>
      <c r="FG196" t="s">
        <v>1454</v>
      </c>
      <c r="FH196" t="s">
        <v>1454</v>
      </c>
      <c r="FI196" t="s">
        <v>1454</v>
      </c>
      <c r="FK196" t="s">
        <v>1454</v>
      </c>
      <c r="FL196" t="s">
        <v>1454</v>
      </c>
      <c r="FM196" t="s">
        <v>1454</v>
      </c>
      <c r="FO196" t="s">
        <v>1454</v>
      </c>
      <c r="FP196" t="s">
        <v>1454</v>
      </c>
      <c r="FQ196" t="s">
        <v>1454</v>
      </c>
      <c r="FS196" t="s">
        <v>1454</v>
      </c>
      <c r="FT196" t="s">
        <v>1454</v>
      </c>
      <c r="FU196" t="s">
        <v>1454</v>
      </c>
      <c r="FW196" t="s">
        <v>1454</v>
      </c>
      <c r="FX196" t="s">
        <v>1454</v>
      </c>
      <c r="FY196" t="s">
        <v>1454</v>
      </c>
      <c r="GA196" t="s">
        <v>1454</v>
      </c>
      <c r="GB196" t="s">
        <v>1454</v>
      </c>
      <c r="GC196" t="s">
        <v>1454</v>
      </c>
      <c r="GE196" t="s">
        <v>1454</v>
      </c>
      <c r="GF196" t="s">
        <v>1454</v>
      </c>
      <c r="GG196" t="s">
        <v>1454</v>
      </c>
      <c r="GI196" t="s">
        <v>1454</v>
      </c>
      <c r="GJ196" t="s">
        <v>1454</v>
      </c>
      <c r="GK196" t="s">
        <v>1454</v>
      </c>
      <c r="GM196" t="s">
        <v>1454</v>
      </c>
      <c r="GN196" t="s">
        <v>1454</v>
      </c>
      <c r="GO196" t="s">
        <v>1454</v>
      </c>
      <c r="GQ196" t="s">
        <v>1635</v>
      </c>
    </row>
    <row r="197" spans="2:199" x14ac:dyDescent="0.25">
      <c r="B197" t="s">
        <v>597</v>
      </c>
      <c r="C197" t="s">
        <v>1454</v>
      </c>
      <c r="D197" t="s">
        <v>1454</v>
      </c>
      <c r="E197" t="s">
        <v>1454</v>
      </c>
      <c r="G197" t="s">
        <v>1454</v>
      </c>
      <c r="H197" t="s">
        <v>1454</v>
      </c>
      <c r="I197" t="s">
        <v>1454</v>
      </c>
      <c r="K197" t="s">
        <v>1454</v>
      </c>
      <c r="L197" t="s">
        <v>1454</v>
      </c>
      <c r="M197" t="s">
        <v>1454</v>
      </c>
      <c r="O197" t="s">
        <v>1454</v>
      </c>
      <c r="P197" t="s">
        <v>1454</v>
      </c>
      <c r="Q197" t="s">
        <v>1454</v>
      </c>
      <c r="S197" t="s">
        <v>1454</v>
      </c>
      <c r="T197" t="s">
        <v>1454</v>
      </c>
      <c r="U197" t="s">
        <v>1454</v>
      </c>
      <c r="W197" t="s">
        <v>1454</v>
      </c>
      <c r="X197" t="s">
        <v>1454</v>
      </c>
      <c r="Y197" t="s">
        <v>1454</v>
      </c>
      <c r="AA197" t="s">
        <v>1454</v>
      </c>
      <c r="AB197" t="s">
        <v>1454</v>
      </c>
      <c r="AC197" t="s">
        <v>1454</v>
      </c>
      <c r="AE197" t="s">
        <v>1454</v>
      </c>
      <c r="AF197" t="s">
        <v>1454</v>
      </c>
      <c r="AG197" t="s">
        <v>1454</v>
      </c>
      <c r="AI197" t="s">
        <v>1454</v>
      </c>
      <c r="AJ197" t="s">
        <v>1454</v>
      </c>
      <c r="AK197" t="s">
        <v>1454</v>
      </c>
      <c r="AM197" t="s">
        <v>1454</v>
      </c>
      <c r="AN197" t="s">
        <v>1454</v>
      </c>
      <c r="AO197" t="s">
        <v>1454</v>
      </c>
      <c r="AQ197" t="s">
        <v>1454</v>
      </c>
      <c r="AR197" t="s">
        <v>1454</v>
      </c>
      <c r="AS197" t="s">
        <v>1454</v>
      </c>
      <c r="AU197" t="s">
        <v>1454</v>
      </c>
      <c r="AV197" t="s">
        <v>1454</v>
      </c>
      <c r="AW197" t="s">
        <v>1454</v>
      </c>
      <c r="AY197" t="s">
        <v>1454</v>
      </c>
      <c r="AZ197" t="s">
        <v>1454</v>
      </c>
      <c r="BA197" t="s">
        <v>1454</v>
      </c>
      <c r="BC197" t="s">
        <v>1454</v>
      </c>
      <c r="BD197" t="s">
        <v>1454</v>
      </c>
      <c r="BE197" t="s">
        <v>1454</v>
      </c>
      <c r="BG197" t="s">
        <v>1454</v>
      </c>
      <c r="BH197" t="s">
        <v>1454</v>
      </c>
      <c r="BI197" t="s">
        <v>1454</v>
      </c>
      <c r="BK197" t="s">
        <v>1454</v>
      </c>
      <c r="BL197" t="s">
        <v>1454</v>
      </c>
      <c r="BM197" t="s">
        <v>1454</v>
      </c>
      <c r="BO197" t="s">
        <v>618</v>
      </c>
      <c r="BP197" t="s">
        <v>1454</v>
      </c>
      <c r="BQ197" t="s">
        <v>1454</v>
      </c>
      <c r="BS197" t="s">
        <v>1454</v>
      </c>
      <c r="BT197" t="s">
        <v>1454</v>
      </c>
      <c r="BU197" t="s">
        <v>1454</v>
      </c>
      <c r="BW197" t="s">
        <v>1454</v>
      </c>
      <c r="BX197" t="s">
        <v>1454</v>
      </c>
      <c r="BY197" t="s">
        <v>1454</v>
      </c>
      <c r="CA197" t="s">
        <v>1454</v>
      </c>
      <c r="CB197" t="s">
        <v>1454</v>
      </c>
      <c r="CC197" t="s">
        <v>1454</v>
      </c>
      <c r="CE197" t="s">
        <v>1454</v>
      </c>
      <c r="CF197" t="s">
        <v>1454</v>
      </c>
      <c r="CG197" t="s">
        <v>1454</v>
      </c>
      <c r="CI197" t="s">
        <v>1454</v>
      </c>
      <c r="CJ197" t="s">
        <v>1454</v>
      </c>
      <c r="CK197" t="s">
        <v>1454</v>
      </c>
      <c r="CM197" t="s">
        <v>1454</v>
      </c>
      <c r="CN197" t="s">
        <v>1454</v>
      </c>
      <c r="CO197" t="s">
        <v>1454</v>
      </c>
      <c r="CQ197" t="s">
        <v>1454</v>
      </c>
      <c r="CR197" t="s">
        <v>1454</v>
      </c>
      <c r="CS197" t="s">
        <v>1454</v>
      </c>
      <c r="CU197" t="s">
        <v>1454</v>
      </c>
      <c r="CV197" t="s">
        <v>1454</v>
      </c>
      <c r="CW197" t="s">
        <v>1454</v>
      </c>
      <c r="CY197" t="s">
        <v>1454</v>
      </c>
      <c r="CZ197" t="s">
        <v>1454</v>
      </c>
      <c r="DA197" t="s">
        <v>1454</v>
      </c>
      <c r="DC197" t="s">
        <v>1454</v>
      </c>
      <c r="DD197" t="s">
        <v>1454</v>
      </c>
      <c r="DE197" t="s">
        <v>1454</v>
      </c>
      <c r="DG197" t="s">
        <v>1454</v>
      </c>
      <c r="DH197" t="s">
        <v>1454</v>
      </c>
      <c r="DI197" t="s">
        <v>1454</v>
      </c>
      <c r="DK197" t="s">
        <v>1454</v>
      </c>
      <c r="DL197" t="s">
        <v>1454</v>
      </c>
      <c r="DM197" t="s">
        <v>1454</v>
      </c>
      <c r="DO197" t="s">
        <v>1454</v>
      </c>
      <c r="DP197" t="s">
        <v>1454</v>
      </c>
      <c r="DQ197" t="s">
        <v>1454</v>
      </c>
      <c r="DS197" t="s">
        <v>1454</v>
      </c>
      <c r="DT197" t="s">
        <v>1454</v>
      </c>
      <c r="DU197" t="s">
        <v>1454</v>
      </c>
      <c r="DW197" t="s">
        <v>1454</v>
      </c>
      <c r="DX197" t="s">
        <v>1454</v>
      </c>
      <c r="DY197" t="s">
        <v>1454</v>
      </c>
      <c r="EA197" t="s">
        <v>1454</v>
      </c>
      <c r="EB197" t="s">
        <v>1454</v>
      </c>
      <c r="EC197" t="s">
        <v>1454</v>
      </c>
      <c r="EE197" t="s">
        <v>1454</v>
      </c>
      <c r="EF197" t="s">
        <v>1454</v>
      </c>
      <c r="EG197" t="s">
        <v>1454</v>
      </c>
      <c r="EI197" t="s">
        <v>1454</v>
      </c>
      <c r="EJ197" t="s">
        <v>1454</v>
      </c>
      <c r="EK197" t="s">
        <v>1454</v>
      </c>
      <c r="EM197" t="s">
        <v>1454</v>
      </c>
      <c r="EN197" t="s">
        <v>1454</v>
      </c>
      <c r="EO197" t="s">
        <v>1454</v>
      </c>
      <c r="EQ197" t="s">
        <v>1454</v>
      </c>
      <c r="ER197" t="s">
        <v>1454</v>
      </c>
      <c r="ES197" t="s">
        <v>1454</v>
      </c>
      <c r="EU197" t="s">
        <v>1454</v>
      </c>
      <c r="EV197" t="s">
        <v>1454</v>
      </c>
      <c r="EW197" t="s">
        <v>1454</v>
      </c>
      <c r="EY197" t="s">
        <v>1454</v>
      </c>
      <c r="EZ197" t="s">
        <v>1454</v>
      </c>
      <c r="FA197" t="s">
        <v>1454</v>
      </c>
      <c r="FC197" t="s">
        <v>1454</v>
      </c>
      <c r="FD197" t="s">
        <v>1454</v>
      </c>
      <c r="FE197" t="s">
        <v>1454</v>
      </c>
      <c r="FG197" t="s">
        <v>1454</v>
      </c>
      <c r="FH197" t="s">
        <v>1454</v>
      </c>
      <c r="FI197" t="s">
        <v>1454</v>
      </c>
      <c r="FK197" t="s">
        <v>1454</v>
      </c>
      <c r="FL197" t="s">
        <v>1454</v>
      </c>
      <c r="FM197" t="s">
        <v>1454</v>
      </c>
      <c r="FO197" t="s">
        <v>1454</v>
      </c>
      <c r="FP197" t="s">
        <v>1454</v>
      </c>
      <c r="FQ197" t="s">
        <v>1454</v>
      </c>
      <c r="FS197" t="s">
        <v>1454</v>
      </c>
      <c r="FT197" t="s">
        <v>1454</v>
      </c>
      <c r="FU197" t="s">
        <v>1454</v>
      </c>
      <c r="FW197" t="s">
        <v>1454</v>
      </c>
      <c r="FX197" t="s">
        <v>1454</v>
      </c>
      <c r="FY197" t="s">
        <v>1454</v>
      </c>
      <c r="GA197" t="s">
        <v>1454</v>
      </c>
      <c r="GB197" t="s">
        <v>1454</v>
      </c>
      <c r="GC197" t="s">
        <v>1454</v>
      </c>
      <c r="GE197" t="s">
        <v>1454</v>
      </c>
      <c r="GF197" t="s">
        <v>1454</v>
      </c>
      <c r="GG197" t="s">
        <v>1454</v>
      </c>
      <c r="GI197" t="s">
        <v>1454</v>
      </c>
      <c r="GJ197" t="s">
        <v>1454</v>
      </c>
      <c r="GK197" t="s">
        <v>1454</v>
      </c>
      <c r="GM197" t="s">
        <v>1454</v>
      </c>
      <c r="GN197" t="s">
        <v>1454</v>
      </c>
      <c r="GO197" t="s">
        <v>1454</v>
      </c>
      <c r="GQ197" t="s">
        <v>1503</v>
      </c>
    </row>
    <row r="198" spans="2:199" x14ac:dyDescent="0.25">
      <c r="B198" t="s">
        <v>314</v>
      </c>
      <c r="C198" t="s">
        <v>1454</v>
      </c>
      <c r="D198" t="s">
        <v>1454</v>
      </c>
      <c r="E198" t="s">
        <v>1454</v>
      </c>
      <c r="G198" t="s">
        <v>1454</v>
      </c>
      <c r="H198" t="s">
        <v>1454</v>
      </c>
      <c r="I198" t="s">
        <v>1454</v>
      </c>
      <c r="K198" t="s">
        <v>1454</v>
      </c>
      <c r="L198" t="s">
        <v>1454</v>
      </c>
      <c r="M198" t="s">
        <v>1454</v>
      </c>
      <c r="O198" t="s">
        <v>1454</v>
      </c>
      <c r="P198" t="s">
        <v>1454</v>
      </c>
      <c r="Q198" t="s">
        <v>1454</v>
      </c>
      <c r="S198" t="s">
        <v>606</v>
      </c>
      <c r="T198" t="s">
        <v>1454</v>
      </c>
      <c r="U198" t="s">
        <v>1454</v>
      </c>
      <c r="W198" t="s">
        <v>1454</v>
      </c>
      <c r="X198" t="s">
        <v>1454</v>
      </c>
      <c r="Y198" t="s">
        <v>1454</v>
      </c>
      <c r="AA198" t="s">
        <v>1454</v>
      </c>
      <c r="AB198" t="s">
        <v>1454</v>
      </c>
      <c r="AC198" t="s">
        <v>1454</v>
      </c>
      <c r="AE198" t="s">
        <v>1454</v>
      </c>
      <c r="AF198" t="s">
        <v>1454</v>
      </c>
      <c r="AG198" t="s">
        <v>1454</v>
      </c>
      <c r="AI198" t="s">
        <v>1454</v>
      </c>
      <c r="AJ198" t="s">
        <v>1454</v>
      </c>
      <c r="AK198" t="s">
        <v>1454</v>
      </c>
      <c r="AM198" t="s">
        <v>1454</v>
      </c>
      <c r="AN198" t="s">
        <v>1454</v>
      </c>
      <c r="AO198" t="s">
        <v>1454</v>
      </c>
      <c r="AQ198" t="s">
        <v>1454</v>
      </c>
      <c r="AR198" t="s">
        <v>1454</v>
      </c>
      <c r="AS198" t="s">
        <v>1454</v>
      </c>
      <c r="AU198" t="s">
        <v>1454</v>
      </c>
      <c r="AV198" t="s">
        <v>1454</v>
      </c>
      <c r="AW198" t="s">
        <v>1454</v>
      </c>
      <c r="AY198" t="s">
        <v>1454</v>
      </c>
      <c r="AZ198" t="s">
        <v>1454</v>
      </c>
      <c r="BA198" t="s">
        <v>1454</v>
      </c>
      <c r="BC198" t="s">
        <v>1454</v>
      </c>
      <c r="BD198" t="s">
        <v>1454</v>
      </c>
      <c r="BE198" t="s">
        <v>1454</v>
      </c>
      <c r="BG198" t="s">
        <v>1454</v>
      </c>
      <c r="BH198" t="s">
        <v>1454</v>
      </c>
      <c r="BI198" t="s">
        <v>1454</v>
      </c>
      <c r="BK198" t="s">
        <v>617</v>
      </c>
      <c r="BL198" t="s">
        <v>1454</v>
      </c>
      <c r="BM198" t="s">
        <v>1454</v>
      </c>
      <c r="BO198" t="s">
        <v>1454</v>
      </c>
      <c r="BP198" t="s">
        <v>1454</v>
      </c>
      <c r="BQ198" t="s">
        <v>1454</v>
      </c>
      <c r="BS198" t="s">
        <v>1454</v>
      </c>
      <c r="BT198" t="s">
        <v>1454</v>
      </c>
      <c r="BU198" t="s">
        <v>1454</v>
      </c>
      <c r="BW198" t="s">
        <v>1454</v>
      </c>
      <c r="BX198" t="s">
        <v>1454</v>
      </c>
      <c r="BY198" t="s">
        <v>1454</v>
      </c>
      <c r="CA198" t="s">
        <v>1454</v>
      </c>
      <c r="CB198" t="s">
        <v>1454</v>
      </c>
      <c r="CC198" t="s">
        <v>1454</v>
      </c>
      <c r="CE198" t="s">
        <v>1454</v>
      </c>
      <c r="CF198" t="s">
        <v>1454</v>
      </c>
      <c r="CG198" t="s">
        <v>1454</v>
      </c>
      <c r="CI198" t="s">
        <v>1454</v>
      </c>
      <c r="CJ198" t="s">
        <v>1454</v>
      </c>
      <c r="CK198" t="s">
        <v>1454</v>
      </c>
      <c r="CM198" t="s">
        <v>1454</v>
      </c>
      <c r="CN198" t="s">
        <v>1454</v>
      </c>
      <c r="CO198" t="s">
        <v>1454</v>
      </c>
      <c r="CQ198" t="s">
        <v>1454</v>
      </c>
      <c r="CR198" t="s">
        <v>1454</v>
      </c>
      <c r="CS198" t="s">
        <v>1454</v>
      </c>
      <c r="CU198" t="s">
        <v>1454</v>
      </c>
      <c r="CV198" t="s">
        <v>1454</v>
      </c>
      <c r="CW198" t="s">
        <v>1454</v>
      </c>
      <c r="CY198" t="s">
        <v>627</v>
      </c>
      <c r="CZ198" t="s">
        <v>1454</v>
      </c>
      <c r="DA198" t="s">
        <v>1454</v>
      </c>
      <c r="DC198" t="s">
        <v>1454</v>
      </c>
      <c r="DD198" t="s">
        <v>1454</v>
      </c>
      <c r="DE198" t="s">
        <v>1454</v>
      </c>
      <c r="DG198" t="s">
        <v>1454</v>
      </c>
      <c r="DH198" t="s">
        <v>1454</v>
      </c>
      <c r="DI198" t="s">
        <v>1454</v>
      </c>
      <c r="DK198" t="s">
        <v>1454</v>
      </c>
      <c r="DL198" t="s">
        <v>1454</v>
      </c>
      <c r="DM198" t="s">
        <v>1454</v>
      </c>
      <c r="DO198" t="s">
        <v>1454</v>
      </c>
      <c r="DP198" t="s">
        <v>1454</v>
      </c>
      <c r="DQ198" t="s">
        <v>1454</v>
      </c>
      <c r="DS198" t="s">
        <v>1454</v>
      </c>
      <c r="DT198" t="s">
        <v>1454</v>
      </c>
      <c r="DU198" t="s">
        <v>1454</v>
      </c>
      <c r="DW198" t="s">
        <v>1454</v>
      </c>
      <c r="DX198" t="s">
        <v>1454</v>
      </c>
      <c r="DY198" t="s">
        <v>1454</v>
      </c>
      <c r="EA198" t="s">
        <v>1454</v>
      </c>
      <c r="EB198" t="s">
        <v>1454</v>
      </c>
      <c r="EC198" t="s">
        <v>1454</v>
      </c>
      <c r="EE198" t="s">
        <v>1454</v>
      </c>
      <c r="EF198" t="s">
        <v>1454</v>
      </c>
      <c r="EG198" t="s">
        <v>1454</v>
      </c>
      <c r="EI198" t="s">
        <v>1454</v>
      </c>
      <c r="EJ198" t="s">
        <v>1454</v>
      </c>
      <c r="EK198" t="s">
        <v>1454</v>
      </c>
      <c r="EM198" t="s">
        <v>1454</v>
      </c>
      <c r="EN198" t="s">
        <v>1454</v>
      </c>
      <c r="EO198" t="s">
        <v>1454</v>
      </c>
      <c r="EQ198" t="s">
        <v>1454</v>
      </c>
      <c r="ER198" t="s">
        <v>1454</v>
      </c>
      <c r="ES198" t="s">
        <v>1454</v>
      </c>
      <c r="EU198" t="s">
        <v>1454</v>
      </c>
      <c r="EV198" t="s">
        <v>1454</v>
      </c>
      <c r="EW198" t="s">
        <v>1454</v>
      </c>
      <c r="EY198" t="s">
        <v>1454</v>
      </c>
      <c r="EZ198" t="s">
        <v>1454</v>
      </c>
      <c r="FA198" t="s">
        <v>1454</v>
      </c>
      <c r="FC198" t="s">
        <v>1454</v>
      </c>
      <c r="FD198" t="s">
        <v>1454</v>
      </c>
      <c r="FE198" t="s">
        <v>1454</v>
      </c>
      <c r="FG198" t="s">
        <v>1454</v>
      </c>
      <c r="FH198" t="s">
        <v>1454</v>
      </c>
      <c r="FI198" t="s">
        <v>1454</v>
      </c>
      <c r="FK198" t="s">
        <v>1454</v>
      </c>
      <c r="FL198" t="s">
        <v>1454</v>
      </c>
      <c r="FM198" t="s">
        <v>1454</v>
      </c>
      <c r="FO198" t="s">
        <v>1454</v>
      </c>
      <c r="FP198" t="s">
        <v>1454</v>
      </c>
      <c r="FQ198" t="s">
        <v>1454</v>
      </c>
      <c r="FS198" t="s">
        <v>1454</v>
      </c>
      <c r="FT198" t="s">
        <v>1454</v>
      </c>
      <c r="FU198" t="s">
        <v>1454</v>
      </c>
      <c r="FW198" t="s">
        <v>1454</v>
      </c>
      <c r="FX198" t="s">
        <v>1454</v>
      </c>
      <c r="FY198" t="s">
        <v>1454</v>
      </c>
      <c r="GA198" t="s">
        <v>1454</v>
      </c>
      <c r="GB198" t="s">
        <v>1454</v>
      </c>
      <c r="GC198" t="s">
        <v>1454</v>
      </c>
      <c r="GE198" t="s">
        <v>1454</v>
      </c>
      <c r="GF198" t="s">
        <v>1454</v>
      </c>
      <c r="GG198" t="s">
        <v>1454</v>
      </c>
      <c r="GI198" t="s">
        <v>1454</v>
      </c>
      <c r="GJ198" t="s">
        <v>1454</v>
      </c>
      <c r="GK198" t="s">
        <v>1454</v>
      </c>
      <c r="GM198" t="s">
        <v>1454</v>
      </c>
      <c r="GN198" t="s">
        <v>1454</v>
      </c>
      <c r="GO198" t="s">
        <v>1454</v>
      </c>
      <c r="GQ198" t="s">
        <v>1614</v>
      </c>
    </row>
    <row r="199" spans="2:199" s="11" customFormat="1" x14ac:dyDescent="0.25">
      <c r="B199" t="s">
        <v>315</v>
      </c>
      <c r="C199" t="s">
        <v>1454</v>
      </c>
      <c r="D199" t="s">
        <v>1454</v>
      </c>
      <c r="E199" t="s">
        <v>1454</v>
      </c>
      <c r="F199"/>
      <c r="G199" t="s">
        <v>1454</v>
      </c>
      <c r="H199" t="s">
        <v>1454</v>
      </c>
      <c r="I199" t="s">
        <v>1454</v>
      </c>
      <c r="J199"/>
      <c r="K199" t="s">
        <v>1454</v>
      </c>
      <c r="L199" t="s">
        <v>1454</v>
      </c>
      <c r="M199" t="s">
        <v>1454</v>
      </c>
      <c r="N199"/>
      <c r="O199" t="s">
        <v>1454</v>
      </c>
      <c r="P199" t="s">
        <v>1454</v>
      </c>
      <c r="Q199" t="s">
        <v>1454</v>
      </c>
      <c r="R199"/>
      <c r="S199" t="s">
        <v>1454</v>
      </c>
      <c r="T199" t="s">
        <v>1454</v>
      </c>
      <c r="U199" t="s">
        <v>1454</v>
      </c>
      <c r="V199"/>
      <c r="W199" t="s">
        <v>1454</v>
      </c>
      <c r="X199" t="s">
        <v>1454</v>
      </c>
      <c r="Y199" t="s">
        <v>1454</v>
      </c>
      <c r="Z199"/>
      <c r="AA199" t="s">
        <v>1454</v>
      </c>
      <c r="AB199" t="s">
        <v>1454</v>
      </c>
      <c r="AC199" t="s">
        <v>1454</v>
      </c>
      <c r="AD199"/>
      <c r="AE199" t="s">
        <v>1454</v>
      </c>
      <c r="AF199" t="s">
        <v>1454</v>
      </c>
      <c r="AG199" t="s">
        <v>1454</v>
      </c>
      <c r="AH199"/>
      <c r="AI199" t="s">
        <v>1454</v>
      </c>
      <c r="AJ199" t="s">
        <v>1454</v>
      </c>
      <c r="AK199" t="s">
        <v>1454</v>
      </c>
      <c r="AL199"/>
      <c r="AM199" t="s">
        <v>1454</v>
      </c>
      <c r="AN199" t="s">
        <v>1454</v>
      </c>
      <c r="AO199" t="s">
        <v>1454</v>
      </c>
      <c r="AP199"/>
      <c r="AQ199" t="s">
        <v>1454</v>
      </c>
      <c r="AR199" t="s">
        <v>1454</v>
      </c>
      <c r="AS199" t="s">
        <v>1454</v>
      </c>
      <c r="AT199"/>
      <c r="AU199" t="s">
        <v>1454</v>
      </c>
      <c r="AV199" t="s">
        <v>1454</v>
      </c>
      <c r="AW199" t="s">
        <v>1454</v>
      </c>
      <c r="AX199"/>
      <c r="AY199" t="s">
        <v>1454</v>
      </c>
      <c r="AZ199" t="s">
        <v>1454</v>
      </c>
      <c r="BA199" t="s">
        <v>1454</v>
      </c>
      <c r="BB199"/>
      <c r="BC199" t="s">
        <v>1454</v>
      </c>
      <c r="BD199" t="s">
        <v>1454</v>
      </c>
      <c r="BE199" t="s">
        <v>1454</v>
      </c>
      <c r="BF199"/>
      <c r="BG199" t="s">
        <v>1454</v>
      </c>
      <c r="BH199" t="s">
        <v>1454</v>
      </c>
      <c r="BI199" t="s">
        <v>1454</v>
      </c>
      <c r="BJ199"/>
      <c r="BK199" t="s">
        <v>1454</v>
      </c>
      <c r="BL199" t="s">
        <v>1454</v>
      </c>
      <c r="BM199" t="s">
        <v>1454</v>
      </c>
      <c r="BN199"/>
      <c r="BO199" t="s">
        <v>1454</v>
      </c>
      <c r="BP199" t="s">
        <v>1454</v>
      </c>
      <c r="BQ199" t="s">
        <v>1454</v>
      </c>
      <c r="BR199"/>
      <c r="BS199" t="s">
        <v>1454</v>
      </c>
      <c r="BT199" t="s">
        <v>1454</v>
      </c>
      <c r="BU199" t="s">
        <v>1454</v>
      </c>
      <c r="BV199"/>
      <c r="BW199" t="s">
        <v>1454</v>
      </c>
      <c r="BX199" t="s">
        <v>1454</v>
      </c>
      <c r="BY199" t="s">
        <v>1454</v>
      </c>
      <c r="BZ199"/>
      <c r="CA199" t="s">
        <v>1454</v>
      </c>
      <c r="CB199" t="s">
        <v>1454</v>
      </c>
      <c r="CC199" t="s">
        <v>1454</v>
      </c>
      <c r="CD199"/>
      <c r="CE199" t="s">
        <v>1454</v>
      </c>
      <c r="CF199" t="s">
        <v>1454</v>
      </c>
      <c r="CG199" t="s">
        <v>1454</v>
      </c>
      <c r="CH199"/>
      <c r="CI199" t="s">
        <v>623</v>
      </c>
      <c r="CJ199" t="s">
        <v>1454</v>
      </c>
      <c r="CK199" t="s">
        <v>1454</v>
      </c>
      <c r="CL199"/>
      <c r="CM199" t="s">
        <v>1454</v>
      </c>
      <c r="CN199" t="s">
        <v>1454</v>
      </c>
      <c r="CO199" t="s">
        <v>1454</v>
      </c>
      <c r="CP199"/>
      <c r="CQ199" t="s">
        <v>1454</v>
      </c>
      <c r="CR199" t="s">
        <v>1454</v>
      </c>
      <c r="CS199" t="s">
        <v>1454</v>
      </c>
      <c r="CT199"/>
      <c r="CU199" t="s">
        <v>1454</v>
      </c>
      <c r="CV199" t="s">
        <v>1454</v>
      </c>
      <c r="CW199" t="s">
        <v>1454</v>
      </c>
      <c r="CX199"/>
      <c r="CY199" t="s">
        <v>1454</v>
      </c>
      <c r="CZ199" t="s">
        <v>1454</v>
      </c>
      <c r="DA199" t="s">
        <v>1454</v>
      </c>
      <c r="DB199"/>
      <c r="DC199" t="s">
        <v>1454</v>
      </c>
      <c r="DD199" t="s">
        <v>1454</v>
      </c>
      <c r="DE199" t="s">
        <v>1454</v>
      </c>
      <c r="DF199"/>
      <c r="DG199" t="s">
        <v>1454</v>
      </c>
      <c r="DH199" t="s">
        <v>1454</v>
      </c>
      <c r="DI199" t="s">
        <v>1454</v>
      </c>
      <c r="DJ199"/>
      <c r="DK199" t="s">
        <v>1454</v>
      </c>
      <c r="DL199" t="s">
        <v>1454</v>
      </c>
      <c r="DM199" t="s">
        <v>1454</v>
      </c>
      <c r="DN199"/>
      <c r="DO199" t="s">
        <v>1454</v>
      </c>
      <c r="DP199" t="s">
        <v>1454</v>
      </c>
      <c r="DQ199" t="s">
        <v>1454</v>
      </c>
      <c r="DR199"/>
      <c r="DS199" t="s">
        <v>1454</v>
      </c>
      <c r="DT199" t="s">
        <v>1454</v>
      </c>
      <c r="DU199" t="s">
        <v>1454</v>
      </c>
      <c r="DV199"/>
      <c r="DW199" t="s">
        <v>1454</v>
      </c>
      <c r="DX199" t="s">
        <v>1454</v>
      </c>
      <c r="DY199" t="s">
        <v>1454</v>
      </c>
      <c r="DZ199"/>
      <c r="EA199" t="s">
        <v>1454</v>
      </c>
      <c r="EB199" t="s">
        <v>1454</v>
      </c>
      <c r="EC199" t="s">
        <v>1454</v>
      </c>
      <c r="ED199"/>
      <c r="EE199" t="s">
        <v>1454</v>
      </c>
      <c r="EF199" t="s">
        <v>1454</v>
      </c>
      <c r="EG199" t="s">
        <v>1454</v>
      </c>
      <c r="EH199"/>
      <c r="EI199" t="s">
        <v>1454</v>
      </c>
      <c r="EJ199" t="s">
        <v>1454</v>
      </c>
      <c r="EK199" t="s">
        <v>1454</v>
      </c>
      <c r="EL199"/>
      <c r="EM199" t="s">
        <v>1454</v>
      </c>
      <c r="EN199" t="s">
        <v>1454</v>
      </c>
      <c r="EO199" t="s">
        <v>1454</v>
      </c>
      <c r="EP199"/>
      <c r="EQ199" t="s">
        <v>1454</v>
      </c>
      <c r="ER199" t="s">
        <v>1454</v>
      </c>
      <c r="ES199" t="s">
        <v>1454</v>
      </c>
      <c r="ET199"/>
      <c r="EU199" t="s">
        <v>1454</v>
      </c>
      <c r="EV199" t="s">
        <v>1454</v>
      </c>
      <c r="EW199" t="s">
        <v>1454</v>
      </c>
      <c r="EX199"/>
      <c r="EY199" t="s">
        <v>1454</v>
      </c>
      <c r="EZ199" t="s">
        <v>1454</v>
      </c>
      <c r="FA199" t="s">
        <v>1454</v>
      </c>
      <c r="FB199"/>
      <c r="FC199" t="s">
        <v>1454</v>
      </c>
      <c r="FD199" t="s">
        <v>1454</v>
      </c>
      <c r="FE199" t="s">
        <v>1454</v>
      </c>
      <c r="FF199"/>
      <c r="FG199" t="s">
        <v>1454</v>
      </c>
      <c r="FH199" t="s">
        <v>1454</v>
      </c>
      <c r="FI199" t="s">
        <v>1454</v>
      </c>
      <c r="FJ199"/>
      <c r="FK199" t="s">
        <v>1454</v>
      </c>
      <c r="FL199" t="s">
        <v>1454</v>
      </c>
      <c r="FM199" t="s">
        <v>1454</v>
      </c>
      <c r="FN199"/>
      <c r="FO199" t="s">
        <v>1454</v>
      </c>
      <c r="FP199" t="s">
        <v>1454</v>
      </c>
      <c r="FQ199" t="s">
        <v>1454</v>
      </c>
      <c r="FR199"/>
      <c r="FS199" t="s">
        <v>1454</v>
      </c>
      <c r="FT199" t="s">
        <v>1454</v>
      </c>
      <c r="FU199" t="s">
        <v>1454</v>
      </c>
      <c r="FV199"/>
      <c r="FW199" t="s">
        <v>1454</v>
      </c>
      <c r="FX199" t="s">
        <v>1454</v>
      </c>
      <c r="FY199" t="s">
        <v>1454</v>
      </c>
      <c r="FZ199"/>
      <c r="GA199" t="s">
        <v>1454</v>
      </c>
      <c r="GB199" t="s">
        <v>1454</v>
      </c>
      <c r="GC199" t="s">
        <v>1454</v>
      </c>
      <c r="GD199"/>
      <c r="GE199" t="s">
        <v>1454</v>
      </c>
      <c r="GF199" t="s">
        <v>1454</v>
      </c>
      <c r="GG199" t="s">
        <v>1454</v>
      </c>
      <c r="GH199"/>
      <c r="GI199" t="s">
        <v>1454</v>
      </c>
      <c r="GJ199" t="s">
        <v>1454</v>
      </c>
      <c r="GK199" t="s">
        <v>1454</v>
      </c>
      <c r="GL199"/>
      <c r="GM199" t="s">
        <v>1454</v>
      </c>
      <c r="GN199" t="s">
        <v>1454</v>
      </c>
      <c r="GO199" t="s">
        <v>1454</v>
      </c>
      <c r="GP199"/>
      <c r="GQ199" t="s">
        <v>1611</v>
      </c>
    </row>
    <row r="200" spans="2:199" x14ac:dyDescent="0.25">
      <c r="B200" t="s">
        <v>317</v>
      </c>
      <c r="C200" t="s">
        <v>1454</v>
      </c>
      <c r="D200" t="s">
        <v>1454</v>
      </c>
      <c r="E200" t="s">
        <v>1454</v>
      </c>
      <c r="G200" t="s">
        <v>1454</v>
      </c>
      <c r="H200" t="s">
        <v>1454</v>
      </c>
      <c r="I200" t="s">
        <v>1454</v>
      </c>
      <c r="K200" t="s">
        <v>1454</v>
      </c>
      <c r="L200" t="s">
        <v>1454</v>
      </c>
      <c r="M200" t="s">
        <v>1454</v>
      </c>
      <c r="O200" t="s">
        <v>1454</v>
      </c>
      <c r="P200" t="s">
        <v>1454</v>
      </c>
      <c r="Q200" t="s">
        <v>1454</v>
      </c>
      <c r="S200" t="s">
        <v>1454</v>
      </c>
      <c r="T200" t="s">
        <v>1454</v>
      </c>
      <c r="U200" t="s">
        <v>1454</v>
      </c>
      <c r="W200" t="s">
        <v>1454</v>
      </c>
      <c r="X200" t="s">
        <v>1454</v>
      </c>
      <c r="Y200" t="s">
        <v>1454</v>
      </c>
      <c r="AA200" t="s">
        <v>1454</v>
      </c>
      <c r="AB200" t="s">
        <v>1454</v>
      </c>
      <c r="AC200" t="s">
        <v>1454</v>
      </c>
      <c r="AE200" t="s">
        <v>1454</v>
      </c>
      <c r="AF200" t="s">
        <v>1454</v>
      </c>
      <c r="AG200" t="s">
        <v>1454</v>
      </c>
      <c r="AI200" t="s">
        <v>1454</v>
      </c>
      <c r="AJ200" t="s">
        <v>1454</v>
      </c>
      <c r="AK200" t="s">
        <v>1454</v>
      </c>
      <c r="AM200" t="s">
        <v>1454</v>
      </c>
      <c r="AN200" t="s">
        <v>1454</v>
      </c>
      <c r="AO200" t="s">
        <v>1454</v>
      </c>
      <c r="AQ200" t="s">
        <v>1454</v>
      </c>
      <c r="AR200" t="s">
        <v>1454</v>
      </c>
      <c r="AS200" t="s">
        <v>1454</v>
      </c>
      <c r="AU200" t="s">
        <v>1454</v>
      </c>
      <c r="AV200" t="s">
        <v>1454</v>
      </c>
      <c r="AW200" t="s">
        <v>1454</v>
      </c>
      <c r="AY200" t="s">
        <v>1454</v>
      </c>
      <c r="AZ200" t="s">
        <v>1454</v>
      </c>
      <c r="BA200" t="s">
        <v>1454</v>
      </c>
      <c r="BC200" t="s">
        <v>1454</v>
      </c>
      <c r="BD200" t="s">
        <v>1454</v>
      </c>
      <c r="BE200" t="s">
        <v>1454</v>
      </c>
      <c r="BG200" t="s">
        <v>1454</v>
      </c>
      <c r="BH200" t="s">
        <v>1454</v>
      </c>
      <c r="BI200" t="s">
        <v>1454</v>
      </c>
      <c r="BK200" t="s">
        <v>1454</v>
      </c>
      <c r="BL200" t="s">
        <v>1454</v>
      </c>
      <c r="BM200" t="s">
        <v>1454</v>
      </c>
      <c r="BO200" t="s">
        <v>1454</v>
      </c>
      <c r="BP200" t="s">
        <v>1454</v>
      </c>
      <c r="BQ200" t="s">
        <v>1454</v>
      </c>
      <c r="BS200" t="s">
        <v>1454</v>
      </c>
      <c r="BT200" t="s">
        <v>1454</v>
      </c>
      <c r="BU200" t="s">
        <v>1454</v>
      </c>
      <c r="BW200" t="s">
        <v>1454</v>
      </c>
      <c r="BX200" t="s">
        <v>1454</v>
      </c>
      <c r="BY200" t="s">
        <v>1454</v>
      </c>
      <c r="CA200" t="s">
        <v>1454</v>
      </c>
      <c r="CB200" t="s">
        <v>1454</v>
      </c>
      <c r="CC200" t="s">
        <v>1454</v>
      </c>
      <c r="CE200" t="s">
        <v>1454</v>
      </c>
      <c r="CF200" t="s">
        <v>1454</v>
      </c>
      <c r="CG200" t="s">
        <v>1454</v>
      </c>
      <c r="CI200" t="s">
        <v>1454</v>
      </c>
      <c r="CJ200" t="s">
        <v>1454</v>
      </c>
      <c r="CK200" t="s">
        <v>1454</v>
      </c>
      <c r="CM200" t="s">
        <v>1454</v>
      </c>
      <c r="CN200" t="s">
        <v>1454</v>
      </c>
      <c r="CO200" t="s">
        <v>1454</v>
      </c>
      <c r="CQ200" t="s">
        <v>1454</v>
      </c>
      <c r="CR200" t="s">
        <v>1454</v>
      </c>
      <c r="CS200" t="s">
        <v>1454</v>
      </c>
      <c r="CU200" t="s">
        <v>1454</v>
      </c>
      <c r="CV200" t="s">
        <v>1454</v>
      </c>
      <c r="CW200" t="s">
        <v>1454</v>
      </c>
      <c r="CY200" t="s">
        <v>1454</v>
      </c>
      <c r="CZ200" t="s">
        <v>1454</v>
      </c>
      <c r="DA200" t="s">
        <v>1454</v>
      </c>
      <c r="DC200" t="s">
        <v>1454</v>
      </c>
      <c r="DD200" t="s">
        <v>1454</v>
      </c>
      <c r="DE200" t="s">
        <v>1454</v>
      </c>
      <c r="DG200" t="s">
        <v>1454</v>
      </c>
      <c r="DH200" t="s">
        <v>1454</v>
      </c>
      <c r="DI200" t="s">
        <v>1454</v>
      </c>
      <c r="DK200" t="s">
        <v>630</v>
      </c>
      <c r="DL200" t="s">
        <v>1454</v>
      </c>
      <c r="DM200" t="s">
        <v>1454</v>
      </c>
      <c r="DO200" t="s">
        <v>1454</v>
      </c>
      <c r="DP200" t="s">
        <v>1454</v>
      </c>
      <c r="DQ200" t="s">
        <v>1454</v>
      </c>
      <c r="DS200" t="s">
        <v>1454</v>
      </c>
      <c r="DT200" t="s">
        <v>1454</v>
      </c>
      <c r="DU200" t="s">
        <v>1454</v>
      </c>
      <c r="DW200" t="s">
        <v>1454</v>
      </c>
      <c r="DX200" t="s">
        <v>1454</v>
      </c>
      <c r="DY200" t="s">
        <v>1454</v>
      </c>
      <c r="EA200" t="s">
        <v>1454</v>
      </c>
      <c r="EB200" t="s">
        <v>1454</v>
      </c>
      <c r="EC200" t="s">
        <v>1454</v>
      </c>
      <c r="EE200" t="s">
        <v>1454</v>
      </c>
      <c r="EF200" t="s">
        <v>1454</v>
      </c>
      <c r="EG200" t="s">
        <v>1454</v>
      </c>
      <c r="EI200" t="s">
        <v>1454</v>
      </c>
      <c r="EJ200" t="s">
        <v>1454</v>
      </c>
      <c r="EK200" t="s">
        <v>1454</v>
      </c>
      <c r="EM200" t="s">
        <v>1454</v>
      </c>
      <c r="EN200" t="s">
        <v>1454</v>
      </c>
      <c r="EO200" t="s">
        <v>1454</v>
      </c>
      <c r="EQ200" t="s">
        <v>1454</v>
      </c>
      <c r="ER200" t="s">
        <v>1454</v>
      </c>
      <c r="ES200" t="s">
        <v>1454</v>
      </c>
      <c r="EU200" t="s">
        <v>1454</v>
      </c>
      <c r="EV200" t="s">
        <v>1454</v>
      </c>
      <c r="EW200" t="s">
        <v>1454</v>
      </c>
      <c r="EY200" t="s">
        <v>1454</v>
      </c>
      <c r="EZ200" t="s">
        <v>1454</v>
      </c>
      <c r="FA200" t="s">
        <v>1454</v>
      </c>
      <c r="FC200" t="s">
        <v>1454</v>
      </c>
      <c r="FD200" t="s">
        <v>1454</v>
      </c>
      <c r="FE200" t="s">
        <v>1454</v>
      </c>
      <c r="FG200" t="s">
        <v>1454</v>
      </c>
      <c r="FH200" t="s">
        <v>1454</v>
      </c>
      <c r="FI200" t="s">
        <v>1454</v>
      </c>
      <c r="FK200" t="s">
        <v>1454</v>
      </c>
      <c r="FL200" t="s">
        <v>1454</v>
      </c>
      <c r="FM200" t="s">
        <v>1454</v>
      </c>
      <c r="FO200" t="s">
        <v>602</v>
      </c>
      <c r="FP200" t="s">
        <v>1454</v>
      </c>
      <c r="FQ200" t="s">
        <v>1454</v>
      </c>
      <c r="FS200" t="s">
        <v>1454</v>
      </c>
      <c r="FT200" t="s">
        <v>1454</v>
      </c>
      <c r="FU200" t="s">
        <v>1454</v>
      </c>
      <c r="FW200" t="s">
        <v>1454</v>
      </c>
      <c r="FX200" t="s">
        <v>1454</v>
      </c>
      <c r="FY200" t="s">
        <v>1454</v>
      </c>
      <c r="GA200" t="s">
        <v>1454</v>
      </c>
      <c r="GB200" t="s">
        <v>1454</v>
      </c>
      <c r="GC200" t="s">
        <v>1454</v>
      </c>
      <c r="GE200" t="s">
        <v>1454</v>
      </c>
      <c r="GF200" t="s">
        <v>1454</v>
      </c>
      <c r="GG200" t="s">
        <v>1454</v>
      </c>
      <c r="GI200" t="s">
        <v>1454</v>
      </c>
      <c r="GJ200" t="s">
        <v>1454</v>
      </c>
      <c r="GK200" t="s">
        <v>1454</v>
      </c>
      <c r="GM200" t="s">
        <v>1454</v>
      </c>
      <c r="GN200" t="s">
        <v>1454</v>
      </c>
      <c r="GO200" t="s">
        <v>1454</v>
      </c>
      <c r="GQ200" t="s">
        <v>1566</v>
      </c>
    </row>
    <row r="201" spans="2:199" x14ac:dyDescent="0.25">
      <c r="B201" t="s">
        <v>319</v>
      </c>
      <c r="C201" t="s">
        <v>1454</v>
      </c>
      <c r="D201" t="s">
        <v>1454</v>
      </c>
      <c r="E201" t="s">
        <v>1454</v>
      </c>
      <c r="G201" t="s">
        <v>1454</v>
      </c>
      <c r="H201" t="s">
        <v>1454</v>
      </c>
      <c r="I201" t="s">
        <v>1454</v>
      </c>
      <c r="K201" t="s">
        <v>1454</v>
      </c>
      <c r="L201" t="s">
        <v>1454</v>
      </c>
      <c r="M201" t="s">
        <v>1454</v>
      </c>
      <c r="O201" t="s">
        <v>1454</v>
      </c>
      <c r="P201" t="s">
        <v>1454</v>
      </c>
      <c r="Q201" t="s">
        <v>1454</v>
      </c>
      <c r="S201" t="s">
        <v>1454</v>
      </c>
      <c r="T201" t="s">
        <v>1454</v>
      </c>
      <c r="U201" t="s">
        <v>1454</v>
      </c>
      <c r="W201" t="s">
        <v>1454</v>
      </c>
      <c r="X201" t="s">
        <v>1454</v>
      </c>
      <c r="Y201" t="s">
        <v>1454</v>
      </c>
      <c r="AA201" t="s">
        <v>1454</v>
      </c>
      <c r="AB201" t="s">
        <v>1454</v>
      </c>
      <c r="AC201" t="s">
        <v>1454</v>
      </c>
      <c r="AE201" t="s">
        <v>1454</v>
      </c>
      <c r="AF201" t="s">
        <v>1454</v>
      </c>
      <c r="AG201" t="s">
        <v>1454</v>
      </c>
      <c r="AI201" t="s">
        <v>1454</v>
      </c>
      <c r="AJ201" t="s">
        <v>1454</v>
      </c>
      <c r="AK201" t="s">
        <v>1454</v>
      </c>
      <c r="AM201" t="s">
        <v>1454</v>
      </c>
      <c r="AN201" t="s">
        <v>1454</v>
      </c>
      <c r="AO201" t="s">
        <v>1454</v>
      </c>
      <c r="AQ201" t="s">
        <v>1454</v>
      </c>
      <c r="AR201" t="s">
        <v>1454</v>
      </c>
      <c r="AS201" t="s">
        <v>1454</v>
      </c>
      <c r="AU201" t="s">
        <v>1454</v>
      </c>
      <c r="AV201" t="s">
        <v>1454</v>
      </c>
      <c r="AW201" t="s">
        <v>1454</v>
      </c>
      <c r="AY201" t="s">
        <v>1454</v>
      </c>
      <c r="AZ201" t="s">
        <v>1454</v>
      </c>
      <c r="BA201" t="s">
        <v>1454</v>
      </c>
      <c r="BC201" t="s">
        <v>1454</v>
      </c>
      <c r="BD201" t="s">
        <v>1454</v>
      </c>
      <c r="BE201" t="s">
        <v>1454</v>
      </c>
      <c r="BG201" t="s">
        <v>1454</v>
      </c>
      <c r="BH201" t="s">
        <v>1454</v>
      </c>
      <c r="BI201" t="s">
        <v>1454</v>
      </c>
      <c r="BK201" t="s">
        <v>1454</v>
      </c>
      <c r="BL201" t="s">
        <v>1454</v>
      </c>
      <c r="BM201" t="s">
        <v>1454</v>
      </c>
      <c r="BO201" t="s">
        <v>1454</v>
      </c>
      <c r="BP201" t="s">
        <v>1454</v>
      </c>
      <c r="BQ201" t="s">
        <v>1454</v>
      </c>
      <c r="BS201" t="s">
        <v>1454</v>
      </c>
      <c r="BT201" t="s">
        <v>1454</v>
      </c>
      <c r="BU201" t="s">
        <v>1454</v>
      </c>
      <c r="BW201" t="s">
        <v>620</v>
      </c>
      <c r="BX201" t="s">
        <v>1454</v>
      </c>
      <c r="BY201" t="s">
        <v>1454</v>
      </c>
      <c r="CA201" t="s">
        <v>1454</v>
      </c>
      <c r="CB201" t="s">
        <v>1454</v>
      </c>
      <c r="CC201" t="s">
        <v>1454</v>
      </c>
      <c r="CE201" t="s">
        <v>1454</v>
      </c>
      <c r="CF201" t="s">
        <v>1454</v>
      </c>
      <c r="CG201" t="s">
        <v>1454</v>
      </c>
      <c r="CI201" t="s">
        <v>1454</v>
      </c>
      <c r="CJ201" t="s">
        <v>1454</v>
      </c>
      <c r="CK201" t="s">
        <v>1454</v>
      </c>
      <c r="CM201" t="s">
        <v>1454</v>
      </c>
      <c r="CN201" t="s">
        <v>1454</v>
      </c>
      <c r="CO201" t="s">
        <v>1454</v>
      </c>
      <c r="CQ201" t="s">
        <v>1454</v>
      </c>
      <c r="CR201" t="s">
        <v>1454</v>
      </c>
      <c r="CS201" t="s">
        <v>1454</v>
      </c>
      <c r="CU201" t="s">
        <v>1454</v>
      </c>
      <c r="CV201" t="s">
        <v>1454</v>
      </c>
      <c r="CW201" t="s">
        <v>1454</v>
      </c>
      <c r="CY201" t="s">
        <v>627</v>
      </c>
      <c r="CZ201" t="s">
        <v>1454</v>
      </c>
      <c r="DA201" t="s">
        <v>1454</v>
      </c>
      <c r="DC201" t="s">
        <v>1454</v>
      </c>
      <c r="DD201" t="s">
        <v>1454</v>
      </c>
      <c r="DE201" t="s">
        <v>1454</v>
      </c>
      <c r="DG201" t="s">
        <v>1454</v>
      </c>
      <c r="DH201" t="s">
        <v>1454</v>
      </c>
      <c r="DI201" t="s">
        <v>1454</v>
      </c>
      <c r="DK201" t="s">
        <v>1454</v>
      </c>
      <c r="DL201" t="s">
        <v>1454</v>
      </c>
      <c r="DM201" t="s">
        <v>1454</v>
      </c>
      <c r="DO201" t="s">
        <v>1454</v>
      </c>
      <c r="DP201" t="s">
        <v>1454</v>
      </c>
      <c r="DQ201" t="s">
        <v>1454</v>
      </c>
      <c r="DS201" t="s">
        <v>1454</v>
      </c>
      <c r="DT201" t="s">
        <v>1454</v>
      </c>
      <c r="DU201" t="s">
        <v>1454</v>
      </c>
      <c r="DW201" t="s">
        <v>1454</v>
      </c>
      <c r="DX201" t="s">
        <v>1454</v>
      </c>
      <c r="DY201" t="s">
        <v>1454</v>
      </c>
      <c r="EA201" t="s">
        <v>1454</v>
      </c>
      <c r="EB201" t="s">
        <v>1454</v>
      </c>
      <c r="EC201" t="s">
        <v>1454</v>
      </c>
      <c r="EE201" t="s">
        <v>1454</v>
      </c>
      <c r="EF201" t="s">
        <v>1454</v>
      </c>
      <c r="EG201" t="s">
        <v>1454</v>
      </c>
      <c r="EI201" t="s">
        <v>1454</v>
      </c>
      <c r="EJ201" t="s">
        <v>1454</v>
      </c>
      <c r="EK201" t="s">
        <v>1454</v>
      </c>
      <c r="EM201" t="s">
        <v>1454</v>
      </c>
      <c r="EN201" t="s">
        <v>1454</v>
      </c>
      <c r="EO201" t="s">
        <v>1454</v>
      </c>
      <c r="EQ201" t="s">
        <v>1454</v>
      </c>
      <c r="ER201" t="s">
        <v>1454</v>
      </c>
      <c r="ES201" t="s">
        <v>1454</v>
      </c>
      <c r="EU201" t="s">
        <v>1454</v>
      </c>
      <c r="EV201" t="s">
        <v>1454</v>
      </c>
      <c r="EW201" t="s">
        <v>1454</v>
      </c>
      <c r="EY201" t="s">
        <v>1454</v>
      </c>
      <c r="EZ201" t="s">
        <v>1454</v>
      </c>
      <c r="FA201" t="s">
        <v>1454</v>
      </c>
      <c r="FC201" t="s">
        <v>1454</v>
      </c>
      <c r="FD201" t="s">
        <v>1454</v>
      </c>
      <c r="FE201" t="s">
        <v>1454</v>
      </c>
      <c r="FG201" t="s">
        <v>1454</v>
      </c>
      <c r="FH201" t="s">
        <v>1454</v>
      </c>
      <c r="FI201" t="s">
        <v>1454</v>
      </c>
      <c r="FK201" t="s">
        <v>1454</v>
      </c>
      <c r="FL201" t="s">
        <v>1454</v>
      </c>
      <c r="FM201" t="s">
        <v>1454</v>
      </c>
      <c r="FO201" t="s">
        <v>1454</v>
      </c>
      <c r="FP201" t="s">
        <v>1454</v>
      </c>
      <c r="FQ201" t="s">
        <v>1454</v>
      </c>
      <c r="FS201" t="s">
        <v>1454</v>
      </c>
      <c r="FT201" t="s">
        <v>1454</v>
      </c>
      <c r="FU201" t="s">
        <v>1454</v>
      </c>
      <c r="FW201" t="s">
        <v>645</v>
      </c>
      <c r="FX201" t="s">
        <v>1454</v>
      </c>
      <c r="FY201" t="s">
        <v>1454</v>
      </c>
      <c r="GA201" t="s">
        <v>1454</v>
      </c>
      <c r="GB201" t="s">
        <v>1454</v>
      </c>
      <c r="GC201" t="s">
        <v>1454</v>
      </c>
      <c r="GE201" t="s">
        <v>1454</v>
      </c>
      <c r="GF201" t="s">
        <v>1454</v>
      </c>
      <c r="GG201" t="s">
        <v>1454</v>
      </c>
      <c r="GI201" t="s">
        <v>648</v>
      </c>
      <c r="GJ201" t="s">
        <v>1454</v>
      </c>
      <c r="GK201" t="s">
        <v>1454</v>
      </c>
      <c r="GM201" t="s">
        <v>1454</v>
      </c>
      <c r="GN201" t="s">
        <v>1454</v>
      </c>
      <c r="GO201" t="s">
        <v>1454</v>
      </c>
      <c r="GQ201" t="s">
        <v>1637</v>
      </c>
    </row>
    <row r="202" spans="2:199" x14ac:dyDescent="0.25">
      <c r="B202" t="s">
        <v>321</v>
      </c>
      <c r="C202" t="s">
        <v>1454</v>
      </c>
      <c r="D202" t="s">
        <v>1454</v>
      </c>
      <c r="E202" t="s">
        <v>1454</v>
      </c>
      <c r="G202" t="s">
        <v>604</v>
      </c>
      <c r="H202" t="s">
        <v>1454</v>
      </c>
      <c r="I202" t="s">
        <v>1454</v>
      </c>
      <c r="K202" t="s">
        <v>1454</v>
      </c>
      <c r="L202" t="s">
        <v>1454</v>
      </c>
      <c r="M202" t="s">
        <v>1454</v>
      </c>
      <c r="O202" t="s">
        <v>1454</v>
      </c>
      <c r="P202" t="s">
        <v>1454</v>
      </c>
      <c r="Q202" t="s">
        <v>1454</v>
      </c>
      <c r="S202" t="s">
        <v>1454</v>
      </c>
      <c r="T202" t="s">
        <v>1454</v>
      </c>
      <c r="U202" t="s">
        <v>1454</v>
      </c>
      <c r="W202" t="s">
        <v>1454</v>
      </c>
      <c r="X202" t="s">
        <v>1454</v>
      </c>
      <c r="Y202" t="s">
        <v>1454</v>
      </c>
      <c r="AA202" t="s">
        <v>1454</v>
      </c>
      <c r="AB202" t="s">
        <v>1454</v>
      </c>
      <c r="AC202" t="s">
        <v>1454</v>
      </c>
      <c r="AE202" t="s">
        <v>1454</v>
      </c>
      <c r="AF202" t="s">
        <v>1454</v>
      </c>
      <c r="AG202" t="s">
        <v>1454</v>
      </c>
      <c r="AI202" t="s">
        <v>1454</v>
      </c>
      <c r="AJ202" t="s">
        <v>1454</v>
      </c>
      <c r="AK202" t="s">
        <v>1454</v>
      </c>
      <c r="AM202" t="s">
        <v>1454</v>
      </c>
      <c r="AN202" t="s">
        <v>1454</v>
      </c>
      <c r="AO202" t="s">
        <v>1454</v>
      </c>
      <c r="AQ202" t="s">
        <v>1454</v>
      </c>
      <c r="AR202" t="s">
        <v>1454</v>
      </c>
      <c r="AS202" t="s">
        <v>1454</v>
      </c>
      <c r="AU202" t="s">
        <v>1454</v>
      </c>
      <c r="AV202" t="s">
        <v>1454</v>
      </c>
      <c r="AW202" t="s">
        <v>1454</v>
      </c>
      <c r="AY202" t="s">
        <v>1454</v>
      </c>
      <c r="AZ202" t="s">
        <v>1454</v>
      </c>
      <c r="BA202" t="s">
        <v>1454</v>
      </c>
      <c r="BC202" t="s">
        <v>1454</v>
      </c>
      <c r="BD202" t="s">
        <v>1454</v>
      </c>
      <c r="BE202" t="s">
        <v>1454</v>
      </c>
      <c r="BG202" t="s">
        <v>1454</v>
      </c>
      <c r="BH202" t="s">
        <v>1454</v>
      </c>
      <c r="BI202" t="s">
        <v>1454</v>
      </c>
      <c r="BK202" t="s">
        <v>1454</v>
      </c>
      <c r="BL202" t="s">
        <v>1454</v>
      </c>
      <c r="BM202" t="s">
        <v>1454</v>
      </c>
      <c r="BO202" t="s">
        <v>1454</v>
      </c>
      <c r="BP202" t="s">
        <v>1454</v>
      </c>
      <c r="BQ202" t="s">
        <v>1454</v>
      </c>
      <c r="BS202" t="s">
        <v>1454</v>
      </c>
      <c r="BT202" t="s">
        <v>1454</v>
      </c>
      <c r="BU202" t="s">
        <v>1454</v>
      </c>
      <c r="BW202" t="s">
        <v>1454</v>
      </c>
      <c r="BX202" t="s">
        <v>1454</v>
      </c>
      <c r="BY202" t="s">
        <v>1454</v>
      </c>
      <c r="CA202" t="s">
        <v>1454</v>
      </c>
      <c r="CB202" t="s">
        <v>1454</v>
      </c>
      <c r="CC202" t="s">
        <v>1454</v>
      </c>
      <c r="CE202" t="s">
        <v>1454</v>
      </c>
      <c r="CF202" t="s">
        <v>1454</v>
      </c>
      <c r="CG202" t="s">
        <v>1454</v>
      </c>
      <c r="CI202" t="s">
        <v>1454</v>
      </c>
      <c r="CJ202" t="s">
        <v>1454</v>
      </c>
      <c r="CK202" t="s">
        <v>1454</v>
      </c>
      <c r="CM202" t="s">
        <v>1454</v>
      </c>
      <c r="CN202" t="s">
        <v>1454</v>
      </c>
      <c r="CO202" t="s">
        <v>1454</v>
      </c>
      <c r="CQ202" t="s">
        <v>1454</v>
      </c>
      <c r="CR202" t="s">
        <v>1454</v>
      </c>
      <c r="CS202" t="s">
        <v>1454</v>
      </c>
      <c r="CU202" t="s">
        <v>1454</v>
      </c>
      <c r="CV202" t="s">
        <v>1454</v>
      </c>
      <c r="CW202" t="s">
        <v>1454</v>
      </c>
      <c r="CY202" t="s">
        <v>1454</v>
      </c>
      <c r="CZ202" t="s">
        <v>1454</v>
      </c>
      <c r="DA202" t="s">
        <v>1454</v>
      </c>
      <c r="DC202" t="s">
        <v>1454</v>
      </c>
      <c r="DD202" t="s">
        <v>1454</v>
      </c>
      <c r="DE202" t="s">
        <v>1454</v>
      </c>
      <c r="DG202" t="s">
        <v>1454</v>
      </c>
      <c r="DH202" t="s">
        <v>1454</v>
      </c>
      <c r="DI202" t="s">
        <v>1454</v>
      </c>
      <c r="DK202" t="s">
        <v>1454</v>
      </c>
      <c r="DL202" t="s">
        <v>1454</v>
      </c>
      <c r="DM202" t="s">
        <v>1454</v>
      </c>
      <c r="DO202" t="s">
        <v>1454</v>
      </c>
      <c r="DP202" t="s">
        <v>1454</v>
      </c>
      <c r="DQ202" t="s">
        <v>1454</v>
      </c>
      <c r="DS202" t="s">
        <v>1454</v>
      </c>
      <c r="DT202" t="s">
        <v>1454</v>
      </c>
      <c r="DU202" t="s">
        <v>1454</v>
      </c>
      <c r="DW202" t="s">
        <v>1454</v>
      </c>
      <c r="DX202" t="s">
        <v>1454</v>
      </c>
      <c r="DY202" t="s">
        <v>1454</v>
      </c>
      <c r="EA202" t="s">
        <v>1454</v>
      </c>
      <c r="EB202" t="s">
        <v>1454</v>
      </c>
      <c r="EC202" t="s">
        <v>1454</v>
      </c>
      <c r="EE202" t="s">
        <v>1454</v>
      </c>
      <c r="EF202" t="s">
        <v>1454</v>
      </c>
      <c r="EG202" t="s">
        <v>1454</v>
      </c>
      <c r="EI202" t="s">
        <v>1454</v>
      </c>
      <c r="EJ202" t="s">
        <v>1454</v>
      </c>
      <c r="EK202" t="s">
        <v>1454</v>
      </c>
      <c r="EM202" t="s">
        <v>1454</v>
      </c>
      <c r="EN202" t="s">
        <v>1454</v>
      </c>
      <c r="EO202" t="s">
        <v>1454</v>
      </c>
      <c r="EQ202" t="s">
        <v>1454</v>
      </c>
      <c r="ER202" t="s">
        <v>1454</v>
      </c>
      <c r="ES202" t="s">
        <v>1454</v>
      </c>
      <c r="EU202" t="s">
        <v>1454</v>
      </c>
      <c r="EV202" t="s">
        <v>1454</v>
      </c>
      <c r="EW202" t="s">
        <v>1454</v>
      </c>
      <c r="EY202" t="s">
        <v>1454</v>
      </c>
      <c r="EZ202" t="s">
        <v>1454</v>
      </c>
      <c r="FA202" t="s">
        <v>1454</v>
      </c>
      <c r="FC202" t="s">
        <v>1454</v>
      </c>
      <c r="FD202" t="s">
        <v>1454</v>
      </c>
      <c r="FE202" t="s">
        <v>1454</v>
      </c>
      <c r="FG202" t="s">
        <v>1454</v>
      </c>
      <c r="FH202" t="s">
        <v>1454</v>
      </c>
      <c r="FI202" t="s">
        <v>1454</v>
      </c>
      <c r="FK202" t="s">
        <v>1454</v>
      </c>
      <c r="FL202" t="s">
        <v>1454</v>
      </c>
      <c r="FM202" t="s">
        <v>1454</v>
      </c>
      <c r="FO202" t="s">
        <v>1454</v>
      </c>
      <c r="FP202" t="s">
        <v>1454</v>
      </c>
      <c r="FQ202" t="s">
        <v>1454</v>
      </c>
      <c r="FS202" t="s">
        <v>1454</v>
      </c>
      <c r="FT202" t="s">
        <v>1454</v>
      </c>
      <c r="FU202" t="s">
        <v>1454</v>
      </c>
      <c r="FW202" t="s">
        <v>1454</v>
      </c>
      <c r="FX202" t="s">
        <v>1454</v>
      </c>
      <c r="FY202" t="s">
        <v>1454</v>
      </c>
      <c r="GA202" t="s">
        <v>1454</v>
      </c>
      <c r="GB202" t="s">
        <v>1454</v>
      </c>
      <c r="GC202" t="s">
        <v>1454</v>
      </c>
      <c r="GE202" t="s">
        <v>1454</v>
      </c>
      <c r="GF202" t="s">
        <v>1454</v>
      </c>
      <c r="GG202" t="s">
        <v>1454</v>
      </c>
      <c r="GI202" t="s">
        <v>1454</v>
      </c>
      <c r="GJ202" t="s">
        <v>1454</v>
      </c>
      <c r="GK202" t="s">
        <v>1454</v>
      </c>
      <c r="GM202" t="s">
        <v>1454</v>
      </c>
      <c r="GN202" t="s">
        <v>1454</v>
      </c>
      <c r="GO202" t="s">
        <v>1454</v>
      </c>
      <c r="GQ202" t="s">
        <v>1587</v>
      </c>
    </row>
    <row r="203" spans="2:199" s="11" customFormat="1" x14ac:dyDescent="0.25">
      <c r="B203" t="s">
        <v>323</v>
      </c>
      <c r="C203" t="s">
        <v>1454</v>
      </c>
      <c r="D203" t="s">
        <v>1454</v>
      </c>
      <c r="E203" t="s">
        <v>1454</v>
      </c>
      <c r="F203"/>
      <c r="G203" t="s">
        <v>1454</v>
      </c>
      <c r="H203" t="s">
        <v>1454</v>
      </c>
      <c r="I203" t="s">
        <v>1454</v>
      </c>
      <c r="J203"/>
      <c r="K203" t="s">
        <v>1454</v>
      </c>
      <c r="L203" t="s">
        <v>1454</v>
      </c>
      <c r="M203" t="s">
        <v>1454</v>
      </c>
      <c r="N203"/>
      <c r="O203" t="s">
        <v>1454</v>
      </c>
      <c r="P203" t="s">
        <v>1454</v>
      </c>
      <c r="Q203" t="s">
        <v>1454</v>
      </c>
      <c r="R203"/>
      <c r="S203" t="s">
        <v>1454</v>
      </c>
      <c r="T203" t="s">
        <v>1454</v>
      </c>
      <c r="U203" t="s">
        <v>1454</v>
      </c>
      <c r="V203"/>
      <c r="W203" t="s">
        <v>1454</v>
      </c>
      <c r="X203" t="s">
        <v>1454</v>
      </c>
      <c r="Y203" t="s">
        <v>1454</v>
      </c>
      <c r="Z203"/>
      <c r="AA203" t="s">
        <v>1454</v>
      </c>
      <c r="AB203" t="s">
        <v>1454</v>
      </c>
      <c r="AC203" t="s">
        <v>1454</v>
      </c>
      <c r="AD203"/>
      <c r="AE203" t="s">
        <v>1454</v>
      </c>
      <c r="AF203" t="s">
        <v>1454</v>
      </c>
      <c r="AG203" t="s">
        <v>1454</v>
      </c>
      <c r="AH203"/>
      <c r="AI203" t="s">
        <v>1454</v>
      </c>
      <c r="AJ203" t="s">
        <v>1454</v>
      </c>
      <c r="AK203" t="s">
        <v>1454</v>
      </c>
      <c r="AL203"/>
      <c r="AM203" t="s">
        <v>1454</v>
      </c>
      <c r="AN203" t="s">
        <v>1454</v>
      </c>
      <c r="AO203" t="s">
        <v>1454</v>
      </c>
      <c r="AP203"/>
      <c r="AQ203" t="s">
        <v>1454</v>
      </c>
      <c r="AR203" t="s">
        <v>1454</v>
      </c>
      <c r="AS203" t="s">
        <v>1454</v>
      </c>
      <c r="AT203"/>
      <c r="AU203" t="s">
        <v>1454</v>
      </c>
      <c r="AV203" t="s">
        <v>1454</v>
      </c>
      <c r="AW203" t="s">
        <v>1454</v>
      </c>
      <c r="AX203"/>
      <c r="AY203" t="s">
        <v>1454</v>
      </c>
      <c r="AZ203" t="s">
        <v>1454</v>
      </c>
      <c r="BA203" t="s">
        <v>1454</v>
      </c>
      <c r="BB203"/>
      <c r="BC203" t="s">
        <v>1454</v>
      </c>
      <c r="BD203" t="s">
        <v>1454</v>
      </c>
      <c r="BE203" t="s">
        <v>1454</v>
      </c>
      <c r="BF203"/>
      <c r="BG203" t="s">
        <v>1454</v>
      </c>
      <c r="BH203" t="s">
        <v>1454</v>
      </c>
      <c r="BI203" t="s">
        <v>1454</v>
      </c>
      <c r="BJ203"/>
      <c r="BK203" t="s">
        <v>1454</v>
      </c>
      <c r="BL203" t="s">
        <v>1454</v>
      </c>
      <c r="BM203" t="s">
        <v>1454</v>
      </c>
      <c r="BN203"/>
      <c r="BO203" t="s">
        <v>618</v>
      </c>
      <c r="BP203" t="s">
        <v>1454</v>
      </c>
      <c r="BQ203" t="s">
        <v>1454</v>
      </c>
      <c r="BR203"/>
      <c r="BS203" t="s">
        <v>1454</v>
      </c>
      <c r="BT203" t="s">
        <v>1454</v>
      </c>
      <c r="BU203" t="s">
        <v>1454</v>
      </c>
      <c r="BV203"/>
      <c r="BW203" t="s">
        <v>1454</v>
      </c>
      <c r="BX203" t="s">
        <v>1454</v>
      </c>
      <c r="BY203" t="s">
        <v>1454</v>
      </c>
      <c r="BZ203"/>
      <c r="CA203" t="s">
        <v>1454</v>
      </c>
      <c r="CB203" t="s">
        <v>1454</v>
      </c>
      <c r="CC203" t="s">
        <v>1454</v>
      </c>
      <c r="CD203"/>
      <c r="CE203" t="s">
        <v>1454</v>
      </c>
      <c r="CF203" t="s">
        <v>1454</v>
      </c>
      <c r="CG203" t="s">
        <v>1454</v>
      </c>
      <c r="CH203"/>
      <c r="CI203" t="s">
        <v>1454</v>
      </c>
      <c r="CJ203" t="s">
        <v>1454</v>
      </c>
      <c r="CK203" t="s">
        <v>1454</v>
      </c>
      <c r="CL203"/>
      <c r="CM203" t="s">
        <v>1454</v>
      </c>
      <c r="CN203" t="s">
        <v>1454</v>
      </c>
      <c r="CO203" t="s">
        <v>1454</v>
      </c>
      <c r="CP203"/>
      <c r="CQ203" t="s">
        <v>1454</v>
      </c>
      <c r="CR203" t="s">
        <v>1454</v>
      </c>
      <c r="CS203" t="s">
        <v>1454</v>
      </c>
      <c r="CT203"/>
      <c r="CU203" t="s">
        <v>1454</v>
      </c>
      <c r="CV203" t="s">
        <v>1454</v>
      </c>
      <c r="CW203" t="s">
        <v>1454</v>
      </c>
      <c r="CX203"/>
      <c r="CY203" t="s">
        <v>1454</v>
      </c>
      <c r="CZ203" t="s">
        <v>1454</v>
      </c>
      <c r="DA203" t="s">
        <v>1454</v>
      </c>
      <c r="DB203"/>
      <c r="DC203" t="s">
        <v>1454</v>
      </c>
      <c r="DD203" t="s">
        <v>1454</v>
      </c>
      <c r="DE203" t="s">
        <v>1454</v>
      </c>
      <c r="DF203"/>
      <c r="DG203" t="s">
        <v>1454</v>
      </c>
      <c r="DH203" t="s">
        <v>1454</v>
      </c>
      <c r="DI203" t="s">
        <v>1454</v>
      </c>
      <c r="DJ203"/>
      <c r="DK203" t="s">
        <v>1454</v>
      </c>
      <c r="DL203" t="s">
        <v>1454</v>
      </c>
      <c r="DM203" t="s">
        <v>1454</v>
      </c>
      <c r="DN203"/>
      <c r="DO203" t="s">
        <v>1454</v>
      </c>
      <c r="DP203" t="s">
        <v>1454</v>
      </c>
      <c r="DQ203" t="s">
        <v>1454</v>
      </c>
      <c r="DR203"/>
      <c r="DS203" t="s">
        <v>1454</v>
      </c>
      <c r="DT203" t="s">
        <v>1454</v>
      </c>
      <c r="DU203" t="s">
        <v>1454</v>
      </c>
      <c r="DV203"/>
      <c r="DW203" t="s">
        <v>1454</v>
      </c>
      <c r="DX203" t="s">
        <v>1454</v>
      </c>
      <c r="DY203" t="s">
        <v>1454</v>
      </c>
      <c r="DZ203"/>
      <c r="EA203" t="s">
        <v>1454</v>
      </c>
      <c r="EB203" t="s">
        <v>1454</v>
      </c>
      <c r="EC203" t="s">
        <v>1454</v>
      </c>
      <c r="ED203"/>
      <c r="EE203" t="s">
        <v>1454</v>
      </c>
      <c r="EF203" t="s">
        <v>1454</v>
      </c>
      <c r="EG203" t="s">
        <v>1454</v>
      </c>
      <c r="EH203"/>
      <c r="EI203" t="s">
        <v>1454</v>
      </c>
      <c r="EJ203" t="s">
        <v>1454</v>
      </c>
      <c r="EK203" t="s">
        <v>1454</v>
      </c>
      <c r="EL203"/>
      <c r="EM203" t="s">
        <v>1454</v>
      </c>
      <c r="EN203" t="s">
        <v>1454</v>
      </c>
      <c r="EO203" t="s">
        <v>1454</v>
      </c>
      <c r="EP203"/>
      <c r="EQ203" t="s">
        <v>1454</v>
      </c>
      <c r="ER203" t="s">
        <v>1454</v>
      </c>
      <c r="ES203" t="s">
        <v>1454</v>
      </c>
      <c r="ET203"/>
      <c r="EU203" t="s">
        <v>1454</v>
      </c>
      <c r="EV203" t="s">
        <v>1454</v>
      </c>
      <c r="EW203" t="s">
        <v>1454</v>
      </c>
      <c r="EX203"/>
      <c r="EY203" t="s">
        <v>1454</v>
      </c>
      <c r="EZ203" t="s">
        <v>1454</v>
      </c>
      <c r="FA203" t="s">
        <v>1454</v>
      </c>
      <c r="FB203"/>
      <c r="FC203" t="s">
        <v>1454</v>
      </c>
      <c r="FD203" t="s">
        <v>1454</v>
      </c>
      <c r="FE203" t="s">
        <v>1454</v>
      </c>
      <c r="FF203"/>
      <c r="FG203" t="s">
        <v>1454</v>
      </c>
      <c r="FH203" t="s">
        <v>1454</v>
      </c>
      <c r="FI203" t="s">
        <v>1454</v>
      </c>
      <c r="FJ203"/>
      <c r="FK203" t="s">
        <v>1454</v>
      </c>
      <c r="FL203" t="s">
        <v>1454</v>
      </c>
      <c r="FM203" t="s">
        <v>1454</v>
      </c>
      <c r="FN203"/>
      <c r="FO203" t="s">
        <v>1454</v>
      </c>
      <c r="FP203" t="s">
        <v>1454</v>
      </c>
      <c r="FQ203" t="s">
        <v>1454</v>
      </c>
      <c r="FR203"/>
      <c r="FS203" t="s">
        <v>1454</v>
      </c>
      <c r="FT203" t="s">
        <v>1454</v>
      </c>
      <c r="FU203" t="s">
        <v>1454</v>
      </c>
      <c r="FV203"/>
      <c r="FW203" t="s">
        <v>1454</v>
      </c>
      <c r="FX203" t="s">
        <v>1454</v>
      </c>
      <c r="FY203" t="s">
        <v>1454</v>
      </c>
      <c r="FZ203"/>
      <c r="GA203" t="s">
        <v>1454</v>
      </c>
      <c r="GB203" t="s">
        <v>1454</v>
      </c>
      <c r="GC203" t="s">
        <v>1454</v>
      </c>
      <c r="GD203"/>
      <c r="GE203" t="s">
        <v>1454</v>
      </c>
      <c r="GF203" t="s">
        <v>1454</v>
      </c>
      <c r="GG203" t="s">
        <v>1454</v>
      </c>
      <c r="GH203"/>
      <c r="GI203" t="s">
        <v>1454</v>
      </c>
      <c r="GJ203" t="s">
        <v>1454</v>
      </c>
      <c r="GK203" t="s">
        <v>1454</v>
      </c>
      <c r="GL203"/>
      <c r="GM203" t="s">
        <v>1454</v>
      </c>
      <c r="GN203" t="s">
        <v>1454</v>
      </c>
      <c r="GO203" t="s">
        <v>1454</v>
      </c>
      <c r="GP203"/>
      <c r="GQ203" t="s">
        <v>1503</v>
      </c>
    </row>
    <row r="204" spans="2:199" x14ac:dyDescent="0.25">
      <c r="B204" t="s">
        <v>598</v>
      </c>
      <c r="C204" t="s">
        <v>1454</v>
      </c>
      <c r="D204" t="s">
        <v>1454</v>
      </c>
      <c r="E204" t="s">
        <v>1454</v>
      </c>
      <c r="G204" t="s">
        <v>1454</v>
      </c>
      <c r="H204" t="s">
        <v>1454</v>
      </c>
      <c r="I204" t="s">
        <v>1454</v>
      </c>
      <c r="K204" t="s">
        <v>1454</v>
      </c>
      <c r="L204" t="s">
        <v>1454</v>
      </c>
      <c r="M204" t="s">
        <v>1454</v>
      </c>
      <c r="O204" t="s">
        <v>1454</v>
      </c>
      <c r="P204" t="s">
        <v>1454</v>
      </c>
      <c r="Q204" t="s">
        <v>1454</v>
      </c>
      <c r="S204" t="s">
        <v>1454</v>
      </c>
      <c r="T204" t="s">
        <v>1454</v>
      </c>
      <c r="U204" t="s">
        <v>1454</v>
      </c>
      <c r="W204" t="s">
        <v>1454</v>
      </c>
      <c r="X204" t="s">
        <v>1454</v>
      </c>
      <c r="Y204" t="s">
        <v>1454</v>
      </c>
      <c r="AA204" t="s">
        <v>1454</v>
      </c>
      <c r="AB204" t="s">
        <v>1454</v>
      </c>
      <c r="AC204" t="s">
        <v>1454</v>
      </c>
      <c r="AE204" t="s">
        <v>1454</v>
      </c>
      <c r="AF204" t="s">
        <v>1454</v>
      </c>
      <c r="AG204" t="s">
        <v>1454</v>
      </c>
      <c r="AI204" t="s">
        <v>1454</v>
      </c>
      <c r="AJ204" t="s">
        <v>1454</v>
      </c>
      <c r="AK204" t="s">
        <v>1454</v>
      </c>
      <c r="AM204" t="s">
        <v>1454</v>
      </c>
      <c r="AN204" t="s">
        <v>1454</v>
      </c>
      <c r="AO204" t="s">
        <v>1454</v>
      </c>
      <c r="AQ204" t="s">
        <v>1454</v>
      </c>
      <c r="AR204" t="s">
        <v>1454</v>
      </c>
      <c r="AS204" t="s">
        <v>1454</v>
      </c>
      <c r="AU204" t="s">
        <v>1454</v>
      </c>
      <c r="AV204" t="s">
        <v>1454</v>
      </c>
      <c r="AW204" t="s">
        <v>1454</v>
      </c>
      <c r="AY204" t="s">
        <v>1454</v>
      </c>
      <c r="AZ204" t="s">
        <v>1454</v>
      </c>
      <c r="BA204" t="s">
        <v>1454</v>
      </c>
      <c r="BC204" t="s">
        <v>1454</v>
      </c>
      <c r="BD204" t="s">
        <v>1454</v>
      </c>
      <c r="BE204" t="s">
        <v>1454</v>
      </c>
      <c r="BG204" t="s">
        <v>1454</v>
      </c>
      <c r="BH204" t="s">
        <v>1454</v>
      </c>
      <c r="BI204" t="s">
        <v>1454</v>
      </c>
      <c r="BK204" t="s">
        <v>1454</v>
      </c>
      <c r="BL204" t="s">
        <v>1454</v>
      </c>
      <c r="BM204" t="s">
        <v>1454</v>
      </c>
      <c r="BO204" t="s">
        <v>1454</v>
      </c>
      <c r="BP204" t="s">
        <v>1454</v>
      </c>
      <c r="BQ204" t="s">
        <v>1454</v>
      </c>
      <c r="BS204" t="s">
        <v>1454</v>
      </c>
      <c r="BT204" t="s">
        <v>1454</v>
      </c>
      <c r="BU204" t="s">
        <v>1454</v>
      </c>
      <c r="BW204" t="s">
        <v>1454</v>
      </c>
      <c r="BX204" t="s">
        <v>1454</v>
      </c>
      <c r="BY204" t="s">
        <v>1454</v>
      </c>
      <c r="CA204" t="s">
        <v>1454</v>
      </c>
      <c r="CB204" t="s">
        <v>1454</v>
      </c>
      <c r="CC204" t="s">
        <v>1454</v>
      </c>
      <c r="CE204" t="s">
        <v>1454</v>
      </c>
      <c r="CF204" t="s">
        <v>1454</v>
      </c>
      <c r="CG204" t="s">
        <v>1454</v>
      </c>
      <c r="CI204" t="s">
        <v>1454</v>
      </c>
      <c r="CJ204" t="s">
        <v>1454</v>
      </c>
      <c r="CK204" t="s">
        <v>1454</v>
      </c>
      <c r="CM204" t="s">
        <v>1454</v>
      </c>
      <c r="CN204" t="s">
        <v>1454</v>
      </c>
      <c r="CO204" t="s">
        <v>1454</v>
      </c>
      <c r="CQ204" t="s">
        <v>1454</v>
      </c>
      <c r="CR204" t="s">
        <v>1454</v>
      </c>
      <c r="CS204" t="s">
        <v>1454</v>
      </c>
      <c r="CU204" t="s">
        <v>1454</v>
      </c>
      <c r="CV204" t="s">
        <v>1454</v>
      </c>
      <c r="CW204" t="s">
        <v>1454</v>
      </c>
      <c r="CY204" t="s">
        <v>1454</v>
      </c>
      <c r="CZ204" t="s">
        <v>1454</v>
      </c>
      <c r="DA204" t="s">
        <v>1454</v>
      </c>
      <c r="DC204" t="s">
        <v>1454</v>
      </c>
      <c r="DD204" t="s">
        <v>1454</v>
      </c>
      <c r="DE204" t="s">
        <v>1454</v>
      </c>
      <c r="DG204" t="s">
        <v>1454</v>
      </c>
      <c r="DH204" t="s">
        <v>1454</v>
      </c>
      <c r="DI204" t="s">
        <v>1454</v>
      </c>
      <c r="DK204" t="s">
        <v>1454</v>
      </c>
      <c r="DL204" t="s">
        <v>1454</v>
      </c>
      <c r="DM204" t="s">
        <v>1454</v>
      </c>
      <c r="DO204" t="s">
        <v>1454</v>
      </c>
      <c r="DP204" t="s">
        <v>1454</v>
      </c>
      <c r="DQ204" t="s">
        <v>1454</v>
      </c>
      <c r="DS204" t="s">
        <v>1454</v>
      </c>
      <c r="DT204" t="s">
        <v>1454</v>
      </c>
      <c r="DU204" t="s">
        <v>1454</v>
      </c>
      <c r="DW204" t="s">
        <v>1454</v>
      </c>
      <c r="DX204" t="s">
        <v>1454</v>
      </c>
      <c r="DY204" t="s">
        <v>1454</v>
      </c>
      <c r="EA204" t="s">
        <v>1454</v>
      </c>
      <c r="EB204" t="s">
        <v>1454</v>
      </c>
      <c r="EC204" t="s">
        <v>1454</v>
      </c>
      <c r="EE204" t="s">
        <v>1454</v>
      </c>
      <c r="EF204" t="s">
        <v>1454</v>
      </c>
      <c r="EG204" t="s">
        <v>1454</v>
      </c>
      <c r="EI204" t="s">
        <v>1454</v>
      </c>
      <c r="EJ204" t="s">
        <v>1454</v>
      </c>
      <c r="EK204" t="s">
        <v>1454</v>
      </c>
      <c r="EM204" t="s">
        <v>1454</v>
      </c>
      <c r="EN204" t="s">
        <v>1454</v>
      </c>
      <c r="EO204" t="s">
        <v>1454</v>
      </c>
      <c r="EQ204" t="s">
        <v>1454</v>
      </c>
      <c r="ER204" t="s">
        <v>1454</v>
      </c>
      <c r="ES204" t="s">
        <v>1454</v>
      </c>
      <c r="EU204" t="s">
        <v>639</v>
      </c>
      <c r="EV204" t="s">
        <v>1454</v>
      </c>
      <c r="EW204" t="s">
        <v>1454</v>
      </c>
      <c r="EY204" t="s">
        <v>1454</v>
      </c>
      <c r="EZ204" t="s">
        <v>1454</v>
      </c>
      <c r="FA204" t="s">
        <v>1454</v>
      </c>
      <c r="FC204" t="s">
        <v>1454</v>
      </c>
      <c r="FD204" t="s">
        <v>1454</v>
      </c>
      <c r="FE204" t="s">
        <v>1454</v>
      </c>
      <c r="FG204" t="s">
        <v>1454</v>
      </c>
      <c r="FH204" t="s">
        <v>1454</v>
      </c>
      <c r="FI204" t="s">
        <v>1454</v>
      </c>
      <c r="FK204" t="s">
        <v>1454</v>
      </c>
      <c r="FL204" t="s">
        <v>1454</v>
      </c>
      <c r="FM204" t="s">
        <v>1454</v>
      </c>
      <c r="FO204" t="s">
        <v>1454</v>
      </c>
      <c r="FP204" t="s">
        <v>1454</v>
      </c>
      <c r="FQ204" t="s">
        <v>1454</v>
      </c>
      <c r="FS204" t="s">
        <v>1454</v>
      </c>
      <c r="FT204" t="s">
        <v>1454</v>
      </c>
      <c r="FU204" t="s">
        <v>1454</v>
      </c>
      <c r="FW204" t="s">
        <v>1454</v>
      </c>
      <c r="FX204" t="s">
        <v>1454</v>
      </c>
      <c r="FY204" t="s">
        <v>1454</v>
      </c>
      <c r="GA204" t="s">
        <v>1454</v>
      </c>
      <c r="GB204" t="s">
        <v>1454</v>
      </c>
      <c r="GC204" t="s">
        <v>1454</v>
      </c>
      <c r="GE204" t="s">
        <v>1454</v>
      </c>
      <c r="GF204" t="s">
        <v>1454</v>
      </c>
      <c r="GG204" t="s">
        <v>1454</v>
      </c>
      <c r="GI204" t="s">
        <v>1454</v>
      </c>
      <c r="GJ204" t="s">
        <v>1454</v>
      </c>
      <c r="GK204" t="s">
        <v>1454</v>
      </c>
      <c r="GM204" t="s">
        <v>1454</v>
      </c>
      <c r="GN204" t="s">
        <v>1454</v>
      </c>
      <c r="GO204" t="s">
        <v>1454</v>
      </c>
      <c r="GQ204" t="s">
        <v>1473</v>
      </c>
    </row>
    <row r="205" spans="2:199" x14ac:dyDescent="0.25">
      <c r="B205" t="s">
        <v>326</v>
      </c>
      <c r="C205" t="s">
        <v>1454</v>
      </c>
      <c r="D205" t="s">
        <v>1454</v>
      </c>
      <c r="E205" t="s">
        <v>1454</v>
      </c>
      <c r="G205" t="s">
        <v>1454</v>
      </c>
      <c r="H205" t="s">
        <v>1454</v>
      </c>
      <c r="I205" t="s">
        <v>1454</v>
      </c>
      <c r="K205" t="s">
        <v>1454</v>
      </c>
      <c r="L205" t="s">
        <v>1454</v>
      </c>
      <c r="M205" t="s">
        <v>1454</v>
      </c>
      <c r="O205" t="s">
        <v>1454</v>
      </c>
      <c r="P205" t="s">
        <v>1454</v>
      </c>
      <c r="Q205" t="s">
        <v>1454</v>
      </c>
      <c r="S205" t="s">
        <v>606</v>
      </c>
      <c r="T205" t="s">
        <v>1454</v>
      </c>
      <c r="U205" t="s">
        <v>1454</v>
      </c>
      <c r="W205" t="s">
        <v>607</v>
      </c>
      <c r="X205" t="s">
        <v>1454</v>
      </c>
      <c r="Y205" t="s">
        <v>1454</v>
      </c>
      <c r="AA205" t="s">
        <v>1454</v>
      </c>
      <c r="AB205" t="s">
        <v>1454</v>
      </c>
      <c r="AC205" t="s">
        <v>1454</v>
      </c>
      <c r="AE205" t="s">
        <v>1454</v>
      </c>
      <c r="AF205" t="s">
        <v>1454</v>
      </c>
      <c r="AG205" t="s">
        <v>1454</v>
      </c>
      <c r="AI205" t="s">
        <v>1454</v>
      </c>
      <c r="AJ205" t="s">
        <v>1454</v>
      </c>
      <c r="AK205" t="s">
        <v>1454</v>
      </c>
      <c r="AM205" t="s">
        <v>1454</v>
      </c>
      <c r="AN205" t="s">
        <v>1454</v>
      </c>
      <c r="AO205" t="s">
        <v>1454</v>
      </c>
      <c r="AQ205" t="s">
        <v>1454</v>
      </c>
      <c r="AR205" t="s">
        <v>1454</v>
      </c>
      <c r="AS205" t="s">
        <v>1454</v>
      </c>
      <c r="AU205" t="s">
        <v>1454</v>
      </c>
      <c r="AV205" t="s">
        <v>1454</v>
      </c>
      <c r="AW205" t="s">
        <v>1454</v>
      </c>
      <c r="AY205" t="s">
        <v>1454</v>
      </c>
      <c r="AZ205" t="s">
        <v>1454</v>
      </c>
      <c r="BA205" t="s">
        <v>1454</v>
      </c>
      <c r="BC205" t="s">
        <v>1454</v>
      </c>
      <c r="BD205" t="s">
        <v>1454</v>
      </c>
      <c r="BE205" t="s">
        <v>1454</v>
      </c>
      <c r="BG205" t="s">
        <v>1454</v>
      </c>
      <c r="BH205" t="s">
        <v>1454</v>
      </c>
      <c r="BI205" t="s">
        <v>1454</v>
      </c>
      <c r="BK205" t="s">
        <v>617</v>
      </c>
      <c r="BL205" t="s">
        <v>1454</v>
      </c>
      <c r="BM205" t="s">
        <v>1454</v>
      </c>
      <c r="BO205" t="s">
        <v>1454</v>
      </c>
      <c r="BP205" t="s">
        <v>1454</v>
      </c>
      <c r="BQ205" t="s">
        <v>1454</v>
      </c>
      <c r="BS205" t="s">
        <v>1454</v>
      </c>
      <c r="BT205" t="s">
        <v>1454</v>
      </c>
      <c r="BU205" t="s">
        <v>1454</v>
      </c>
      <c r="BW205" t="s">
        <v>1454</v>
      </c>
      <c r="BX205" t="s">
        <v>1454</v>
      </c>
      <c r="BY205" t="s">
        <v>1454</v>
      </c>
      <c r="CA205" t="s">
        <v>1454</v>
      </c>
      <c r="CB205" t="s">
        <v>1454</v>
      </c>
      <c r="CC205" t="s">
        <v>1454</v>
      </c>
      <c r="CE205" t="s">
        <v>1454</v>
      </c>
      <c r="CF205" t="s">
        <v>1454</v>
      </c>
      <c r="CG205" t="s">
        <v>1454</v>
      </c>
      <c r="CI205" t="s">
        <v>1454</v>
      </c>
      <c r="CJ205" t="s">
        <v>1454</v>
      </c>
      <c r="CK205" t="s">
        <v>1454</v>
      </c>
      <c r="CM205" t="s">
        <v>1454</v>
      </c>
      <c r="CN205" t="s">
        <v>1454</v>
      </c>
      <c r="CO205" t="s">
        <v>1454</v>
      </c>
      <c r="CQ205" t="s">
        <v>625</v>
      </c>
      <c r="CR205" t="s">
        <v>1454</v>
      </c>
      <c r="CS205" t="s">
        <v>1454</v>
      </c>
      <c r="CU205" t="s">
        <v>1454</v>
      </c>
      <c r="CV205" t="s">
        <v>1454</v>
      </c>
      <c r="CW205" t="s">
        <v>1454</v>
      </c>
      <c r="CY205" t="s">
        <v>1454</v>
      </c>
      <c r="CZ205" t="s">
        <v>1454</v>
      </c>
      <c r="DA205" t="s">
        <v>1454</v>
      </c>
      <c r="DC205" t="s">
        <v>1454</v>
      </c>
      <c r="DD205" t="s">
        <v>1454</v>
      </c>
      <c r="DE205" t="s">
        <v>1454</v>
      </c>
      <c r="DG205" t="s">
        <v>1454</v>
      </c>
      <c r="DH205" t="s">
        <v>1454</v>
      </c>
      <c r="DI205" t="s">
        <v>1454</v>
      </c>
      <c r="DK205" t="s">
        <v>630</v>
      </c>
      <c r="DL205" t="s">
        <v>1454</v>
      </c>
      <c r="DM205" t="s">
        <v>1454</v>
      </c>
      <c r="DO205" t="s">
        <v>631</v>
      </c>
      <c r="DP205" t="s">
        <v>1454</v>
      </c>
      <c r="DQ205" t="s">
        <v>1454</v>
      </c>
      <c r="DS205" t="s">
        <v>1454</v>
      </c>
      <c r="DT205" t="s">
        <v>1454</v>
      </c>
      <c r="DU205" t="s">
        <v>1454</v>
      </c>
      <c r="DW205" t="s">
        <v>1454</v>
      </c>
      <c r="DX205" t="s">
        <v>1454</v>
      </c>
      <c r="DY205" t="s">
        <v>1454</v>
      </c>
      <c r="EA205" t="s">
        <v>1454</v>
      </c>
      <c r="EB205" t="s">
        <v>1454</v>
      </c>
      <c r="EC205" t="s">
        <v>1454</v>
      </c>
      <c r="EE205" t="s">
        <v>1454</v>
      </c>
      <c r="EF205" t="s">
        <v>1454</v>
      </c>
      <c r="EG205" t="s">
        <v>1454</v>
      </c>
      <c r="EI205" t="s">
        <v>1454</v>
      </c>
      <c r="EJ205" t="s">
        <v>1454</v>
      </c>
      <c r="EK205" t="s">
        <v>1454</v>
      </c>
      <c r="EM205" t="s">
        <v>1454</v>
      </c>
      <c r="EN205" t="s">
        <v>1454</v>
      </c>
      <c r="EO205" t="s">
        <v>1454</v>
      </c>
      <c r="EQ205" t="s">
        <v>1454</v>
      </c>
      <c r="ER205" t="s">
        <v>1454</v>
      </c>
      <c r="ES205" t="s">
        <v>1454</v>
      </c>
      <c r="EU205" t="s">
        <v>639</v>
      </c>
      <c r="EV205" t="s">
        <v>1454</v>
      </c>
      <c r="EW205" t="s">
        <v>1454</v>
      </c>
      <c r="EY205" t="s">
        <v>1454</v>
      </c>
      <c r="EZ205" t="s">
        <v>1454</v>
      </c>
      <c r="FA205" t="s">
        <v>1454</v>
      </c>
      <c r="FC205" t="s">
        <v>1454</v>
      </c>
      <c r="FD205" t="s">
        <v>1454</v>
      </c>
      <c r="FE205" t="s">
        <v>1454</v>
      </c>
      <c r="FG205" t="s">
        <v>1454</v>
      </c>
      <c r="FH205" t="s">
        <v>1454</v>
      </c>
      <c r="FI205" t="s">
        <v>1454</v>
      </c>
      <c r="FK205" t="s">
        <v>1454</v>
      </c>
      <c r="FL205" t="s">
        <v>1454</v>
      </c>
      <c r="FM205" t="s">
        <v>1454</v>
      </c>
      <c r="FO205" t="s">
        <v>1454</v>
      </c>
      <c r="FP205" t="s">
        <v>1454</v>
      </c>
      <c r="FQ205" t="s">
        <v>1454</v>
      </c>
      <c r="FS205" t="s">
        <v>1454</v>
      </c>
      <c r="FT205" t="s">
        <v>1454</v>
      </c>
      <c r="FU205" t="s">
        <v>1454</v>
      </c>
      <c r="FW205" t="s">
        <v>1454</v>
      </c>
      <c r="FX205" t="s">
        <v>1454</v>
      </c>
      <c r="FY205" t="s">
        <v>1454</v>
      </c>
      <c r="GA205" t="s">
        <v>1454</v>
      </c>
      <c r="GB205" t="s">
        <v>1454</v>
      </c>
      <c r="GC205" t="s">
        <v>1454</v>
      </c>
      <c r="GE205" t="s">
        <v>1454</v>
      </c>
      <c r="GF205" t="s">
        <v>1454</v>
      </c>
      <c r="GG205" t="s">
        <v>1454</v>
      </c>
      <c r="GI205" t="s">
        <v>648</v>
      </c>
      <c r="GJ205" t="s">
        <v>1454</v>
      </c>
      <c r="GK205" t="s">
        <v>1454</v>
      </c>
      <c r="GM205" t="s">
        <v>1454</v>
      </c>
      <c r="GN205" t="s">
        <v>1454</v>
      </c>
      <c r="GO205" t="s">
        <v>1454</v>
      </c>
      <c r="GQ205" t="s">
        <v>1638</v>
      </c>
    </row>
    <row r="206" spans="2:199" x14ac:dyDescent="0.25">
      <c r="B206" t="s">
        <v>327</v>
      </c>
      <c r="C206" t="s">
        <v>1454</v>
      </c>
      <c r="D206" t="s">
        <v>1454</v>
      </c>
      <c r="E206" t="s">
        <v>1454</v>
      </c>
      <c r="G206" t="s">
        <v>1454</v>
      </c>
      <c r="H206" t="s">
        <v>1454</v>
      </c>
      <c r="I206" t="s">
        <v>1454</v>
      </c>
      <c r="K206" t="s">
        <v>1454</v>
      </c>
      <c r="L206" t="s">
        <v>1454</v>
      </c>
      <c r="M206" t="s">
        <v>1454</v>
      </c>
      <c r="O206" t="s">
        <v>1454</v>
      </c>
      <c r="P206" t="s">
        <v>1454</v>
      </c>
      <c r="Q206" t="s">
        <v>1454</v>
      </c>
      <c r="S206" t="s">
        <v>606</v>
      </c>
      <c r="T206" t="s">
        <v>1454</v>
      </c>
      <c r="U206" t="s">
        <v>1454</v>
      </c>
      <c r="W206" t="s">
        <v>1454</v>
      </c>
      <c r="X206" t="s">
        <v>1454</v>
      </c>
      <c r="Y206" t="s">
        <v>1454</v>
      </c>
      <c r="AA206" t="s">
        <v>1454</v>
      </c>
      <c r="AB206" t="s">
        <v>1454</v>
      </c>
      <c r="AC206" t="s">
        <v>1454</v>
      </c>
      <c r="AE206" t="s">
        <v>1454</v>
      </c>
      <c r="AF206" t="s">
        <v>1454</v>
      </c>
      <c r="AG206" t="s">
        <v>1454</v>
      </c>
      <c r="AI206" t="s">
        <v>1454</v>
      </c>
      <c r="AJ206" t="s">
        <v>1454</v>
      </c>
      <c r="AK206" t="s">
        <v>1454</v>
      </c>
      <c r="AM206" t="s">
        <v>1454</v>
      </c>
      <c r="AN206" t="s">
        <v>1454</v>
      </c>
      <c r="AO206" t="s">
        <v>1454</v>
      </c>
      <c r="AQ206" t="s">
        <v>1454</v>
      </c>
      <c r="AR206" t="s">
        <v>1454</v>
      </c>
      <c r="AS206" t="s">
        <v>1454</v>
      </c>
      <c r="AU206" t="s">
        <v>1454</v>
      </c>
      <c r="AV206" t="s">
        <v>1454</v>
      </c>
      <c r="AW206" t="s">
        <v>1454</v>
      </c>
      <c r="AY206" t="s">
        <v>1454</v>
      </c>
      <c r="AZ206" t="s">
        <v>1454</v>
      </c>
      <c r="BA206" t="s">
        <v>1454</v>
      </c>
      <c r="BC206" t="s">
        <v>615</v>
      </c>
      <c r="BD206" t="s">
        <v>1454</v>
      </c>
      <c r="BE206" t="s">
        <v>1454</v>
      </c>
      <c r="BG206" t="s">
        <v>1454</v>
      </c>
      <c r="BH206" t="s">
        <v>1454</v>
      </c>
      <c r="BI206" t="s">
        <v>1454</v>
      </c>
      <c r="BK206" t="s">
        <v>1454</v>
      </c>
      <c r="BL206" t="s">
        <v>1454</v>
      </c>
      <c r="BM206" t="s">
        <v>1454</v>
      </c>
      <c r="BO206" t="s">
        <v>1454</v>
      </c>
      <c r="BP206" t="s">
        <v>1454</v>
      </c>
      <c r="BQ206" t="s">
        <v>1454</v>
      </c>
      <c r="BS206" t="s">
        <v>1454</v>
      </c>
      <c r="BT206" t="s">
        <v>1454</v>
      </c>
      <c r="BU206" t="s">
        <v>1454</v>
      </c>
      <c r="BW206" t="s">
        <v>1454</v>
      </c>
      <c r="BX206" t="s">
        <v>1454</v>
      </c>
      <c r="BY206" t="s">
        <v>1454</v>
      </c>
      <c r="CA206" t="s">
        <v>1454</v>
      </c>
      <c r="CB206" t="s">
        <v>1454</v>
      </c>
      <c r="CC206" t="s">
        <v>1454</v>
      </c>
      <c r="CE206" t="s">
        <v>1454</v>
      </c>
      <c r="CF206" t="s">
        <v>1454</v>
      </c>
      <c r="CG206" t="s">
        <v>1454</v>
      </c>
      <c r="CI206" t="s">
        <v>1454</v>
      </c>
      <c r="CJ206" t="s">
        <v>1454</v>
      </c>
      <c r="CK206" t="s">
        <v>1454</v>
      </c>
      <c r="CM206" t="s">
        <v>1454</v>
      </c>
      <c r="CN206" t="s">
        <v>1454</v>
      </c>
      <c r="CO206" t="s">
        <v>1454</v>
      </c>
      <c r="CQ206" t="s">
        <v>1454</v>
      </c>
      <c r="CR206" t="s">
        <v>1454</v>
      </c>
      <c r="CS206" t="s">
        <v>1454</v>
      </c>
      <c r="CU206" t="s">
        <v>1454</v>
      </c>
      <c r="CV206" t="s">
        <v>1454</v>
      </c>
      <c r="CW206" t="s">
        <v>1454</v>
      </c>
      <c r="CY206" t="s">
        <v>1454</v>
      </c>
      <c r="CZ206" t="s">
        <v>1454</v>
      </c>
      <c r="DA206" t="s">
        <v>1454</v>
      </c>
      <c r="DC206" t="s">
        <v>1454</v>
      </c>
      <c r="DD206" t="s">
        <v>1454</v>
      </c>
      <c r="DE206" t="s">
        <v>1454</v>
      </c>
      <c r="DG206" t="s">
        <v>1454</v>
      </c>
      <c r="DH206" t="s">
        <v>1454</v>
      </c>
      <c r="DI206" t="s">
        <v>1454</v>
      </c>
      <c r="DK206" t="s">
        <v>1454</v>
      </c>
      <c r="DL206" t="s">
        <v>1454</v>
      </c>
      <c r="DM206" t="s">
        <v>1454</v>
      </c>
      <c r="DO206" t="s">
        <v>1454</v>
      </c>
      <c r="DP206" t="s">
        <v>1454</v>
      </c>
      <c r="DQ206" t="s">
        <v>1454</v>
      </c>
      <c r="DS206" t="s">
        <v>1454</v>
      </c>
      <c r="DT206" t="s">
        <v>1454</v>
      </c>
      <c r="DU206" t="s">
        <v>1454</v>
      </c>
      <c r="DW206" t="s">
        <v>1454</v>
      </c>
      <c r="DX206" t="s">
        <v>1454</v>
      </c>
      <c r="DY206" t="s">
        <v>1454</v>
      </c>
      <c r="EA206" t="s">
        <v>1454</v>
      </c>
      <c r="EB206" t="s">
        <v>1454</v>
      </c>
      <c r="EC206" t="s">
        <v>1454</v>
      </c>
      <c r="EE206" t="s">
        <v>1454</v>
      </c>
      <c r="EF206" t="s">
        <v>1454</v>
      </c>
      <c r="EG206" t="s">
        <v>1454</v>
      </c>
      <c r="EI206" t="s">
        <v>1454</v>
      </c>
      <c r="EJ206" t="s">
        <v>1454</v>
      </c>
      <c r="EK206" t="s">
        <v>1454</v>
      </c>
      <c r="EM206" t="s">
        <v>1454</v>
      </c>
      <c r="EN206" t="s">
        <v>1454</v>
      </c>
      <c r="EO206" t="s">
        <v>1454</v>
      </c>
      <c r="EQ206" t="s">
        <v>1454</v>
      </c>
      <c r="ER206" t="s">
        <v>1454</v>
      </c>
      <c r="ES206" t="s">
        <v>1454</v>
      </c>
      <c r="EU206" t="s">
        <v>639</v>
      </c>
      <c r="EV206" t="s">
        <v>1454</v>
      </c>
      <c r="EW206" t="s">
        <v>1454</v>
      </c>
      <c r="EY206" t="s">
        <v>640</v>
      </c>
      <c r="EZ206" t="s">
        <v>1454</v>
      </c>
      <c r="FA206" t="s">
        <v>1454</v>
      </c>
      <c r="FC206" t="s">
        <v>1454</v>
      </c>
      <c r="FD206" t="s">
        <v>1454</v>
      </c>
      <c r="FE206" t="s">
        <v>1454</v>
      </c>
      <c r="FG206" t="s">
        <v>1454</v>
      </c>
      <c r="FH206" t="s">
        <v>1454</v>
      </c>
      <c r="FI206" t="s">
        <v>1454</v>
      </c>
      <c r="FK206" t="s">
        <v>1454</v>
      </c>
      <c r="FL206" t="s">
        <v>1454</v>
      </c>
      <c r="FM206" t="s">
        <v>1454</v>
      </c>
      <c r="FO206" t="s">
        <v>1454</v>
      </c>
      <c r="FP206" t="s">
        <v>1454</v>
      </c>
      <c r="FQ206" t="s">
        <v>1454</v>
      </c>
      <c r="FS206" t="s">
        <v>1454</v>
      </c>
      <c r="FT206" t="s">
        <v>1454</v>
      </c>
      <c r="FU206" t="s">
        <v>1454</v>
      </c>
      <c r="FW206" t="s">
        <v>1454</v>
      </c>
      <c r="FX206" t="s">
        <v>1454</v>
      </c>
      <c r="FY206" t="s">
        <v>1454</v>
      </c>
      <c r="GA206" t="s">
        <v>1454</v>
      </c>
      <c r="GB206" t="s">
        <v>1454</v>
      </c>
      <c r="GC206" t="s">
        <v>1454</v>
      </c>
      <c r="GE206" t="s">
        <v>1454</v>
      </c>
      <c r="GF206" t="s">
        <v>1454</v>
      </c>
      <c r="GG206" t="s">
        <v>1454</v>
      </c>
      <c r="GI206" t="s">
        <v>648</v>
      </c>
      <c r="GJ206" t="s">
        <v>1454</v>
      </c>
      <c r="GK206" t="s">
        <v>1454</v>
      </c>
      <c r="GM206" t="s">
        <v>1454</v>
      </c>
      <c r="GN206" t="s">
        <v>1454</v>
      </c>
      <c r="GO206" t="s">
        <v>1454</v>
      </c>
      <c r="GQ206" t="s">
        <v>1639</v>
      </c>
    </row>
    <row r="207" spans="2:199" s="11" customFormat="1" x14ac:dyDescent="0.25">
      <c r="B207" t="s">
        <v>583</v>
      </c>
      <c r="C207" t="s">
        <v>1454</v>
      </c>
      <c r="D207" t="s">
        <v>1454</v>
      </c>
      <c r="E207" t="s">
        <v>1454</v>
      </c>
      <c r="F207"/>
      <c r="G207" t="s">
        <v>1454</v>
      </c>
      <c r="H207" t="s">
        <v>1454</v>
      </c>
      <c r="I207" t="s">
        <v>1454</v>
      </c>
      <c r="J207"/>
      <c r="K207" t="s">
        <v>1454</v>
      </c>
      <c r="L207" t="s">
        <v>1454</v>
      </c>
      <c r="M207" t="s">
        <v>1454</v>
      </c>
      <c r="N207"/>
      <c r="O207" t="s">
        <v>1454</v>
      </c>
      <c r="P207" t="s">
        <v>1454</v>
      </c>
      <c r="Q207" t="s">
        <v>1454</v>
      </c>
      <c r="R207"/>
      <c r="S207" t="s">
        <v>1454</v>
      </c>
      <c r="T207" t="s">
        <v>1454</v>
      </c>
      <c r="U207" t="s">
        <v>1454</v>
      </c>
      <c r="V207"/>
      <c r="W207" t="s">
        <v>1454</v>
      </c>
      <c r="X207" t="s">
        <v>1454</v>
      </c>
      <c r="Y207" t="s">
        <v>1454</v>
      </c>
      <c r="Z207"/>
      <c r="AA207" t="s">
        <v>1454</v>
      </c>
      <c r="AB207" t="s">
        <v>1454</v>
      </c>
      <c r="AC207" t="s">
        <v>1454</v>
      </c>
      <c r="AD207"/>
      <c r="AE207" t="s">
        <v>1454</v>
      </c>
      <c r="AF207" t="s">
        <v>1454</v>
      </c>
      <c r="AG207" t="s">
        <v>1454</v>
      </c>
      <c r="AH207"/>
      <c r="AI207" t="s">
        <v>1454</v>
      </c>
      <c r="AJ207" t="s">
        <v>1454</v>
      </c>
      <c r="AK207" t="s">
        <v>1454</v>
      </c>
      <c r="AL207"/>
      <c r="AM207" t="s">
        <v>1454</v>
      </c>
      <c r="AN207" t="s">
        <v>1454</v>
      </c>
      <c r="AO207" t="s">
        <v>1454</v>
      </c>
      <c r="AP207"/>
      <c r="AQ207" t="s">
        <v>1454</v>
      </c>
      <c r="AR207" t="s">
        <v>1454</v>
      </c>
      <c r="AS207" t="s">
        <v>1454</v>
      </c>
      <c r="AT207"/>
      <c r="AU207" t="s">
        <v>1454</v>
      </c>
      <c r="AV207" t="s">
        <v>1454</v>
      </c>
      <c r="AW207" t="s">
        <v>1454</v>
      </c>
      <c r="AX207"/>
      <c r="AY207" t="s">
        <v>1454</v>
      </c>
      <c r="AZ207" t="s">
        <v>1454</v>
      </c>
      <c r="BA207" t="s">
        <v>1454</v>
      </c>
      <c r="BB207"/>
      <c r="BC207" t="s">
        <v>1454</v>
      </c>
      <c r="BD207" t="s">
        <v>1454</v>
      </c>
      <c r="BE207" t="s">
        <v>1454</v>
      </c>
      <c r="BF207"/>
      <c r="BG207" t="s">
        <v>1454</v>
      </c>
      <c r="BH207" t="s">
        <v>1454</v>
      </c>
      <c r="BI207" t="s">
        <v>1454</v>
      </c>
      <c r="BJ207"/>
      <c r="BK207" t="s">
        <v>1454</v>
      </c>
      <c r="BL207" t="s">
        <v>1454</v>
      </c>
      <c r="BM207" t="s">
        <v>1454</v>
      </c>
      <c r="BN207"/>
      <c r="BO207" t="s">
        <v>1454</v>
      </c>
      <c r="BP207" t="s">
        <v>1454</v>
      </c>
      <c r="BQ207" t="s">
        <v>1454</v>
      </c>
      <c r="BR207"/>
      <c r="BS207" t="s">
        <v>1454</v>
      </c>
      <c r="BT207" t="s">
        <v>1454</v>
      </c>
      <c r="BU207" t="s">
        <v>1454</v>
      </c>
      <c r="BV207"/>
      <c r="BW207" t="s">
        <v>1454</v>
      </c>
      <c r="BX207" t="s">
        <v>1454</v>
      </c>
      <c r="BY207" t="s">
        <v>1454</v>
      </c>
      <c r="BZ207"/>
      <c r="CA207" t="s">
        <v>1454</v>
      </c>
      <c r="CB207" t="s">
        <v>1454</v>
      </c>
      <c r="CC207" t="s">
        <v>1454</v>
      </c>
      <c r="CD207"/>
      <c r="CE207" t="s">
        <v>1454</v>
      </c>
      <c r="CF207" t="s">
        <v>1454</v>
      </c>
      <c r="CG207" t="s">
        <v>1454</v>
      </c>
      <c r="CH207"/>
      <c r="CI207" t="s">
        <v>1454</v>
      </c>
      <c r="CJ207" t="s">
        <v>1454</v>
      </c>
      <c r="CK207" t="s">
        <v>1454</v>
      </c>
      <c r="CL207"/>
      <c r="CM207" t="s">
        <v>1454</v>
      </c>
      <c r="CN207" t="s">
        <v>1454</v>
      </c>
      <c r="CO207" t="s">
        <v>1454</v>
      </c>
      <c r="CP207"/>
      <c r="CQ207" t="s">
        <v>1454</v>
      </c>
      <c r="CR207" t="s">
        <v>1454</v>
      </c>
      <c r="CS207" t="s">
        <v>1454</v>
      </c>
      <c r="CT207"/>
      <c r="CU207" t="s">
        <v>1454</v>
      </c>
      <c r="CV207" t="s">
        <v>1454</v>
      </c>
      <c r="CW207" t="s">
        <v>1454</v>
      </c>
      <c r="CX207"/>
      <c r="CY207" t="s">
        <v>627</v>
      </c>
      <c r="CZ207" t="s">
        <v>1454</v>
      </c>
      <c r="DA207" t="s">
        <v>1454</v>
      </c>
      <c r="DB207"/>
      <c r="DC207" t="s">
        <v>1454</v>
      </c>
      <c r="DD207" t="s">
        <v>1454</v>
      </c>
      <c r="DE207" t="s">
        <v>1454</v>
      </c>
      <c r="DF207"/>
      <c r="DG207" t="s">
        <v>1454</v>
      </c>
      <c r="DH207" t="s">
        <v>1454</v>
      </c>
      <c r="DI207" t="s">
        <v>1454</v>
      </c>
      <c r="DJ207"/>
      <c r="DK207" t="s">
        <v>1454</v>
      </c>
      <c r="DL207" t="s">
        <v>1454</v>
      </c>
      <c r="DM207" t="s">
        <v>1454</v>
      </c>
      <c r="DN207"/>
      <c r="DO207" t="s">
        <v>1454</v>
      </c>
      <c r="DP207" t="s">
        <v>1454</v>
      </c>
      <c r="DQ207" t="s">
        <v>1454</v>
      </c>
      <c r="DR207"/>
      <c r="DS207" t="s">
        <v>1454</v>
      </c>
      <c r="DT207" t="s">
        <v>1454</v>
      </c>
      <c r="DU207" t="s">
        <v>1454</v>
      </c>
      <c r="DV207"/>
      <c r="DW207" t="s">
        <v>1454</v>
      </c>
      <c r="DX207" t="s">
        <v>1454</v>
      </c>
      <c r="DY207" t="s">
        <v>1454</v>
      </c>
      <c r="DZ207"/>
      <c r="EA207" t="s">
        <v>1454</v>
      </c>
      <c r="EB207" t="s">
        <v>1454</v>
      </c>
      <c r="EC207" t="s">
        <v>1454</v>
      </c>
      <c r="ED207"/>
      <c r="EE207" t="s">
        <v>1454</v>
      </c>
      <c r="EF207" t="s">
        <v>1454</v>
      </c>
      <c r="EG207" t="s">
        <v>1454</v>
      </c>
      <c r="EH207"/>
      <c r="EI207" t="s">
        <v>1454</v>
      </c>
      <c r="EJ207" t="s">
        <v>1454</v>
      </c>
      <c r="EK207" t="s">
        <v>1454</v>
      </c>
      <c r="EL207"/>
      <c r="EM207" t="s">
        <v>1454</v>
      </c>
      <c r="EN207" t="s">
        <v>1454</v>
      </c>
      <c r="EO207" t="s">
        <v>1454</v>
      </c>
      <c r="EP207"/>
      <c r="EQ207" t="s">
        <v>1454</v>
      </c>
      <c r="ER207" t="s">
        <v>1454</v>
      </c>
      <c r="ES207" t="s">
        <v>1454</v>
      </c>
      <c r="ET207"/>
      <c r="EU207" t="s">
        <v>1454</v>
      </c>
      <c r="EV207" t="s">
        <v>1454</v>
      </c>
      <c r="EW207" t="s">
        <v>1454</v>
      </c>
      <c r="EX207"/>
      <c r="EY207" t="s">
        <v>1454</v>
      </c>
      <c r="EZ207" t="s">
        <v>1454</v>
      </c>
      <c r="FA207" t="s">
        <v>1454</v>
      </c>
      <c r="FB207"/>
      <c r="FC207" t="s">
        <v>1454</v>
      </c>
      <c r="FD207" t="s">
        <v>1454</v>
      </c>
      <c r="FE207" t="s">
        <v>1454</v>
      </c>
      <c r="FF207"/>
      <c r="FG207" t="s">
        <v>1454</v>
      </c>
      <c r="FH207" t="s">
        <v>1454</v>
      </c>
      <c r="FI207" t="s">
        <v>1454</v>
      </c>
      <c r="FJ207"/>
      <c r="FK207" t="s">
        <v>1454</v>
      </c>
      <c r="FL207" t="s">
        <v>1454</v>
      </c>
      <c r="FM207" t="s">
        <v>1454</v>
      </c>
      <c r="FN207"/>
      <c r="FO207" t="s">
        <v>1454</v>
      </c>
      <c r="FP207" t="s">
        <v>1454</v>
      </c>
      <c r="FQ207" t="s">
        <v>1454</v>
      </c>
      <c r="FR207"/>
      <c r="FS207" t="s">
        <v>1454</v>
      </c>
      <c r="FT207" t="s">
        <v>1454</v>
      </c>
      <c r="FU207" t="s">
        <v>1454</v>
      </c>
      <c r="FV207"/>
      <c r="FW207" t="s">
        <v>1454</v>
      </c>
      <c r="FX207" t="s">
        <v>1454</v>
      </c>
      <c r="FY207" t="s">
        <v>1454</v>
      </c>
      <c r="FZ207"/>
      <c r="GA207" t="s">
        <v>1454</v>
      </c>
      <c r="GB207" t="s">
        <v>1454</v>
      </c>
      <c r="GC207" t="s">
        <v>1454</v>
      </c>
      <c r="GD207"/>
      <c r="GE207" t="s">
        <v>1454</v>
      </c>
      <c r="GF207" t="s">
        <v>1454</v>
      </c>
      <c r="GG207" t="s">
        <v>1454</v>
      </c>
      <c r="GH207"/>
      <c r="GI207" t="s">
        <v>1454</v>
      </c>
      <c r="GJ207" t="s">
        <v>1454</v>
      </c>
      <c r="GK207" t="s">
        <v>1454</v>
      </c>
      <c r="GL207"/>
      <c r="GM207" t="s">
        <v>1454</v>
      </c>
      <c r="GN207" t="s">
        <v>1454</v>
      </c>
      <c r="GO207" t="s">
        <v>1454</v>
      </c>
      <c r="GP207"/>
      <c r="GQ207" t="s">
        <v>1514</v>
      </c>
    </row>
    <row r="208" spans="2:199" x14ac:dyDescent="0.25">
      <c r="B208" t="s">
        <v>599</v>
      </c>
      <c r="C208" t="s">
        <v>1454</v>
      </c>
      <c r="D208" t="s">
        <v>1454</v>
      </c>
      <c r="E208" t="s">
        <v>1454</v>
      </c>
      <c r="G208" t="s">
        <v>1454</v>
      </c>
      <c r="H208" t="s">
        <v>1454</v>
      </c>
      <c r="I208" t="s">
        <v>1454</v>
      </c>
      <c r="K208" t="s">
        <v>1454</v>
      </c>
      <c r="L208" t="s">
        <v>1454</v>
      </c>
      <c r="M208" t="s">
        <v>1454</v>
      </c>
      <c r="O208" t="s">
        <v>1454</v>
      </c>
      <c r="P208" t="s">
        <v>1454</v>
      </c>
      <c r="Q208" t="s">
        <v>1454</v>
      </c>
      <c r="S208" t="s">
        <v>1454</v>
      </c>
      <c r="T208" t="s">
        <v>1454</v>
      </c>
      <c r="U208" t="s">
        <v>1454</v>
      </c>
      <c r="W208" t="s">
        <v>1454</v>
      </c>
      <c r="X208" t="s">
        <v>1454</v>
      </c>
      <c r="Y208" t="s">
        <v>1454</v>
      </c>
      <c r="AA208" t="s">
        <v>1454</v>
      </c>
      <c r="AB208" t="s">
        <v>1454</v>
      </c>
      <c r="AC208" t="s">
        <v>1454</v>
      </c>
      <c r="AE208" t="s">
        <v>1454</v>
      </c>
      <c r="AF208" t="s">
        <v>1454</v>
      </c>
      <c r="AG208" t="s">
        <v>1454</v>
      </c>
      <c r="AI208" t="s">
        <v>1454</v>
      </c>
      <c r="AJ208" t="s">
        <v>1454</v>
      </c>
      <c r="AK208" t="s">
        <v>1454</v>
      </c>
      <c r="AM208" t="s">
        <v>1454</v>
      </c>
      <c r="AN208" t="s">
        <v>1454</v>
      </c>
      <c r="AO208" t="s">
        <v>1454</v>
      </c>
      <c r="AQ208" t="s">
        <v>1454</v>
      </c>
      <c r="AR208" t="s">
        <v>1454</v>
      </c>
      <c r="AS208" t="s">
        <v>1454</v>
      </c>
      <c r="AU208" t="s">
        <v>1454</v>
      </c>
      <c r="AV208" t="s">
        <v>1454</v>
      </c>
      <c r="AW208" t="s">
        <v>1454</v>
      </c>
      <c r="AY208" t="s">
        <v>1454</v>
      </c>
      <c r="AZ208" t="s">
        <v>1454</v>
      </c>
      <c r="BA208" t="s">
        <v>1454</v>
      </c>
      <c r="BC208" t="s">
        <v>1454</v>
      </c>
      <c r="BD208" t="s">
        <v>1454</v>
      </c>
      <c r="BE208" t="s">
        <v>1454</v>
      </c>
      <c r="BG208" t="s">
        <v>1454</v>
      </c>
      <c r="BH208" t="s">
        <v>1454</v>
      </c>
      <c r="BI208" t="s">
        <v>1454</v>
      </c>
      <c r="BK208" t="s">
        <v>1454</v>
      </c>
      <c r="BL208" t="s">
        <v>1454</v>
      </c>
      <c r="BM208" t="s">
        <v>1454</v>
      </c>
      <c r="BO208" t="s">
        <v>1454</v>
      </c>
      <c r="BP208" t="s">
        <v>1454</v>
      </c>
      <c r="BQ208" t="s">
        <v>1454</v>
      </c>
      <c r="BS208" t="s">
        <v>1454</v>
      </c>
      <c r="BT208" t="s">
        <v>1454</v>
      </c>
      <c r="BU208" t="s">
        <v>1454</v>
      </c>
      <c r="BW208" t="s">
        <v>1454</v>
      </c>
      <c r="BX208" t="s">
        <v>1454</v>
      </c>
      <c r="BY208" t="s">
        <v>1454</v>
      </c>
      <c r="CA208" t="s">
        <v>1454</v>
      </c>
      <c r="CB208" t="s">
        <v>1454</v>
      </c>
      <c r="CC208" t="s">
        <v>1454</v>
      </c>
      <c r="CE208" t="s">
        <v>1454</v>
      </c>
      <c r="CF208" t="s">
        <v>1454</v>
      </c>
      <c r="CG208" t="s">
        <v>1454</v>
      </c>
      <c r="CI208" t="s">
        <v>1454</v>
      </c>
      <c r="CJ208" t="s">
        <v>1454</v>
      </c>
      <c r="CK208" t="s">
        <v>1454</v>
      </c>
      <c r="CM208" t="s">
        <v>1454</v>
      </c>
      <c r="CN208" t="s">
        <v>1454</v>
      </c>
      <c r="CO208" t="s">
        <v>1454</v>
      </c>
      <c r="CQ208" t="s">
        <v>1454</v>
      </c>
      <c r="CR208" t="s">
        <v>1454</v>
      </c>
      <c r="CS208" t="s">
        <v>1454</v>
      </c>
      <c r="CU208" t="s">
        <v>1454</v>
      </c>
      <c r="CV208" t="s">
        <v>1454</v>
      </c>
      <c r="CW208" t="s">
        <v>1454</v>
      </c>
      <c r="CY208" t="s">
        <v>1454</v>
      </c>
      <c r="CZ208" t="s">
        <v>1454</v>
      </c>
      <c r="DA208" t="s">
        <v>1454</v>
      </c>
      <c r="DC208" t="s">
        <v>1454</v>
      </c>
      <c r="DD208" t="s">
        <v>1454</v>
      </c>
      <c r="DE208" t="s">
        <v>1454</v>
      </c>
      <c r="DG208" t="s">
        <v>1454</v>
      </c>
      <c r="DH208" t="s">
        <v>1454</v>
      </c>
      <c r="DI208" t="s">
        <v>1454</v>
      </c>
      <c r="DK208" t="s">
        <v>1454</v>
      </c>
      <c r="DL208" t="s">
        <v>1454</v>
      </c>
      <c r="DM208" t="s">
        <v>1454</v>
      </c>
      <c r="DO208" t="s">
        <v>1454</v>
      </c>
      <c r="DP208" t="s">
        <v>1454</v>
      </c>
      <c r="DQ208" t="s">
        <v>1454</v>
      </c>
      <c r="DS208" t="s">
        <v>1454</v>
      </c>
      <c r="DT208" t="s">
        <v>1454</v>
      </c>
      <c r="DU208" t="s">
        <v>1454</v>
      </c>
      <c r="DW208" t="s">
        <v>1454</v>
      </c>
      <c r="DX208" t="s">
        <v>1454</v>
      </c>
      <c r="DY208" t="s">
        <v>1454</v>
      </c>
      <c r="EA208" t="s">
        <v>634</v>
      </c>
      <c r="EB208" t="s">
        <v>1454</v>
      </c>
      <c r="EC208" t="s">
        <v>1454</v>
      </c>
      <c r="EE208" t="s">
        <v>1454</v>
      </c>
      <c r="EF208" t="s">
        <v>1454</v>
      </c>
      <c r="EG208" t="s">
        <v>1454</v>
      </c>
      <c r="EI208" t="s">
        <v>1454</v>
      </c>
      <c r="EJ208" t="s">
        <v>1454</v>
      </c>
      <c r="EK208" t="s">
        <v>1454</v>
      </c>
      <c r="EM208" t="s">
        <v>1454</v>
      </c>
      <c r="EN208" t="s">
        <v>1454</v>
      </c>
      <c r="EO208" t="s">
        <v>1454</v>
      </c>
      <c r="EQ208" t="s">
        <v>1454</v>
      </c>
      <c r="ER208" t="s">
        <v>1454</v>
      </c>
      <c r="ES208" t="s">
        <v>1454</v>
      </c>
      <c r="EU208" t="s">
        <v>1454</v>
      </c>
      <c r="EV208" t="s">
        <v>1454</v>
      </c>
      <c r="EW208" t="s">
        <v>1454</v>
      </c>
      <c r="EY208" t="s">
        <v>1454</v>
      </c>
      <c r="EZ208" t="s">
        <v>1454</v>
      </c>
      <c r="FA208" t="s">
        <v>1454</v>
      </c>
      <c r="FC208" t="s">
        <v>1454</v>
      </c>
      <c r="FD208" t="s">
        <v>1454</v>
      </c>
      <c r="FE208" t="s">
        <v>1454</v>
      </c>
      <c r="FG208" t="s">
        <v>1454</v>
      </c>
      <c r="FH208" t="s">
        <v>1454</v>
      </c>
      <c r="FI208" t="s">
        <v>1454</v>
      </c>
      <c r="FK208" t="s">
        <v>1454</v>
      </c>
      <c r="FL208" t="s">
        <v>1454</v>
      </c>
      <c r="FM208" t="s">
        <v>1454</v>
      </c>
      <c r="FO208" t="s">
        <v>1454</v>
      </c>
      <c r="FP208" t="s">
        <v>1454</v>
      </c>
      <c r="FQ208" t="s">
        <v>1454</v>
      </c>
      <c r="FS208" t="s">
        <v>1454</v>
      </c>
      <c r="FT208" t="s">
        <v>1454</v>
      </c>
      <c r="FU208" t="s">
        <v>1454</v>
      </c>
      <c r="FW208" t="s">
        <v>1454</v>
      </c>
      <c r="FX208" t="s">
        <v>1454</v>
      </c>
      <c r="FY208" t="s">
        <v>1454</v>
      </c>
      <c r="GA208" t="s">
        <v>1454</v>
      </c>
      <c r="GB208" t="s">
        <v>1454</v>
      </c>
      <c r="GC208" t="s">
        <v>1454</v>
      </c>
      <c r="GE208" t="s">
        <v>1454</v>
      </c>
      <c r="GF208" t="s">
        <v>1454</v>
      </c>
      <c r="GG208" t="s">
        <v>1454</v>
      </c>
      <c r="GI208" t="s">
        <v>1454</v>
      </c>
      <c r="GJ208" t="s">
        <v>1454</v>
      </c>
      <c r="GK208" t="s">
        <v>1454</v>
      </c>
      <c r="GM208" t="s">
        <v>1454</v>
      </c>
      <c r="GN208" t="s">
        <v>1454</v>
      </c>
      <c r="GO208" t="s">
        <v>1454</v>
      </c>
      <c r="GQ208" t="s">
        <v>1558</v>
      </c>
    </row>
    <row r="209" spans="2:199" ht="16.5" customHeight="1" x14ac:dyDescent="0.25">
      <c r="B209" t="s">
        <v>328</v>
      </c>
      <c r="C209" t="s">
        <v>1454</v>
      </c>
      <c r="D209" t="s">
        <v>1454</v>
      </c>
      <c r="E209" t="s">
        <v>1454</v>
      </c>
      <c r="G209" t="s">
        <v>1454</v>
      </c>
      <c r="H209" t="s">
        <v>1454</v>
      </c>
      <c r="I209" t="s">
        <v>1454</v>
      </c>
      <c r="K209" t="s">
        <v>1454</v>
      </c>
      <c r="L209" t="s">
        <v>1454</v>
      </c>
      <c r="M209" t="s">
        <v>1454</v>
      </c>
      <c r="O209" t="s">
        <v>1454</v>
      </c>
      <c r="P209" t="s">
        <v>1454</v>
      </c>
      <c r="Q209" t="s">
        <v>1454</v>
      </c>
      <c r="S209" t="s">
        <v>1454</v>
      </c>
      <c r="T209" t="s">
        <v>1454</v>
      </c>
      <c r="U209" t="s">
        <v>1454</v>
      </c>
      <c r="W209" t="s">
        <v>1454</v>
      </c>
      <c r="X209" t="s">
        <v>1454</v>
      </c>
      <c r="Y209" t="s">
        <v>1454</v>
      </c>
      <c r="AA209" t="s">
        <v>1454</v>
      </c>
      <c r="AB209" t="s">
        <v>1454</v>
      </c>
      <c r="AC209" t="s">
        <v>1454</v>
      </c>
      <c r="AE209" t="s">
        <v>1454</v>
      </c>
      <c r="AF209" t="s">
        <v>1454</v>
      </c>
      <c r="AG209" t="s">
        <v>1454</v>
      </c>
      <c r="AI209" t="s">
        <v>1454</v>
      </c>
      <c r="AJ209" t="s">
        <v>1454</v>
      </c>
      <c r="AK209" t="s">
        <v>1454</v>
      </c>
      <c r="AM209" t="s">
        <v>1454</v>
      </c>
      <c r="AN209" t="s">
        <v>1454</v>
      </c>
      <c r="AO209" t="s">
        <v>1454</v>
      </c>
      <c r="AQ209" t="s">
        <v>1454</v>
      </c>
      <c r="AR209" t="s">
        <v>1454</v>
      </c>
      <c r="AS209" t="s">
        <v>1454</v>
      </c>
      <c r="AU209" t="s">
        <v>1454</v>
      </c>
      <c r="AV209" t="s">
        <v>1454</v>
      </c>
      <c r="AW209" t="s">
        <v>1454</v>
      </c>
      <c r="AY209" t="s">
        <v>1454</v>
      </c>
      <c r="AZ209" t="s">
        <v>1454</v>
      </c>
      <c r="BA209" t="s">
        <v>1454</v>
      </c>
      <c r="BC209" t="s">
        <v>1454</v>
      </c>
      <c r="BD209" t="s">
        <v>1454</v>
      </c>
      <c r="BE209" t="s">
        <v>1454</v>
      </c>
      <c r="BG209" t="s">
        <v>1454</v>
      </c>
      <c r="BH209" t="s">
        <v>1454</v>
      </c>
      <c r="BI209" t="s">
        <v>1454</v>
      </c>
      <c r="BK209" t="s">
        <v>1454</v>
      </c>
      <c r="BL209" t="s">
        <v>1454</v>
      </c>
      <c r="BM209" t="s">
        <v>1454</v>
      </c>
      <c r="BO209" t="s">
        <v>1454</v>
      </c>
      <c r="BP209" t="s">
        <v>1454</v>
      </c>
      <c r="BQ209" t="s">
        <v>1454</v>
      </c>
      <c r="BS209" t="s">
        <v>1454</v>
      </c>
      <c r="BT209" t="s">
        <v>1454</v>
      </c>
      <c r="BU209" t="s">
        <v>1454</v>
      </c>
      <c r="BW209" t="s">
        <v>1454</v>
      </c>
      <c r="BX209" t="s">
        <v>1454</v>
      </c>
      <c r="BY209" t="s">
        <v>1454</v>
      </c>
      <c r="CA209" t="s">
        <v>1454</v>
      </c>
      <c r="CB209" t="s">
        <v>1454</v>
      </c>
      <c r="CC209" t="s">
        <v>1454</v>
      </c>
      <c r="CE209" t="s">
        <v>1454</v>
      </c>
      <c r="CF209" t="s">
        <v>1454</v>
      </c>
      <c r="CG209" t="s">
        <v>1454</v>
      </c>
      <c r="CI209" t="s">
        <v>1454</v>
      </c>
      <c r="CJ209" t="s">
        <v>1454</v>
      </c>
      <c r="CK209" t="s">
        <v>1454</v>
      </c>
      <c r="CM209" t="s">
        <v>1454</v>
      </c>
      <c r="CN209" t="s">
        <v>1454</v>
      </c>
      <c r="CO209" t="s">
        <v>1454</v>
      </c>
      <c r="CQ209" t="s">
        <v>1454</v>
      </c>
      <c r="CR209" t="s">
        <v>1454</v>
      </c>
      <c r="CS209" t="s">
        <v>1454</v>
      </c>
      <c r="CU209" t="s">
        <v>1454</v>
      </c>
      <c r="CV209" t="s">
        <v>1454</v>
      </c>
      <c r="CW209" t="s">
        <v>1454</v>
      </c>
      <c r="CY209" t="s">
        <v>1454</v>
      </c>
      <c r="CZ209" t="s">
        <v>1454</v>
      </c>
      <c r="DA209" t="s">
        <v>1454</v>
      </c>
      <c r="DC209" t="s">
        <v>1454</v>
      </c>
      <c r="DD209" t="s">
        <v>1454</v>
      </c>
      <c r="DE209" t="s">
        <v>1454</v>
      </c>
      <c r="DG209" t="s">
        <v>1454</v>
      </c>
      <c r="DH209" t="s">
        <v>1454</v>
      </c>
      <c r="DI209" t="s">
        <v>1454</v>
      </c>
      <c r="DK209" t="s">
        <v>1454</v>
      </c>
      <c r="DL209" t="s">
        <v>1454</v>
      </c>
      <c r="DM209" t="s">
        <v>1454</v>
      </c>
      <c r="DO209" t="s">
        <v>1454</v>
      </c>
      <c r="DP209" t="s">
        <v>1454</v>
      </c>
      <c r="DQ209" t="s">
        <v>1454</v>
      </c>
      <c r="DS209" t="s">
        <v>1454</v>
      </c>
      <c r="DT209" t="s">
        <v>1454</v>
      </c>
      <c r="DU209" t="s">
        <v>1454</v>
      </c>
      <c r="DW209" t="s">
        <v>1454</v>
      </c>
      <c r="DX209" t="s">
        <v>1454</v>
      </c>
      <c r="DY209" t="s">
        <v>1454</v>
      </c>
      <c r="EA209" t="s">
        <v>634</v>
      </c>
      <c r="EB209" t="s">
        <v>1454</v>
      </c>
      <c r="EC209" t="s">
        <v>1454</v>
      </c>
      <c r="EE209" t="s">
        <v>1454</v>
      </c>
      <c r="EF209" t="s">
        <v>1454</v>
      </c>
      <c r="EG209" t="s">
        <v>1454</v>
      </c>
      <c r="EI209" t="s">
        <v>1454</v>
      </c>
      <c r="EJ209" t="s">
        <v>1454</v>
      </c>
      <c r="EK209" t="s">
        <v>1454</v>
      </c>
      <c r="EM209" t="s">
        <v>637</v>
      </c>
      <c r="EN209" t="s">
        <v>1454</v>
      </c>
      <c r="EO209" t="s">
        <v>1454</v>
      </c>
      <c r="EQ209" t="s">
        <v>1454</v>
      </c>
      <c r="ER209" t="s">
        <v>1454</v>
      </c>
      <c r="ES209" t="s">
        <v>1454</v>
      </c>
      <c r="EU209" t="s">
        <v>1454</v>
      </c>
      <c r="EV209" t="s">
        <v>1454</v>
      </c>
      <c r="EW209" t="s">
        <v>1454</v>
      </c>
      <c r="EY209" t="s">
        <v>1454</v>
      </c>
      <c r="EZ209" t="s">
        <v>1454</v>
      </c>
      <c r="FA209" t="s">
        <v>1454</v>
      </c>
      <c r="FC209" t="s">
        <v>1454</v>
      </c>
      <c r="FD209" t="s">
        <v>1454</v>
      </c>
      <c r="FE209" t="s">
        <v>1454</v>
      </c>
      <c r="FG209" t="s">
        <v>1454</v>
      </c>
      <c r="FH209" t="s">
        <v>1454</v>
      </c>
      <c r="FI209" t="s">
        <v>1454</v>
      </c>
      <c r="FK209" t="s">
        <v>1454</v>
      </c>
      <c r="FL209" t="s">
        <v>1454</v>
      </c>
      <c r="FM209" t="s">
        <v>1454</v>
      </c>
      <c r="FO209" t="s">
        <v>1454</v>
      </c>
      <c r="FP209" t="s">
        <v>1454</v>
      </c>
      <c r="FQ209" t="s">
        <v>1454</v>
      </c>
      <c r="FS209" t="s">
        <v>1454</v>
      </c>
      <c r="FT209" t="s">
        <v>1454</v>
      </c>
      <c r="FU209" t="s">
        <v>1454</v>
      </c>
      <c r="FW209" t="s">
        <v>1454</v>
      </c>
      <c r="FX209" t="s">
        <v>1454</v>
      </c>
      <c r="FY209" t="s">
        <v>1454</v>
      </c>
      <c r="GA209" t="s">
        <v>1454</v>
      </c>
      <c r="GB209" t="s">
        <v>1454</v>
      </c>
      <c r="GC209" t="s">
        <v>1454</v>
      </c>
      <c r="GE209" t="s">
        <v>1454</v>
      </c>
      <c r="GF209" t="s">
        <v>1454</v>
      </c>
      <c r="GG209" t="s">
        <v>1454</v>
      </c>
      <c r="GI209" t="s">
        <v>648</v>
      </c>
      <c r="GJ209" t="s">
        <v>1454</v>
      </c>
      <c r="GK209" t="s">
        <v>1454</v>
      </c>
      <c r="GM209" t="s">
        <v>1454</v>
      </c>
      <c r="GN209" t="s">
        <v>1454</v>
      </c>
      <c r="GO209" t="s">
        <v>1454</v>
      </c>
      <c r="GQ209" t="s">
        <v>1595</v>
      </c>
    </row>
    <row r="210" spans="2:199" x14ac:dyDescent="0.25">
      <c r="B210" t="s">
        <v>600</v>
      </c>
      <c r="C210" t="s">
        <v>1454</v>
      </c>
      <c r="D210" t="s">
        <v>1454</v>
      </c>
      <c r="E210" t="s">
        <v>1454</v>
      </c>
      <c r="G210" t="s">
        <v>1454</v>
      </c>
      <c r="H210" t="s">
        <v>1454</v>
      </c>
      <c r="I210" t="s">
        <v>1454</v>
      </c>
      <c r="K210" t="s">
        <v>1454</v>
      </c>
      <c r="L210" t="s">
        <v>1454</v>
      </c>
      <c r="M210" t="s">
        <v>1454</v>
      </c>
      <c r="O210" t="s">
        <v>1454</v>
      </c>
      <c r="P210" t="s">
        <v>1454</v>
      </c>
      <c r="Q210" t="s">
        <v>1454</v>
      </c>
      <c r="S210" t="s">
        <v>1454</v>
      </c>
      <c r="T210" t="s">
        <v>1454</v>
      </c>
      <c r="U210" t="s">
        <v>1454</v>
      </c>
      <c r="W210" t="s">
        <v>1454</v>
      </c>
      <c r="X210" t="s">
        <v>1454</v>
      </c>
      <c r="Y210" t="s">
        <v>1454</v>
      </c>
      <c r="AA210" t="s">
        <v>1454</v>
      </c>
      <c r="AB210" t="s">
        <v>1454</v>
      </c>
      <c r="AC210" t="s">
        <v>1454</v>
      </c>
      <c r="AE210" t="s">
        <v>1454</v>
      </c>
      <c r="AF210" t="s">
        <v>1454</v>
      </c>
      <c r="AG210" t="s">
        <v>1454</v>
      </c>
      <c r="AI210" t="s">
        <v>1454</v>
      </c>
      <c r="AJ210" t="s">
        <v>1454</v>
      </c>
      <c r="AK210" t="s">
        <v>1454</v>
      </c>
      <c r="AM210" t="s">
        <v>1454</v>
      </c>
      <c r="AN210" t="s">
        <v>1454</v>
      </c>
      <c r="AO210" t="s">
        <v>1454</v>
      </c>
      <c r="AQ210" t="s">
        <v>1454</v>
      </c>
      <c r="AR210" t="s">
        <v>1454</v>
      </c>
      <c r="AS210" t="s">
        <v>1454</v>
      </c>
      <c r="AU210" t="s">
        <v>1454</v>
      </c>
      <c r="AV210" t="s">
        <v>1454</v>
      </c>
      <c r="AW210" t="s">
        <v>1454</v>
      </c>
      <c r="AY210" t="s">
        <v>1454</v>
      </c>
      <c r="AZ210" t="s">
        <v>1454</v>
      </c>
      <c r="BA210" t="s">
        <v>1454</v>
      </c>
      <c r="BC210" t="s">
        <v>1454</v>
      </c>
      <c r="BD210" t="s">
        <v>1454</v>
      </c>
      <c r="BE210" t="s">
        <v>1454</v>
      </c>
      <c r="BG210" t="s">
        <v>1454</v>
      </c>
      <c r="BH210" t="s">
        <v>1454</v>
      </c>
      <c r="BI210" t="s">
        <v>1454</v>
      </c>
      <c r="BK210" t="s">
        <v>1454</v>
      </c>
      <c r="BL210" t="s">
        <v>1454</v>
      </c>
      <c r="BM210" t="s">
        <v>1454</v>
      </c>
      <c r="BO210" t="s">
        <v>1454</v>
      </c>
      <c r="BP210" t="s">
        <v>1454</v>
      </c>
      <c r="BQ210" t="s">
        <v>1454</v>
      </c>
      <c r="BS210" t="s">
        <v>1454</v>
      </c>
      <c r="BT210" t="s">
        <v>1454</v>
      </c>
      <c r="BU210" t="s">
        <v>1454</v>
      </c>
      <c r="BW210" t="s">
        <v>1454</v>
      </c>
      <c r="BX210" t="s">
        <v>1454</v>
      </c>
      <c r="BY210" t="s">
        <v>1454</v>
      </c>
      <c r="CA210" t="s">
        <v>1454</v>
      </c>
      <c r="CB210" t="s">
        <v>1454</v>
      </c>
      <c r="CC210" t="s">
        <v>1454</v>
      </c>
      <c r="CE210" t="s">
        <v>1454</v>
      </c>
      <c r="CF210" t="s">
        <v>1454</v>
      </c>
      <c r="CG210" t="s">
        <v>1454</v>
      </c>
      <c r="CI210" t="s">
        <v>1454</v>
      </c>
      <c r="CJ210" t="s">
        <v>1454</v>
      </c>
      <c r="CK210" t="s">
        <v>1454</v>
      </c>
      <c r="CM210" t="s">
        <v>1454</v>
      </c>
      <c r="CN210" t="s">
        <v>1454</v>
      </c>
      <c r="CO210" t="s">
        <v>1454</v>
      </c>
      <c r="CQ210" t="s">
        <v>1454</v>
      </c>
      <c r="CR210" t="s">
        <v>1454</v>
      </c>
      <c r="CS210" t="s">
        <v>1454</v>
      </c>
      <c r="CU210" t="s">
        <v>1454</v>
      </c>
      <c r="CV210" t="s">
        <v>1454</v>
      </c>
      <c r="CW210" t="s">
        <v>1454</v>
      </c>
      <c r="CY210" t="s">
        <v>1454</v>
      </c>
      <c r="CZ210" t="s">
        <v>1454</v>
      </c>
      <c r="DA210" t="s">
        <v>1454</v>
      </c>
      <c r="DC210" t="s">
        <v>1454</v>
      </c>
      <c r="DD210" t="s">
        <v>1454</v>
      </c>
      <c r="DE210" t="s">
        <v>1454</v>
      </c>
      <c r="DG210" t="s">
        <v>1454</v>
      </c>
      <c r="DH210" t="s">
        <v>1454</v>
      </c>
      <c r="DI210" t="s">
        <v>1454</v>
      </c>
      <c r="DK210" t="s">
        <v>1454</v>
      </c>
      <c r="DL210" t="s">
        <v>1454</v>
      </c>
      <c r="DM210" t="s">
        <v>1454</v>
      </c>
      <c r="DO210" t="s">
        <v>1454</v>
      </c>
      <c r="DP210" t="s">
        <v>1454</v>
      </c>
      <c r="DQ210" t="s">
        <v>1454</v>
      </c>
      <c r="DS210" t="s">
        <v>1454</v>
      </c>
      <c r="DT210" t="s">
        <v>1454</v>
      </c>
      <c r="DU210" t="s">
        <v>1454</v>
      </c>
      <c r="DW210" t="s">
        <v>1454</v>
      </c>
      <c r="DX210" t="s">
        <v>1454</v>
      </c>
      <c r="DY210" t="s">
        <v>1454</v>
      </c>
      <c r="EA210" t="s">
        <v>634</v>
      </c>
      <c r="EB210" t="s">
        <v>1454</v>
      </c>
      <c r="EC210" t="s">
        <v>1454</v>
      </c>
      <c r="EE210" t="s">
        <v>1454</v>
      </c>
      <c r="EF210" t="s">
        <v>1454</v>
      </c>
      <c r="EG210" t="s">
        <v>1454</v>
      </c>
      <c r="EI210" t="s">
        <v>1454</v>
      </c>
      <c r="EJ210" t="s">
        <v>1454</v>
      </c>
      <c r="EK210" t="s">
        <v>1454</v>
      </c>
      <c r="EM210" t="s">
        <v>1454</v>
      </c>
      <c r="EN210" t="s">
        <v>1454</v>
      </c>
      <c r="EO210" t="s">
        <v>1454</v>
      </c>
      <c r="EQ210" t="s">
        <v>1454</v>
      </c>
      <c r="ER210" t="s">
        <v>1454</v>
      </c>
      <c r="ES210" t="s">
        <v>1454</v>
      </c>
      <c r="EU210" t="s">
        <v>1454</v>
      </c>
      <c r="EV210" t="s">
        <v>1454</v>
      </c>
      <c r="EW210" t="s">
        <v>1454</v>
      </c>
      <c r="EY210" t="s">
        <v>1454</v>
      </c>
      <c r="EZ210" t="s">
        <v>1454</v>
      </c>
      <c r="FA210" t="s">
        <v>1454</v>
      </c>
      <c r="FC210" t="s">
        <v>1454</v>
      </c>
      <c r="FD210" t="s">
        <v>1454</v>
      </c>
      <c r="FE210" t="s">
        <v>1454</v>
      </c>
      <c r="FG210" t="s">
        <v>1454</v>
      </c>
      <c r="FH210" t="s">
        <v>1454</v>
      </c>
      <c r="FI210" t="s">
        <v>1454</v>
      </c>
      <c r="FK210" t="s">
        <v>1454</v>
      </c>
      <c r="FL210" t="s">
        <v>1454</v>
      </c>
      <c r="FM210" t="s">
        <v>1454</v>
      </c>
      <c r="FO210" t="s">
        <v>1454</v>
      </c>
      <c r="FP210" t="s">
        <v>1454</v>
      </c>
      <c r="FQ210" t="s">
        <v>1454</v>
      </c>
      <c r="FS210" t="s">
        <v>1454</v>
      </c>
      <c r="FT210" t="s">
        <v>1454</v>
      </c>
      <c r="FU210" t="s">
        <v>1454</v>
      </c>
      <c r="FW210" t="s">
        <v>1454</v>
      </c>
      <c r="FX210" t="s">
        <v>1454</v>
      </c>
      <c r="FY210" t="s">
        <v>1454</v>
      </c>
      <c r="GA210" t="s">
        <v>1454</v>
      </c>
      <c r="GB210" t="s">
        <v>1454</v>
      </c>
      <c r="GC210" t="s">
        <v>1454</v>
      </c>
      <c r="GE210" t="s">
        <v>1454</v>
      </c>
      <c r="GF210" t="s">
        <v>1454</v>
      </c>
      <c r="GG210" t="s">
        <v>1454</v>
      </c>
      <c r="GI210" t="s">
        <v>1454</v>
      </c>
      <c r="GJ210" t="s">
        <v>1454</v>
      </c>
      <c r="GK210" t="s">
        <v>1454</v>
      </c>
      <c r="GM210" t="s">
        <v>1454</v>
      </c>
      <c r="GN210" t="s">
        <v>1454</v>
      </c>
      <c r="GO210" t="s">
        <v>1454</v>
      </c>
      <c r="GQ210" t="s">
        <v>1558</v>
      </c>
    </row>
    <row r="211" spans="2:199" s="11" customFormat="1" x14ac:dyDescent="0.25">
      <c r="B211" t="s">
        <v>330</v>
      </c>
      <c r="C211" t="s">
        <v>1454</v>
      </c>
      <c r="D211" t="s">
        <v>1454</v>
      </c>
      <c r="E211" t="s">
        <v>1454</v>
      </c>
      <c r="F211"/>
      <c r="G211" t="s">
        <v>1454</v>
      </c>
      <c r="H211" t="s">
        <v>1454</v>
      </c>
      <c r="I211" t="s">
        <v>1454</v>
      </c>
      <c r="J211"/>
      <c r="K211" t="s">
        <v>1454</v>
      </c>
      <c r="L211" t="s">
        <v>1454</v>
      </c>
      <c r="M211" t="s">
        <v>1454</v>
      </c>
      <c r="N211"/>
      <c r="O211" t="s">
        <v>1454</v>
      </c>
      <c r="P211" t="s">
        <v>1454</v>
      </c>
      <c r="Q211" t="s">
        <v>1454</v>
      </c>
      <c r="R211"/>
      <c r="S211" t="s">
        <v>1454</v>
      </c>
      <c r="T211" t="s">
        <v>1454</v>
      </c>
      <c r="U211" t="s">
        <v>1454</v>
      </c>
      <c r="V211"/>
      <c r="W211" t="s">
        <v>1454</v>
      </c>
      <c r="X211" t="s">
        <v>1454</v>
      </c>
      <c r="Y211" t="s">
        <v>1454</v>
      </c>
      <c r="Z211"/>
      <c r="AA211" t="s">
        <v>1454</v>
      </c>
      <c r="AB211" t="s">
        <v>1454</v>
      </c>
      <c r="AC211" t="s">
        <v>1454</v>
      </c>
      <c r="AD211"/>
      <c r="AE211" t="s">
        <v>1454</v>
      </c>
      <c r="AF211" t="s">
        <v>1454</v>
      </c>
      <c r="AG211" t="s">
        <v>1454</v>
      </c>
      <c r="AH211"/>
      <c r="AI211" t="s">
        <v>1454</v>
      </c>
      <c r="AJ211" t="s">
        <v>1454</v>
      </c>
      <c r="AK211" t="s">
        <v>1454</v>
      </c>
      <c r="AL211"/>
      <c r="AM211" t="s">
        <v>1454</v>
      </c>
      <c r="AN211" t="s">
        <v>1454</v>
      </c>
      <c r="AO211" t="s">
        <v>1454</v>
      </c>
      <c r="AP211"/>
      <c r="AQ211" t="s">
        <v>1454</v>
      </c>
      <c r="AR211" t="s">
        <v>1454</v>
      </c>
      <c r="AS211" t="s">
        <v>1454</v>
      </c>
      <c r="AT211"/>
      <c r="AU211" t="s">
        <v>1454</v>
      </c>
      <c r="AV211" t="s">
        <v>1454</v>
      </c>
      <c r="AW211" t="s">
        <v>1454</v>
      </c>
      <c r="AX211"/>
      <c r="AY211" t="s">
        <v>1454</v>
      </c>
      <c r="AZ211" t="s">
        <v>1454</v>
      </c>
      <c r="BA211" t="s">
        <v>1454</v>
      </c>
      <c r="BB211"/>
      <c r="BC211" t="s">
        <v>1454</v>
      </c>
      <c r="BD211" t="s">
        <v>1454</v>
      </c>
      <c r="BE211" t="s">
        <v>1454</v>
      </c>
      <c r="BF211"/>
      <c r="BG211" t="s">
        <v>1454</v>
      </c>
      <c r="BH211" t="s">
        <v>1454</v>
      </c>
      <c r="BI211" t="s">
        <v>1454</v>
      </c>
      <c r="BJ211"/>
      <c r="BK211" t="s">
        <v>1454</v>
      </c>
      <c r="BL211" t="s">
        <v>1454</v>
      </c>
      <c r="BM211" t="s">
        <v>1454</v>
      </c>
      <c r="BN211"/>
      <c r="BO211" t="s">
        <v>1454</v>
      </c>
      <c r="BP211" t="s">
        <v>1454</v>
      </c>
      <c r="BQ211" t="s">
        <v>1454</v>
      </c>
      <c r="BR211"/>
      <c r="BS211" t="s">
        <v>1454</v>
      </c>
      <c r="BT211" t="s">
        <v>1454</v>
      </c>
      <c r="BU211" t="s">
        <v>1454</v>
      </c>
      <c r="BV211"/>
      <c r="BW211" t="s">
        <v>1454</v>
      </c>
      <c r="BX211" t="s">
        <v>1454</v>
      </c>
      <c r="BY211" t="s">
        <v>1454</v>
      </c>
      <c r="BZ211"/>
      <c r="CA211" t="s">
        <v>1454</v>
      </c>
      <c r="CB211" t="s">
        <v>1454</v>
      </c>
      <c r="CC211" t="s">
        <v>1454</v>
      </c>
      <c r="CD211"/>
      <c r="CE211" t="s">
        <v>1454</v>
      </c>
      <c r="CF211" t="s">
        <v>1454</v>
      </c>
      <c r="CG211" t="s">
        <v>1454</v>
      </c>
      <c r="CH211"/>
      <c r="CI211" t="s">
        <v>1454</v>
      </c>
      <c r="CJ211" t="s">
        <v>1454</v>
      </c>
      <c r="CK211" t="s">
        <v>1454</v>
      </c>
      <c r="CL211"/>
      <c r="CM211" t="s">
        <v>1454</v>
      </c>
      <c r="CN211" t="s">
        <v>1454</v>
      </c>
      <c r="CO211" t="s">
        <v>1454</v>
      </c>
      <c r="CP211"/>
      <c r="CQ211" t="s">
        <v>1454</v>
      </c>
      <c r="CR211" t="s">
        <v>1454</v>
      </c>
      <c r="CS211" t="s">
        <v>1454</v>
      </c>
      <c r="CT211"/>
      <c r="CU211" t="s">
        <v>1454</v>
      </c>
      <c r="CV211" t="s">
        <v>1454</v>
      </c>
      <c r="CW211" t="s">
        <v>1454</v>
      </c>
      <c r="CX211"/>
      <c r="CY211" t="s">
        <v>1454</v>
      </c>
      <c r="CZ211" t="s">
        <v>1454</v>
      </c>
      <c r="DA211" t="s">
        <v>1454</v>
      </c>
      <c r="DB211"/>
      <c r="DC211" t="s">
        <v>1454</v>
      </c>
      <c r="DD211" t="s">
        <v>1454</v>
      </c>
      <c r="DE211" t="s">
        <v>1454</v>
      </c>
      <c r="DF211"/>
      <c r="DG211" t="s">
        <v>1454</v>
      </c>
      <c r="DH211" t="s">
        <v>1454</v>
      </c>
      <c r="DI211" t="s">
        <v>1454</v>
      </c>
      <c r="DJ211"/>
      <c r="DK211" t="s">
        <v>1454</v>
      </c>
      <c r="DL211" t="s">
        <v>1454</v>
      </c>
      <c r="DM211" t="s">
        <v>1454</v>
      </c>
      <c r="DN211"/>
      <c r="DO211" t="s">
        <v>1454</v>
      </c>
      <c r="DP211" t="s">
        <v>1454</v>
      </c>
      <c r="DQ211" t="s">
        <v>1454</v>
      </c>
      <c r="DR211"/>
      <c r="DS211" t="s">
        <v>1454</v>
      </c>
      <c r="DT211" t="s">
        <v>1454</v>
      </c>
      <c r="DU211" t="s">
        <v>1454</v>
      </c>
      <c r="DV211"/>
      <c r="DW211" t="s">
        <v>1454</v>
      </c>
      <c r="DX211" t="s">
        <v>1454</v>
      </c>
      <c r="DY211" t="s">
        <v>1454</v>
      </c>
      <c r="DZ211"/>
      <c r="EA211" t="s">
        <v>634</v>
      </c>
      <c r="EB211" t="s">
        <v>1454</v>
      </c>
      <c r="EC211" t="s">
        <v>1454</v>
      </c>
      <c r="ED211"/>
      <c r="EE211" t="s">
        <v>1454</v>
      </c>
      <c r="EF211" t="s">
        <v>1454</v>
      </c>
      <c r="EG211" t="s">
        <v>1454</v>
      </c>
      <c r="EH211"/>
      <c r="EI211" t="s">
        <v>1454</v>
      </c>
      <c r="EJ211" t="s">
        <v>1454</v>
      </c>
      <c r="EK211" t="s">
        <v>1454</v>
      </c>
      <c r="EL211"/>
      <c r="EM211" t="s">
        <v>1454</v>
      </c>
      <c r="EN211" t="s">
        <v>1454</v>
      </c>
      <c r="EO211" t="s">
        <v>1454</v>
      </c>
      <c r="EP211"/>
      <c r="EQ211" t="s">
        <v>1454</v>
      </c>
      <c r="ER211" t="s">
        <v>1454</v>
      </c>
      <c r="ES211" t="s">
        <v>1454</v>
      </c>
      <c r="ET211"/>
      <c r="EU211" t="s">
        <v>1454</v>
      </c>
      <c r="EV211" t="s">
        <v>1454</v>
      </c>
      <c r="EW211" t="s">
        <v>1454</v>
      </c>
      <c r="EX211"/>
      <c r="EY211" t="s">
        <v>1454</v>
      </c>
      <c r="EZ211" t="s">
        <v>1454</v>
      </c>
      <c r="FA211" t="s">
        <v>1454</v>
      </c>
      <c r="FB211"/>
      <c r="FC211" t="s">
        <v>1454</v>
      </c>
      <c r="FD211" t="s">
        <v>1454</v>
      </c>
      <c r="FE211" t="s">
        <v>1454</v>
      </c>
      <c r="FF211"/>
      <c r="FG211" t="s">
        <v>1454</v>
      </c>
      <c r="FH211" t="s">
        <v>1454</v>
      </c>
      <c r="FI211" t="s">
        <v>1454</v>
      </c>
      <c r="FJ211"/>
      <c r="FK211" t="s">
        <v>1454</v>
      </c>
      <c r="FL211" t="s">
        <v>1454</v>
      </c>
      <c r="FM211" t="s">
        <v>1454</v>
      </c>
      <c r="FN211"/>
      <c r="FO211" t="s">
        <v>1454</v>
      </c>
      <c r="FP211" t="s">
        <v>1454</v>
      </c>
      <c r="FQ211" t="s">
        <v>1454</v>
      </c>
      <c r="FR211"/>
      <c r="FS211" t="s">
        <v>1454</v>
      </c>
      <c r="FT211" t="s">
        <v>1454</v>
      </c>
      <c r="FU211" t="s">
        <v>1454</v>
      </c>
      <c r="FV211"/>
      <c r="FW211" t="s">
        <v>1454</v>
      </c>
      <c r="FX211" t="s">
        <v>1454</v>
      </c>
      <c r="FY211" t="s">
        <v>1454</v>
      </c>
      <c r="FZ211"/>
      <c r="GA211" t="s">
        <v>1454</v>
      </c>
      <c r="GB211" t="s">
        <v>1454</v>
      </c>
      <c r="GC211" t="s">
        <v>1454</v>
      </c>
      <c r="GD211"/>
      <c r="GE211" t="s">
        <v>1454</v>
      </c>
      <c r="GF211" t="s">
        <v>1454</v>
      </c>
      <c r="GG211" t="s">
        <v>1454</v>
      </c>
      <c r="GH211"/>
      <c r="GI211" t="s">
        <v>648</v>
      </c>
      <c r="GJ211" t="s">
        <v>1454</v>
      </c>
      <c r="GK211" t="s">
        <v>1454</v>
      </c>
      <c r="GL211"/>
      <c r="GM211" t="s">
        <v>1454</v>
      </c>
      <c r="GN211" t="s">
        <v>1454</v>
      </c>
      <c r="GO211" t="s">
        <v>1454</v>
      </c>
      <c r="GP211"/>
      <c r="GQ211" t="s">
        <v>1640</v>
      </c>
    </row>
    <row r="212" spans="2:199" ht="16.5" customHeight="1" x14ac:dyDescent="0.25">
      <c r="B212" t="s">
        <v>332</v>
      </c>
      <c r="C212" t="s">
        <v>1454</v>
      </c>
      <c r="D212" t="s">
        <v>1454</v>
      </c>
      <c r="E212" t="s">
        <v>1454</v>
      </c>
      <c r="G212" t="s">
        <v>1454</v>
      </c>
      <c r="H212" t="s">
        <v>1454</v>
      </c>
      <c r="I212" t="s">
        <v>1454</v>
      </c>
      <c r="K212" t="s">
        <v>1454</v>
      </c>
      <c r="L212" t="s">
        <v>1454</v>
      </c>
      <c r="M212" t="s">
        <v>1454</v>
      </c>
      <c r="O212" t="s">
        <v>1454</v>
      </c>
      <c r="P212" t="s">
        <v>1454</v>
      </c>
      <c r="Q212" t="s">
        <v>1454</v>
      </c>
      <c r="S212" t="s">
        <v>1454</v>
      </c>
      <c r="T212" t="s">
        <v>1454</v>
      </c>
      <c r="U212" t="s">
        <v>1454</v>
      </c>
      <c r="W212" t="s">
        <v>1454</v>
      </c>
      <c r="X212" t="s">
        <v>1454</v>
      </c>
      <c r="Y212" t="s">
        <v>1454</v>
      </c>
      <c r="AA212" t="s">
        <v>1454</v>
      </c>
      <c r="AB212" t="s">
        <v>1454</v>
      </c>
      <c r="AC212" t="s">
        <v>1454</v>
      </c>
      <c r="AE212" t="s">
        <v>1454</v>
      </c>
      <c r="AF212" t="s">
        <v>1454</v>
      </c>
      <c r="AG212" t="s">
        <v>1454</v>
      </c>
      <c r="AI212" t="s">
        <v>1454</v>
      </c>
      <c r="AJ212" t="s">
        <v>1454</v>
      </c>
      <c r="AK212" t="s">
        <v>1454</v>
      </c>
      <c r="AM212" t="s">
        <v>1454</v>
      </c>
      <c r="AN212" t="s">
        <v>1454</v>
      </c>
      <c r="AO212" t="s">
        <v>1454</v>
      </c>
      <c r="AQ212" t="s">
        <v>1454</v>
      </c>
      <c r="AR212" t="s">
        <v>1454</v>
      </c>
      <c r="AS212" t="s">
        <v>1454</v>
      </c>
      <c r="AU212" t="s">
        <v>1454</v>
      </c>
      <c r="AV212" t="s">
        <v>1454</v>
      </c>
      <c r="AW212" t="s">
        <v>1454</v>
      </c>
      <c r="AY212" t="s">
        <v>1454</v>
      </c>
      <c r="AZ212" t="s">
        <v>1454</v>
      </c>
      <c r="BA212" t="s">
        <v>1454</v>
      </c>
      <c r="BC212" t="s">
        <v>1454</v>
      </c>
      <c r="BD212" t="s">
        <v>1454</v>
      </c>
      <c r="BE212" t="s">
        <v>1454</v>
      </c>
      <c r="BG212" t="s">
        <v>1454</v>
      </c>
      <c r="BH212" t="s">
        <v>1454</v>
      </c>
      <c r="BI212" t="s">
        <v>1454</v>
      </c>
      <c r="BK212" t="s">
        <v>1454</v>
      </c>
      <c r="BL212" t="s">
        <v>1454</v>
      </c>
      <c r="BM212" t="s">
        <v>1454</v>
      </c>
      <c r="BO212" t="s">
        <v>1454</v>
      </c>
      <c r="BP212" t="s">
        <v>1454</v>
      </c>
      <c r="BQ212" t="s">
        <v>1454</v>
      </c>
      <c r="BS212" t="s">
        <v>1454</v>
      </c>
      <c r="BT212" t="s">
        <v>1454</v>
      </c>
      <c r="BU212" t="s">
        <v>1454</v>
      </c>
      <c r="BW212" t="s">
        <v>1454</v>
      </c>
      <c r="BX212" t="s">
        <v>1454</v>
      </c>
      <c r="BY212" t="s">
        <v>1454</v>
      </c>
      <c r="CA212" t="s">
        <v>1454</v>
      </c>
      <c r="CB212" t="s">
        <v>1454</v>
      </c>
      <c r="CC212" t="s">
        <v>1454</v>
      </c>
      <c r="CE212" t="s">
        <v>1454</v>
      </c>
      <c r="CF212" t="s">
        <v>1454</v>
      </c>
      <c r="CG212" t="s">
        <v>1454</v>
      </c>
      <c r="CI212" t="s">
        <v>1454</v>
      </c>
      <c r="CJ212" t="s">
        <v>1454</v>
      </c>
      <c r="CK212" t="s">
        <v>1454</v>
      </c>
      <c r="CM212" t="s">
        <v>1454</v>
      </c>
      <c r="CN212" t="s">
        <v>1454</v>
      </c>
      <c r="CO212" t="s">
        <v>1454</v>
      </c>
      <c r="CQ212" t="s">
        <v>1454</v>
      </c>
      <c r="CR212" t="s">
        <v>1454</v>
      </c>
      <c r="CS212" t="s">
        <v>1454</v>
      </c>
      <c r="CU212" t="s">
        <v>1454</v>
      </c>
      <c r="CV212" t="s">
        <v>1454</v>
      </c>
      <c r="CW212" t="s">
        <v>1454</v>
      </c>
      <c r="CY212" t="s">
        <v>1454</v>
      </c>
      <c r="CZ212" t="s">
        <v>1454</v>
      </c>
      <c r="DA212" t="s">
        <v>1454</v>
      </c>
      <c r="DC212" t="s">
        <v>1454</v>
      </c>
      <c r="DD212" t="s">
        <v>1454</v>
      </c>
      <c r="DE212" t="s">
        <v>1454</v>
      </c>
      <c r="DG212" t="s">
        <v>629</v>
      </c>
      <c r="DH212" t="s">
        <v>1454</v>
      </c>
      <c r="DI212" t="s">
        <v>1454</v>
      </c>
      <c r="DK212" t="s">
        <v>1454</v>
      </c>
      <c r="DL212" t="s">
        <v>1454</v>
      </c>
      <c r="DM212" t="s">
        <v>1454</v>
      </c>
      <c r="DO212" t="s">
        <v>1454</v>
      </c>
      <c r="DP212" t="s">
        <v>1454</v>
      </c>
      <c r="DQ212" t="s">
        <v>1454</v>
      </c>
      <c r="DS212" t="s">
        <v>1454</v>
      </c>
      <c r="DT212" t="s">
        <v>1454</v>
      </c>
      <c r="DU212" t="s">
        <v>1454</v>
      </c>
      <c r="DW212" t="s">
        <v>1454</v>
      </c>
      <c r="DX212" t="s">
        <v>1454</v>
      </c>
      <c r="DY212" t="s">
        <v>1454</v>
      </c>
      <c r="EA212" t="s">
        <v>634</v>
      </c>
      <c r="EB212" t="s">
        <v>1454</v>
      </c>
      <c r="EC212" t="s">
        <v>1454</v>
      </c>
      <c r="EE212" t="s">
        <v>1454</v>
      </c>
      <c r="EF212" t="s">
        <v>1454</v>
      </c>
      <c r="EG212" t="s">
        <v>1454</v>
      </c>
      <c r="EI212" t="s">
        <v>1454</v>
      </c>
      <c r="EJ212" t="s">
        <v>1454</v>
      </c>
      <c r="EK212" t="s">
        <v>1454</v>
      </c>
      <c r="EM212" t="s">
        <v>1454</v>
      </c>
      <c r="EN212" t="s">
        <v>1454</v>
      </c>
      <c r="EO212" t="s">
        <v>1454</v>
      </c>
      <c r="EQ212" t="s">
        <v>1454</v>
      </c>
      <c r="ER212" t="s">
        <v>1454</v>
      </c>
      <c r="ES212" t="s">
        <v>1454</v>
      </c>
      <c r="EU212" t="s">
        <v>1454</v>
      </c>
      <c r="EV212" t="s">
        <v>1454</v>
      </c>
      <c r="EW212" t="s">
        <v>1454</v>
      </c>
      <c r="EY212" t="s">
        <v>1454</v>
      </c>
      <c r="EZ212" t="s">
        <v>1454</v>
      </c>
      <c r="FA212" t="s">
        <v>1454</v>
      </c>
      <c r="FC212" t="s">
        <v>1454</v>
      </c>
      <c r="FD212" t="s">
        <v>1454</v>
      </c>
      <c r="FE212" t="s">
        <v>1454</v>
      </c>
      <c r="FG212" t="s">
        <v>1454</v>
      </c>
      <c r="FH212" t="s">
        <v>1454</v>
      </c>
      <c r="FI212" t="s">
        <v>1454</v>
      </c>
      <c r="FK212" t="s">
        <v>1454</v>
      </c>
      <c r="FL212" t="s">
        <v>1454</v>
      </c>
      <c r="FM212" t="s">
        <v>1454</v>
      </c>
      <c r="FO212" t="s">
        <v>1454</v>
      </c>
      <c r="FP212" t="s">
        <v>1454</v>
      </c>
      <c r="FQ212" t="s">
        <v>1454</v>
      </c>
      <c r="FS212" t="s">
        <v>1454</v>
      </c>
      <c r="FT212" t="s">
        <v>1454</v>
      </c>
      <c r="FU212" t="s">
        <v>1454</v>
      </c>
      <c r="FW212" t="s">
        <v>1454</v>
      </c>
      <c r="FX212" t="s">
        <v>1454</v>
      </c>
      <c r="FY212" t="s">
        <v>1454</v>
      </c>
      <c r="GA212" t="s">
        <v>1454</v>
      </c>
      <c r="GB212" t="s">
        <v>1454</v>
      </c>
      <c r="GC212" t="s">
        <v>1454</v>
      </c>
      <c r="GE212" t="s">
        <v>1454</v>
      </c>
      <c r="GF212" t="s">
        <v>1454</v>
      </c>
      <c r="GG212" t="s">
        <v>1454</v>
      </c>
      <c r="GI212" t="s">
        <v>648</v>
      </c>
      <c r="GJ212" t="s">
        <v>1454</v>
      </c>
      <c r="GK212" t="s">
        <v>1454</v>
      </c>
      <c r="GM212" t="s">
        <v>1454</v>
      </c>
      <c r="GN212" t="s">
        <v>1454</v>
      </c>
      <c r="GO212" t="s">
        <v>1454</v>
      </c>
      <c r="GQ212" t="s">
        <v>1641</v>
      </c>
    </row>
    <row r="213" spans="2:199" x14ac:dyDescent="0.25">
      <c r="B213" t="s">
        <v>333</v>
      </c>
      <c r="C213" t="s">
        <v>1454</v>
      </c>
      <c r="D213" t="s">
        <v>1454</v>
      </c>
      <c r="E213" t="s">
        <v>1454</v>
      </c>
      <c r="G213" t="s">
        <v>1454</v>
      </c>
      <c r="H213" t="s">
        <v>1454</v>
      </c>
      <c r="I213" t="s">
        <v>1454</v>
      </c>
      <c r="K213" t="s">
        <v>1454</v>
      </c>
      <c r="L213" t="s">
        <v>1454</v>
      </c>
      <c r="M213" t="s">
        <v>1454</v>
      </c>
      <c r="O213" t="s">
        <v>1454</v>
      </c>
      <c r="P213" t="s">
        <v>1454</v>
      </c>
      <c r="Q213" t="s">
        <v>1454</v>
      </c>
      <c r="S213" t="s">
        <v>1454</v>
      </c>
      <c r="T213" t="s">
        <v>1454</v>
      </c>
      <c r="U213" t="s">
        <v>1454</v>
      </c>
      <c r="W213" t="s">
        <v>1454</v>
      </c>
      <c r="X213" t="s">
        <v>1454</v>
      </c>
      <c r="Y213" t="s">
        <v>1454</v>
      </c>
      <c r="AA213" t="s">
        <v>1454</v>
      </c>
      <c r="AB213" t="s">
        <v>1454</v>
      </c>
      <c r="AC213" t="s">
        <v>1454</v>
      </c>
      <c r="AE213" t="s">
        <v>1454</v>
      </c>
      <c r="AF213" t="s">
        <v>1454</v>
      </c>
      <c r="AG213" t="s">
        <v>1454</v>
      </c>
      <c r="AI213" t="s">
        <v>1454</v>
      </c>
      <c r="AJ213" t="s">
        <v>1454</v>
      </c>
      <c r="AK213" t="s">
        <v>1454</v>
      </c>
      <c r="AM213" t="s">
        <v>1454</v>
      </c>
      <c r="AN213" t="s">
        <v>1454</v>
      </c>
      <c r="AO213" t="s">
        <v>1454</v>
      </c>
      <c r="AQ213" t="s">
        <v>1454</v>
      </c>
      <c r="AR213" t="s">
        <v>1454</v>
      </c>
      <c r="AS213" t="s">
        <v>1454</v>
      </c>
      <c r="AU213" t="s">
        <v>1454</v>
      </c>
      <c r="AV213" t="s">
        <v>1454</v>
      </c>
      <c r="AW213" t="s">
        <v>1454</v>
      </c>
      <c r="AY213" t="s">
        <v>1454</v>
      </c>
      <c r="AZ213" t="s">
        <v>1454</v>
      </c>
      <c r="BA213" t="s">
        <v>1454</v>
      </c>
      <c r="BC213" t="s">
        <v>1454</v>
      </c>
      <c r="BD213" t="s">
        <v>1454</v>
      </c>
      <c r="BE213" t="s">
        <v>1454</v>
      </c>
      <c r="BG213" t="s">
        <v>1454</v>
      </c>
      <c r="BH213" t="s">
        <v>1454</v>
      </c>
      <c r="BI213" t="s">
        <v>1454</v>
      </c>
      <c r="BK213" t="s">
        <v>1454</v>
      </c>
      <c r="BL213" t="s">
        <v>1454</v>
      </c>
      <c r="BM213" t="s">
        <v>1454</v>
      </c>
      <c r="BO213" t="s">
        <v>1454</v>
      </c>
      <c r="BP213" t="s">
        <v>1454</v>
      </c>
      <c r="BQ213" t="s">
        <v>1454</v>
      </c>
      <c r="BS213" t="s">
        <v>1454</v>
      </c>
      <c r="BT213" t="s">
        <v>1454</v>
      </c>
      <c r="BU213" t="s">
        <v>1454</v>
      </c>
      <c r="BW213" t="s">
        <v>620</v>
      </c>
      <c r="BX213" t="s">
        <v>1454</v>
      </c>
      <c r="BY213" t="s">
        <v>1454</v>
      </c>
      <c r="CA213" t="s">
        <v>1454</v>
      </c>
      <c r="CB213" t="s">
        <v>1454</v>
      </c>
      <c r="CC213" t="s">
        <v>1454</v>
      </c>
      <c r="CE213" t="s">
        <v>1454</v>
      </c>
      <c r="CF213" t="s">
        <v>1454</v>
      </c>
      <c r="CG213" t="s">
        <v>1454</v>
      </c>
      <c r="CI213" t="s">
        <v>1454</v>
      </c>
      <c r="CJ213" t="s">
        <v>1454</v>
      </c>
      <c r="CK213" t="s">
        <v>1454</v>
      </c>
      <c r="CM213" t="s">
        <v>1454</v>
      </c>
      <c r="CN213" t="s">
        <v>1454</v>
      </c>
      <c r="CO213" t="s">
        <v>1454</v>
      </c>
      <c r="CQ213" t="s">
        <v>1454</v>
      </c>
      <c r="CR213" t="s">
        <v>1454</v>
      </c>
      <c r="CS213" t="s">
        <v>1454</v>
      </c>
      <c r="CU213" t="s">
        <v>1454</v>
      </c>
      <c r="CV213" t="s">
        <v>1454</v>
      </c>
      <c r="CW213" t="s">
        <v>1454</v>
      </c>
      <c r="CY213" t="s">
        <v>1454</v>
      </c>
      <c r="CZ213" t="s">
        <v>1454</v>
      </c>
      <c r="DA213" t="s">
        <v>1454</v>
      </c>
      <c r="DC213" t="s">
        <v>1454</v>
      </c>
      <c r="DD213" t="s">
        <v>1454</v>
      </c>
      <c r="DE213" t="s">
        <v>1454</v>
      </c>
      <c r="DG213" t="s">
        <v>1454</v>
      </c>
      <c r="DH213" t="s">
        <v>1454</v>
      </c>
      <c r="DI213" t="s">
        <v>1454</v>
      </c>
      <c r="DK213" t="s">
        <v>1454</v>
      </c>
      <c r="DL213" t="s">
        <v>1454</v>
      </c>
      <c r="DM213" t="s">
        <v>1454</v>
      </c>
      <c r="DO213" t="s">
        <v>1454</v>
      </c>
      <c r="DP213" t="s">
        <v>1454</v>
      </c>
      <c r="DQ213" t="s">
        <v>1454</v>
      </c>
      <c r="DS213" t="s">
        <v>1454</v>
      </c>
      <c r="DT213" t="s">
        <v>1454</v>
      </c>
      <c r="DU213" t="s">
        <v>1454</v>
      </c>
      <c r="DW213" t="s">
        <v>1454</v>
      </c>
      <c r="DX213" t="s">
        <v>1454</v>
      </c>
      <c r="DY213" t="s">
        <v>1454</v>
      </c>
      <c r="EA213" t="s">
        <v>1454</v>
      </c>
      <c r="EB213" t="s">
        <v>1454</v>
      </c>
      <c r="EC213" t="s">
        <v>1454</v>
      </c>
      <c r="EE213" t="s">
        <v>1454</v>
      </c>
      <c r="EF213" t="s">
        <v>1454</v>
      </c>
      <c r="EG213" t="s">
        <v>1454</v>
      </c>
      <c r="EI213" t="s">
        <v>1454</v>
      </c>
      <c r="EJ213" t="s">
        <v>1454</v>
      </c>
      <c r="EK213" t="s">
        <v>1454</v>
      </c>
      <c r="EM213" t="s">
        <v>1454</v>
      </c>
      <c r="EN213" t="s">
        <v>1454</v>
      </c>
      <c r="EO213" t="s">
        <v>1454</v>
      </c>
      <c r="EQ213" t="s">
        <v>1454</v>
      </c>
      <c r="ER213" t="s">
        <v>1454</v>
      </c>
      <c r="ES213" t="s">
        <v>1454</v>
      </c>
      <c r="EU213" t="s">
        <v>1454</v>
      </c>
      <c r="EV213" t="s">
        <v>1454</v>
      </c>
      <c r="EW213" t="s">
        <v>1454</v>
      </c>
      <c r="EY213" t="s">
        <v>1454</v>
      </c>
      <c r="EZ213" t="s">
        <v>1454</v>
      </c>
      <c r="FA213" t="s">
        <v>1454</v>
      </c>
      <c r="FC213" t="s">
        <v>1454</v>
      </c>
      <c r="FD213" t="s">
        <v>1454</v>
      </c>
      <c r="FE213" t="s">
        <v>1454</v>
      </c>
      <c r="FG213" t="s">
        <v>1454</v>
      </c>
      <c r="FH213" t="s">
        <v>1454</v>
      </c>
      <c r="FI213" t="s">
        <v>1454</v>
      </c>
      <c r="FK213" t="s">
        <v>1454</v>
      </c>
      <c r="FL213" t="s">
        <v>1454</v>
      </c>
      <c r="FM213" t="s">
        <v>1454</v>
      </c>
      <c r="FO213" t="s">
        <v>1454</v>
      </c>
      <c r="FP213" t="s">
        <v>1454</v>
      </c>
      <c r="FQ213" t="s">
        <v>1454</v>
      </c>
      <c r="FS213" t="s">
        <v>1454</v>
      </c>
      <c r="FT213" t="s">
        <v>1454</v>
      </c>
      <c r="FU213" t="s">
        <v>1454</v>
      </c>
      <c r="FW213" t="s">
        <v>1454</v>
      </c>
      <c r="FX213" t="s">
        <v>1454</v>
      </c>
      <c r="FY213" t="s">
        <v>1454</v>
      </c>
      <c r="GA213" t="s">
        <v>1454</v>
      </c>
      <c r="GB213" t="s">
        <v>1454</v>
      </c>
      <c r="GC213" t="s">
        <v>1454</v>
      </c>
      <c r="GE213" t="s">
        <v>1454</v>
      </c>
      <c r="GF213" t="s">
        <v>1454</v>
      </c>
      <c r="GG213" t="s">
        <v>1454</v>
      </c>
      <c r="GI213" t="s">
        <v>1454</v>
      </c>
      <c r="GJ213" t="s">
        <v>1454</v>
      </c>
      <c r="GK213" t="s">
        <v>1454</v>
      </c>
      <c r="GM213" t="s">
        <v>1454</v>
      </c>
      <c r="GN213" t="s">
        <v>1454</v>
      </c>
      <c r="GO213" t="s">
        <v>1454</v>
      </c>
      <c r="GQ213" t="s">
        <v>1506</v>
      </c>
    </row>
    <row r="214" spans="2:199" x14ac:dyDescent="0.25">
      <c r="B214" t="s">
        <v>335</v>
      </c>
      <c r="C214" t="s">
        <v>603</v>
      </c>
      <c r="D214" t="s">
        <v>1454</v>
      </c>
      <c r="E214" t="s">
        <v>1454</v>
      </c>
      <c r="G214" t="s">
        <v>1454</v>
      </c>
      <c r="H214" t="s">
        <v>1454</v>
      </c>
      <c r="I214" t="s">
        <v>1454</v>
      </c>
      <c r="K214" t="s">
        <v>392</v>
      </c>
      <c r="L214" t="s">
        <v>1454</v>
      </c>
      <c r="M214" t="s">
        <v>1454</v>
      </c>
      <c r="O214" t="s">
        <v>1454</v>
      </c>
      <c r="P214" t="s">
        <v>1454</v>
      </c>
      <c r="Q214" t="s">
        <v>1454</v>
      </c>
      <c r="S214" t="s">
        <v>1454</v>
      </c>
      <c r="T214" t="s">
        <v>1454</v>
      </c>
      <c r="U214" t="s">
        <v>1454</v>
      </c>
      <c r="W214" t="s">
        <v>1454</v>
      </c>
      <c r="X214" t="s">
        <v>1454</v>
      </c>
      <c r="Y214" t="s">
        <v>1454</v>
      </c>
      <c r="AA214" t="s">
        <v>1454</v>
      </c>
      <c r="AB214" t="s">
        <v>1454</v>
      </c>
      <c r="AC214" t="s">
        <v>1454</v>
      </c>
      <c r="AE214" t="s">
        <v>1454</v>
      </c>
      <c r="AF214" t="s">
        <v>1454</v>
      </c>
      <c r="AG214" t="s">
        <v>1454</v>
      </c>
      <c r="AI214" t="s">
        <v>1454</v>
      </c>
      <c r="AJ214" t="s">
        <v>1454</v>
      </c>
      <c r="AK214" t="s">
        <v>1454</v>
      </c>
      <c r="AM214" t="s">
        <v>1454</v>
      </c>
      <c r="AN214" t="s">
        <v>1454</v>
      </c>
      <c r="AO214" t="s">
        <v>1454</v>
      </c>
      <c r="AQ214" t="s">
        <v>1454</v>
      </c>
      <c r="AR214" t="s">
        <v>1454</v>
      </c>
      <c r="AS214" t="s">
        <v>1454</v>
      </c>
      <c r="AU214" t="s">
        <v>1454</v>
      </c>
      <c r="AV214" t="s">
        <v>1454</v>
      </c>
      <c r="AW214" t="s">
        <v>1454</v>
      </c>
      <c r="AY214" t="s">
        <v>1454</v>
      </c>
      <c r="AZ214" t="s">
        <v>1454</v>
      </c>
      <c r="BA214" t="s">
        <v>1454</v>
      </c>
      <c r="BC214" t="s">
        <v>1454</v>
      </c>
      <c r="BD214" t="s">
        <v>1454</v>
      </c>
      <c r="BE214" t="s">
        <v>1454</v>
      </c>
      <c r="BG214" t="s">
        <v>1454</v>
      </c>
      <c r="BH214" t="s">
        <v>1454</v>
      </c>
      <c r="BI214" t="s">
        <v>1454</v>
      </c>
      <c r="BK214" t="s">
        <v>1454</v>
      </c>
      <c r="BL214" t="s">
        <v>1454</v>
      </c>
      <c r="BM214" t="s">
        <v>1454</v>
      </c>
      <c r="BO214" t="s">
        <v>1454</v>
      </c>
      <c r="BP214" t="s">
        <v>1454</v>
      </c>
      <c r="BQ214" t="s">
        <v>1454</v>
      </c>
      <c r="BS214" t="s">
        <v>1454</v>
      </c>
      <c r="BT214" t="s">
        <v>1454</v>
      </c>
      <c r="BU214" t="s">
        <v>1454</v>
      </c>
      <c r="BW214" t="s">
        <v>1454</v>
      </c>
      <c r="BX214" t="s">
        <v>1454</v>
      </c>
      <c r="BY214" t="s">
        <v>1454</v>
      </c>
      <c r="CA214" t="s">
        <v>1454</v>
      </c>
      <c r="CB214" t="s">
        <v>1454</v>
      </c>
      <c r="CC214" t="s">
        <v>1454</v>
      </c>
      <c r="CE214" t="s">
        <v>1454</v>
      </c>
      <c r="CF214" t="s">
        <v>1454</v>
      </c>
      <c r="CG214" t="s">
        <v>1454</v>
      </c>
      <c r="CI214" t="s">
        <v>1454</v>
      </c>
      <c r="CJ214" t="s">
        <v>1454</v>
      </c>
      <c r="CK214" t="s">
        <v>1454</v>
      </c>
      <c r="CM214" t="s">
        <v>1454</v>
      </c>
      <c r="CN214" t="s">
        <v>1454</v>
      </c>
      <c r="CO214" t="s">
        <v>1454</v>
      </c>
      <c r="CQ214" t="s">
        <v>1454</v>
      </c>
      <c r="CR214" t="s">
        <v>1454</v>
      </c>
      <c r="CS214" t="s">
        <v>1454</v>
      </c>
      <c r="CU214" t="s">
        <v>1454</v>
      </c>
      <c r="CV214" t="s">
        <v>1454</v>
      </c>
      <c r="CW214" t="s">
        <v>1454</v>
      </c>
      <c r="CY214" t="s">
        <v>1454</v>
      </c>
      <c r="CZ214" t="s">
        <v>1454</v>
      </c>
      <c r="DA214" t="s">
        <v>1454</v>
      </c>
      <c r="DC214" t="s">
        <v>1454</v>
      </c>
      <c r="DD214" t="s">
        <v>1454</v>
      </c>
      <c r="DE214" t="s">
        <v>1454</v>
      </c>
      <c r="DG214" t="s">
        <v>1454</v>
      </c>
      <c r="DH214" t="s">
        <v>1454</v>
      </c>
      <c r="DI214" t="s">
        <v>1454</v>
      </c>
      <c r="DK214" t="s">
        <v>1454</v>
      </c>
      <c r="DL214" t="s">
        <v>1454</v>
      </c>
      <c r="DM214" t="s">
        <v>1454</v>
      </c>
      <c r="DO214" t="s">
        <v>1454</v>
      </c>
      <c r="DP214" t="s">
        <v>1454</v>
      </c>
      <c r="DQ214" t="s">
        <v>1454</v>
      </c>
      <c r="DS214" t="s">
        <v>632</v>
      </c>
      <c r="DT214" t="s">
        <v>1454</v>
      </c>
      <c r="DU214" t="s">
        <v>1454</v>
      </c>
      <c r="DW214" t="s">
        <v>633</v>
      </c>
      <c r="DX214" t="s">
        <v>1454</v>
      </c>
      <c r="DY214" t="s">
        <v>1454</v>
      </c>
      <c r="EA214" t="s">
        <v>634</v>
      </c>
      <c r="EB214" t="s">
        <v>1454</v>
      </c>
      <c r="EC214" t="s">
        <v>1454</v>
      </c>
      <c r="EE214" t="s">
        <v>1454</v>
      </c>
      <c r="EF214" t="s">
        <v>1454</v>
      </c>
      <c r="EG214" t="s">
        <v>1454</v>
      </c>
      <c r="EI214" t="s">
        <v>1454</v>
      </c>
      <c r="EJ214" t="s">
        <v>1454</v>
      </c>
      <c r="EK214" t="s">
        <v>1454</v>
      </c>
      <c r="EM214" t="s">
        <v>637</v>
      </c>
      <c r="EN214" t="s">
        <v>1454</v>
      </c>
      <c r="EO214" t="s">
        <v>1454</v>
      </c>
      <c r="EQ214" t="s">
        <v>1454</v>
      </c>
      <c r="ER214" t="s">
        <v>1454</v>
      </c>
      <c r="ES214" t="s">
        <v>1454</v>
      </c>
      <c r="EU214" t="s">
        <v>1454</v>
      </c>
      <c r="EV214" t="s">
        <v>1454</v>
      </c>
      <c r="EW214" t="s">
        <v>1454</v>
      </c>
      <c r="EY214" t="s">
        <v>1454</v>
      </c>
      <c r="EZ214" t="s">
        <v>1454</v>
      </c>
      <c r="FA214" t="s">
        <v>1454</v>
      </c>
      <c r="FC214" t="s">
        <v>1454</v>
      </c>
      <c r="FD214" t="s">
        <v>1454</v>
      </c>
      <c r="FE214" t="s">
        <v>1454</v>
      </c>
      <c r="FG214" t="s">
        <v>1454</v>
      </c>
      <c r="FH214" t="s">
        <v>1454</v>
      </c>
      <c r="FI214" t="s">
        <v>1454</v>
      </c>
      <c r="FK214" t="s">
        <v>1454</v>
      </c>
      <c r="FL214" t="s">
        <v>1454</v>
      </c>
      <c r="FM214" t="s">
        <v>1454</v>
      </c>
      <c r="FO214" t="s">
        <v>1454</v>
      </c>
      <c r="FP214" t="s">
        <v>1454</v>
      </c>
      <c r="FQ214" t="s">
        <v>1454</v>
      </c>
      <c r="FS214" t="s">
        <v>1454</v>
      </c>
      <c r="FT214" t="s">
        <v>1454</v>
      </c>
      <c r="FU214" t="s">
        <v>1454</v>
      </c>
      <c r="FW214" t="s">
        <v>1454</v>
      </c>
      <c r="FX214" t="s">
        <v>1454</v>
      </c>
      <c r="FY214" t="s">
        <v>1454</v>
      </c>
      <c r="GA214" t="s">
        <v>1454</v>
      </c>
      <c r="GB214" t="s">
        <v>1454</v>
      </c>
      <c r="GC214" t="s">
        <v>1454</v>
      </c>
      <c r="GE214" t="s">
        <v>1454</v>
      </c>
      <c r="GF214" t="s">
        <v>1454</v>
      </c>
      <c r="GG214" t="s">
        <v>1454</v>
      </c>
      <c r="GI214" t="s">
        <v>1454</v>
      </c>
      <c r="GJ214" t="s">
        <v>1454</v>
      </c>
      <c r="GK214" t="s">
        <v>1454</v>
      </c>
      <c r="GM214" t="s">
        <v>1454</v>
      </c>
      <c r="GN214" t="s">
        <v>1454</v>
      </c>
      <c r="GO214" t="s">
        <v>1454</v>
      </c>
      <c r="GQ214" t="s">
        <v>1642</v>
      </c>
    </row>
    <row r="215" spans="2:199" s="11" customFormat="1" x14ac:dyDescent="0.25">
      <c r="B215" t="s">
        <v>336</v>
      </c>
      <c r="C215" t="s">
        <v>1454</v>
      </c>
      <c r="D215" t="s">
        <v>1454</v>
      </c>
      <c r="E215" t="s">
        <v>1454</v>
      </c>
      <c r="F215"/>
      <c r="G215" t="s">
        <v>1454</v>
      </c>
      <c r="H215" t="s">
        <v>1454</v>
      </c>
      <c r="I215" t="s">
        <v>1454</v>
      </c>
      <c r="J215"/>
      <c r="K215" t="s">
        <v>1454</v>
      </c>
      <c r="L215" t="s">
        <v>1454</v>
      </c>
      <c r="M215" t="s">
        <v>1454</v>
      </c>
      <c r="N215"/>
      <c r="O215" t="s">
        <v>1454</v>
      </c>
      <c r="P215" t="s">
        <v>1454</v>
      </c>
      <c r="Q215" t="s">
        <v>1454</v>
      </c>
      <c r="R215"/>
      <c r="S215" t="s">
        <v>1454</v>
      </c>
      <c r="T215" t="s">
        <v>1454</v>
      </c>
      <c r="U215" t="s">
        <v>1454</v>
      </c>
      <c r="V215"/>
      <c r="W215" t="s">
        <v>1454</v>
      </c>
      <c r="X215" t="s">
        <v>1454</v>
      </c>
      <c r="Y215" t="s">
        <v>1454</v>
      </c>
      <c r="Z215"/>
      <c r="AA215" t="s">
        <v>1454</v>
      </c>
      <c r="AB215" t="s">
        <v>1454</v>
      </c>
      <c r="AC215" t="s">
        <v>1454</v>
      </c>
      <c r="AD215"/>
      <c r="AE215" t="s">
        <v>1454</v>
      </c>
      <c r="AF215" t="s">
        <v>1454</v>
      </c>
      <c r="AG215" t="s">
        <v>1454</v>
      </c>
      <c r="AH215"/>
      <c r="AI215" t="s">
        <v>1454</v>
      </c>
      <c r="AJ215" t="s">
        <v>1454</v>
      </c>
      <c r="AK215" t="s">
        <v>1454</v>
      </c>
      <c r="AL215"/>
      <c r="AM215" t="s">
        <v>1454</v>
      </c>
      <c r="AN215" t="s">
        <v>1454</v>
      </c>
      <c r="AO215" t="s">
        <v>1454</v>
      </c>
      <c r="AP215"/>
      <c r="AQ215" t="s">
        <v>1454</v>
      </c>
      <c r="AR215" t="s">
        <v>1454</v>
      </c>
      <c r="AS215" t="s">
        <v>1454</v>
      </c>
      <c r="AT215"/>
      <c r="AU215" t="s">
        <v>1454</v>
      </c>
      <c r="AV215" t="s">
        <v>1454</v>
      </c>
      <c r="AW215" t="s">
        <v>1454</v>
      </c>
      <c r="AX215"/>
      <c r="AY215" t="s">
        <v>1454</v>
      </c>
      <c r="AZ215" t="s">
        <v>1454</v>
      </c>
      <c r="BA215" t="s">
        <v>1454</v>
      </c>
      <c r="BB215"/>
      <c r="BC215" t="s">
        <v>1454</v>
      </c>
      <c r="BD215" t="s">
        <v>1454</v>
      </c>
      <c r="BE215" t="s">
        <v>1454</v>
      </c>
      <c r="BF215"/>
      <c r="BG215" t="s">
        <v>1454</v>
      </c>
      <c r="BH215" t="s">
        <v>1454</v>
      </c>
      <c r="BI215" t="s">
        <v>1454</v>
      </c>
      <c r="BJ215"/>
      <c r="BK215" t="s">
        <v>1454</v>
      </c>
      <c r="BL215" t="s">
        <v>1454</v>
      </c>
      <c r="BM215" t="s">
        <v>1454</v>
      </c>
      <c r="BN215"/>
      <c r="BO215" t="s">
        <v>1454</v>
      </c>
      <c r="BP215" t="s">
        <v>1454</v>
      </c>
      <c r="BQ215" t="s">
        <v>1454</v>
      </c>
      <c r="BR215"/>
      <c r="BS215" t="s">
        <v>1454</v>
      </c>
      <c r="BT215" t="s">
        <v>1454</v>
      </c>
      <c r="BU215" t="s">
        <v>1454</v>
      </c>
      <c r="BV215"/>
      <c r="BW215" t="s">
        <v>620</v>
      </c>
      <c r="BX215" t="s">
        <v>1454</v>
      </c>
      <c r="BY215" t="s">
        <v>1454</v>
      </c>
      <c r="BZ215"/>
      <c r="CA215" t="s">
        <v>1454</v>
      </c>
      <c r="CB215" t="s">
        <v>1454</v>
      </c>
      <c r="CC215" t="s">
        <v>1454</v>
      </c>
      <c r="CD215"/>
      <c r="CE215" t="s">
        <v>1454</v>
      </c>
      <c r="CF215" t="s">
        <v>1454</v>
      </c>
      <c r="CG215" t="s">
        <v>1454</v>
      </c>
      <c r="CH215"/>
      <c r="CI215" t="s">
        <v>1454</v>
      </c>
      <c r="CJ215" t="s">
        <v>1454</v>
      </c>
      <c r="CK215" t="s">
        <v>1454</v>
      </c>
      <c r="CL215"/>
      <c r="CM215" t="s">
        <v>1454</v>
      </c>
      <c r="CN215" t="s">
        <v>1454</v>
      </c>
      <c r="CO215" t="s">
        <v>1454</v>
      </c>
      <c r="CP215"/>
      <c r="CQ215" t="s">
        <v>1454</v>
      </c>
      <c r="CR215" t="s">
        <v>1454</v>
      </c>
      <c r="CS215" t="s">
        <v>1454</v>
      </c>
      <c r="CT215"/>
      <c r="CU215" t="s">
        <v>1454</v>
      </c>
      <c r="CV215" t="s">
        <v>1454</v>
      </c>
      <c r="CW215" t="s">
        <v>1454</v>
      </c>
      <c r="CX215"/>
      <c r="CY215" t="s">
        <v>1454</v>
      </c>
      <c r="CZ215" t="s">
        <v>1454</v>
      </c>
      <c r="DA215" t="s">
        <v>1454</v>
      </c>
      <c r="DB215"/>
      <c r="DC215" t="s">
        <v>1454</v>
      </c>
      <c r="DD215" t="s">
        <v>1454</v>
      </c>
      <c r="DE215" t="s">
        <v>1454</v>
      </c>
      <c r="DF215"/>
      <c r="DG215" t="s">
        <v>1454</v>
      </c>
      <c r="DH215" t="s">
        <v>1454</v>
      </c>
      <c r="DI215" t="s">
        <v>1454</v>
      </c>
      <c r="DJ215"/>
      <c r="DK215" t="s">
        <v>1454</v>
      </c>
      <c r="DL215" t="s">
        <v>1454</v>
      </c>
      <c r="DM215" t="s">
        <v>1454</v>
      </c>
      <c r="DN215"/>
      <c r="DO215" t="s">
        <v>1454</v>
      </c>
      <c r="DP215" t="s">
        <v>1454</v>
      </c>
      <c r="DQ215" t="s">
        <v>1454</v>
      </c>
      <c r="DR215"/>
      <c r="DS215" t="s">
        <v>1454</v>
      </c>
      <c r="DT215" t="s">
        <v>1454</v>
      </c>
      <c r="DU215" t="s">
        <v>1454</v>
      </c>
      <c r="DV215"/>
      <c r="DW215" t="s">
        <v>1454</v>
      </c>
      <c r="DX215" t="s">
        <v>1454</v>
      </c>
      <c r="DY215" t="s">
        <v>1454</v>
      </c>
      <c r="DZ215"/>
      <c r="EA215" t="s">
        <v>634</v>
      </c>
      <c r="EB215" t="s">
        <v>1454</v>
      </c>
      <c r="EC215" t="s">
        <v>1454</v>
      </c>
      <c r="ED215"/>
      <c r="EE215" t="s">
        <v>1454</v>
      </c>
      <c r="EF215" t="s">
        <v>1454</v>
      </c>
      <c r="EG215" t="s">
        <v>1454</v>
      </c>
      <c r="EH215"/>
      <c r="EI215" t="s">
        <v>1454</v>
      </c>
      <c r="EJ215" t="s">
        <v>1454</v>
      </c>
      <c r="EK215" t="s">
        <v>1454</v>
      </c>
      <c r="EL215"/>
      <c r="EM215" t="s">
        <v>637</v>
      </c>
      <c r="EN215" t="s">
        <v>1454</v>
      </c>
      <c r="EO215" t="s">
        <v>1454</v>
      </c>
      <c r="EP215"/>
      <c r="EQ215" t="s">
        <v>1454</v>
      </c>
      <c r="ER215" t="s">
        <v>1454</v>
      </c>
      <c r="ES215" t="s">
        <v>1454</v>
      </c>
      <c r="ET215"/>
      <c r="EU215" t="s">
        <v>1454</v>
      </c>
      <c r="EV215" t="s">
        <v>1454</v>
      </c>
      <c r="EW215" t="s">
        <v>1454</v>
      </c>
      <c r="EX215"/>
      <c r="EY215" t="s">
        <v>1454</v>
      </c>
      <c r="EZ215" t="s">
        <v>1454</v>
      </c>
      <c r="FA215" t="s">
        <v>1454</v>
      </c>
      <c r="FB215"/>
      <c r="FC215" t="s">
        <v>1454</v>
      </c>
      <c r="FD215" t="s">
        <v>1454</v>
      </c>
      <c r="FE215" t="s">
        <v>1454</v>
      </c>
      <c r="FF215"/>
      <c r="FG215" t="s">
        <v>1454</v>
      </c>
      <c r="FH215" t="s">
        <v>1454</v>
      </c>
      <c r="FI215" t="s">
        <v>1454</v>
      </c>
      <c r="FJ215"/>
      <c r="FK215" t="s">
        <v>1454</v>
      </c>
      <c r="FL215" t="s">
        <v>1454</v>
      </c>
      <c r="FM215" t="s">
        <v>1454</v>
      </c>
      <c r="FN215"/>
      <c r="FO215" t="s">
        <v>1454</v>
      </c>
      <c r="FP215" t="s">
        <v>1454</v>
      </c>
      <c r="FQ215" t="s">
        <v>1454</v>
      </c>
      <c r="FR215"/>
      <c r="FS215" t="s">
        <v>1454</v>
      </c>
      <c r="FT215" t="s">
        <v>1454</v>
      </c>
      <c r="FU215" t="s">
        <v>1454</v>
      </c>
      <c r="FV215"/>
      <c r="FW215" t="s">
        <v>1454</v>
      </c>
      <c r="FX215" t="s">
        <v>1454</v>
      </c>
      <c r="FY215" t="s">
        <v>1454</v>
      </c>
      <c r="FZ215"/>
      <c r="GA215" t="s">
        <v>1454</v>
      </c>
      <c r="GB215" t="s">
        <v>1454</v>
      </c>
      <c r="GC215" t="s">
        <v>1454</v>
      </c>
      <c r="GD215"/>
      <c r="GE215" t="s">
        <v>1454</v>
      </c>
      <c r="GF215" t="s">
        <v>1454</v>
      </c>
      <c r="GG215" t="s">
        <v>1454</v>
      </c>
      <c r="GH215"/>
      <c r="GI215" t="s">
        <v>648</v>
      </c>
      <c r="GJ215" t="s">
        <v>1454</v>
      </c>
      <c r="GK215" t="s">
        <v>1454</v>
      </c>
      <c r="GL215"/>
      <c r="GM215" t="s">
        <v>1454</v>
      </c>
      <c r="GN215" t="s">
        <v>1454</v>
      </c>
      <c r="GO215" t="s">
        <v>1454</v>
      </c>
      <c r="GP215"/>
      <c r="GQ215" t="s">
        <v>1643</v>
      </c>
    </row>
    <row r="216" spans="2:199" x14ac:dyDescent="0.25">
      <c r="B216" t="s">
        <v>325</v>
      </c>
      <c r="C216" t="s">
        <v>1454</v>
      </c>
      <c r="D216" t="s">
        <v>1454</v>
      </c>
      <c r="E216" t="s">
        <v>1454</v>
      </c>
      <c r="G216" t="s">
        <v>1454</v>
      </c>
      <c r="H216" t="s">
        <v>1454</v>
      </c>
      <c r="I216" t="s">
        <v>1454</v>
      </c>
      <c r="K216" t="s">
        <v>1454</v>
      </c>
      <c r="L216" t="s">
        <v>1454</v>
      </c>
      <c r="M216" t="s">
        <v>1454</v>
      </c>
      <c r="O216" t="s">
        <v>1454</v>
      </c>
      <c r="P216" t="s">
        <v>1454</v>
      </c>
      <c r="Q216" t="s">
        <v>1454</v>
      </c>
      <c r="S216" t="s">
        <v>1454</v>
      </c>
      <c r="T216" t="s">
        <v>1454</v>
      </c>
      <c r="U216" t="s">
        <v>1454</v>
      </c>
      <c r="W216" t="s">
        <v>1454</v>
      </c>
      <c r="X216" t="s">
        <v>1454</v>
      </c>
      <c r="Y216" t="s">
        <v>1454</v>
      </c>
      <c r="AA216" t="s">
        <v>1454</v>
      </c>
      <c r="AB216" t="s">
        <v>1454</v>
      </c>
      <c r="AC216" t="s">
        <v>1454</v>
      </c>
      <c r="AE216" t="s">
        <v>1454</v>
      </c>
      <c r="AF216" t="s">
        <v>1454</v>
      </c>
      <c r="AG216" t="s">
        <v>1454</v>
      </c>
      <c r="AI216" t="s">
        <v>1454</v>
      </c>
      <c r="AJ216" t="s">
        <v>1454</v>
      </c>
      <c r="AK216" t="s">
        <v>1454</v>
      </c>
      <c r="AM216" t="s">
        <v>1454</v>
      </c>
      <c r="AN216" t="s">
        <v>1454</v>
      </c>
      <c r="AO216" t="s">
        <v>1454</v>
      </c>
      <c r="AQ216" t="s">
        <v>1454</v>
      </c>
      <c r="AR216" t="s">
        <v>1454</v>
      </c>
      <c r="AS216" t="s">
        <v>1454</v>
      </c>
      <c r="AU216" t="s">
        <v>1454</v>
      </c>
      <c r="AV216" t="s">
        <v>1454</v>
      </c>
      <c r="AW216" t="s">
        <v>1454</v>
      </c>
      <c r="AY216" t="s">
        <v>1454</v>
      </c>
      <c r="AZ216" t="s">
        <v>1454</v>
      </c>
      <c r="BA216" t="s">
        <v>1454</v>
      </c>
      <c r="BC216" t="s">
        <v>1454</v>
      </c>
      <c r="BD216" t="s">
        <v>1454</v>
      </c>
      <c r="BE216" t="s">
        <v>1454</v>
      </c>
      <c r="BG216" t="s">
        <v>1454</v>
      </c>
      <c r="BH216" t="s">
        <v>1454</v>
      </c>
      <c r="BI216" t="s">
        <v>1454</v>
      </c>
      <c r="BK216" t="s">
        <v>1454</v>
      </c>
      <c r="BL216" t="s">
        <v>1454</v>
      </c>
      <c r="BM216" t="s">
        <v>1454</v>
      </c>
      <c r="BO216" t="s">
        <v>1454</v>
      </c>
      <c r="BP216" t="s">
        <v>1454</v>
      </c>
      <c r="BQ216" t="s">
        <v>1454</v>
      </c>
      <c r="BS216" t="s">
        <v>1454</v>
      </c>
      <c r="BT216" t="s">
        <v>1454</v>
      </c>
      <c r="BU216" t="s">
        <v>1454</v>
      </c>
      <c r="BW216" t="s">
        <v>1454</v>
      </c>
      <c r="BX216" t="s">
        <v>1454</v>
      </c>
      <c r="BY216" t="s">
        <v>1454</v>
      </c>
      <c r="CA216" t="s">
        <v>1454</v>
      </c>
      <c r="CB216" t="s">
        <v>1454</v>
      </c>
      <c r="CC216" t="s">
        <v>1454</v>
      </c>
      <c r="CE216" t="s">
        <v>1454</v>
      </c>
      <c r="CF216" t="s">
        <v>1454</v>
      </c>
      <c r="CG216" t="s">
        <v>1454</v>
      </c>
      <c r="CI216" t="s">
        <v>1454</v>
      </c>
      <c r="CJ216" t="s">
        <v>1454</v>
      </c>
      <c r="CK216" t="s">
        <v>1454</v>
      </c>
      <c r="CM216" t="s">
        <v>1454</v>
      </c>
      <c r="CN216" t="s">
        <v>1454</v>
      </c>
      <c r="CO216" t="s">
        <v>1454</v>
      </c>
      <c r="CQ216" t="s">
        <v>1454</v>
      </c>
      <c r="CR216" t="s">
        <v>1454</v>
      </c>
      <c r="CS216" t="s">
        <v>1454</v>
      </c>
      <c r="CU216" t="s">
        <v>1454</v>
      </c>
      <c r="CV216" t="s">
        <v>1454</v>
      </c>
      <c r="CW216" t="s">
        <v>1454</v>
      </c>
      <c r="CY216" t="s">
        <v>1454</v>
      </c>
      <c r="CZ216" t="s">
        <v>1454</v>
      </c>
      <c r="DA216" t="s">
        <v>1454</v>
      </c>
      <c r="DC216" t="s">
        <v>1454</v>
      </c>
      <c r="DD216" t="s">
        <v>1454</v>
      </c>
      <c r="DE216" t="s">
        <v>1454</v>
      </c>
      <c r="DG216" t="s">
        <v>1454</v>
      </c>
      <c r="DH216" t="s">
        <v>1454</v>
      </c>
      <c r="DI216" t="s">
        <v>1454</v>
      </c>
      <c r="DK216" t="s">
        <v>1454</v>
      </c>
      <c r="DL216" t="s">
        <v>1454</v>
      </c>
      <c r="DM216" t="s">
        <v>1454</v>
      </c>
      <c r="DO216" t="s">
        <v>1454</v>
      </c>
      <c r="DP216" t="s">
        <v>1454</v>
      </c>
      <c r="DQ216" t="s">
        <v>1454</v>
      </c>
      <c r="DS216" t="s">
        <v>1454</v>
      </c>
      <c r="DT216" t="s">
        <v>1454</v>
      </c>
      <c r="DU216" t="s">
        <v>1454</v>
      </c>
      <c r="DW216" t="s">
        <v>633</v>
      </c>
      <c r="DX216" t="s">
        <v>1454</v>
      </c>
      <c r="DY216" t="s">
        <v>1454</v>
      </c>
      <c r="EA216" t="s">
        <v>1454</v>
      </c>
      <c r="EB216" t="s">
        <v>1454</v>
      </c>
      <c r="EC216" t="s">
        <v>1454</v>
      </c>
      <c r="EE216" t="s">
        <v>1454</v>
      </c>
      <c r="EF216" t="s">
        <v>1454</v>
      </c>
      <c r="EG216" t="s">
        <v>1454</v>
      </c>
      <c r="EI216" t="s">
        <v>1454</v>
      </c>
      <c r="EJ216" t="s">
        <v>1454</v>
      </c>
      <c r="EK216" t="s">
        <v>1454</v>
      </c>
      <c r="EM216" t="s">
        <v>1454</v>
      </c>
      <c r="EN216" t="s">
        <v>1454</v>
      </c>
      <c r="EO216" t="s">
        <v>1454</v>
      </c>
      <c r="EQ216" t="s">
        <v>1454</v>
      </c>
      <c r="ER216" t="s">
        <v>1454</v>
      </c>
      <c r="ES216" t="s">
        <v>1454</v>
      </c>
      <c r="EU216" t="s">
        <v>1454</v>
      </c>
      <c r="EV216" t="s">
        <v>1454</v>
      </c>
      <c r="EW216" t="s">
        <v>1454</v>
      </c>
      <c r="EY216" t="s">
        <v>1454</v>
      </c>
      <c r="EZ216" t="s">
        <v>1454</v>
      </c>
      <c r="FA216" t="s">
        <v>1454</v>
      </c>
      <c r="FC216" t="s">
        <v>1454</v>
      </c>
      <c r="FD216" t="s">
        <v>1454</v>
      </c>
      <c r="FE216" t="s">
        <v>1454</v>
      </c>
      <c r="FG216" t="s">
        <v>1454</v>
      </c>
      <c r="FH216" t="s">
        <v>1454</v>
      </c>
      <c r="FI216" t="s">
        <v>1454</v>
      </c>
      <c r="FK216" t="s">
        <v>1454</v>
      </c>
      <c r="FL216" t="s">
        <v>1454</v>
      </c>
      <c r="FM216" t="s">
        <v>1454</v>
      </c>
      <c r="FO216" t="s">
        <v>1454</v>
      </c>
      <c r="FP216" t="s">
        <v>1454</v>
      </c>
      <c r="FQ216" t="s">
        <v>1454</v>
      </c>
      <c r="FS216" t="s">
        <v>1454</v>
      </c>
      <c r="FT216" t="s">
        <v>1454</v>
      </c>
      <c r="FU216" t="s">
        <v>1454</v>
      </c>
      <c r="FW216" t="s">
        <v>1454</v>
      </c>
      <c r="FX216" t="s">
        <v>1454</v>
      </c>
      <c r="FY216" t="s">
        <v>1454</v>
      </c>
      <c r="GA216" t="s">
        <v>1454</v>
      </c>
      <c r="GB216" t="s">
        <v>1454</v>
      </c>
      <c r="GC216" t="s">
        <v>1454</v>
      </c>
      <c r="GE216" t="s">
        <v>1454</v>
      </c>
      <c r="GF216" t="s">
        <v>1454</v>
      </c>
      <c r="GG216" t="s">
        <v>1454</v>
      </c>
      <c r="GI216" t="s">
        <v>1454</v>
      </c>
      <c r="GJ216" t="s">
        <v>1454</v>
      </c>
      <c r="GK216" t="s">
        <v>1454</v>
      </c>
      <c r="GM216" t="s">
        <v>1454</v>
      </c>
      <c r="GN216" t="s">
        <v>1454</v>
      </c>
      <c r="GO216" t="s">
        <v>1454</v>
      </c>
      <c r="GQ216" t="s">
        <v>1481</v>
      </c>
    </row>
    <row r="217" spans="2:199" ht="16.5" customHeight="1" x14ac:dyDescent="0.25">
      <c r="B217" t="s">
        <v>338</v>
      </c>
      <c r="C217" t="s">
        <v>1454</v>
      </c>
      <c r="D217" t="s">
        <v>1454</v>
      </c>
      <c r="E217" t="s">
        <v>1454</v>
      </c>
      <c r="G217" t="s">
        <v>1454</v>
      </c>
      <c r="H217" t="s">
        <v>1454</v>
      </c>
      <c r="I217" t="s">
        <v>1454</v>
      </c>
      <c r="K217" t="s">
        <v>1454</v>
      </c>
      <c r="L217" t="s">
        <v>1454</v>
      </c>
      <c r="M217" t="s">
        <v>1454</v>
      </c>
      <c r="O217" t="s">
        <v>1454</v>
      </c>
      <c r="P217" t="s">
        <v>1454</v>
      </c>
      <c r="Q217" t="s">
        <v>1454</v>
      </c>
      <c r="S217" t="s">
        <v>1454</v>
      </c>
      <c r="T217" t="s">
        <v>1454</v>
      </c>
      <c r="U217" t="s">
        <v>1454</v>
      </c>
      <c r="W217" t="s">
        <v>1454</v>
      </c>
      <c r="X217" t="s">
        <v>1454</v>
      </c>
      <c r="Y217" t="s">
        <v>1454</v>
      </c>
      <c r="AA217" t="s">
        <v>1454</v>
      </c>
      <c r="AB217" t="s">
        <v>1454</v>
      </c>
      <c r="AC217" t="s">
        <v>1454</v>
      </c>
      <c r="AE217" t="s">
        <v>1454</v>
      </c>
      <c r="AF217" t="s">
        <v>1454</v>
      </c>
      <c r="AG217" t="s">
        <v>1454</v>
      </c>
      <c r="AI217" t="s">
        <v>1454</v>
      </c>
      <c r="AJ217" t="s">
        <v>1454</v>
      </c>
      <c r="AK217" t="s">
        <v>1454</v>
      </c>
      <c r="AM217" t="s">
        <v>1454</v>
      </c>
      <c r="AN217" t="s">
        <v>1454</v>
      </c>
      <c r="AO217" t="s">
        <v>1454</v>
      </c>
      <c r="AQ217" t="s">
        <v>1454</v>
      </c>
      <c r="AR217" t="s">
        <v>1454</v>
      </c>
      <c r="AS217" t="s">
        <v>1454</v>
      </c>
      <c r="AU217" t="s">
        <v>1454</v>
      </c>
      <c r="AV217" t="s">
        <v>1454</v>
      </c>
      <c r="AW217" t="s">
        <v>1454</v>
      </c>
      <c r="AY217" t="s">
        <v>1454</v>
      </c>
      <c r="AZ217" t="s">
        <v>1454</v>
      </c>
      <c r="BA217" t="s">
        <v>1454</v>
      </c>
      <c r="BC217" t="s">
        <v>1454</v>
      </c>
      <c r="BD217" t="s">
        <v>1454</v>
      </c>
      <c r="BE217" t="s">
        <v>1454</v>
      </c>
      <c r="BG217" t="s">
        <v>1454</v>
      </c>
      <c r="BH217" t="s">
        <v>1454</v>
      </c>
      <c r="BI217" t="s">
        <v>1454</v>
      </c>
      <c r="BK217" t="s">
        <v>1454</v>
      </c>
      <c r="BL217" t="s">
        <v>1454</v>
      </c>
      <c r="BM217" t="s">
        <v>1454</v>
      </c>
      <c r="BO217" t="s">
        <v>1454</v>
      </c>
      <c r="BP217" t="s">
        <v>1454</v>
      </c>
      <c r="BQ217" t="s">
        <v>1454</v>
      </c>
      <c r="BS217" t="s">
        <v>1454</v>
      </c>
      <c r="BT217" t="s">
        <v>1454</v>
      </c>
      <c r="BU217" t="s">
        <v>1454</v>
      </c>
      <c r="BW217" t="s">
        <v>1454</v>
      </c>
      <c r="BX217" t="s">
        <v>1454</v>
      </c>
      <c r="BY217" t="s">
        <v>1454</v>
      </c>
      <c r="CA217" t="s">
        <v>1454</v>
      </c>
      <c r="CB217" t="s">
        <v>1454</v>
      </c>
      <c r="CC217" t="s">
        <v>1454</v>
      </c>
      <c r="CE217" t="s">
        <v>1454</v>
      </c>
      <c r="CF217" t="s">
        <v>1454</v>
      </c>
      <c r="CG217" t="s">
        <v>1454</v>
      </c>
      <c r="CI217" t="s">
        <v>1454</v>
      </c>
      <c r="CJ217" t="s">
        <v>1454</v>
      </c>
      <c r="CK217" t="s">
        <v>1454</v>
      </c>
      <c r="CM217" t="s">
        <v>1454</v>
      </c>
      <c r="CN217" t="s">
        <v>1454</v>
      </c>
      <c r="CO217" t="s">
        <v>1454</v>
      </c>
      <c r="CQ217" t="s">
        <v>1454</v>
      </c>
      <c r="CR217" t="s">
        <v>1454</v>
      </c>
      <c r="CS217" t="s">
        <v>1454</v>
      </c>
      <c r="CU217" t="s">
        <v>1454</v>
      </c>
      <c r="CV217" t="s">
        <v>1454</v>
      </c>
      <c r="CW217" t="s">
        <v>1454</v>
      </c>
      <c r="CY217" t="s">
        <v>1454</v>
      </c>
      <c r="CZ217" t="s">
        <v>1454</v>
      </c>
      <c r="DA217" t="s">
        <v>1454</v>
      </c>
      <c r="DC217" t="s">
        <v>1454</v>
      </c>
      <c r="DD217" t="s">
        <v>1454</v>
      </c>
      <c r="DE217" t="s">
        <v>1454</v>
      </c>
      <c r="DG217" t="s">
        <v>1454</v>
      </c>
      <c r="DH217" t="s">
        <v>1454</v>
      </c>
      <c r="DI217" t="s">
        <v>1454</v>
      </c>
      <c r="DK217" t="s">
        <v>1454</v>
      </c>
      <c r="DL217" t="s">
        <v>1454</v>
      </c>
      <c r="DM217" t="s">
        <v>1454</v>
      </c>
      <c r="DO217" t="s">
        <v>1454</v>
      </c>
      <c r="DP217" t="s">
        <v>1454</v>
      </c>
      <c r="DQ217" t="s">
        <v>1454</v>
      </c>
      <c r="DS217" t="s">
        <v>1454</v>
      </c>
      <c r="DT217" t="s">
        <v>1454</v>
      </c>
      <c r="DU217" t="s">
        <v>1454</v>
      </c>
      <c r="DW217" t="s">
        <v>633</v>
      </c>
      <c r="DX217" t="s">
        <v>1454</v>
      </c>
      <c r="DY217" t="s">
        <v>1454</v>
      </c>
      <c r="EA217" t="s">
        <v>1454</v>
      </c>
      <c r="EB217" t="s">
        <v>1454</v>
      </c>
      <c r="EC217" t="s">
        <v>1454</v>
      </c>
      <c r="EE217" t="s">
        <v>1454</v>
      </c>
      <c r="EF217" t="s">
        <v>1454</v>
      </c>
      <c r="EG217" t="s">
        <v>1454</v>
      </c>
      <c r="EI217" t="s">
        <v>1454</v>
      </c>
      <c r="EJ217" t="s">
        <v>1454</v>
      </c>
      <c r="EK217" t="s">
        <v>1454</v>
      </c>
      <c r="EM217" t="s">
        <v>1454</v>
      </c>
      <c r="EN217" t="s">
        <v>1454</v>
      </c>
      <c r="EO217" t="s">
        <v>1454</v>
      </c>
      <c r="EQ217" t="s">
        <v>1454</v>
      </c>
      <c r="ER217" t="s">
        <v>1454</v>
      </c>
      <c r="ES217" t="s">
        <v>1454</v>
      </c>
      <c r="EU217" t="s">
        <v>1454</v>
      </c>
      <c r="EV217" t="s">
        <v>1454</v>
      </c>
      <c r="EW217" t="s">
        <v>1454</v>
      </c>
      <c r="EY217" t="s">
        <v>1454</v>
      </c>
      <c r="EZ217" t="s">
        <v>1454</v>
      </c>
      <c r="FA217" t="s">
        <v>1454</v>
      </c>
      <c r="FC217" t="s">
        <v>1454</v>
      </c>
      <c r="FD217" t="s">
        <v>1454</v>
      </c>
      <c r="FE217" t="s">
        <v>1454</v>
      </c>
      <c r="FG217" t="s">
        <v>1454</v>
      </c>
      <c r="FH217" t="s">
        <v>1454</v>
      </c>
      <c r="FI217" t="s">
        <v>1454</v>
      </c>
      <c r="FK217" t="s">
        <v>1454</v>
      </c>
      <c r="FL217" t="s">
        <v>1454</v>
      </c>
      <c r="FM217" t="s">
        <v>1454</v>
      </c>
      <c r="FO217" t="s">
        <v>1454</v>
      </c>
      <c r="FP217" t="s">
        <v>1454</v>
      </c>
      <c r="FQ217" t="s">
        <v>1454</v>
      </c>
      <c r="FS217" t="s">
        <v>1454</v>
      </c>
      <c r="FT217" t="s">
        <v>1454</v>
      </c>
      <c r="FU217" t="s">
        <v>1454</v>
      </c>
      <c r="FW217" t="s">
        <v>1454</v>
      </c>
      <c r="FX217" t="s">
        <v>1454</v>
      </c>
      <c r="FY217" t="s">
        <v>1454</v>
      </c>
      <c r="GA217" t="s">
        <v>1454</v>
      </c>
      <c r="GB217" t="s">
        <v>1454</v>
      </c>
      <c r="GC217" t="s">
        <v>1454</v>
      </c>
      <c r="GE217" t="s">
        <v>1454</v>
      </c>
      <c r="GF217" t="s">
        <v>1454</v>
      </c>
      <c r="GG217" t="s">
        <v>1454</v>
      </c>
      <c r="GI217" t="s">
        <v>1454</v>
      </c>
      <c r="GJ217" t="s">
        <v>1454</v>
      </c>
      <c r="GK217" t="s">
        <v>1454</v>
      </c>
      <c r="GM217" t="s">
        <v>1454</v>
      </c>
      <c r="GN217" t="s">
        <v>1454</v>
      </c>
      <c r="GO217" t="s">
        <v>1454</v>
      </c>
      <c r="GQ217" t="s">
        <v>1481</v>
      </c>
    </row>
    <row r="218" spans="2:199" ht="16.5" customHeight="1" x14ac:dyDescent="0.25">
      <c r="B218" t="s">
        <v>340</v>
      </c>
      <c r="C218" t="s">
        <v>603</v>
      </c>
      <c r="D218" t="s">
        <v>1454</v>
      </c>
      <c r="E218" t="s">
        <v>1454</v>
      </c>
      <c r="G218" t="s">
        <v>1454</v>
      </c>
      <c r="H218" t="s">
        <v>1454</v>
      </c>
      <c r="I218" t="s">
        <v>1454</v>
      </c>
      <c r="K218" t="s">
        <v>392</v>
      </c>
      <c r="L218" t="s">
        <v>1454</v>
      </c>
      <c r="M218" t="s">
        <v>1454</v>
      </c>
      <c r="O218" t="s">
        <v>1454</v>
      </c>
      <c r="P218" t="s">
        <v>1454</v>
      </c>
      <c r="Q218" t="s">
        <v>1454</v>
      </c>
      <c r="S218" t="s">
        <v>606</v>
      </c>
      <c r="T218" t="s">
        <v>1454</v>
      </c>
      <c r="U218" t="s">
        <v>1454</v>
      </c>
      <c r="W218" t="s">
        <v>607</v>
      </c>
      <c r="X218" t="s">
        <v>1454</v>
      </c>
      <c r="Y218" t="s">
        <v>1454</v>
      </c>
      <c r="AA218" t="s">
        <v>1454</v>
      </c>
      <c r="AB218" t="s">
        <v>1454</v>
      </c>
      <c r="AC218" t="s">
        <v>1454</v>
      </c>
      <c r="AE218" t="s">
        <v>1454</v>
      </c>
      <c r="AF218" t="s">
        <v>1454</v>
      </c>
      <c r="AG218" t="s">
        <v>1454</v>
      </c>
      <c r="AI218" t="s">
        <v>1454</v>
      </c>
      <c r="AJ218" t="s">
        <v>1454</v>
      </c>
      <c r="AK218" t="s">
        <v>1454</v>
      </c>
      <c r="AM218" t="s">
        <v>1454</v>
      </c>
      <c r="AN218" t="s">
        <v>1454</v>
      </c>
      <c r="AO218" t="s">
        <v>1454</v>
      </c>
      <c r="AQ218" t="s">
        <v>1454</v>
      </c>
      <c r="AR218" t="s">
        <v>1454</v>
      </c>
      <c r="AS218" t="s">
        <v>1454</v>
      </c>
      <c r="AU218" t="s">
        <v>1454</v>
      </c>
      <c r="AV218" t="s">
        <v>1454</v>
      </c>
      <c r="AW218" t="s">
        <v>1454</v>
      </c>
      <c r="AY218" t="s">
        <v>1454</v>
      </c>
      <c r="AZ218" t="s">
        <v>1454</v>
      </c>
      <c r="BA218" t="s">
        <v>1454</v>
      </c>
      <c r="BC218" t="s">
        <v>1454</v>
      </c>
      <c r="BD218" t="s">
        <v>1454</v>
      </c>
      <c r="BE218" t="s">
        <v>1454</v>
      </c>
      <c r="BG218" t="s">
        <v>1454</v>
      </c>
      <c r="BH218" t="s">
        <v>1454</v>
      </c>
      <c r="BI218" t="s">
        <v>1454</v>
      </c>
      <c r="BK218" t="s">
        <v>1454</v>
      </c>
      <c r="BL218" t="s">
        <v>1454</v>
      </c>
      <c r="BM218" t="s">
        <v>1454</v>
      </c>
      <c r="BO218" t="s">
        <v>1454</v>
      </c>
      <c r="BP218" t="s">
        <v>1454</v>
      </c>
      <c r="BQ218" t="s">
        <v>1454</v>
      </c>
      <c r="BS218" t="s">
        <v>1454</v>
      </c>
      <c r="BT218" t="s">
        <v>1454</v>
      </c>
      <c r="BU218" t="s">
        <v>1454</v>
      </c>
      <c r="BW218" t="s">
        <v>1454</v>
      </c>
      <c r="BX218" t="s">
        <v>1454</v>
      </c>
      <c r="BY218" t="s">
        <v>1454</v>
      </c>
      <c r="CA218" t="s">
        <v>1454</v>
      </c>
      <c r="CB218" t="s">
        <v>1454</v>
      </c>
      <c r="CC218" t="s">
        <v>1454</v>
      </c>
      <c r="CE218" t="s">
        <v>622</v>
      </c>
      <c r="CF218" t="s">
        <v>1454</v>
      </c>
      <c r="CG218" t="s">
        <v>1454</v>
      </c>
      <c r="CI218" t="s">
        <v>623</v>
      </c>
      <c r="CJ218" t="s">
        <v>1454</v>
      </c>
      <c r="CK218" t="s">
        <v>1454</v>
      </c>
      <c r="CM218" t="s">
        <v>624</v>
      </c>
      <c r="CN218" t="s">
        <v>1454</v>
      </c>
      <c r="CO218" t="s">
        <v>1454</v>
      </c>
      <c r="CQ218" t="s">
        <v>625</v>
      </c>
      <c r="CR218" t="s">
        <v>1454</v>
      </c>
      <c r="CS218" t="s">
        <v>1454</v>
      </c>
      <c r="CU218" t="s">
        <v>1454</v>
      </c>
      <c r="CV218" t="s">
        <v>1454</v>
      </c>
      <c r="CW218" t="s">
        <v>1454</v>
      </c>
      <c r="CY218" t="s">
        <v>1454</v>
      </c>
      <c r="CZ218" t="s">
        <v>1454</v>
      </c>
      <c r="DA218" t="s">
        <v>1454</v>
      </c>
      <c r="DC218" t="s">
        <v>1454</v>
      </c>
      <c r="DD218" t="s">
        <v>1454</v>
      </c>
      <c r="DE218" t="s">
        <v>1454</v>
      </c>
      <c r="DG218" t="s">
        <v>629</v>
      </c>
      <c r="DH218" t="s">
        <v>1454</v>
      </c>
      <c r="DI218" t="s">
        <v>1454</v>
      </c>
      <c r="DK218" t="s">
        <v>1454</v>
      </c>
      <c r="DL218" t="s">
        <v>1454</v>
      </c>
      <c r="DM218" t="s">
        <v>1454</v>
      </c>
      <c r="DO218" t="s">
        <v>1454</v>
      </c>
      <c r="DP218" t="s">
        <v>1454</v>
      </c>
      <c r="DQ218" t="s">
        <v>1454</v>
      </c>
      <c r="DS218" t="s">
        <v>1454</v>
      </c>
      <c r="DT218" t="s">
        <v>1454</v>
      </c>
      <c r="DU218" t="s">
        <v>1454</v>
      </c>
      <c r="DW218" t="s">
        <v>1454</v>
      </c>
      <c r="DX218" t="s">
        <v>1454</v>
      </c>
      <c r="DY218" t="s">
        <v>1454</v>
      </c>
      <c r="EA218" t="s">
        <v>1454</v>
      </c>
      <c r="EB218" t="s">
        <v>1454</v>
      </c>
      <c r="EC218" t="s">
        <v>1454</v>
      </c>
      <c r="EE218" t="s">
        <v>1454</v>
      </c>
      <c r="EF218" t="s">
        <v>1454</v>
      </c>
      <c r="EG218" t="s">
        <v>1454</v>
      </c>
      <c r="EI218" t="s">
        <v>1454</v>
      </c>
      <c r="EJ218" t="s">
        <v>1454</v>
      </c>
      <c r="EK218" t="s">
        <v>1454</v>
      </c>
      <c r="EM218" t="s">
        <v>1454</v>
      </c>
      <c r="EN218" t="s">
        <v>1454</v>
      </c>
      <c r="EO218" t="s">
        <v>1454</v>
      </c>
      <c r="EQ218" t="s">
        <v>1454</v>
      </c>
      <c r="ER218" t="s">
        <v>1454</v>
      </c>
      <c r="ES218" t="s">
        <v>1454</v>
      </c>
      <c r="EU218" t="s">
        <v>1454</v>
      </c>
      <c r="EV218" t="s">
        <v>1454</v>
      </c>
      <c r="EW218" t="s">
        <v>1454</v>
      </c>
      <c r="EY218" t="s">
        <v>1454</v>
      </c>
      <c r="EZ218" t="s">
        <v>1454</v>
      </c>
      <c r="FA218" t="s">
        <v>1454</v>
      </c>
      <c r="FC218" t="s">
        <v>1454</v>
      </c>
      <c r="FD218" t="s">
        <v>1454</v>
      </c>
      <c r="FE218" t="s">
        <v>1454</v>
      </c>
      <c r="FG218" t="s">
        <v>1454</v>
      </c>
      <c r="FH218" t="s">
        <v>1454</v>
      </c>
      <c r="FI218" t="s">
        <v>1454</v>
      </c>
      <c r="FK218" t="s">
        <v>1454</v>
      </c>
      <c r="FL218" t="s">
        <v>1454</v>
      </c>
      <c r="FM218" t="s">
        <v>1454</v>
      </c>
      <c r="FO218" t="s">
        <v>1454</v>
      </c>
      <c r="FP218" t="s">
        <v>1454</v>
      </c>
      <c r="FQ218" t="s">
        <v>1454</v>
      </c>
      <c r="FS218" t="s">
        <v>1454</v>
      </c>
      <c r="FT218" t="s">
        <v>1454</v>
      </c>
      <c r="FU218" t="s">
        <v>1454</v>
      </c>
      <c r="FW218" t="s">
        <v>1454</v>
      </c>
      <c r="FX218" t="s">
        <v>1454</v>
      </c>
      <c r="FY218" t="s">
        <v>1454</v>
      </c>
      <c r="GA218" t="s">
        <v>1454</v>
      </c>
      <c r="GB218" t="s">
        <v>1454</v>
      </c>
      <c r="GC218" t="s">
        <v>1454</v>
      </c>
      <c r="GE218" t="s">
        <v>1454</v>
      </c>
      <c r="GF218" t="s">
        <v>1454</v>
      </c>
      <c r="GG218" t="s">
        <v>1454</v>
      </c>
      <c r="GI218" t="s">
        <v>1454</v>
      </c>
      <c r="GJ218" t="s">
        <v>1454</v>
      </c>
      <c r="GK218" t="s">
        <v>1454</v>
      </c>
      <c r="GM218" t="s">
        <v>1454</v>
      </c>
      <c r="GN218" t="s">
        <v>1454</v>
      </c>
      <c r="GO218" t="s">
        <v>1454</v>
      </c>
      <c r="GQ218" t="s">
        <v>1644</v>
      </c>
    </row>
    <row r="219" spans="2:199" s="11" customFormat="1" x14ac:dyDescent="0.25">
      <c r="B219" t="s">
        <v>341</v>
      </c>
      <c r="C219" t="s">
        <v>1454</v>
      </c>
      <c r="D219" t="s">
        <v>1454</v>
      </c>
      <c r="E219" t="s">
        <v>1454</v>
      </c>
      <c r="F219"/>
      <c r="G219" t="s">
        <v>1454</v>
      </c>
      <c r="H219" t="s">
        <v>1454</v>
      </c>
      <c r="I219" t="s">
        <v>1454</v>
      </c>
      <c r="J219"/>
      <c r="K219" t="s">
        <v>1454</v>
      </c>
      <c r="L219" t="s">
        <v>1454</v>
      </c>
      <c r="M219" t="s">
        <v>1454</v>
      </c>
      <c r="N219"/>
      <c r="O219" t="s">
        <v>1454</v>
      </c>
      <c r="P219" t="s">
        <v>1454</v>
      </c>
      <c r="Q219" t="s">
        <v>1454</v>
      </c>
      <c r="R219"/>
      <c r="S219" t="s">
        <v>1454</v>
      </c>
      <c r="T219" t="s">
        <v>1454</v>
      </c>
      <c r="U219" t="s">
        <v>1454</v>
      </c>
      <c r="V219"/>
      <c r="W219" t="s">
        <v>1454</v>
      </c>
      <c r="X219" t="s">
        <v>1454</v>
      </c>
      <c r="Y219" t="s">
        <v>1454</v>
      </c>
      <c r="Z219"/>
      <c r="AA219" t="s">
        <v>1454</v>
      </c>
      <c r="AB219" t="s">
        <v>1454</v>
      </c>
      <c r="AC219" t="s">
        <v>1454</v>
      </c>
      <c r="AD219"/>
      <c r="AE219" t="s">
        <v>1454</v>
      </c>
      <c r="AF219" t="s">
        <v>1454</v>
      </c>
      <c r="AG219" t="s">
        <v>1454</v>
      </c>
      <c r="AH219"/>
      <c r="AI219" t="s">
        <v>1454</v>
      </c>
      <c r="AJ219" t="s">
        <v>1454</v>
      </c>
      <c r="AK219" t="s">
        <v>1454</v>
      </c>
      <c r="AL219"/>
      <c r="AM219" t="s">
        <v>1454</v>
      </c>
      <c r="AN219" t="s">
        <v>1454</v>
      </c>
      <c r="AO219" t="s">
        <v>1454</v>
      </c>
      <c r="AP219"/>
      <c r="AQ219" t="s">
        <v>1454</v>
      </c>
      <c r="AR219" t="s">
        <v>1454</v>
      </c>
      <c r="AS219" t="s">
        <v>1454</v>
      </c>
      <c r="AT219"/>
      <c r="AU219" t="s">
        <v>1454</v>
      </c>
      <c r="AV219" t="s">
        <v>1454</v>
      </c>
      <c r="AW219" t="s">
        <v>1454</v>
      </c>
      <c r="AX219"/>
      <c r="AY219" t="s">
        <v>1454</v>
      </c>
      <c r="AZ219" t="s">
        <v>1454</v>
      </c>
      <c r="BA219" t="s">
        <v>1454</v>
      </c>
      <c r="BB219"/>
      <c r="BC219" t="s">
        <v>1454</v>
      </c>
      <c r="BD219" t="s">
        <v>1454</v>
      </c>
      <c r="BE219" t="s">
        <v>1454</v>
      </c>
      <c r="BF219"/>
      <c r="BG219" t="s">
        <v>1454</v>
      </c>
      <c r="BH219" t="s">
        <v>1454</v>
      </c>
      <c r="BI219" t="s">
        <v>1454</v>
      </c>
      <c r="BJ219"/>
      <c r="BK219" t="s">
        <v>1454</v>
      </c>
      <c r="BL219" t="s">
        <v>1454</v>
      </c>
      <c r="BM219" t="s">
        <v>1454</v>
      </c>
      <c r="BN219"/>
      <c r="BO219" t="s">
        <v>1454</v>
      </c>
      <c r="BP219" t="s">
        <v>1454</v>
      </c>
      <c r="BQ219" t="s">
        <v>1454</v>
      </c>
      <c r="BR219"/>
      <c r="BS219" t="s">
        <v>1454</v>
      </c>
      <c r="BT219" t="s">
        <v>1454</v>
      </c>
      <c r="BU219" t="s">
        <v>1454</v>
      </c>
      <c r="BV219"/>
      <c r="BW219" t="s">
        <v>1454</v>
      </c>
      <c r="BX219" t="s">
        <v>1454</v>
      </c>
      <c r="BY219" t="s">
        <v>1454</v>
      </c>
      <c r="BZ219"/>
      <c r="CA219" t="s">
        <v>1454</v>
      </c>
      <c r="CB219" t="s">
        <v>1454</v>
      </c>
      <c r="CC219" t="s">
        <v>1454</v>
      </c>
      <c r="CD219"/>
      <c r="CE219" t="s">
        <v>1454</v>
      </c>
      <c r="CF219" t="s">
        <v>1454</v>
      </c>
      <c r="CG219" t="s">
        <v>1454</v>
      </c>
      <c r="CH219"/>
      <c r="CI219" t="s">
        <v>1454</v>
      </c>
      <c r="CJ219" t="s">
        <v>1454</v>
      </c>
      <c r="CK219" t="s">
        <v>1454</v>
      </c>
      <c r="CL219"/>
      <c r="CM219" t="s">
        <v>1454</v>
      </c>
      <c r="CN219" t="s">
        <v>1454</v>
      </c>
      <c r="CO219" t="s">
        <v>1454</v>
      </c>
      <c r="CP219"/>
      <c r="CQ219" t="s">
        <v>1454</v>
      </c>
      <c r="CR219" t="s">
        <v>1454</v>
      </c>
      <c r="CS219" t="s">
        <v>1454</v>
      </c>
      <c r="CT219"/>
      <c r="CU219" t="s">
        <v>1454</v>
      </c>
      <c r="CV219" t="s">
        <v>1454</v>
      </c>
      <c r="CW219" t="s">
        <v>1454</v>
      </c>
      <c r="CX219"/>
      <c r="CY219" t="s">
        <v>1454</v>
      </c>
      <c r="CZ219" t="s">
        <v>1454</v>
      </c>
      <c r="DA219" t="s">
        <v>1454</v>
      </c>
      <c r="DB219"/>
      <c r="DC219" t="s">
        <v>1454</v>
      </c>
      <c r="DD219" t="s">
        <v>1454</v>
      </c>
      <c r="DE219" t="s">
        <v>1454</v>
      </c>
      <c r="DF219"/>
      <c r="DG219" t="s">
        <v>1454</v>
      </c>
      <c r="DH219" t="s">
        <v>1454</v>
      </c>
      <c r="DI219" t="s">
        <v>1454</v>
      </c>
      <c r="DJ219"/>
      <c r="DK219" t="s">
        <v>1454</v>
      </c>
      <c r="DL219" t="s">
        <v>1454</v>
      </c>
      <c r="DM219" t="s">
        <v>1454</v>
      </c>
      <c r="DN219"/>
      <c r="DO219" t="s">
        <v>1454</v>
      </c>
      <c r="DP219" t="s">
        <v>1454</v>
      </c>
      <c r="DQ219" t="s">
        <v>1454</v>
      </c>
      <c r="DR219"/>
      <c r="DS219" t="s">
        <v>632</v>
      </c>
      <c r="DT219" t="s">
        <v>1454</v>
      </c>
      <c r="DU219" t="s">
        <v>1454</v>
      </c>
      <c r="DV219"/>
      <c r="DW219" t="s">
        <v>633</v>
      </c>
      <c r="DX219" t="s">
        <v>1454</v>
      </c>
      <c r="DY219" t="s">
        <v>1454</v>
      </c>
      <c r="DZ219"/>
      <c r="EA219" t="s">
        <v>1454</v>
      </c>
      <c r="EB219" t="s">
        <v>1454</v>
      </c>
      <c r="EC219" t="s">
        <v>1454</v>
      </c>
      <c r="ED219"/>
      <c r="EE219" t="s">
        <v>635</v>
      </c>
      <c r="EF219" t="s">
        <v>1454</v>
      </c>
      <c r="EG219" t="s">
        <v>1454</v>
      </c>
      <c r="EH219"/>
      <c r="EI219" t="s">
        <v>1454</v>
      </c>
      <c r="EJ219" t="s">
        <v>1454</v>
      </c>
      <c r="EK219" t="s">
        <v>1454</v>
      </c>
      <c r="EL219"/>
      <c r="EM219" t="s">
        <v>1454</v>
      </c>
      <c r="EN219" t="s">
        <v>1454</v>
      </c>
      <c r="EO219" t="s">
        <v>1454</v>
      </c>
      <c r="EP219"/>
      <c r="EQ219" t="s">
        <v>1454</v>
      </c>
      <c r="ER219" t="s">
        <v>1454</v>
      </c>
      <c r="ES219" t="s">
        <v>1454</v>
      </c>
      <c r="ET219"/>
      <c r="EU219" t="s">
        <v>1454</v>
      </c>
      <c r="EV219" t="s">
        <v>1454</v>
      </c>
      <c r="EW219" t="s">
        <v>1454</v>
      </c>
      <c r="EX219"/>
      <c r="EY219" t="s">
        <v>1454</v>
      </c>
      <c r="EZ219" t="s">
        <v>1454</v>
      </c>
      <c r="FA219" t="s">
        <v>1454</v>
      </c>
      <c r="FB219"/>
      <c r="FC219" t="s">
        <v>1454</v>
      </c>
      <c r="FD219" t="s">
        <v>1454</v>
      </c>
      <c r="FE219" t="s">
        <v>1454</v>
      </c>
      <c r="FF219"/>
      <c r="FG219" t="s">
        <v>1454</v>
      </c>
      <c r="FH219" t="s">
        <v>1454</v>
      </c>
      <c r="FI219" t="s">
        <v>1454</v>
      </c>
      <c r="FJ219"/>
      <c r="FK219" t="s">
        <v>1454</v>
      </c>
      <c r="FL219" t="s">
        <v>1454</v>
      </c>
      <c r="FM219" t="s">
        <v>1454</v>
      </c>
      <c r="FN219"/>
      <c r="FO219" t="s">
        <v>1454</v>
      </c>
      <c r="FP219" t="s">
        <v>1454</v>
      </c>
      <c r="FQ219" t="s">
        <v>1454</v>
      </c>
      <c r="FR219"/>
      <c r="FS219" t="s">
        <v>644</v>
      </c>
      <c r="FT219" t="s">
        <v>1454</v>
      </c>
      <c r="FU219" t="s">
        <v>1454</v>
      </c>
      <c r="FV219"/>
      <c r="FW219" t="s">
        <v>1454</v>
      </c>
      <c r="FX219" t="s">
        <v>1454</v>
      </c>
      <c r="FY219" t="s">
        <v>1454</v>
      </c>
      <c r="FZ219"/>
      <c r="GA219" t="s">
        <v>1454</v>
      </c>
      <c r="GB219" t="s">
        <v>1454</v>
      </c>
      <c r="GC219" t="s">
        <v>1454</v>
      </c>
      <c r="GD219"/>
      <c r="GE219" t="s">
        <v>1454</v>
      </c>
      <c r="GF219" t="s">
        <v>1454</v>
      </c>
      <c r="GG219" t="s">
        <v>1454</v>
      </c>
      <c r="GH219"/>
      <c r="GI219" t="s">
        <v>1454</v>
      </c>
      <c r="GJ219" t="s">
        <v>1454</v>
      </c>
      <c r="GK219" t="s">
        <v>1454</v>
      </c>
      <c r="GL219"/>
      <c r="GM219" t="s">
        <v>1454</v>
      </c>
      <c r="GN219" t="s">
        <v>1454</v>
      </c>
      <c r="GO219" t="s">
        <v>1454</v>
      </c>
      <c r="GP219"/>
      <c r="GQ219" t="s">
        <v>1645</v>
      </c>
    </row>
    <row r="220" spans="2:199" x14ac:dyDescent="0.25">
      <c r="B220" t="s">
        <v>343</v>
      </c>
      <c r="C220" t="s">
        <v>1454</v>
      </c>
      <c r="D220" t="s">
        <v>1454</v>
      </c>
      <c r="E220" t="s">
        <v>1454</v>
      </c>
      <c r="G220" t="s">
        <v>1454</v>
      </c>
      <c r="H220" t="s">
        <v>1454</v>
      </c>
      <c r="I220" t="s">
        <v>1454</v>
      </c>
      <c r="K220" t="s">
        <v>1454</v>
      </c>
      <c r="L220" t="s">
        <v>1454</v>
      </c>
      <c r="M220" t="s">
        <v>1454</v>
      </c>
      <c r="O220" t="s">
        <v>1454</v>
      </c>
      <c r="P220" t="s">
        <v>1454</v>
      </c>
      <c r="Q220" t="s">
        <v>1454</v>
      </c>
      <c r="S220" t="s">
        <v>1454</v>
      </c>
      <c r="T220" t="s">
        <v>1454</v>
      </c>
      <c r="U220" t="s">
        <v>1454</v>
      </c>
      <c r="W220" t="s">
        <v>1454</v>
      </c>
      <c r="X220" t="s">
        <v>1454</v>
      </c>
      <c r="Y220" t="s">
        <v>1454</v>
      </c>
      <c r="AA220" t="s">
        <v>1454</v>
      </c>
      <c r="AB220" t="s">
        <v>1454</v>
      </c>
      <c r="AC220" t="s">
        <v>1454</v>
      </c>
      <c r="AE220" t="s">
        <v>1454</v>
      </c>
      <c r="AF220" t="s">
        <v>1454</v>
      </c>
      <c r="AG220" t="s">
        <v>1454</v>
      </c>
      <c r="AI220" t="s">
        <v>1454</v>
      </c>
      <c r="AJ220" t="s">
        <v>1454</v>
      </c>
      <c r="AK220" t="s">
        <v>1454</v>
      </c>
      <c r="AM220" t="s">
        <v>1454</v>
      </c>
      <c r="AN220" t="s">
        <v>1454</v>
      </c>
      <c r="AO220" t="s">
        <v>1454</v>
      </c>
      <c r="AQ220" t="s">
        <v>1454</v>
      </c>
      <c r="AR220" t="s">
        <v>1454</v>
      </c>
      <c r="AS220" t="s">
        <v>1454</v>
      </c>
      <c r="AU220" t="s">
        <v>1454</v>
      </c>
      <c r="AV220" t="s">
        <v>1454</v>
      </c>
      <c r="AW220" t="s">
        <v>1454</v>
      </c>
      <c r="AY220" t="s">
        <v>1454</v>
      </c>
      <c r="AZ220" t="s">
        <v>1454</v>
      </c>
      <c r="BA220" t="s">
        <v>1454</v>
      </c>
      <c r="BC220" t="s">
        <v>1454</v>
      </c>
      <c r="BD220" t="s">
        <v>1454</v>
      </c>
      <c r="BE220" t="s">
        <v>1454</v>
      </c>
      <c r="BG220" t="s">
        <v>1454</v>
      </c>
      <c r="BH220" t="s">
        <v>1454</v>
      </c>
      <c r="BI220" t="s">
        <v>1454</v>
      </c>
      <c r="BK220" t="s">
        <v>1454</v>
      </c>
      <c r="BL220" t="s">
        <v>1454</v>
      </c>
      <c r="BM220" t="s">
        <v>1454</v>
      </c>
      <c r="BO220" t="s">
        <v>1454</v>
      </c>
      <c r="BP220" t="s">
        <v>1454</v>
      </c>
      <c r="BQ220" t="s">
        <v>1454</v>
      </c>
      <c r="BS220" t="s">
        <v>1454</v>
      </c>
      <c r="BT220" t="s">
        <v>1454</v>
      </c>
      <c r="BU220" t="s">
        <v>1454</v>
      </c>
      <c r="BW220" t="s">
        <v>1454</v>
      </c>
      <c r="BX220" t="s">
        <v>1454</v>
      </c>
      <c r="BY220" t="s">
        <v>1454</v>
      </c>
      <c r="CA220" t="s">
        <v>1454</v>
      </c>
      <c r="CB220" t="s">
        <v>1454</v>
      </c>
      <c r="CC220" t="s">
        <v>1454</v>
      </c>
      <c r="CE220" t="s">
        <v>1454</v>
      </c>
      <c r="CF220" t="s">
        <v>1454</v>
      </c>
      <c r="CG220" t="s">
        <v>1454</v>
      </c>
      <c r="CI220" t="s">
        <v>1454</v>
      </c>
      <c r="CJ220" t="s">
        <v>1454</v>
      </c>
      <c r="CK220" t="s">
        <v>1454</v>
      </c>
      <c r="CM220" t="s">
        <v>1454</v>
      </c>
      <c r="CN220" t="s">
        <v>1454</v>
      </c>
      <c r="CO220" t="s">
        <v>1454</v>
      </c>
      <c r="CQ220" t="s">
        <v>1454</v>
      </c>
      <c r="CR220" t="s">
        <v>1454</v>
      </c>
      <c r="CS220" t="s">
        <v>1454</v>
      </c>
      <c r="CU220" t="s">
        <v>1454</v>
      </c>
      <c r="CV220" t="s">
        <v>1454</v>
      </c>
      <c r="CW220" t="s">
        <v>1454</v>
      </c>
      <c r="CY220" t="s">
        <v>1454</v>
      </c>
      <c r="CZ220" t="s">
        <v>1454</v>
      </c>
      <c r="DA220" t="s">
        <v>1454</v>
      </c>
      <c r="DC220" t="s">
        <v>1454</v>
      </c>
      <c r="DD220" t="s">
        <v>1454</v>
      </c>
      <c r="DE220" t="s">
        <v>1454</v>
      </c>
      <c r="DG220" t="s">
        <v>629</v>
      </c>
      <c r="DH220" t="s">
        <v>1454</v>
      </c>
      <c r="DI220" t="s">
        <v>1454</v>
      </c>
      <c r="DK220" t="s">
        <v>1454</v>
      </c>
      <c r="DL220" t="s">
        <v>1454</v>
      </c>
      <c r="DM220" t="s">
        <v>1454</v>
      </c>
      <c r="DO220" t="s">
        <v>1454</v>
      </c>
      <c r="DP220" t="s">
        <v>1454</v>
      </c>
      <c r="DQ220" t="s">
        <v>1454</v>
      </c>
      <c r="DS220" t="s">
        <v>1454</v>
      </c>
      <c r="DT220" t="s">
        <v>1454</v>
      </c>
      <c r="DU220" t="s">
        <v>1454</v>
      </c>
      <c r="DW220" t="s">
        <v>633</v>
      </c>
      <c r="DX220" t="s">
        <v>1454</v>
      </c>
      <c r="DY220" t="s">
        <v>1454</v>
      </c>
      <c r="EA220" t="s">
        <v>1454</v>
      </c>
      <c r="EB220" t="s">
        <v>1454</v>
      </c>
      <c r="EC220" t="s">
        <v>1454</v>
      </c>
      <c r="EE220" t="s">
        <v>1454</v>
      </c>
      <c r="EF220" t="s">
        <v>1454</v>
      </c>
      <c r="EG220" t="s">
        <v>1454</v>
      </c>
      <c r="EI220" t="s">
        <v>1454</v>
      </c>
      <c r="EJ220" t="s">
        <v>1454</v>
      </c>
      <c r="EK220" t="s">
        <v>1454</v>
      </c>
      <c r="EM220" t="s">
        <v>1454</v>
      </c>
      <c r="EN220" t="s">
        <v>1454</v>
      </c>
      <c r="EO220" t="s">
        <v>1454</v>
      </c>
      <c r="EQ220" t="s">
        <v>1454</v>
      </c>
      <c r="ER220" t="s">
        <v>1454</v>
      </c>
      <c r="ES220" t="s">
        <v>1454</v>
      </c>
      <c r="EU220" t="s">
        <v>1454</v>
      </c>
      <c r="EV220" t="s">
        <v>1454</v>
      </c>
      <c r="EW220" t="s">
        <v>1454</v>
      </c>
      <c r="EY220" t="s">
        <v>1454</v>
      </c>
      <c r="EZ220" t="s">
        <v>1454</v>
      </c>
      <c r="FA220" t="s">
        <v>1454</v>
      </c>
      <c r="FC220" t="s">
        <v>1454</v>
      </c>
      <c r="FD220" t="s">
        <v>1454</v>
      </c>
      <c r="FE220" t="s">
        <v>1454</v>
      </c>
      <c r="FG220" t="s">
        <v>1454</v>
      </c>
      <c r="FH220" t="s">
        <v>1454</v>
      </c>
      <c r="FI220" t="s">
        <v>1454</v>
      </c>
      <c r="FK220" t="s">
        <v>1454</v>
      </c>
      <c r="FL220" t="s">
        <v>1454</v>
      </c>
      <c r="FM220" t="s">
        <v>1454</v>
      </c>
      <c r="FO220" t="s">
        <v>1454</v>
      </c>
      <c r="FP220" t="s">
        <v>1454</v>
      </c>
      <c r="FQ220" t="s">
        <v>1454</v>
      </c>
      <c r="FS220" t="s">
        <v>1454</v>
      </c>
      <c r="FT220" t="s">
        <v>1454</v>
      </c>
      <c r="FU220" t="s">
        <v>1454</v>
      </c>
      <c r="FW220" t="s">
        <v>1454</v>
      </c>
      <c r="FX220" t="s">
        <v>1454</v>
      </c>
      <c r="FY220" t="s">
        <v>1454</v>
      </c>
      <c r="GA220" t="s">
        <v>1454</v>
      </c>
      <c r="GB220" t="s">
        <v>1454</v>
      </c>
      <c r="GC220" t="s">
        <v>1454</v>
      </c>
      <c r="GE220" t="s">
        <v>1454</v>
      </c>
      <c r="GF220" t="s">
        <v>1454</v>
      </c>
      <c r="GG220" t="s">
        <v>1454</v>
      </c>
      <c r="GI220" t="s">
        <v>648</v>
      </c>
      <c r="GJ220" t="s">
        <v>1454</v>
      </c>
      <c r="GK220" t="s">
        <v>1454</v>
      </c>
      <c r="GM220" t="s">
        <v>1454</v>
      </c>
      <c r="GN220" t="s">
        <v>1454</v>
      </c>
      <c r="GO220" t="s">
        <v>1454</v>
      </c>
      <c r="GQ220" t="s">
        <v>1646</v>
      </c>
    </row>
    <row r="221" spans="2:199" x14ac:dyDescent="0.25">
      <c r="B221" t="s">
        <v>344</v>
      </c>
      <c r="C221" t="s">
        <v>603</v>
      </c>
      <c r="D221" t="s">
        <v>1454</v>
      </c>
      <c r="E221" t="s">
        <v>1454</v>
      </c>
      <c r="G221" t="s">
        <v>1454</v>
      </c>
      <c r="H221" t="s">
        <v>1454</v>
      </c>
      <c r="I221" t="s">
        <v>1454</v>
      </c>
      <c r="K221" t="s">
        <v>392</v>
      </c>
      <c r="L221" t="s">
        <v>1454</v>
      </c>
      <c r="M221" t="s">
        <v>1454</v>
      </c>
      <c r="O221" t="s">
        <v>1454</v>
      </c>
      <c r="P221" t="s">
        <v>1454</v>
      </c>
      <c r="Q221" t="s">
        <v>1454</v>
      </c>
      <c r="S221" t="s">
        <v>1454</v>
      </c>
      <c r="T221" t="s">
        <v>1454</v>
      </c>
      <c r="U221" t="s">
        <v>1454</v>
      </c>
      <c r="W221" t="s">
        <v>1454</v>
      </c>
      <c r="X221" t="s">
        <v>1454</v>
      </c>
      <c r="Y221" t="s">
        <v>1454</v>
      </c>
      <c r="AA221" t="s">
        <v>1454</v>
      </c>
      <c r="AB221" t="s">
        <v>1454</v>
      </c>
      <c r="AC221" t="s">
        <v>1454</v>
      </c>
      <c r="AE221" t="s">
        <v>1454</v>
      </c>
      <c r="AF221" t="s">
        <v>1454</v>
      </c>
      <c r="AG221" t="s">
        <v>1454</v>
      </c>
      <c r="AI221" t="s">
        <v>1454</v>
      </c>
      <c r="AJ221" t="s">
        <v>1454</v>
      </c>
      <c r="AK221" t="s">
        <v>1454</v>
      </c>
      <c r="AM221" t="s">
        <v>1454</v>
      </c>
      <c r="AN221" t="s">
        <v>1454</v>
      </c>
      <c r="AO221" t="s">
        <v>1454</v>
      </c>
      <c r="AQ221" t="s">
        <v>1454</v>
      </c>
      <c r="AR221" t="s">
        <v>1454</v>
      </c>
      <c r="AS221" t="s">
        <v>1454</v>
      </c>
      <c r="AU221" t="s">
        <v>1454</v>
      </c>
      <c r="AV221" t="s">
        <v>1454</v>
      </c>
      <c r="AW221" t="s">
        <v>1454</v>
      </c>
      <c r="AY221" t="s">
        <v>1454</v>
      </c>
      <c r="AZ221" t="s">
        <v>1454</v>
      </c>
      <c r="BA221" t="s">
        <v>1454</v>
      </c>
      <c r="BC221" t="s">
        <v>1454</v>
      </c>
      <c r="BD221" t="s">
        <v>1454</v>
      </c>
      <c r="BE221" t="s">
        <v>1454</v>
      </c>
      <c r="BG221" t="s">
        <v>1454</v>
      </c>
      <c r="BH221" t="s">
        <v>1454</v>
      </c>
      <c r="BI221" t="s">
        <v>1454</v>
      </c>
      <c r="BK221" t="s">
        <v>1454</v>
      </c>
      <c r="BL221" t="s">
        <v>1454</v>
      </c>
      <c r="BM221" t="s">
        <v>1454</v>
      </c>
      <c r="BO221" t="s">
        <v>1454</v>
      </c>
      <c r="BP221" t="s">
        <v>1454</v>
      </c>
      <c r="BQ221" t="s">
        <v>1454</v>
      </c>
      <c r="BS221" t="s">
        <v>1454</v>
      </c>
      <c r="BT221" t="s">
        <v>1454</v>
      </c>
      <c r="BU221" t="s">
        <v>1454</v>
      </c>
      <c r="BW221" t="s">
        <v>1454</v>
      </c>
      <c r="BX221" t="s">
        <v>1454</v>
      </c>
      <c r="BY221" t="s">
        <v>1454</v>
      </c>
      <c r="CA221" t="s">
        <v>1454</v>
      </c>
      <c r="CB221" t="s">
        <v>1454</v>
      </c>
      <c r="CC221" t="s">
        <v>1454</v>
      </c>
      <c r="CE221" t="s">
        <v>1454</v>
      </c>
      <c r="CF221" t="s">
        <v>1454</v>
      </c>
      <c r="CG221" t="s">
        <v>1454</v>
      </c>
      <c r="CI221" t="s">
        <v>1454</v>
      </c>
      <c r="CJ221" t="s">
        <v>1454</v>
      </c>
      <c r="CK221" t="s">
        <v>1454</v>
      </c>
      <c r="CM221" t="s">
        <v>1454</v>
      </c>
      <c r="CN221" t="s">
        <v>1454</v>
      </c>
      <c r="CO221" t="s">
        <v>1454</v>
      </c>
      <c r="CQ221" t="s">
        <v>1454</v>
      </c>
      <c r="CR221" t="s">
        <v>1454</v>
      </c>
      <c r="CS221" t="s">
        <v>1454</v>
      </c>
      <c r="CU221" t="s">
        <v>1454</v>
      </c>
      <c r="CV221" t="s">
        <v>1454</v>
      </c>
      <c r="CW221" t="s">
        <v>1454</v>
      </c>
      <c r="CY221" t="s">
        <v>1454</v>
      </c>
      <c r="CZ221" t="s">
        <v>1454</v>
      </c>
      <c r="DA221" t="s">
        <v>1454</v>
      </c>
      <c r="DC221" t="s">
        <v>1454</v>
      </c>
      <c r="DD221" t="s">
        <v>1454</v>
      </c>
      <c r="DE221" t="s">
        <v>1454</v>
      </c>
      <c r="DG221" t="s">
        <v>1454</v>
      </c>
      <c r="DH221" t="s">
        <v>1454</v>
      </c>
      <c r="DI221" t="s">
        <v>1454</v>
      </c>
      <c r="DK221" t="s">
        <v>1454</v>
      </c>
      <c r="DL221" t="s">
        <v>1454</v>
      </c>
      <c r="DM221" t="s">
        <v>1454</v>
      </c>
      <c r="DO221" t="s">
        <v>1454</v>
      </c>
      <c r="DP221" t="s">
        <v>1454</v>
      </c>
      <c r="DQ221" t="s">
        <v>1454</v>
      </c>
      <c r="DS221" t="s">
        <v>1454</v>
      </c>
      <c r="DT221" t="s">
        <v>1454</v>
      </c>
      <c r="DU221" t="s">
        <v>1454</v>
      </c>
      <c r="DW221" t="s">
        <v>1454</v>
      </c>
      <c r="DX221" t="s">
        <v>1454</v>
      </c>
      <c r="DY221" t="s">
        <v>1454</v>
      </c>
      <c r="EA221" t="s">
        <v>634</v>
      </c>
      <c r="EB221" t="s">
        <v>1454</v>
      </c>
      <c r="EC221" t="s">
        <v>1454</v>
      </c>
      <c r="EE221" t="s">
        <v>1454</v>
      </c>
      <c r="EF221" t="s">
        <v>1454</v>
      </c>
      <c r="EG221" t="s">
        <v>1454</v>
      </c>
      <c r="EI221" t="s">
        <v>1454</v>
      </c>
      <c r="EJ221" t="s">
        <v>1454</v>
      </c>
      <c r="EK221" t="s">
        <v>1454</v>
      </c>
      <c r="EM221" t="s">
        <v>1454</v>
      </c>
      <c r="EN221" t="s">
        <v>1454</v>
      </c>
      <c r="EO221" t="s">
        <v>1454</v>
      </c>
      <c r="EQ221" t="s">
        <v>1454</v>
      </c>
      <c r="ER221" t="s">
        <v>1454</v>
      </c>
      <c r="ES221" t="s">
        <v>1454</v>
      </c>
      <c r="EU221" t="s">
        <v>1454</v>
      </c>
      <c r="EV221" t="s">
        <v>1454</v>
      </c>
      <c r="EW221" t="s">
        <v>1454</v>
      </c>
      <c r="EY221" t="s">
        <v>1454</v>
      </c>
      <c r="EZ221" t="s">
        <v>1454</v>
      </c>
      <c r="FA221" t="s">
        <v>1454</v>
      </c>
      <c r="FC221" t="s">
        <v>1454</v>
      </c>
      <c r="FD221" t="s">
        <v>1454</v>
      </c>
      <c r="FE221" t="s">
        <v>1454</v>
      </c>
      <c r="FG221" t="s">
        <v>1454</v>
      </c>
      <c r="FH221" t="s">
        <v>1454</v>
      </c>
      <c r="FI221" t="s">
        <v>1454</v>
      </c>
      <c r="FK221" t="s">
        <v>1454</v>
      </c>
      <c r="FL221" t="s">
        <v>1454</v>
      </c>
      <c r="FM221" t="s">
        <v>1454</v>
      </c>
      <c r="FO221" t="s">
        <v>1454</v>
      </c>
      <c r="FP221" t="s">
        <v>1454</v>
      </c>
      <c r="FQ221" t="s">
        <v>1454</v>
      </c>
      <c r="FS221" t="s">
        <v>1454</v>
      </c>
      <c r="FT221" t="s">
        <v>1454</v>
      </c>
      <c r="FU221" t="s">
        <v>1454</v>
      </c>
      <c r="FW221" t="s">
        <v>1454</v>
      </c>
      <c r="FX221" t="s">
        <v>1454</v>
      </c>
      <c r="FY221" t="s">
        <v>1454</v>
      </c>
      <c r="GA221" t="s">
        <v>1454</v>
      </c>
      <c r="GB221" t="s">
        <v>1454</v>
      </c>
      <c r="GC221" t="s">
        <v>1454</v>
      </c>
      <c r="GE221" t="s">
        <v>1454</v>
      </c>
      <c r="GF221" t="s">
        <v>1454</v>
      </c>
      <c r="GG221" t="s">
        <v>1454</v>
      </c>
      <c r="GI221" t="s">
        <v>1454</v>
      </c>
      <c r="GJ221" t="s">
        <v>1454</v>
      </c>
      <c r="GK221" t="s">
        <v>1454</v>
      </c>
      <c r="GM221" t="s">
        <v>1454</v>
      </c>
      <c r="GN221" t="s">
        <v>1454</v>
      </c>
      <c r="GO221" t="s">
        <v>1454</v>
      </c>
      <c r="GQ221" t="s">
        <v>1647</v>
      </c>
    </row>
    <row r="222" spans="2:199" x14ac:dyDescent="0.25">
      <c r="B222" t="s">
        <v>345</v>
      </c>
      <c r="C222" t="s">
        <v>1454</v>
      </c>
      <c r="D222" t="s">
        <v>1454</v>
      </c>
      <c r="E222" t="s">
        <v>1454</v>
      </c>
      <c r="G222" t="s">
        <v>1454</v>
      </c>
      <c r="H222" t="s">
        <v>1454</v>
      </c>
      <c r="I222" t="s">
        <v>1454</v>
      </c>
      <c r="K222" t="s">
        <v>1454</v>
      </c>
      <c r="L222" t="s">
        <v>1454</v>
      </c>
      <c r="M222" t="s">
        <v>1454</v>
      </c>
      <c r="O222" t="s">
        <v>1454</v>
      </c>
      <c r="P222" t="s">
        <v>1454</v>
      </c>
      <c r="Q222" t="s">
        <v>1454</v>
      </c>
      <c r="S222" t="s">
        <v>1454</v>
      </c>
      <c r="T222" t="s">
        <v>1454</v>
      </c>
      <c r="U222" t="s">
        <v>1454</v>
      </c>
      <c r="W222" t="s">
        <v>1454</v>
      </c>
      <c r="X222" t="s">
        <v>1454</v>
      </c>
      <c r="Y222" t="s">
        <v>1454</v>
      </c>
      <c r="AA222" t="s">
        <v>1454</v>
      </c>
      <c r="AB222" t="s">
        <v>1454</v>
      </c>
      <c r="AC222" t="s">
        <v>1454</v>
      </c>
      <c r="AE222" t="s">
        <v>1454</v>
      </c>
      <c r="AF222" t="s">
        <v>1454</v>
      </c>
      <c r="AG222" t="s">
        <v>1454</v>
      </c>
      <c r="AI222" t="s">
        <v>1454</v>
      </c>
      <c r="AJ222" t="s">
        <v>1454</v>
      </c>
      <c r="AK222" t="s">
        <v>1454</v>
      </c>
      <c r="AM222" t="s">
        <v>1454</v>
      </c>
      <c r="AN222" t="s">
        <v>1454</v>
      </c>
      <c r="AO222" t="s">
        <v>1454</v>
      </c>
      <c r="AQ222" t="s">
        <v>1454</v>
      </c>
      <c r="AR222" t="s">
        <v>1454</v>
      </c>
      <c r="AS222" t="s">
        <v>1454</v>
      </c>
      <c r="AU222" t="s">
        <v>1454</v>
      </c>
      <c r="AV222" t="s">
        <v>1454</v>
      </c>
      <c r="AW222" t="s">
        <v>1454</v>
      </c>
      <c r="AY222" t="s">
        <v>1454</v>
      </c>
      <c r="AZ222" t="s">
        <v>1454</v>
      </c>
      <c r="BA222" t="s">
        <v>1454</v>
      </c>
      <c r="BC222" t="s">
        <v>1454</v>
      </c>
      <c r="BD222" t="s">
        <v>1454</v>
      </c>
      <c r="BE222" t="s">
        <v>1454</v>
      </c>
      <c r="BG222" t="s">
        <v>1454</v>
      </c>
      <c r="BH222" t="s">
        <v>1454</v>
      </c>
      <c r="BI222" t="s">
        <v>1454</v>
      </c>
      <c r="BK222" t="s">
        <v>1454</v>
      </c>
      <c r="BL222" t="s">
        <v>1454</v>
      </c>
      <c r="BM222" t="s">
        <v>1454</v>
      </c>
      <c r="BO222" t="s">
        <v>1454</v>
      </c>
      <c r="BP222" t="s">
        <v>1454</v>
      </c>
      <c r="BQ222" t="s">
        <v>1454</v>
      </c>
      <c r="BS222" t="s">
        <v>1454</v>
      </c>
      <c r="BT222" t="s">
        <v>1454</v>
      </c>
      <c r="BU222" t="s">
        <v>1454</v>
      </c>
      <c r="BW222" t="s">
        <v>1454</v>
      </c>
      <c r="BX222" t="s">
        <v>1454</v>
      </c>
      <c r="BY222" t="s">
        <v>1454</v>
      </c>
      <c r="CA222" t="s">
        <v>1454</v>
      </c>
      <c r="CB222" t="s">
        <v>1454</v>
      </c>
      <c r="CC222" t="s">
        <v>1454</v>
      </c>
      <c r="CE222" t="s">
        <v>1454</v>
      </c>
      <c r="CF222" t="s">
        <v>1454</v>
      </c>
      <c r="CG222" t="s">
        <v>1454</v>
      </c>
      <c r="CI222" t="s">
        <v>1454</v>
      </c>
      <c r="CJ222" t="s">
        <v>1454</v>
      </c>
      <c r="CK222" t="s">
        <v>1454</v>
      </c>
      <c r="CM222" t="s">
        <v>1454</v>
      </c>
      <c r="CN222" t="s">
        <v>1454</v>
      </c>
      <c r="CO222" t="s">
        <v>1454</v>
      </c>
      <c r="CQ222" t="s">
        <v>1454</v>
      </c>
      <c r="CR222" t="s">
        <v>1454</v>
      </c>
      <c r="CS222" t="s">
        <v>1454</v>
      </c>
      <c r="CU222" t="s">
        <v>1454</v>
      </c>
      <c r="CV222" t="s">
        <v>1454</v>
      </c>
      <c r="CW222" t="s">
        <v>1454</v>
      </c>
      <c r="CY222" t="s">
        <v>1454</v>
      </c>
      <c r="CZ222" t="s">
        <v>1454</v>
      </c>
      <c r="DA222" t="s">
        <v>1454</v>
      </c>
      <c r="DC222" t="s">
        <v>1454</v>
      </c>
      <c r="DD222" t="s">
        <v>1454</v>
      </c>
      <c r="DE222" t="s">
        <v>1454</v>
      </c>
      <c r="DG222" t="s">
        <v>1454</v>
      </c>
      <c r="DH222" t="s">
        <v>1454</v>
      </c>
      <c r="DI222" t="s">
        <v>1454</v>
      </c>
      <c r="DK222" t="s">
        <v>1454</v>
      </c>
      <c r="DL222" t="s">
        <v>1454</v>
      </c>
      <c r="DM222" t="s">
        <v>1454</v>
      </c>
      <c r="DO222" t="s">
        <v>1454</v>
      </c>
      <c r="DP222" t="s">
        <v>1454</v>
      </c>
      <c r="DQ222" t="s">
        <v>1454</v>
      </c>
      <c r="DS222" t="s">
        <v>632</v>
      </c>
      <c r="DT222" t="s">
        <v>1454</v>
      </c>
      <c r="DU222" t="s">
        <v>1454</v>
      </c>
      <c r="DW222" t="s">
        <v>1454</v>
      </c>
      <c r="DX222" t="s">
        <v>1454</v>
      </c>
      <c r="DY222" t="s">
        <v>1454</v>
      </c>
      <c r="EA222" t="s">
        <v>1454</v>
      </c>
      <c r="EB222" t="s">
        <v>1454</v>
      </c>
      <c r="EC222" t="s">
        <v>1454</v>
      </c>
      <c r="EE222" t="s">
        <v>1454</v>
      </c>
      <c r="EF222" t="s">
        <v>1454</v>
      </c>
      <c r="EG222" t="s">
        <v>1454</v>
      </c>
      <c r="EI222" t="s">
        <v>1454</v>
      </c>
      <c r="EJ222" t="s">
        <v>1454</v>
      </c>
      <c r="EK222" t="s">
        <v>1454</v>
      </c>
      <c r="EM222" t="s">
        <v>1454</v>
      </c>
      <c r="EN222" t="s">
        <v>1454</v>
      </c>
      <c r="EO222" t="s">
        <v>1454</v>
      </c>
      <c r="EQ222" t="s">
        <v>1454</v>
      </c>
      <c r="ER222" t="s">
        <v>1454</v>
      </c>
      <c r="ES222" t="s">
        <v>1454</v>
      </c>
      <c r="EU222" t="s">
        <v>1454</v>
      </c>
      <c r="EV222" t="s">
        <v>1454</v>
      </c>
      <c r="EW222" t="s">
        <v>1454</v>
      </c>
      <c r="EY222" t="s">
        <v>1454</v>
      </c>
      <c r="EZ222" t="s">
        <v>1454</v>
      </c>
      <c r="FA222" t="s">
        <v>1454</v>
      </c>
      <c r="FC222" t="s">
        <v>1454</v>
      </c>
      <c r="FD222" t="s">
        <v>1454</v>
      </c>
      <c r="FE222" t="s">
        <v>1454</v>
      </c>
      <c r="FG222" t="s">
        <v>1454</v>
      </c>
      <c r="FH222" t="s">
        <v>1454</v>
      </c>
      <c r="FI222" t="s">
        <v>1454</v>
      </c>
      <c r="FK222" t="s">
        <v>1454</v>
      </c>
      <c r="FL222" t="s">
        <v>1454</v>
      </c>
      <c r="FM222" t="s">
        <v>1454</v>
      </c>
      <c r="FO222" t="s">
        <v>1454</v>
      </c>
      <c r="FP222" t="s">
        <v>1454</v>
      </c>
      <c r="FQ222" t="s">
        <v>1454</v>
      </c>
      <c r="FS222" t="s">
        <v>1454</v>
      </c>
      <c r="FT222" t="s">
        <v>1454</v>
      </c>
      <c r="FU222" t="s">
        <v>1454</v>
      </c>
      <c r="FW222" t="s">
        <v>1454</v>
      </c>
      <c r="FX222" t="s">
        <v>1454</v>
      </c>
      <c r="FY222" t="s">
        <v>1454</v>
      </c>
      <c r="GA222" t="s">
        <v>1454</v>
      </c>
      <c r="GB222" t="s">
        <v>1454</v>
      </c>
      <c r="GC222" t="s">
        <v>1454</v>
      </c>
      <c r="GE222" t="s">
        <v>1454</v>
      </c>
      <c r="GF222" t="s">
        <v>1454</v>
      </c>
      <c r="GG222" t="s">
        <v>1454</v>
      </c>
      <c r="GI222" t="s">
        <v>1454</v>
      </c>
      <c r="GJ222" t="s">
        <v>1454</v>
      </c>
      <c r="GK222" t="s">
        <v>1454</v>
      </c>
      <c r="GM222" t="s">
        <v>1454</v>
      </c>
      <c r="GN222" t="s">
        <v>1454</v>
      </c>
      <c r="GO222" t="s">
        <v>1454</v>
      </c>
      <c r="GQ222" t="s">
        <v>1482</v>
      </c>
    </row>
    <row r="223" spans="2:199" s="11" customFormat="1" x14ac:dyDescent="0.25">
      <c r="B223" t="s">
        <v>347</v>
      </c>
      <c r="C223" t="s">
        <v>1454</v>
      </c>
      <c r="D223" t="s">
        <v>1454</v>
      </c>
      <c r="E223" t="s">
        <v>1454</v>
      </c>
      <c r="F223"/>
      <c r="G223" t="s">
        <v>1454</v>
      </c>
      <c r="H223" t="s">
        <v>1454</v>
      </c>
      <c r="I223" t="s">
        <v>1454</v>
      </c>
      <c r="J223"/>
      <c r="K223" t="s">
        <v>1454</v>
      </c>
      <c r="L223" t="s">
        <v>1454</v>
      </c>
      <c r="M223" t="s">
        <v>1454</v>
      </c>
      <c r="N223"/>
      <c r="O223" t="s">
        <v>1454</v>
      </c>
      <c r="P223" t="s">
        <v>1454</v>
      </c>
      <c r="Q223" t="s">
        <v>1454</v>
      </c>
      <c r="R223"/>
      <c r="S223" t="s">
        <v>1454</v>
      </c>
      <c r="T223" t="s">
        <v>1454</v>
      </c>
      <c r="U223" t="s">
        <v>1454</v>
      </c>
      <c r="V223"/>
      <c r="W223" t="s">
        <v>1454</v>
      </c>
      <c r="X223" t="s">
        <v>1454</v>
      </c>
      <c r="Y223" t="s">
        <v>1454</v>
      </c>
      <c r="Z223"/>
      <c r="AA223" t="s">
        <v>1454</v>
      </c>
      <c r="AB223" t="s">
        <v>1454</v>
      </c>
      <c r="AC223" t="s">
        <v>1454</v>
      </c>
      <c r="AD223"/>
      <c r="AE223" t="s">
        <v>1454</v>
      </c>
      <c r="AF223" t="s">
        <v>1454</v>
      </c>
      <c r="AG223" t="s">
        <v>1454</v>
      </c>
      <c r="AH223"/>
      <c r="AI223" t="s">
        <v>1454</v>
      </c>
      <c r="AJ223" t="s">
        <v>1454</v>
      </c>
      <c r="AK223" t="s">
        <v>1454</v>
      </c>
      <c r="AL223"/>
      <c r="AM223" t="s">
        <v>1454</v>
      </c>
      <c r="AN223" t="s">
        <v>1454</v>
      </c>
      <c r="AO223" t="s">
        <v>1454</v>
      </c>
      <c r="AP223"/>
      <c r="AQ223" t="s">
        <v>1454</v>
      </c>
      <c r="AR223" t="s">
        <v>1454</v>
      </c>
      <c r="AS223" t="s">
        <v>1454</v>
      </c>
      <c r="AT223"/>
      <c r="AU223" t="s">
        <v>1454</v>
      </c>
      <c r="AV223" t="s">
        <v>1454</v>
      </c>
      <c r="AW223" t="s">
        <v>1454</v>
      </c>
      <c r="AX223"/>
      <c r="AY223" t="s">
        <v>1454</v>
      </c>
      <c r="AZ223" t="s">
        <v>1454</v>
      </c>
      <c r="BA223" t="s">
        <v>1454</v>
      </c>
      <c r="BB223"/>
      <c r="BC223" t="s">
        <v>1454</v>
      </c>
      <c r="BD223" t="s">
        <v>1454</v>
      </c>
      <c r="BE223" t="s">
        <v>1454</v>
      </c>
      <c r="BF223"/>
      <c r="BG223" t="s">
        <v>1454</v>
      </c>
      <c r="BH223" t="s">
        <v>1454</v>
      </c>
      <c r="BI223" t="s">
        <v>1454</v>
      </c>
      <c r="BJ223"/>
      <c r="BK223" t="s">
        <v>1454</v>
      </c>
      <c r="BL223" t="s">
        <v>1454</v>
      </c>
      <c r="BM223" t="s">
        <v>1454</v>
      </c>
      <c r="BN223"/>
      <c r="BO223" t="s">
        <v>1454</v>
      </c>
      <c r="BP223" t="s">
        <v>1454</v>
      </c>
      <c r="BQ223" t="s">
        <v>1454</v>
      </c>
      <c r="BR223"/>
      <c r="BS223" t="s">
        <v>1454</v>
      </c>
      <c r="BT223" t="s">
        <v>1454</v>
      </c>
      <c r="BU223" t="s">
        <v>1454</v>
      </c>
      <c r="BV223"/>
      <c r="BW223" t="s">
        <v>1454</v>
      </c>
      <c r="BX223" t="s">
        <v>1454</v>
      </c>
      <c r="BY223" t="s">
        <v>1454</v>
      </c>
      <c r="BZ223"/>
      <c r="CA223" t="s">
        <v>1454</v>
      </c>
      <c r="CB223" t="s">
        <v>1454</v>
      </c>
      <c r="CC223" t="s">
        <v>1454</v>
      </c>
      <c r="CD223"/>
      <c r="CE223" t="s">
        <v>1454</v>
      </c>
      <c r="CF223" t="s">
        <v>1454</v>
      </c>
      <c r="CG223" t="s">
        <v>1454</v>
      </c>
      <c r="CH223"/>
      <c r="CI223" t="s">
        <v>1454</v>
      </c>
      <c r="CJ223" t="s">
        <v>1454</v>
      </c>
      <c r="CK223" t="s">
        <v>1454</v>
      </c>
      <c r="CL223"/>
      <c r="CM223" t="s">
        <v>1454</v>
      </c>
      <c r="CN223" t="s">
        <v>1454</v>
      </c>
      <c r="CO223" t="s">
        <v>1454</v>
      </c>
      <c r="CP223"/>
      <c r="CQ223" t="s">
        <v>1454</v>
      </c>
      <c r="CR223" t="s">
        <v>1454</v>
      </c>
      <c r="CS223" t="s">
        <v>1454</v>
      </c>
      <c r="CT223"/>
      <c r="CU223" t="s">
        <v>1454</v>
      </c>
      <c r="CV223" t="s">
        <v>1454</v>
      </c>
      <c r="CW223" t="s">
        <v>1454</v>
      </c>
      <c r="CX223"/>
      <c r="CY223" t="s">
        <v>1454</v>
      </c>
      <c r="CZ223" t="s">
        <v>1454</v>
      </c>
      <c r="DA223" t="s">
        <v>1454</v>
      </c>
      <c r="DB223"/>
      <c r="DC223" t="s">
        <v>1454</v>
      </c>
      <c r="DD223" t="s">
        <v>1454</v>
      </c>
      <c r="DE223" t="s">
        <v>1454</v>
      </c>
      <c r="DF223"/>
      <c r="DG223" t="s">
        <v>1454</v>
      </c>
      <c r="DH223" t="s">
        <v>1454</v>
      </c>
      <c r="DI223" t="s">
        <v>1454</v>
      </c>
      <c r="DJ223"/>
      <c r="DK223" t="s">
        <v>1454</v>
      </c>
      <c r="DL223" t="s">
        <v>1454</v>
      </c>
      <c r="DM223" t="s">
        <v>1454</v>
      </c>
      <c r="DN223"/>
      <c r="DO223" t="s">
        <v>631</v>
      </c>
      <c r="DP223" t="s">
        <v>1454</v>
      </c>
      <c r="DQ223" t="s">
        <v>1454</v>
      </c>
      <c r="DR223"/>
      <c r="DS223" t="s">
        <v>632</v>
      </c>
      <c r="DT223" t="s">
        <v>1454</v>
      </c>
      <c r="DU223" t="s">
        <v>1454</v>
      </c>
      <c r="DV223"/>
      <c r="DW223" t="s">
        <v>1454</v>
      </c>
      <c r="DX223" t="s">
        <v>1454</v>
      </c>
      <c r="DY223" t="s">
        <v>1454</v>
      </c>
      <c r="DZ223"/>
      <c r="EA223" t="s">
        <v>1454</v>
      </c>
      <c r="EB223" t="s">
        <v>1454</v>
      </c>
      <c r="EC223" t="s">
        <v>1454</v>
      </c>
      <c r="ED223"/>
      <c r="EE223" t="s">
        <v>1454</v>
      </c>
      <c r="EF223" t="s">
        <v>1454</v>
      </c>
      <c r="EG223" t="s">
        <v>1454</v>
      </c>
      <c r="EH223"/>
      <c r="EI223" t="s">
        <v>636</v>
      </c>
      <c r="EJ223" t="s">
        <v>1454</v>
      </c>
      <c r="EK223" t="s">
        <v>1454</v>
      </c>
      <c r="EL223"/>
      <c r="EM223" t="s">
        <v>637</v>
      </c>
      <c r="EN223" t="s">
        <v>1454</v>
      </c>
      <c r="EO223" t="s">
        <v>1454</v>
      </c>
      <c r="EP223"/>
      <c r="EQ223" t="s">
        <v>1454</v>
      </c>
      <c r="ER223" t="s">
        <v>1454</v>
      </c>
      <c r="ES223" t="s">
        <v>1454</v>
      </c>
      <c r="ET223"/>
      <c r="EU223" t="s">
        <v>1454</v>
      </c>
      <c r="EV223" t="s">
        <v>1454</v>
      </c>
      <c r="EW223" t="s">
        <v>1454</v>
      </c>
      <c r="EX223"/>
      <c r="EY223" t="s">
        <v>1454</v>
      </c>
      <c r="EZ223" t="s">
        <v>1454</v>
      </c>
      <c r="FA223" t="s">
        <v>1454</v>
      </c>
      <c r="FB223"/>
      <c r="FC223" t="s">
        <v>1454</v>
      </c>
      <c r="FD223" t="s">
        <v>1454</v>
      </c>
      <c r="FE223" t="s">
        <v>1454</v>
      </c>
      <c r="FF223"/>
      <c r="FG223" t="s">
        <v>1454</v>
      </c>
      <c r="FH223" t="s">
        <v>1454</v>
      </c>
      <c r="FI223" t="s">
        <v>1454</v>
      </c>
      <c r="FJ223"/>
      <c r="FK223" t="s">
        <v>1454</v>
      </c>
      <c r="FL223" t="s">
        <v>1454</v>
      </c>
      <c r="FM223" t="s">
        <v>1454</v>
      </c>
      <c r="FN223"/>
      <c r="FO223" t="s">
        <v>1454</v>
      </c>
      <c r="FP223" t="s">
        <v>1454</v>
      </c>
      <c r="FQ223" t="s">
        <v>1454</v>
      </c>
      <c r="FR223"/>
      <c r="FS223" t="s">
        <v>644</v>
      </c>
      <c r="FT223" t="s">
        <v>1454</v>
      </c>
      <c r="FU223" t="s">
        <v>1454</v>
      </c>
      <c r="FV223"/>
      <c r="FW223" t="s">
        <v>1454</v>
      </c>
      <c r="FX223" t="s">
        <v>1454</v>
      </c>
      <c r="FY223" t="s">
        <v>1454</v>
      </c>
      <c r="FZ223"/>
      <c r="GA223" t="s">
        <v>1454</v>
      </c>
      <c r="GB223" t="s">
        <v>1454</v>
      </c>
      <c r="GC223" t="s">
        <v>1454</v>
      </c>
      <c r="GD223"/>
      <c r="GE223" t="s">
        <v>1454</v>
      </c>
      <c r="GF223" t="s">
        <v>1454</v>
      </c>
      <c r="GG223" t="s">
        <v>1454</v>
      </c>
      <c r="GH223"/>
      <c r="GI223" t="s">
        <v>1454</v>
      </c>
      <c r="GJ223" t="s">
        <v>1454</v>
      </c>
      <c r="GK223" t="s">
        <v>1454</v>
      </c>
      <c r="GL223"/>
      <c r="GM223" t="s">
        <v>1454</v>
      </c>
      <c r="GN223" t="s">
        <v>1454</v>
      </c>
      <c r="GO223" t="s">
        <v>1454</v>
      </c>
      <c r="GP223"/>
      <c r="GQ223" t="s">
        <v>1648</v>
      </c>
    </row>
    <row r="224" spans="2:199" x14ac:dyDescent="0.25">
      <c r="B224" t="s">
        <v>349</v>
      </c>
      <c r="C224" t="s">
        <v>1454</v>
      </c>
      <c r="D224" t="s">
        <v>1454</v>
      </c>
      <c r="E224" t="s">
        <v>1454</v>
      </c>
      <c r="G224" t="s">
        <v>1454</v>
      </c>
      <c r="H224" t="s">
        <v>1454</v>
      </c>
      <c r="I224" t="s">
        <v>1454</v>
      </c>
      <c r="K224" t="s">
        <v>1454</v>
      </c>
      <c r="L224" t="s">
        <v>1454</v>
      </c>
      <c r="M224" t="s">
        <v>1454</v>
      </c>
      <c r="O224" t="s">
        <v>1454</v>
      </c>
      <c r="P224" t="s">
        <v>1454</v>
      </c>
      <c r="Q224" t="s">
        <v>1454</v>
      </c>
      <c r="S224" t="s">
        <v>1454</v>
      </c>
      <c r="T224" t="s">
        <v>1454</v>
      </c>
      <c r="U224" t="s">
        <v>1454</v>
      </c>
      <c r="W224" t="s">
        <v>1454</v>
      </c>
      <c r="X224" t="s">
        <v>1454</v>
      </c>
      <c r="Y224" t="s">
        <v>1454</v>
      </c>
      <c r="AA224" t="s">
        <v>1454</v>
      </c>
      <c r="AB224" t="s">
        <v>1454</v>
      </c>
      <c r="AC224" t="s">
        <v>1454</v>
      </c>
      <c r="AE224" t="s">
        <v>1454</v>
      </c>
      <c r="AF224" t="s">
        <v>1454</v>
      </c>
      <c r="AG224" t="s">
        <v>1454</v>
      </c>
      <c r="AI224" t="s">
        <v>1454</v>
      </c>
      <c r="AJ224" t="s">
        <v>1454</v>
      </c>
      <c r="AK224" t="s">
        <v>1454</v>
      </c>
      <c r="AM224" t="s">
        <v>1454</v>
      </c>
      <c r="AN224" t="s">
        <v>1454</v>
      </c>
      <c r="AO224" t="s">
        <v>1454</v>
      </c>
      <c r="AQ224" t="s">
        <v>1454</v>
      </c>
      <c r="AR224" t="s">
        <v>1454</v>
      </c>
      <c r="AS224" t="s">
        <v>1454</v>
      </c>
      <c r="AU224" t="s">
        <v>1454</v>
      </c>
      <c r="AV224" t="s">
        <v>1454</v>
      </c>
      <c r="AW224" t="s">
        <v>1454</v>
      </c>
      <c r="AY224" t="s">
        <v>1454</v>
      </c>
      <c r="AZ224" t="s">
        <v>1454</v>
      </c>
      <c r="BA224" t="s">
        <v>1454</v>
      </c>
      <c r="BC224" t="s">
        <v>1454</v>
      </c>
      <c r="BD224" t="s">
        <v>1454</v>
      </c>
      <c r="BE224" t="s">
        <v>1454</v>
      </c>
      <c r="BG224" t="s">
        <v>1454</v>
      </c>
      <c r="BH224" t="s">
        <v>1454</v>
      </c>
      <c r="BI224" t="s">
        <v>1454</v>
      </c>
      <c r="BK224" t="s">
        <v>1454</v>
      </c>
      <c r="BL224" t="s">
        <v>1454</v>
      </c>
      <c r="BM224" t="s">
        <v>1454</v>
      </c>
      <c r="BO224" t="s">
        <v>1454</v>
      </c>
      <c r="BP224" t="s">
        <v>1454</v>
      </c>
      <c r="BQ224" t="s">
        <v>1454</v>
      </c>
      <c r="BS224" t="s">
        <v>1454</v>
      </c>
      <c r="BT224" t="s">
        <v>1454</v>
      </c>
      <c r="BU224" t="s">
        <v>1454</v>
      </c>
      <c r="BW224" t="s">
        <v>1454</v>
      </c>
      <c r="BX224" t="s">
        <v>1454</v>
      </c>
      <c r="BY224" t="s">
        <v>1454</v>
      </c>
      <c r="CA224" t="s">
        <v>1454</v>
      </c>
      <c r="CB224" t="s">
        <v>1454</v>
      </c>
      <c r="CC224" t="s">
        <v>1454</v>
      </c>
      <c r="CE224" t="s">
        <v>1454</v>
      </c>
      <c r="CF224" t="s">
        <v>1454</v>
      </c>
      <c r="CG224" t="s">
        <v>1454</v>
      </c>
      <c r="CI224" t="s">
        <v>1454</v>
      </c>
      <c r="CJ224" t="s">
        <v>1454</v>
      </c>
      <c r="CK224" t="s">
        <v>1454</v>
      </c>
      <c r="CM224" t="s">
        <v>1454</v>
      </c>
      <c r="CN224" t="s">
        <v>1454</v>
      </c>
      <c r="CO224" t="s">
        <v>1454</v>
      </c>
      <c r="CQ224" t="s">
        <v>1454</v>
      </c>
      <c r="CR224" t="s">
        <v>1454</v>
      </c>
      <c r="CS224" t="s">
        <v>1454</v>
      </c>
      <c r="CU224" t="s">
        <v>1454</v>
      </c>
      <c r="CV224" t="s">
        <v>1454</v>
      </c>
      <c r="CW224" t="s">
        <v>1454</v>
      </c>
      <c r="CY224" t="s">
        <v>1454</v>
      </c>
      <c r="CZ224" t="s">
        <v>1454</v>
      </c>
      <c r="DA224" t="s">
        <v>1454</v>
      </c>
      <c r="DC224" t="s">
        <v>1454</v>
      </c>
      <c r="DD224" t="s">
        <v>1454</v>
      </c>
      <c r="DE224" t="s">
        <v>1454</v>
      </c>
      <c r="DG224" t="s">
        <v>629</v>
      </c>
      <c r="DH224" t="s">
        <v>1454</v>
      </c>
      <c r="DI224" t="s">
        <v>1454</v>
      </c>
      <c r="DK224" t="s">
        <v>1454</v>
      </c>
      <c r="DL224" t="s">
        <v>1454</v>
      </c>
      <c r="DM224" t="s">
        <v>1454</v>
      </c>
      <c r="DO224" t="s">
        <v>1454</v>
      </c>
      <c r="DP224" t="s">
        <v>1454</v>
      </c>
      <c r="DQ224" t="s">
        <v>1454</v>
      </c>
      <c r="DS224" t="s">
        <v>1454</v>
      </c>
      <c r="DT224" t="s">
        <v>1454</v>
      </c>
      <c r="DU224" t="s">
        <v>1454</v>
      </c>
      <c r="DW224" t="s">
        <v>1454</v>
      </c>
      <c r="DX224" t="s">
        <v>1454</v>
      </c>
      <c r="DY224" t="s">
        <v>1454</v>
      </c>
      <c r="EA224" t="s">
        <v>634</v>
      </c>
      <c r="EB224" t="s">
        <v>1454</v>
      </c>
      <c r="EC224" t="s">
        <v>1454</v>
      </c>
      <c r="EE224" t="s">
        <v>1454</v>
      </c>
      <c r="EF224" t="s">
        <v>1454</v>
      </c>
      <c r="EG224" t="s">
        <v>1454</v>
      </c>
      <c r="EI224" t="s">
        <v>1454</v>
      </c>
      <c r="EJ224" t="s">
        <v>1454</v>
      </c>
      <c r="EK224" t="s">
        <v>1454</v>
      </c>
      <c r="EM224" t="s">
        <v>1454</v>
      </c>
      <c r="EN224" t="s">
        <v>1454</v>
      </c>
      <c r="EO224" t="s">
        <v>1454</v>
      </c>
      <c r="EQ224" t="s">
        <v>1454</v>
      </c>
      <c r="ER224" t="s">
        <v>1454</v>
      </c>
      <c r="ES224" t="s">
        <v>1454</v>
      </c>
      <c r="EU224" t="s">
        <v>1454</v>
      </c>
      <c r="EV224" t="s">
        <v>1454</v>
      </c>
      <c r="EW224" t="s">
        <v>1454</v>
      </c>
      <c r="EY224" t="s">
        <v>1454</v>
      </c>
      <c r="EZ224" t="s">
        <v>1454</v>
      </c>
      <c r="FA224" t="s">
        <v>1454</v>
      </c>
      <c r="FC224" t="s">
        <v>1454</v>
      </c>
      <c r="FD224" t="s">
        <v>1454</v>
      </c>
      <c r="FE224" t="s">
        <v>1454</v>
      </c>
      <c r="FG224" t="s">
        <v>1454</v>
      </c>
      <c r="FH224" t="s">
        <v>1454</v>
      </c>
      <c r="FI224" t="s">
        <v>1454</v>
      </c>
      <c r="FK224" t="s">
        <v>1454</v>
      </c>
      <c r="FL224" t="s">
        <v>1454</v>
      </c>
      <c r="FM224" t="s">
        <v>1454</v>
      </c>
      <c r="FO224" t="s">
        <v>1454</v>
      </c>
      <c r="FP224" t="s">
        <v>1454</v>
      </c>
      <c r="FQ224" t="s">
        <v>1454</v>
      </c>
      <c r="FS224" t="s">
        <v>1454</v>
      </c>
      <c r="FT224" t="s">
        <v>1454</v>
      </c>
      <c r="FU224" t="s">
        <v>1454</v>
      </c>
      <c r="FW224" t="s">
        <v>1454</v>
      </c>
      <c r="FX224" t="s">
        <v>1454</v>
      </c>
      <c r="FY224" t="s">
        <v>1454</v>
      </c>
      <c r="GA224" t="s">
        <v>1454</v>
      </c>
      <c r="GB224" t="s">
        <v>1454</v>
      </c>
      <c r="GC224" t="s">
        <v>1454</v>
      </c>
      <c r="GE224" t="s">
        <v>1454</v>
      </c>
      <c r="GF224" t="s">
        <v>1454</v>
      </c>
      <c r="GG224" t="s">
        <v>1454</v>
      </c>
      <c r="GI224" t="s">
        <v>648</v>
      </c>
      <c r="GJ224" t="s">
        <v>1454</v>
      </c>
      <c r="GK224" t="s">
        <v>1454</v>
      </c>
      <c r="GM224" t="s">
        <v>1454</v>
      </c>
      <c r="GN224" t="s">
        <v>1454</v>
      </c>
      <c r="GO224" t="s">
        <v>1454</v>
      </c>
      <c r="GQ224" t="s">
        <v>1641</v>
      </c>
    </row>
    <row r="225" spans="2:199" x14ac:dyDescent="0.25">
      <c r="B225" t="s">
        <v>351</v>
      </c>
      <c r="C225" t="s">
        <v>1454</v>
      </c>
      <c r="D225" t="s">
        <v>1454</v>
      </c>
      <c r="E225" t="s">
        <v>1454</v>
      </c>
      <c r="G225" t="s">
        <v>1454</v>
      </c>
      <c r="H225" t="s">
        <v>1454</v>
      </c>
      <c r="I225" t="s">
        <v>1454</v>
      </c>
      <c r="K225" t="s">
        <v>1454</v>
      </c>
      <c r="L225" t="s">
        <v>1454</v>
      </c>
      <c r="M225" t="s">
        <v>1454</v>
      </c>
      <c r="O225" t="s">
        <v>1454</v>
      </c>
      <c r="P225" t="s">
        <v>1454</v>
      </c>
      <c r="Q225" t="s">
        <v>1454</v>
      </c>
      <c r="S225" t="s">
        <v>606</v>
      </c>
      <c r="T225" t="s">
        <v>1454</v>
      </c>
      <c r="U225" t="s">
        <v>1454</v>
      </c>
      <c r="W225" t="s">
        <v>1454</v>
      </c>
      <c r="X225" t="s">
        <v>1454</v>
      </c>
      <c r="Y225" t="s">
        <v>1454</v>
      </c>
      <c r="AA225" t="s">
        <v>1454</v>
      </c>
      <c r="AB225" t="s">
        <v>1454</v>
      </c>
      <c r="AC225" t="s">
        <v>1454</v>
      </c>
      <c r="AE225" t="s">
        <v>1454</v>
      </c>
      <c r="AF225" t="s">
        <v>1454</v>
      </c>
      <c r="AG225" t="s">
        <v>1454</v>
      </c>
      <c r="AI225" t="s">
        <v>1454</v>
      </c>
      <c r="AJ225" t="s">
        <v>1454</v>
      </c>
      <c r="AK225" t="s">
        <v>1454</v>
      </c>
      <c r="AM225" t="s">
        <v>1454</v>
      </c>
      <c r="AN225" t="s">
        <v>1454</v>
      </c>
      <c r="AO225" t="s">
        <v>1454</v>
      </c>
      <c r="AQ225" t="s">
        <v>1454</v>
      </c>
      <c r="AR225" t="s">
        <v>1454</v>
      </c>
      <c r="AS225" t="s">
        <v>1454</v>
      </c>
      <c r="AU225" t="s">
        <v>1454</v>
      </c>
      <c r="AV225" t="s">
        <v>1454</v>
      </c>
      <c r="AW225" t="s">
        <v>1454</v>
      </c>
      <c r="AY225" t="s">
        <v>1454</v>
      </c>
      <c r="AZ225" t="s">
        <v>1454</v>
      </c>
      <c r="BA225" t="s">
        <v>1454</v>
      </c>
      <c r="BC225" t="s">
        <v>1454</v>
      </c>
      <c r="BD225" t="s">
        <v>1454</v>
      </c>
      <c r="BE225" t="s">
        <v>1454</v>
      </c>
      <c r="BG225" t="s">
        <v>1454</v>
      </c>
      <c r="BH225" t="s">
        <v>1454</v>
      </c>
      <c r="BI225" t="s">
        <v>1454</v>
      </c>
      <c r="BK225" t="s">
        <v>1454</v>
      </c>
      <c r="BL225" t="s">
        <v>1454</v>
      </c>
      <c r="BM225" t="s">
        <v>1454</v>
      </c>
      <c r="BO225" t="s">
        <v>1454</v>
      </c>
      <c r="BP225" t="s">
        <v>1454</v>
      </c>
      <c r="BQ225" t="s">
        <v>1454</v>
      </c>
      <c r="BS225" t="s">
        <v>1454</v>
      </c>
      <c r="BT225" t="s">
        <v>1454</v>
      </c>
      <c r="BU225" t="s">
        <v>1454</v>
      </c>
      <c r="BW225" t="s">
        <v>1454</v>
      </c>
      <c r="BX225" t="s">
        <v>1454</v>
      </c>
      <c r="BY225" t="s">
        <v>1454</v>
      </c>
      <c r="CA225" t="s">
        <v>1454</v>
      </c>
      <c r="CB225" t="s">
        <v>1454</v>
      </c>
      <c r="CC225" t="s">
        <v>1454</v>
      </c>
      <c r="CE225" t="s">
        <v>1454</v>
      </c>
      <c r="CF225" t="s">
        <v>1454</v>
      </c>
      <c r="CG225" t="s">
        <v>1454</v>
      </c>
      <c r="CI225" t="s">
        <v>1454</v>
      </c>
      <c r="CJ225" t="s">
        <v>1454</v>
      </c>
      <c r="CK225" t="s">
        <v>1454</v>
      </c>
      <c r="CM225" t="s">
        <v>1454</v>
      </c>
      <c r="CN225" t="s">
        <v>1454</v>
      </c>
      <c r="CO225" t="s">
        <v>1454</v>
      </c>
      <c r="CQ225" t="s">
        <v>1454</v>
      </c>
      <c r="CR225" t="s">
        <v>1454</v>
      </c>
      <c r="CS225" t="s">
        <v>1454</v>
      </c>
      <c r="CU225" t="s">
        <v>1454</v>
      </c>
      <c r="CV225" t="s">
        <v>1454</v>
      </c>
      <c r="CW225" t="s">
        <v>1454</v>
      </c>
      <c r="CY225" t="s">
        <v>1454</v>
      </c>
      <c r="CZ225" t="s">
        <v>1454</v>
      </c>
      <c r="DA225" t="s">
        <v>1454</v>
      </c>
      <c r="DC225" t="s">
        <v>1454</v>
      </c>
      <c r="DD225" t="s">
        <v>1454</v>
      </c>
      <c r="DE225" t="s">
        <v>1454</v>
      </c>
      <c r="DG225" t="s">
        <v>1454</v>
      </c>
      <c r="DH225" t="s">
        <v>1454</v>
      </c>
      <c r="DI225" t="s">
        <v>1454</v>
      </c>
      <c r="DK225" t="s">
        <v>1454</v>
      </c>
      <c r="DL225" t="s">
        <v>1454</v>
      </c>
      <c r="DM225" t="s">
        <v>1454</v>
      </c>
      <c r="DO225" t="s">
        <v>1454</v>
      </c>
      <c r="DP225" t="s">
        <v>1454</v>
      </c>
      <c r="DQ225" t="s">
        <v>1454</v>
      </c>
      <c r="DS225" t="s">
        <v>1454</v>
      </c>
      <c r="DT225" t="s">
        <v>1454</v>
      </c>
      <c r="DU225" t="s">
        <v>1454</v>
      </c>
      <c r="DW225" t="s">
        <v>1454</v>
      </c>
      <c r="DX225" t="s">
        <v>1454</v>
      </c>
      <c r="DY225" t="s">
        <v>1454</v>
      </c>
      <c r="EA225" t="s">
        <v>1454</v>
      </c>
      <c r="EB225" t="s">
        <v>1454</v>
      </c>
      <c r="EC225" t="s">
        <v>1454</v>
      </c>
      <c r="EE225" t="s">
        <v>1454</v>
      </c>
      <c r="EF225" t="s">
        <v>1454</v>
      </c>
      <c r="EG225" t="s">
        <v>1454</v>
      </c>
      <c r="EI225" t="s">
        <v>1454</v>
      </c>
      <c r="EJ225" t="s">
        <v>1454</v>
      </c>
      <c r="EK225" t="s">
        <v>1454</v>
      </c>
      <c r="EM225" t="s">
        <v>1454</v>
      </c>
      <c r="EN225" t="s">
        <v>1454</v>
      </c>
      <c r="EO225" t="s">
        <v>1454</v>
      </c>
      <c r="EQ225" t="s">
        <v>1454</v>
      </c>
      <c r="ER225" t="s">
        <v>1454</v>
      </c>
      <c r="ES225" t="s">
        <v>1454</v>
      </c>
      <c r="EU225" t="s">
        <v>1454</v>
      </c>
      <c r="EV225" t="s">
        <v>1454</v>
      </c>
      <c r="EW225" t="s">
        <v>1454</v>
      </c>
      <c r="EY225" t="s">
        <v>1454</v>
      </c>
      <c r="EZ225" t="s">
        <v>1454</v>
      </c>
      <c r="FA225" t="s">
        <v>1454</v>
      </c>
      <c r="FC225" t="s">
        <v>1454</v>
      </c>
      <c r="FD225" t="s">
        <v>1454</v>
      </c>
      <c r="FE225" t="s">
        <v>1454</v>
      </c>
      <c r="FG225" t="s">
        <v>1454</v>
      </c>
      <c r="FH225" t="s">
        <v>1454</v>
      </c>
      <c r="FI225" t="s">
        <v>1454</v>
      </c>
      <c r="FK225" t="s">
        <v>1454</v>
      </c>
      <c r="FL225" t="s">
        <v>1454</v>
      </c>
      <c r="FM225" t="s">
        <v>1454</v>
      </c>
      <c r="FO225" t="s">
        <v>1454</v>
      </c>
      <c r="FP225" t="s">
        <v>1454</v>
      </c>
      <c r="FQ225" t="s">
        <v>1454</v>
      </c>
      <c r="FS225" t="s">
        <v>1454</v>
      </c>
      <c r="FT225" t="s">
        <v>1454</v>
      </c>
      <c r="FU225" t="s">
        <v>1454</v>
      </c>
      <c r="FW225" t="s">
        <v>1454</v>
      </c>
      <c r="FX225" t="s">
        <v>1454</v>
      </c>
      <c r="FY225" t="s">
        <v>1454</v>
      </c>
      <c r="GA225" t="s">
        <v>1454</v>
      </c>
      <c r="GB225" t="s">
        <v>1454</v>
      </c>
      <c r="GC225" t="s">
        <v>1454</v>
      </c>
      <c r="GE225" t="s">
        <v>1454</v>
      </c>
      <c r="GF225" t="s">
        <v>1454</v>
      </c>
      <c r="GG225" t="s">
        <v>1454</v>
      </c>
      <c r="GI225" t="s">
        <v>1454</v>
      </c>
      <c r="GJ225" t="s">
        <v>1454</v>
      </c>
      <c r="GK225" t="s">
        <v>1454</v>
      </c>
      <c r="GM225" t="s">
        <v>1454</v>
      </c>
      <c r="GN225" t="s">
        <v>1454</v>
      </c>
      <c r="GO225" t="s">
        <v>1454</v>
      </c>
      <c r="GQ225" t="s">
        <v>1570</v>
      </c>
    </row>
    <row r="226" spans="2:199" x14ac:dyDescent="0.25">
      <c r="B226" t="s">
        <v>352</v>
      </c>
      <c r="C226" t="s">
        <v>1454</v>
      </c>
      <c r="D226" t="s">
        <v>1454</v>
      </c>
      <c r="E226" t="s">
        <v>1454</v>
      </c>
      <c r="G226" t="s">
        <v>1454</v>
      </c>
      <c r="H226" t="s">
        <v>1454</v>
      </c>
      <c r="I226" t="s">
        <v>1454</v>
      </c>
      <c r="K226" t="s">
        <v>1454</v>
      </c>
      <c r="L226" t="s">
        <v>1454</v>
      </c>
      <c r="M226" t="s">
        <v>1454</v>
      </c>
      <c r="O226" t="s">
        <v>1454</v>
      </c>
      <c r="P226" t="s">
        <v>1454</v>
      </c>
      <c r="Q226" t="s">
        <v>1454</v>
      </c>
      <c r="S226" t="s">
        <v>606</v>
      </c>
      <c r="T226" t="s">
        <v>1454</v>
      </c>
      <c r="U226" t="s">
        <v>1454</v>
      </c>
      <c r="W226" t="s">
        <v>1454</v>
      </c>
      <c r="X226" t="s">
        <v>1454</v>
      </c>
      <c r="Y226" t="s">
        <v>1454</v>
      </c>
      <c r="AA226" t="s">
        <v>1454</v>
      </c>
      <c r="AB226" t="s">
        <v>1454</v>
      </c>
      <c r="AC226" t="s">
        <v>1454</v>
      </c>
      <c r="AE226" t="s">
        <v>1454</v>
      </c>
      <c r="AF226" t="s">
        <v>1454</v>
      </c>
      <c r="AG226" t="s">
        <v>1454</v>
      </c>
      <c r="AI226" t="s">
        <v>1454</v>
      </c>
      <c r="AJ226" t="s">
        <v>1454</v>
      </c>
      <c r="AK226" t="s">
        <v>1454</v>
      </c>
      <c r="AM226" t="s">
        <v>1454</v>
      </c>
      <c r="AN226" t="s">
        <v>1454</v>
      </c>
      <c r="AO226" t="s">
        <v>1454</v>
      </c>
      <c r="AQ226" t="s">
        <v>1454</v>
      </c>
      <c r="AR226" t="s">
        <v>1454</v>
      </c>
      <c r="AS226" t="s">
        <v>1454</v>
      </c>
      <c r="AU226" t="s">
        <v>1454</v>
      </c>
      <c r="AV226" t="s">
        <v>1454</v>
      </c>
      <c r="AW226" t="s">
        <v>1454</v>
      </c>
      <c r="AY226" t="s">
        <v>1454</v>
      </c>
      <c r="AZ226" t="s">
        <v>1454</v>
      </c>
      <c r="BA226" t="s">
        <v>1454</v>
      </c>
      <c r="BC226" t="s">
        <v>1454</v>
      </c>
      <c r="BD226" t="s">
        <v>1454</v>
      </c>
      <c r="BE226" t="s">
        <v>1454</v>
      </c>
      <c r="BG226" t="s">
        <v>1454</v>
      </c>
      <c r="BH226" t="s">
        <v>1454</v>
      </c>
      <c r="BI226" t="s">
        <v>1454</v>
      </c>
      <c r="BK226" t="s">
        <v>1454</v>
      </c>
      <c r="BL226" t="s">
        <v>1454</v>
      </c>
      <c r="BM226" t="s">
        <v>1454</v>
      </c>
      <c r="BO226" t="s">
        <v>1454</v>
      </c>
      <c r="BP226" t="s">
        <v>1454</v>
      </c>
      <c r="BQ226" t="s">
        <v>1454</v>
      </c>
      <c r="BS226" t="s">
        <v>1454</v>
      </c>
      <c r="BT226" t="s">
        <v>1454</v>
      </c>
      <c r="BU226" t="s">
        <v>1454</v>
      </c>
      <c r="BW226" t="s">
        <v>1454</v>
      </c>
      <c r="BX226" t="s">
        <v>1454</v>
      </c>
      <c r="BY226" t="s">
        <v>1454</v>
      </c>
      <c r="CA226" t="s">
        <v>1454</v>
      </c>
      <c r="CB226" t="s">
        <v>1454</v>
      </c>
      <c r="CC226" t="s">
        <v>1454</v>
      </c>
      <c r="CE226" t="s">
        <v>1454</v>
      </c>
      <c r="CF226" t="s">
        <v>1454</v>
      </c>
      <c r="CG226" t="s">
        <v>1454</v>
      </c>
      <c r="CI226" t="s">
        <v>1454</v>
      </c>
      <c r="CJ226" t="s">
        <v>1454</v>
      </c>
      <c r="CK226" t="s">
        <v>1454</v>
      </c>
      <c r="CM226" t="s">
        <v>1454</v>
      </c>
      <c r="CN226" t="s">
        <v>1454</v>
      </c>
      <c r="CO226" t="s">
        <v>1454</v>
      </c>
      <c r="CQ226" t="s">
        <v>1454</v>
      </c>
      <c r="CR226" t="s">
        <v>1454</v>
      </c>
      <c r="CS226" t="s">
        <v>1454</v>
      </c>
      <c r="CU226" t="s">
        <v>1454</v>
      </c>
      <c r="CV226" t="s">
        <v>1454</v>
      </c>
      <c r="CW226" t="s">
        <v>1454</v>
      </c>
      <c r="CY226" t="s">
        <v>1454</v>
      </c>
      <c r="CZ226" t="s">
        <v>1454</v>
      </c>
      <c r="DA226" t="s">
        <v>1454</v>
      </c>
      <c r="DC226" t="s">
        <v>1454</v>
      </c>
      <c r="DD226" t="s">
        <v>1454</v>
      </c>
      <c r="DE226" t="s">
        <v>1454</v>
      </c>
      <c r="DG226" t="s">
        <v>1454</v>
      </c>
      <c r="DH226" t="s">
        <v>1454</v>
      </c>
      <c r="DI226" t="s">
        <v>1454</v>
      </c>
      <c r="DK226" t="s">
        <v>1454</v>
      </c>
      <c r="DL226" t="s">
        <v>1454</v>
      </c>
      <c r="DM226" t="s">
        <v>1454</v>
      </c>
      <c r="DO226" t="s">
        <v>1454</v>
      </c>
      <c r="DP226" t="s">
        <v>1454</v>
      </c>
      <c r="DQ226" t="s">
        <v>1454</v>
      </c>
      <c r="DS226" t="s">
        <v>1454</v>
      </c>
      <c r="DT226" t="s">
        <v>1454</v>
      </c>
      <c r="DU226" t="s">
        <v>1454</v>
      </c>
      <c r="DW226" t="s">
        <v>1454</v>
      </c>
      <c r="DX226" t="s">
        <v>1454</v>
      </c>
      <c r="DY226" t="s">
        <v>1454</v>
      </c>
      <c r="EA226" t="s">
        <v>1454</v>
      </c>
      <c r="EB226" t="s">
        <v>1454</v>
      </c>
      <c r="EC226" t="s">
        <v>1454</v>
      </c>
      <c r="EE226" t="s">
        <v>1454</v>
      </c>
      <c r="EF226" t="s">
        <v>1454</v>
      </c>
      <c r="EG226" t="s">
        <v>1454</v>
      </c>
      <c r="EI226" t="s">
        <v>1454</v>
      </c>
      <c r="EJ226" t="s">
        <v>1454</v>
      </c>
      <c r="EK226" t="s">
        <v>1454</v>
      </c>
      <c r="EM226" t="s">
        <v>637</v>
      </c>
      <c r="EN226" t="s">
        <v>1454</v>
      </c>
      <c r="EO226" t="s">
        <v>1454</v>
      </c>
      <c r="EQ226" t="s">
        <v>1454</v>
      </c>
      <c r="ER226" t="s">
        <v>1454</v>
      </c>
      <c r="ES226" t="s">
        <v>1454</v>
      </c>
      <c r="EU226" t="s">
        <v>1454</v>
      </c>
      <c r="EV226" t="s">
        <v>1454</v>
      </c>
      <c r="EW226" t="s">
        <v>1454</v>
      </c>
      <c r="EY226" t="s">
        <v>1454</v>
      </c>
      <c r="EZ226" t="s">
        <v>1454</v>
      </c>
      <c r="FA226" t="s">
        <v>1454</v>
      </c>
      <c r="FC226" t="s">
        <v>1454</v>
      </c>
      <c r="FD226" t="s">
        <v>1454</v>
      </c>
      <c r="FE226" t="s">
        <v>1454</v>
      </c>
      <c r="FG226" t="s">
        <v>1454</v>
      </c>
      <c r="FH226" t="s">
        <v>1454</v>
      </c>
      <c r="FI226" t="s">
        <v>1454</v>
      </c>
      <c r="FK226" t="s">
        <v>1454</v>
      </c>
      <c r="FL226" t="s">
        <v>1454</v>
      </c>
      <c r="FM226" t="s">
        <v>1454</v>
      </c>
      <c r="FO226" t="s">
        <v>1454</v>
      </c>
      <c r="FP226" t="s">
        <v>1454</v>
      </c>
      <c r="FQ226" t="s">
        <v>1454</v>
      </c>
      <c r="FS226" t="s">
        <v>1454</v>
      </c>
      <c r="FT226" t="s">
        <v>1454</v>
      </c>
      <c r="FU226" t="s">
        <v>1454</v>
      </c>
      <c r="FW226" t="s">
        <v>645</v>
      </c>
      <c r="FX226" t="s">
        <v>1454</v>
      </c>
      <c r="FY226" t="s">
        <v>1454</v>
      </c>
      <c r="GA226" t="s">
        <v>1454</v>
      </c>
      <c r="GB226" t="s">
        <v>1454</v>
      </c>
      <c r="GC226" t="s">
        <v>1454</v>
      </c>
      <c r="GE226" t="s">
        <v>1454</v>
      </c>
      <c r="GF226" t="s">
        <v>1454</v>
      </c>
      <c r="GG226" t="s">
        <v>1454</v>
      </c>
      <c r="GI226" t="s">
        <v>1454</v>
      </c>
      <c r="GJ226" t="s">
        <v>1454</v>
      </c>
      <c r="GK226" t="s">
        <v>1454</v>
      </c>
      <c r="GM226" t="s">
        <v>1454</v>
      </c>
      <c r="GN226" t="s">
        <v>1454</v>
      </c>
      <c r="GO226" t="s">
        <v>1454</v>
      </c>
      <c r="GQ226" t="s">
        <v>1649</v>
      </c>
    </row>
    <row r="227" spans="2:199" s="11" customFormat="1" x14ac:dyDescent="0.25">
      <c r="B227" t="s">
        <v>354</v>
      </c>
      <c r="C227" t="s">
        <v>1454</v>
      </c>
      <c r="D227" t="s">
        <v>1454</v>
      </c>
      <c r="E227" t="s">
        <v>1454</v>
      </c>
      <c r="F227"/>
      <c r="G227" t="s">
        <v>1454</v>
      </c>
      <c r="H227" t="s">
        <v>1454</v>
      </c>
      <c r="I227" t="s">
        <v>1454</v>
      </c>
      <c r="J227"/>
      <c r="K227" t="s">
        <v>1454</v>
      </c>
      <c r="L227" t="s">
        <v>1454</v>
      </c>
      <c r="M227" t="s">
        <v>1454</v>
      </c>
      <c r="N227"/>
      <c r="O227" t="s">
        <v>1454</v>
      </c>
      <c r="P227" t="s">
        <v>1454</v>
      </c>
      <c r="Q227" t="s">
        <v>1454</v>
      </c>
      <c r="R227"/>
      <c r="S227" t="s">
        <v>1454</v>
      </c>
      <c r="T227" t="s">
        <v>1454</v>
      </c>
      <c r="U227" t="s">
        <v>1454</v>
      </c>
      <c r="V227"/>
      <c r="W227" t="s">
        <v>1454</v>
      </c>
      <c r="X227" t="s">
        <v>1454</v>
      </c>
      <c r="Y227" t="s">
        <v>1454</v>
      </c>
      <c r="Z227"/>
      <c r="AA227" t="s">
        <v>1454</v>
      </c>
      <c r="AB227" t="s">
        <v>1454</v>
      </c>
      <c r="AC227" t="s">
        <v>1454</v>
      </c>
      <c r="AD227"/>
      <c r="AE227" t="s">
        <v>1454</v>
      </c>
      <c r="AF227" t="s">
        <v>1454</v>
      </c>
      <c r="AG227" t="s">
        <v>1454</v>
      </c>
      <c r="AH227"/>
      <c r="AI227" t="s">
        <v>1454</v>
      </c>
      <c r="AJ227" t="s">
        <v>1454</v>
      </c>
      <c r="AK227" t="s">
        <v>1454</v>
      </c>
      <c r="AL227"/>
      <c r="AM227" t="s">
        <v>1454</v>
      </c>
      <c r="AN227" t="s">
        <v>1454</v>
      </c>
      <c r="AO227" t="s">
        <v>1454</v>
      </c>
      <c r="AP227"/>
      <c r="AQ227" t="s">
        <v>1454</v>
      </c>
      <c r="AR227" t="s">
        <v>1454</v>
      </c>
      <c r="AS227" t="s">
        <v>1454</v>
      </c>
      <c r="AT227"/>
      <c r="AU227" t="s">
        <v>1454</v>
      </c>
      <c r="AV227" t="s">
        <v>1454</v>
      </c>
      <c r="AW227" t="s">
        <v>1454</v>
      </c>
      <c r="AX227"/>
      <c r="AY227" t="s">
        <v>1454</v>
      </c>
      <c r="AZ227" t="s">
        <v>1454</v>
      </c>
      <c r="BA227" t="s">
        <v>1454</v>
      </c>
      <c r="BB227"/>
      <c r="BC227" t="s">
        <v>1454</v>
      </c>
      <c r="BD227" t="s">
        <v>1454</v>
      </c>
      <c r="BE227" t="s">
        <v>1454</v>
      </c>
      <c r="BF227"/>
      <c r="BG227" t="s">
        <v>1454</v>
      </c>
      <c r="BH227" t="s">
        <v>1454</v>
      </c>
      <c r="BI227" t="s">
        <v>1454</v>
      </c>
      <c r="BJ227"/>
      <c r="BK227" t="s">
        <v>1454</v>
      </c>
      <c r="BL227" t="s">
        <v>1454</v>
      </c>
      <c r="BM227" t="s">
        <v>1454</v>
      </c>
      <c r="BN227"/>
      <c r="BO227" t="s">
        <v>1454</v>
      </c>
      <c r="BP227" t="s">
        <v>1454</v>
      </c>
      <c r="BQ227" t="s">
        <v>1454</v>
      </c>
      <c r="BR227"/>
      <c r="BS227" t="s">
        <v>1454</v>
      </c>
      <c r="BT227" t="s">
        <v>1454</v>
      </c>
      <c r="BU227" t="s">
        <v>1454</v>
      </c>
      <c r="BV227"/>
      <c r="BW227" t="s">
        <v>620</v>
      </c>
      <c r="BX227" t="s">
        <v>1454</v>
      </c>
      <c r="BY227" t="s">
        <v>1454</v>
      </c>
      <c r="BZ227"/>
      <c r="CA227" t="s">
        <v>1454</v>
      </c>
      <c r="CB227" t="s">
        <v>1454</v>
      </c>
      <c r="CC227" t="s">
        <v>1454</v>
      </c>
      <c r="CD227"/>
      <c r="CE227" t="s">
        <v>1454</v>
      </c>
      <c r="CF227" t="s">
        <v>1454</v>
      </c>
      <c r="CG227" t="s">
        <v>1454</v>
      </c>
      <c r="CH227"/>
      <c r="CI227" t="s">
        <v>1454</v>
      </c>
      <c r="CJ227" t="s">
        <v>1454</v>
      </c>
      <c r="CK227" t="s">
        <v>1454</v>
      </c>
      <c r="CL227"/>
      <c r="CM227" t="s">
        <v>1454</v>
      </c>
      <c r="CN227" t="s">
        <v>1454</v>
      </c>
      <c r="CO227" t="s">
        <v>1454</v>
      </c>
      <c r="CP227"/>
      <c r="CQ227" t="s">
        <v>1454</v>
      </c>
      <c r="CR227" t="s">
        <v>1454</v>
      </c>
      <c r="CS227" t="s">
        <v>1454</v>
      </c>
      <c r="CT227"/>
      <c r="CU227" t="s">
        <v>1454</v>
      </c>
      <c r="CV227" t="s">
        <v>1454</v>
      </c>
      <c r="CW227" t="s">
        <v>1454</v>
      </c>
      <c r="CX227"/>
      <c r="CY227" t="s">
        <v>1454</v>
      </c>
      <c r="CZ227" t="s">
        <v>1454</v>
      </c>
      <c r="DA227" t="s">
        <v>1454</v>
      </c>
      <c r="DB227"/>
      <c r="DC227" t="s">
        <v>1454</v>
      </c>
      <c r="DD227" t="s">
        <v>1454</v>
      </c>
      <c r="DE227" t="s">
        <v>1454</v>
      </c>
      <c r="DF227"/>
      <c r="DG227" t="s">
        <v>629</v>
      </c>
      <c r="DH227" t="s">
        <v>1454</v>
      </c>
      <c r="DI227" t="s">
        <v>1454</v>
      </c>
      <c r="DJ227"/>
      <c r="DK227" t="s">
        <v>1454</v>
      </c>
      <c r="DL227" t="s">
        <v>1454</v>
      </c>
      <c r="DM227" t="s">
        <v>1454</v>
      </c>
      <c r="DN227"/>
      <c r="DO227" t="s">
        <v>1454</v>
      </c>
      <c r="DP227" t="s">
        <v>1454</v>
      </c>
      <c r="DQ227" t="s">
        <v>1454</v>
      </c>
      <c r="DR227"/>
      <c r="DS227" t="s">
        <v>1454</v>
      </c>
      <c r="DT227" t="s">
        <v>1454</v>
      </c>
      <c r="DU227" t="s">
        <v>1454</v>
      </c>
      <c r="DV227"/>
      <c r="DW227" t="s">
        <v>1454</v>
      </c>
      <c r="DX227" t="s">
        <v>1454</v>
      </c>
      <c r="DY227" t="s">
        <v>1454</v>
      </c>
      <c r="DZ227"/>
      <c r="EA227" t="s">
        <v>634</v>
      </c>
      <c r="EB227" t="s">
        <v>1454</v>
      </c>
      <c r="EC227" t="s">
        <v>1454</v>
      </c>
      <c r="ED227"/>
      <c r="EE227" t="s">
        <v>1454</v>
      </c>
      <c r="EF227" t="s">
        <v>1454</v>
      </c>
      <c r="EG227" t="s">
        <v>1454</v>
      </c>
      <c r="EH227"/>
      <c r="EI227" t="s">
        <v>1454</v>
      </c>
      <c r="EJ227" t="s">
        <v>1454</v>
      </c>
      <c r="EK227" t="s">
        <v>1454</v>
      </c>
      <c r="EL227"/>
      <c r="EM227" t="s">
        <v>637</v>
      </c>
      <c r="EN227" t="s">
        <v>1454</v>
      </c>
      <c r="EO227" t="s">
        <v>1454</v>
      </c>
      <c r="EP227"/>
      <c r="EQ227" t="s">
        <v>1454</v>
      </c>
      <c r="ER227" t="s">
        <v>1454</v>
      </c>
      <c r="ES227" t="s">
        <v>1454</v>
      </c>
      <c r="ET227"/>
      <c r="EU227" t="s">
        <v>1454</v>
      </c>
      <c r="EV227" t="s">
        <v>1454</v>
      </c>
      <c r="EW227" t="s">
        <v>1454</v>
      </c>
      <c r="EX227"/>
      <c r="EY227" t="s">
        <v>1454</v>
      </c>
      <c r="EZ227" t="s">
        <v>1454</v>
      </c>
      <c r="FA227" t="s">
        <v>1454</v>
      </c>
      <c r="FB227"/>
      <c r="FC227" t="s">
        <v>1454</v>
      </c>
      <c r="FD227" t="s">
        <v>1454</v>
      </c>
      <c r="FE227" t="s">
        <v>1454</v>
      </c>
      <c r="FF227"/>
      <c r="FG227" t="s">
        <v>1454</v>
      </c>
      <c r="FH227" t="s">
        <v>1454</v>
      </c>
      <c r="FI227" t="s">
        <v>1454</v>
      </c>
      <c r="FJ227"/>
      <c r="FK227" t="s">
        <v>1454</v>
      </c>
      <c r="FL227" t="s">
        <v>1454</v>
      </c>
      <c r="FM227" t="s">
        <v>1454</v>
      </c>
      <c r="FN227"/>
      <c r="FO227" t="s">
        <v>1454</v>
      </c>
      <c r="FP227" t="s">
        <v>1454</v>
      </c>
      <c r="FQ227" t="s">
        <v>1454</v>
      </c>
      <c r="FR227"/>
      <c r="FS227" t="s">
        <v>1454</v>
      </c>
      <c r="FT227" t="s">
        <v>1454</v>
      </c>
      <c r="FU227" t="s">
        <v>1454</v>
      </c>
      <c r="FV227"/>
      <c r="FW227" t="s">
        <v>1454</v>
      </c>
      <c r="FX227" t="s">
        <v>1454</v>
      </c>
      <c r="FY227" t="s">
        <v>1454</v>
      </c>
      <c r="FZ227"/>
      <c r="GA227" t="s">
        <v>1454</v>
      </c>
      <c r="GB227" t="s">
        <v>1454</v>
      </c>
      <c r="GC227" t="s">
        <v>1454</v>
      </c>
      <c r="GD227"/>
      <c r="GE227" t="s">
        <v>1454</v>
      </c>
      <c r="GF227" t="s">
        <v>1454</v>
      </c>
      <c r="GG227" t="s">
        <v>1454</v>
      </c>
      <c r="GH227"/>
      <c r="GI227" t="s">
        <v>648</v>
      </c>
      <c r="GJ227" t="s">
        <v>1454</v>
      </c>
      <c r="GK227" t="s">
        <v>1454</v>
      </c>
      <c r="GL227"/>
      <c r="GM227" t="s">
        <v>1454</v>
      </c>
      <c r="GN227" t="s">
        <v>1454</v>
      </c>
      <c r="GO227" t="s">
        <v>1454</v>
      </c>
      <c r="GP227"/>
      <c r="GQ227" t="s">
        <v>1650</v>
      </c>
    </row>
    <row r="228" spans="2:199" x14ac:dyDescent="0.25">
      <c r="B228" t="s">
        <v>355</v>
      </c>
      <c r="C228" t="s">
        <v>1454</v>
      </c>
      <c r="D228" t="s">
        <v>1454</v>
      </c>
      <c r="E228" t="s">
        <v>1454</v>
      </c>
      <c r="G228" t="s">
        <v>1454</v>
      </c>
      <c r="H228" t="s">
        <v>1454</v>
      </c>
      <c r="I228" t="s">
        <v>1454</v>
      </c>
      <c r="K228" t="s">
        <v>1454</v>
      </c>
      <c r="L228" t="s">
        <v>1454</v>
      </c>
      <c r="M228" t="s">
        <v>1454</v>
      </c>
      <c r="O228" t="s">
        <v>1454</v>
      </c>
      <c r="P228" t="s">
        <v>1454</v>
      </c>
      <c r="Q228" t="s">
        <v>1454</v>
      </c>
      <c r="S228" t="s">
        <v>1454</v>
      </c>
      <c r="T228" t="s">
        <v>1454</v>
      </c>
      <c r="U228" t="s">
        <v>1454</v>
      </c>
      <c r="W228" t="s">
        <v>1454</v>
      </c>
      <c r="X228" t="s">
        <v>1454</v>
      </c>
      <c r="Y228" t="s">
        <v>1454</v>
      </c>
      <c r="AA228" t="s">
        <v>1454</v>
      </c>
      <c r="AB228" t="s">
        <v>1454</v>
      </c>
      <c r="AC228" t="s">
        <v>1454</v>
      </c>
      <c r="AE228" t="s">
        <v>1454</v>
      </c>
      <c r="AF228" t="s">
        <v>1454</v>
      </c>
      <c r="AG228" t="s">
        <v>1454</v>
      </c>
      <c r="AI228" t="s">
        <v>1454</v>
      </c>
      <c r="AJ228" t="s">
        <v>1454</v>
      </c>
      <c r="AK228" t="s">
        <v>1454</v>
      </c>
      <c r="AM228" t="s">
        <v>1454</v>
      </c>
      <c r="AN228" t="s">
        <v>1454</v>
      </c>
      <c r="AO228" t="s">
        <v>1454</v>
      </c>
      <c r="AQ228" t="s">
        <v>1454</v>
      </c>
      <c r="AR228" t="s">
        <v>1454</v>
      </c>
      <c r="AS228" t="s">
        <v>1454</v>
      </c>
      <c r="AU228" t="s">
        <v>1454</v>
      </c>
      <c r="AV228" t="s">
        <v>1454</v>
      </c>
      <c r="AW228" t="s">
        <v>1454</v>
      </c>
      <c r="AY228" t="s">
        <v>1454</v>
      </c>
      <c r="AZ228" t="s">
        <v>1454</v>
      </c>
      <c r="BA228" t="s">
        <v>1454</v>
      </c>
      <c r="BC228" t="s">
        <v>1454</v>
      </c>
      <c r="BD228" t="s">
        <v>1454</v>
      </c>
      <c r="BE228" t="s">
        <v>1454</v>
      </c>
      <c r="BG228" t="s">
        <v>1454</v>
      </c>
      <c r="BH228" t="s">
        <v>1454</v>
      </c>
      <c r="BI228" t="s">
        <v>1454</v>
      </c>
      <c r="BK228" t="s">
        <v>1454</v>
      </c>
      <c r="BL228" t="s">
        <v>1454</v>
      </c>
      <c r="BM228" t="s">
        <v>1454</v>
      </c>
      <c r="BO228" t="s">
        <v>1454</v>
      </c>
      <c r="BP228" t="s">
        <v>1454</v>
      </c>
      <c r="BQ228" t="s">
        <v>1454</v>
      </c>
      <c r="BS228" t="s">
        <v>1454</v>
      </c>
      <c r="BT228" t="s">
        <v>1454</v>
      </c>
      <c r="BU228" t="s">
        <v>1454</v>
      </c>
      <c r="BW228" t="s">
        <v>1454</v>
      </c>
      <c r="BX228" t="s">
        <v>1454</v>
      </c>
      <c r="BY228" t="s">
        <v>1454</v>
      </c>
      <c r="CA228" t="s">
        <v>1454</v>
      </c>
      <c r="CB228" t="s">
        <v>1454</v>
      </c>
      <c r="CC228" t="s">
        <v>1454</v>
      </c>
      <c r="CE228" t="s">
        <v>1454</v>
      </c>
      <c r="CF228" t="s">
        <v>1454</v>
      </c>
      <c r="CG228" t="s">
        <v>1454</v>
      </c>
      <c r="CI228" t="s">
        <v>1454</v>
      </c>
      <c r="CJ228" t="s">
        <v>1454</v>
      </c>
      <c r="CK228" t="s">
        <v>1454</v>
      </c>
      <c r="CM228" t="s">
        <v>1454</v>
      </c>
      <c r="CN228" t="s">
        <v>1454</v>
      </c>
      <c r="CO228" t="s">
        <v>1454</v>
      </c>
      <c r="CQ228" t="s">
        <v>1454</v>
      </c>
      <c r="CR228" t="s">
        <v>1454</v>
      </c>
      <c r="CS228" t="s">
        <v>1454</v>
      </c>
      <c r="CU228" t="s">
        <v>1454</v>
      </c>
      <c r="CV228" t="s">
        <v>1454</v>
      </c>
      <c r="CW228" t="s">
        <v>1454</v>
      </c>
      <c r="CY228" t="s">
        <v>1454</v>
      </c>
      <c r="CZ228" t="s">
        <v>1454</v>
      </c>
      <c r="DA228" t="s">
        <v>1454</v>
      </c>
      <c r="DC228" t="s">
        <v>1454</v>
      </c>
      <c r="DD228" t="s">
        <v>1454</v>
      </c>
      <c r="DE228" t="s">
        <v>1454</v>
      </c>
      <c r="DG228" t="s">
        <v>1454</v>
      </c>
      <c r="DH228" t="s">
        <v>1454</v>
      </c>
      <c r="DI228" t="s">
        <v>1454</v>
      </c>
      <c r="DK228" t="s">
        <v>1454</v>
      </c>
      <c r="DL228" t="s">
        <v>1454</v>
      </c>
      <c r="DM228" t="s">
        <v>1454</v>
      </c>
      <c r="DO228" t="s">
        <v>1454</v>
      </c>
      <c r="DP228" t="s">
        <v>1454</v>
      </c>
      <c r="DQ228" t="s">
        <v>1454</v>
      </c>
      <c r="DS228" t="s">
        <v>632</v>
      </c>
      <c r="DT228" t="s">
        <v>1454</v>
      </c>
      <c r="DU228" t="s">
        <v>1454</v>
      </c>
      <c r="DW228" t="s">
        <v>1454</v>
      </c>
      <c r="DX228" t="s">
        <v>1454</v>
      </c>
      <c r="DY228" t="s">
        <v>1454</v>
      </c>
      <c r="EA228" t="s">
        <v>1454</v>
      </c>
      <c r="EB228" t="s">
        <v>1454</v>
      </c>
      <c r="EC228" t="s">
        <v>1454</v>
      </c>
      <c r="EE228" t="s">
        <v>1454</v>
      </c>
      <c r="EF228" t="s">
        <v>1454</v>
      </c>
      <c r="EG228" t="s">
        <v>1454</v>
      </c>
      <c r="EI228" t="s">
        <v>1454</v>
      </c>
      <c r="EJ228" t="s">
        <v>1454</v>
      </c>
      <c r="EK228" t="s">
        <v>1454</v>
      </c>
      <c r="EM228" t="s">
        <v>1454</v>
      </c>
      <c r="EN228" t="s">
        <v>1454</v>
      </c>
      <c r="EO228" t="s">
        <v>1454</v>
      </c>
      <c r="EQ228" t="s">
        <v>1454</v>
      </c>
      <c r="ER228" t="s">
        <v>1454</v>
      </c>
      <c r="ES228" t="s">
        <v>1454</v>
      </c>
      <c r="EU228" t="s">
        <v>1454</v>
      </c>
      <c r="EV228" t="s">
        <v>1454</v>
      </c>
      <c r="EW228" t="s">
        <v>1454</v>
      </c>
      <c r="EY228" t="s">
        <v>1454</v>
      </c>
      <c r="EZ228" t="s">
        <v>1454</v>
      </c>
      <c r="FA228" t="s">
        <v>1454</v>
      </c>
      <c r="FC228" t="s">
        <v>1454</v>
      </c>
      <c r="FD228" t="s">
        <v>1454</v>
      </c>
      <c r="FE228" t="s">
        <v>1454</v>
      </c>
      <c r="FG228" t="s">
        <v>1454</v>
      </c>
      <c r="FH228" t="s">
        <v>1454</v>
      </c>
      <c r="FI228" t="s">
        <v>1454</v>
      </c>
      <c r="FK228" t="s">
        <v>1454</v>
      </c>
      <c r="FL228" t="s">
        <v>1454</v>
      </c>
      <c r="FM228" t="s">
        <v>1454</v>
      </c>
      <c r="FO228" t="s">
        <v>1454</v>
      </c>
      <c r="FP228" t="s">
        <v>1454</v>
      </c>
      <c r="FQ228" t="s">
        <v>1454</v>
      </c>
      <c r="FS228" t="s">
        <v>1454</v>
      </c>
      <c r="FT228" t="s">
        <v>1454</v>
      </c>
      <c r="FU228" t="s">
        <v>1454</v>
      </c>
      <c r="FW228" t="s">
        <v>1454</v>
      </c>
      <c r="FX228" t="s">
        <v>1454</v>
      </c>
      <c r="FY228" t="s">
        <v>1454</v>
      </c>
      <c r="GA228" t="s">
        <v>1454</v>
      </c>
      <c r="GB228" t="s">
        <v>1454</v>
      </c>
      <c r="GC228" t="s">
        <v>1454</v>
      </c>
      <c r="GE228" t="s">
        <v>1454</v>
      </c>
      <c r="GF228" t="s">
        <v>1454</v>
      </c>
      <c r="GG228" t="s">
        <v>1454</v>
      </c>
      <c r="GI228" t="s">
        <v>1454</v>
      </c>
      <c r="GJ228" t="s">
        <v>1454</v>
      </c>
      <c r="GK228" t="s">
        <v>1454</v>
      </c>
      <c r="GM228" t="s">
        <v>1454</v>
      </c>
      <c r="GN228" t="s">
        <v>1454</v>
      </c>
      <c r="GO228" t="s">
        <v>1454</v>
      </c>
      <c r="GQ228" t="s">
        <v>1482</v>
      </c>
    </row>
    <row r="229" spans="2:199" x14ac:dyDescent="0.25">
      <c r="B229" t="s">
        <v>718</v>
      </c>
      <c r="C229" t="s">
        <v>1454</v>
      </c>
      <c r="D229" t="s">
        <v>1454</v>
      </c>
      <c r="E229" t="s">
        <v>1454</v>
      </c>
      <c r="G229" t="s">
        <v>1454</v>
      </c>
      <c r="H229" t="s">
        <v>1454</v>
      </c>
      <c r="I229" t="s">
        <v>1454</v>
      </c>
      <c r="K229" t="s">
        <v>1454</v>
      </c>
      <c r="L229" t="s">
        <v>1454</v>
      </c>
      <c r="M229" t="s">
        <v>1454</v>
      </c>
      <c r="O229" t="s">
        <v>1454</v>
      </c>
      <c r="P229" t="s">
        <v>1454</v>
      </c>
      <c r="Q229" t="s">
        <v>1454</v>
      </c>
      <c r="S229" t="s">
        <v>1454</v>
      </c>
      <c r="T229" t="s">
        <v>1454</v>
      </c>
      <c r="U229" t="s">
        <v>1454</v>
      </c>
      <c r="W229" t="s">
        <v>1454</v>
      </c>
      <c r="X229" t="s">
        <v>1454</v>
      </c>
      <c r="Y229" t="s">
        <v>1454</v>
      </c>
      <c r="AA229" t="s">
        <v>1454</v>
      </c>
      <c r="AB229" t="s">
        <v>1454</v>
      </c>
      <c r="AC229" t="s">
        <v>1454</v>
      </c>
      <c r="AE229" t="s">
        <v>1454</v>
      </c>
      <c r="AF229" t="s">
        <v>1454</v>
      </c>
      <c r="AG229" t="s">
        <v>1454</v>
      </c>
      <c r="AI229" t="s">
        <v>1454</v>
      </c>
      <c r="AJ229" t="s">
        <v>1454</v>
      </c>
      <c r="AK229" t="s">
        <v>1454</v>
      </c>
      <c r="AM229" t="s">
        <v>1454</v>
      </c>
      <c r="AN229" t="s">
        <v>1454</v>
      </c>
      <c r="AO229" t="s">
        <v>1454</v>
      </c>
      <c r="AQ229" t="s">
        <v>1454</v>
      </c>
      <c r="AR229" t="s">
        <v>1454</v>
      </c>
      <c r="AS229" t="s">
        <v>1454</v>
      </c>
      <c r="AU229" t="s">
        <v>1454</v>
      </c>
      <c r="AV229" t="s">
        <v>1454</v>
      </c>
      <c r="AW229" t="s">
        <v>1454</v>
      </c>
      <c r="AY229" t="s">
        <v>1454</v>
      </c>
      <c r="AZ229" t="s">
        <v>1454</v>
      </c>
      <c r="BA229" t="s">
        <v>1454</v>
      </c>
      <c r="BC229" t="s">
        <v>1454</v>
      </c>
      <c r="BD229" t="s">
        <v>1454</v>
      </c>
      <c r="BE229" t="s">
        <v>1454</v>
      </c>
      <c r="BG229" t="s">
        <v>1454</v>
      </c>
      <c r="BH229" t="s">
        <v>1454</v>
      </c>
      <c r="BI229" t="s">
        <v>1454</v>
      </c>
      <c r="BK229" t="s">
        <v>1454</v>
      </c>
      <c r="BL229" t="s">
        <v>1454</v>
      </c>
      <c r="BM229" t="s">
        <v>1454</v>
      </c>
      <c r="BO229" t="s">
        <v>1454</v>
      </c>
      <c r="BP229" t="s">
        <v>1454</v>
      </c>
      <c r="BQ229" t="s">
        <v>1454</v>
      </c>
      <c r="BS229" t="s">
        <v>1454</v>
      </c>
      <c r="BT229" t="s">
        <v>1454</v>
      </c>
      <c r="BU229" t="s">
        <v>1454</v>
      </c>
      <c r="BW229" t="s">
        <v>1454</v>
      </c>
      <c r="BX229" t="s">
        <v>1454</v>
      </c>
      <c r="BY229" t="s">
        <v>1454</v>
      </c>
      <c r="CA229" t="s">
        <v>1454</v>
      </c>
      <c r="CB229" t="s">
        <v>1454</v>
      </c>
      <c r="CC229" t="s">
        <v>1454</v>
      </c>
      <c r="CE229" t="s">
        <v>1454</v>
      </c>
      <c r="CF229" t="s">
        <v>1454</v>
      </c>
      <c r="CG229" t="s">
        <v>1454</v>
      </c>
      <c r="CI229" t="s">
        <v>1454</v>
      </c>
      <c r="CJ229" t="s">
        <v>1454</v>
      </c>
      <c r="CK229" t="s">
        <v>1454</v>
      </c>
      <c r="CM229" t="s">
        <v>1454</v>
      </c>
      <c r="CN229" t="s">
        <v>1454</v>
      </c>
      <c r="CO229" t="s">
        <v>1454</v>
      </c>
      <c r="CQ229" t="s">
        <v>1454</v>
      </c>
      <c r="CR229" t="s">
        <v>1454</v>
      </c>
      <c r="CS229" t="s">
        <v>1454</v>
      </c>
      <c r="CU229" t="s">
        <v>1454</v>
      </c>
      <c r="CV229" t="s">
        <v>1454</v>
      </c>
      <c r="CW229" t="s">
        <v>1454</v>
      </c>
      <c r="CY229" t="s">
        <v>1454</v>
      </c>
      <c r="CZ229" t="s">
        <v>1454</v>
      </c>
      <c r="DA229" t="s">
        <v>1454</v>
      </c>
      <c r="DC229" t="s">
        <v>1454</v>
      </c>
      <c r="DD229" t="s">
        <v>1454</v>
      </c>
      <c r="DE229" t="s">
        <v>1454</v>
      </c>
      <c r="DG229" t="s">
        <v>1454</v>
      </c>
      <c r="DH229" t="s">
        <v>1454</v>
      </c>
      <c r="DI229" t="s">
        <v>1454</v>
      </c>
      <c r="DK229" t="s">
        <v>1454</v>
      </c>
      <c r="DL229" t="s">
        <v>1454</v>
      </c>
      <c r="DM229" t="s">
        <v>1454</v>
      </c>
      <c r="DO229" t="s">
        <v>1454</v>
      </c>
      <c r="DP229" t="s">
        <v>1454</v>
      </c>
      <c r="DQ229" t="s">
        <v>1454</v>
      </c>
      <c r="DS229" t="s">
        <v>1454</v>
      </c>
      <c r="DT229" t="s">
        <v>1454</v>
      </c>
      <c r="DU229" t="s">
        <v>1454</v>
      </c>
      <c r="DW229" t="s">
        <v>1454</v>
      </c>
      <c r="DX229" t="s">
        <v>1454</v>
      </c>
      <c r="DY229" t="s">
        <v>1454</v>
      </c>
      <c r="EA229" t="s">
        <v>1454</v>
      </c>
      <c r="EB229" t="s">
        <v>1454</v>
      </c>
      <c r="EC229" t="s">
        <v>1454</v>
      </c>
      <c r="EE229" t="s">
        <v>1454</v>
      </c>
      <c r="EF229" t="s">
        <v>1454</v>
      </c>
      <c r="EG229" t="s">
        <v>1454</v>
      </c>
      <c r="EI229" t="s">
        <v>1454</v>
      </c>
      <c r="EJ229" t="s">
        <v>1454</v>
      </c>
      <c r="EK229" t="s">
        <v>1454</v>
      </c>
      <c r="EM229" t="s">
        <v>1454</v>
      </c>
      <c r="EN229" t="s">
        <v>1454</v>
      </c>
      <c r="EO229" t="s">
        <v>1454</v>
      </c>
      <c r="EQ229" t="s">
        <v>1454</v>
      </c>
      <c r="ER229" t="s">
        <v>1454</v>
      </c>
      <c r="ES229" t="s">
        <v>1454</v>
      </c>
      <c r="EU229" t="s">
        <v>1454</v>
      </c>
      <c r="EV229" t="s">
        <v>1454</v>
      </c>
      <c r="EW229" t="s">
        <v>1454</v>
      </c>
      <c r="EY229" t="s">
        <v>1454</v>
      </c>
      <c r="EZ229" t="s">
        <v>1454</v>
      </c>
      <c r="FA229" t="s">
        <v>1454</v>
      </c>
      <c r="FC229" t="s">
        <v>1454</v>
      </c>
      <c r="FD229" t="s">
        <v>1454</v>
      </c>
      <c r="FE229" t="s">
        <v>1454</v>
      </c>
      <c r="FG229" t="s">
        <v>1454</v>
      </c>
      <c r="FH229" t="s">
        <v>1454</v>
      </c>
      <c r="FI229" t="s">
        <v>1454</v>
      </c>
      <c r="FK229" t="s">
        <v>1454</v>
      </c>
      <c r="FL229" t="s">
        <v>1454</v>
      </c>
      <c r="FM229" t="s">
        <v>1454</v>
      </c>
      <c r="FO229" t="s">
        <v>1454</v>
      </c>
      <c r="FP229" t="s">
        <v>1454</v>
      </c>
      <c r="FQ229" t="s">
        <v>1454</v>
      </c>
      <c r="FS229" t="s">
        <v>1454</v>
      </c>
      <c r="FT229" t="s">
        <v>1454</v>
      </c>
      <c r="FU229" t="s">
        <v>1454</v>
      </c>
      <c r="FW229" t="s">
        <v>1454</v>
      </c>
      <c r="FX229" t="s">
        <v>1454</v>
      </c>
      <c r="FY229" t="s">
        <v>1454</v>
      </c>
      <c r="GA229" t="s">
        <v>1454</v>
      </c>
      <c r="GB229" t="s">
        <v>1454</v>
      </c>
      <c r="GC229" t="s">
        <v>1454</v>
      </c>
      <c r="GE229" t="s">
        <v>1454</v>
      </c>
      <c r="GF229" t="s">
        <v>1454</v>
      </c>
      <c r="GG229" t="s">
        <v>1454</v>
      </c>
      <c r="GI229" t="s">
        <v>1454</v>
      </c>
      <c r="GJ229" t="s">
        <v>1454</v>
      </c>
      <c r="GK229" t="s">
        <v>1454</v>
      </c>
      <c r="GM229" t="s">
        <v>1454</v>
      </c>
      <c r="GN229" t="s">
        <v>1454</v>
      </c>
      <c r="GO229" t="s">
        <v>1454</v>
      </c>
    </row>
  </sheetData>
  <mergeCells count="50">
    <mergeCell ref="C1:GP1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  <mergeCell ref="AU2:AX2"/>
    <mergeCell ref="AY2:BB2"/>
    <mergeCell ref="BC2:BF2"/>
    <mergeCell ref="BG2:BJ2"/>
    <mergeCell ref="BK2:BN2"/>
    <mergeCell ref="BO2:BR2"/>
    <mergeCell ref="BS2:BV2"/>
    <mergeCell ref="BW2:BZ2"/>
    <mergeCell ref="CA2:CD2"/>
    <mergeCell ref="CE2:CH2"/>
    <mergeCell ref="CI2:CL2"/>
    <mergeCell ref="CM2:CP2"/>
    <mergeCell ref="CQ2:CT2"/>
    <mergeCell ref="CU2:CX2"/>
    <mergeCell ref="CY2:DB2"/>
    <mergeCell ref="DC2:DF2"/>
    <mergeCell ref="DG2:DJ2"/>
    <mergeCell ref="DK2:DN2"/>
    <mergeCell ref="DO2:DR2"/>
    <mergeCell ref="DS2:DV2"/>
    <mergeCell ref="DW2:DZ2"/>
    <mergeCell ref="EA2:ED2"/>
    <mergeCell ref="EE2:EH2"/>
    <mergeCell ref="EI2:EL2"/>
    <mergeCell ref="EM2:EP2"/>
    <mergeCell ref="EQ2:ET2"/>
    <mergeCell ref="EU2:EX2"/>
    <mergeCell ref="EY2:FB2"/>
    <mergeCell ref="FC2:FF2"/>
    <mergeCell ref="GA2:GD2"/>
    <mergeCell ref="GE2:GH2"/>
    <mergeCell ref="GI2:GL2"/>
    <mergeCell ref="GM2:GP2"/>
    <mergeCell ref="FG2:FJ2"/>
    <mergeCell ref="FK2:FN2"/>
    <mergeCell ref="FO2:FR2"/>
    <mergeCell ref="FS2:FV2"/>
    <mergeCell ref="FW2:FZ2"/>
  </mergeCells>
  <phoneticPr fontId="3" type="noConversion"/>
  <dataValidations count="2">
    <dataValidation type="list" allowBlank="1" showInputMessage="1" showErrorMessage="1" sqref="B3">
      <formula1>i01_清單投入與產出元件</formula1>
    </dataValidation>
    <dataValidation type="list" allowBlank="1" showInputMessage="1" sqref="B4:B1048576">
      <formula1>i01_清單投入與產出元件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T396"/>
  <sheetViews>
    <sheetView zoomScale="70" zoomScaleNormal="70" workbookViewId="0">
      <selection activeCell="A18" sqref="A18:XFD18"/>
    </sheetView>
  </sheetViews>
  <sheetFormatPr defaultRowHeight="16.5" x14ac:dyDescent="0.25"/>
  <cols>
    <col min="2" max="2" width="18.25" customWidth="1"/>
    <col min="3" max="3" width="8.875" style="11"/>
  </cols>
  <sheetData>
    <row r="1" spans="1:20" s="11" customFormat="1" ht="16.5" customHeight="1" x14ac:dyDescent="0.25">
      <c r="B1" s="66"/>
      <c r="D1" s="11" t="s">
        <v>65</v>
      </c>
      <c r="I1" s="11" t="s">
        <v>66</v>
      </c>
      <c r="T1" s="11" t="s">
        <v>724</v>
      </c>
    </row>
    <row r="2" spans="1:20" s="11" customFormat="1" x14ac:dyDescent="0.25">
      <c r="B2" s="66"/>
      <c r="D2" s="11" t="s">
        <v>2</v>
      </c>
      <c r="E2" s="11" t="s">
        <v>3</v>
      </c>
      <c r="F2" s="11" t="s">
        <v>4</v>
      </c>
      <c r="G2" s="11" t="s">
        <v>296</v>
      </c>
      <c r="H2" s="11" t="s">
        <v>6</v>
      </c>
      <c r="I2" s="11" t="s">
        <v>274</v>
      </c>
      <c r="J2" s="11" t="s">
        <v>283</v>
      </c>
      <c r="K2" s="11" t="s">
        <v>284</v>
      </c>
      <c r="L2" s="11" t="s">
        <v>285</v>
      </c>
      <c r="M2" s="11" t="s">
        <v>286</v>
      </c>
      <c r="N2" s="11" t="s">
        <v>287</v>
      </c>
      <c r="O2" s="11" t="s">
        <v>288</v>
      </c>
      <c r="P2" s="11" t="s">
        <v>289</v>
      </c>
      <c r="Q2" s="11" t="s">
        <v>290</v>
      </c>
      <c r="R2" s="11" t="s">
        <v>292</v>
      </c>
      <c r="S2" s="11" t="s">
        <v>701</v>
      </c>
      <c r="T2" s="11" t="s">
        <v>724</v>
      </c>
    </row>
    <row r="3" spans="1:20" ht="16.5" customHeight="1" x14ac:dyDescent="0.25">
      <c r="A3" s="253"/>
      <c r="B3" s="253" t="s">
        <v>379</v>
      </c>
      <c r="C3" s="66" t="s">
        <v>717</v>
      </c>
      <c r="D3">
        <v>0</v>
      </c>
      <c r="E3">
        <v>13</v>
      </c>
      <c r="F3">
        <v>0</v>
      </c>
      <c r="G3">
        <v>0</v>
      </c>
      <c r="H3">
        <v>0</v>
      </c>
      <c r="I3">
        <v>1</v>
      </c>
      <c r="J3">
        <v>2</v>
      </c>
      <c r="K3">
        <v>2</v>
      </c>
      <c r="L3">
        <v>2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13</v>
      </c>
      <c r="T3" s="67" t="s">
        <v>1456</v>
      </c>
    </row>
    <row r="4" spans="1:20" x14ac:dyDescent="0.25">
      <c r="A4" s="253"/>
      <c r="B4" s="253" t="s">
        <v>379</v>
      </c>
      <c r="C4" s="66" t="s">
        <v>716</v>
      </c>
      <c r="D4">
        <v>1</v>
      </c>
      <c r="E4">
        <v>23</v>
      </c>
      <c r="F4">
        <v>10</v>
      </c>
      <c r="G4">
        <v>12</v>
      </c>
      <c r="H4">
        <v>1</v>
      </c>
      <c r="I4">
        <v>5</v>
      </c>
      <c r="J4">
        <v>6</v>
      </c>
      <c r="K4">
        <v>6</v>
      </c>
      <c r="L4">
        <v>4</v>
      </c>
      <c r="M4">
        <v>3</v>
      </c>
      <c r="N4">
        <v>6</v>
      </c>
      <c r="O4">
        <v>3</v>
      </c>
      <c r="P4">
        <v>7</v>
      </c>
      <c r="Q4">
        <v>3</v>
      </c>
      <c r="R4">
        <v>4</v>
      </c>
      <c r="S4">
        <v>47</v>
      </c>
      <c r="T4" s="67" t="s">
        <v>1455</v>
      </c>
    </row>
    <row r="5" spans="1:20" x14ac:dyDescent="0.25">
      <c r="A5" s="253"/>
      <c r="B5" s="253" t="s">
        <v>379</v>
      </c>
      <c r="C5" s="11" t="s">
        <v>715</v>
      </c>
      <c r="D5">
        <v>1</v>
      </c>
      <c r="E5">
        <v>5</v>
      </c>
      <c r="F5">
        <v>9</v>
      </c>
      <c r="G5">
        <v>11</v>
      </c>
      <c r="H5">
        <v>0</v>
      </c>
      <c r="I5">
        <v>4</v>
      </c>
      <c r="J5">
        <v>1</v>
      </c>
      <c r="K5">
        <v>3</v>
      </c>
      <c r="L5">
        <v>1</v>
      </c>
      <c r="M5">
        <v>3</v>
      </c>
      <c r="N5">
        <v>4</v>
      </c>
      <c r="O5">
        <v>3</v>
      </c>
      <c r="P5">
        <v>2</v>
      </c>
      <c r="Q5">
        <v>2</v>
      </c>
      <c r="R5">
        <v>3</v>
      </c>
      <c r="S5">
        <v>26</v>
      </c>
      <c r="T5" s="67" t="s">
        <v>1457</v>
      </c>
    </row>
    <row r="6" spans="1:20" x14ac:dyDescent="0.25">
      <c r="B6" s="253" t="s">
        <v>378</v>
      </c>
      <c r="C6" s="66" t="s">
        <v>717</v>
      </c>
      <c r="D6">
        <v>2</v>
      </c>
      <c r="E6">
        <v>11</v>
      </c>
      <c r="F6">
        <v>5</v>
      </c>
      <c r="G6">
        <v>3</v>
      </c>
      <c r="H6">
        <v>0</v>
      </c>
      <c r="I6">
        <v>3</v>
      </c>
      <c r="J6">
        <v>2</v>
      </c>
      <c r="K6">
        <v>5</v>
      </c>
      <c r="L6">
        <v>2</v>
      </c>
      <c r="M6">
        <v>3</v>
      </c>
      <c r="N6">
        <v>3</v>
      </c>
      <c r="O6">
        <v>1</v>
      </c>
      <c r="P6">
        <v>1</v>
      </c>
      <c r="Q6">
        <v>0</v>
      </c>
      <c r="R6">
        <v>1</v>
      </c>
      <c r="S6">
        <v>21</v>
      </c>
      <c r="T6" s="67" t="s">
        <v>1459</v>
      </c>
    </row>
    <row r="7" spans="1:20" x14ac:dyDescent="0.25">
      <c r="B7" s="253" t="s">
        <v>378</v>
      </c>
      <c r="C7" s="66" t="s">
        <v>716</v>
      </c>
      <c r="D7">
        <v>1</v>
      </c>
      <c r="E7">
        <v>19</v>
      </c>
      <c r="F7">
        <v>10</v>
      </c>
      <c r="G7">
        <v>12</v>
      </c>
      <c r="H7">
        <v>1</v>
      </c>
      <c r="I7">
        <v>5</v>
      </c>
      <c r="J7">
        <v>5</v>
      </c>
      <c r="K7">
        <v>4</v>
      </c>
      <c r="L7">
        <v>3</v>
      </c>
      <c r="M7">
        <v>3</v>
      </c>
      <c r="N7">
        <v>6</v>
      </c>
      <c r="O7">
        <v>3</v>
      </c>
      <c r="P7">
        <v>7</v>
      </c>
      <c r="Q7">
        <v>3</v>
      </c>
      <c r="R7">
        <v>4</v>
      </c>
      <c r="S7">
        <v>43</v>
      </c>
      <c r="T7" s="67" t="s">
        <v>1458</v>
      </c>
    </row>
    <row r="8" spans="1:20" x14ac:dyDescent="0.25">
      <c r="B8" s="253" t="s">
        <v>378</v>
      </c>
      <c r="C8" s="66" t="s">
        <v>715</v>
      </c>
      <c r="D8">
        <v>1</v>
      </c>
      <c r="E8">
        <v>16</v>
      </c>
      <c r="F8">
        <v>9</v>
      </c>
      <c r="G8">
        <v>12</v>
      </c>
      <c r="H8">
        <v>1</v>
      </c>
      <c r="I8">
        <v>4</v>
      </c>
      <c r="J8">
        <v>4</v>
      </c>
      <c r="K8">
        <v>4</v>
      </c>
      <c r="L8">
        <v>3</v>
      </c>
      <c r="M8">
        <v>3</v>
      </c>
      <c r="N8">
        <v>6</v>
      </c>
      <c r="O8">
        <v>3</v>
      </c>
      <c r="P8">
        <v>6</v>
      </c>
      <c r="Q8">
        <v>3</v>
      </c>
      <c r="R8">
        <v>3</v>
      </c>
      <c r="S8">
        <v>39</v>
      </c>
      <c r="T8" s="67" t="s">
        <v>1460</v>
      </c>
    </row>
    <row r="9" spans="1:20" x14ac:dyDescent="0.25">
      <c r="B9" s="253" t="s">
        <v>402</v>
      </c>
      <c r="C9" s="66" t="s">
        <v>717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67" t="s">
        <v>1454</v>
      </c>
    </row>
    <row r="10" spans="1:20" x14ac:dyDescent="0.25">
      <c r="B10" s="253" t="s">
        <v>402</v>
      </c>
      <c r="C10" s="66" t="s">
        <v>716</v>
      </c>
      <c r="D10">
        <v>2</v>
      </c>
      <c r="E10">
        <v>3</v>
      </c>
      <c r="F10">
        <v>0</v>
      </c>
      <c r="G10">
        <v>0</v>
      </c>
      <c r="H10">
        <v>1</v>
      </c>
      <c r="I10">
        <v>2</v>
      </c>
      <c r="J10">
        <v>1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1</v>
      </c>
      <c r="R10">
        <v>1</v>
      </c>
      <c r="S10">
        <v>6</v>
      </c>
      <c r="T10" s="67" t="s">
        <v>1461</v>
      </c>
    </row>
    <row r="11" spans="1:20" x14ac:dyDescent="0.25">
      <c r="B11" s="253" t="s">
        <v>402</v>
      </c>
      <c r="C11" s="66" t="s">
        <v>715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67" t="s">
        <v>1454</v>
      </c>
    </row>
    <row r="12" spans="1:20" x14ac:dyDescent="0.25">
      <c r="B12" s="253" t="s">
        <v>424</v>
      </c>
      <c r="C12" s="66" t="s">
        <v>717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0</v>
      </c>
      <c r="S12">
        <v>1</v>
      </c>
      <c r="T12" s="67" t="s">
        <v>1463</v>
      </c>
    </row>
    <row r="13" spans="1:20" x14ac:dyDescent="0.25">
      <c r="B13" s="253" t="s">
        <v>424</v>
      </c>
      <c r="C13" s="66" t="s">
        <v>716</v>
      </c>
      <c r="D13">
        <v>0</v>
      </c>
      <c r="E13">
        <v>1</v>
      </c>
      <c r="F13">
        <v>2</v>
      </c>
      <c r="G13">
        <v>1</v>
      </c>
      <c r="H13">
        <v>1</v>
      </c>
      <c r="I13">
        <v>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2</v>
      </c>
      <c r="R13">
        <v>0</v>
      </c>
      <c r="S13">
        <v>5</v>
      </c>
      <c r="T13" s="67" t="s">
        <v>1462</v>
      </c>
    </row>
    <row r="14" spans="1:20" x14ac:dyDescent="0.25">
      <c r="B14" s="253" t="s">
        <v>424</v>
      </c>
      <c r="C14" s="66" t="s">
        <v>715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1</v>
      </c>
      <c r="T14" s="67" t="s">
        <v>1464</v>
      </c>
    </row>
    <row r="15" spans="1:20" x14ac:dyDescent="0.25">
      <c r="B15" s="253" t="s">
        <v>404</v>
      </c>
      <c r="C15" s="66" t="s">
        <v>717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67" t="s">
        <v>1454</v>
      </c>
    </row>
    <row r="16" spans="1:20" x14ac:dyDescent="0.25">
      <c r="B16" s="253" t="s">
        <v>404</v>
      </c>
      <c r="C16" s="66" t="s">
        <v>716</v>
      </c>
      <c r="D16">
        <v>2</v>
      </c>
      <c r="E16">
        <v>24</v>
      </c>
      <c r="F16">
        <v>8</v>
      </c>
      <c r="G16">
        <v>6</v>
      </c>
      <c r="H16">
        <v>0</v>
      </c>
      <c r="I16">
        <v>6</v>
      </c>
      <c r="J16">
        <v>4</v>
      </c>
      <c r="K16">
        <v>5</v>
      </c>
      <c r="L16">
        <v>3</v>
      </c>
      <c r="M16">
        <v>2</v>
      </c>
      <c r="N16">
        <v>5</v>
      </c>
      <c r="O16">
        <v>3</v>
      </c>
      <c r="P16">
        <v>5</v>
      </c>
      <c r="Q16">
        <v>3</v>
      </c>
      <c r="R16">
        <v>4</v>
      </c>
      <c r="S16">
        <v>40</v>
      </c>
      <c r="T16" s="67" t="s">
        <v>1465</v>
      </c>
    </row>
    <row r="17" spans="2:20" x14ac:dyDescent="0.25">
      <c r="B17" s="253" t="s">
        <v>404</v>
      </c>
      <c r="C17" s="66" t="s">
        <v>715</v>
      </c>
      <c r="D17">
        <v>0</v>
      </c>
      <c r="E17">
        <v>0</v>
      </c>
      <c r="F17">
        <v>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3</v>
      </c>
      <c r="O17">
        <v>0</v>
      </c>
      <c r="P17">
        <v>0</v>
      </c>
      <c r="Q17">
        <v>0</v>
      </c>
      <c r="R17">
        <v>0</v>
      </c>
      <c r="S17">
        <v>3</v>
      </c>
      <c r="T17" s="67" t="s">
        <v>1466</v>
      </c>
    </row>
    <row r="18" spans="2:20" x14ac:dyDescent="0.25">
      <c r="B18" s="253" t="s">
        <v>405</v>
      </c>
      <c r="C18" s="66" t="s">
        <v>717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1</v>
      </c>
      <c r="T18" s="67" t="s">
        <v>1464</v>
      </c>
    </row>
    <row r="19" spans="2:20" x14ac:dyDescent="0.25">
      <c r="B19" s="253" t="s">
        <v>405</v>
      </c>
      <c r="C19" s="66" t="s">
        <v>716</v>
      </c>
      <c r="D19">
        <v>2</v>
      </c>
      <c r="E19">
        <v>24</v>
      </c>
      <c r="F19">
        <v>10</v>
      </c>
      <c r="G19">
        <v>10</v>
      </c>
      <c r="H19">
        <v>1</v>
      </c>
      <c r="I19">
        <v>7</v>
      </c>
      <c r="J19">
        <v>5</v>
      </c>
      <c r="K19">
        <v>6</v>
      </c>
      <c r="L19">
        <v>4</v>
      </c>
      <c r="M19">
        <v>3</v>
      </c>
      <c r="N19">
        <v>6</v>
      </c>
      <c r="O19">
        <v>3</v>
      </c>
      <c r="P19">
        <v>6</v>
      </c>
      <c r="Q19">
        <v>3</v>
      </c>
      <c r="R19">
        <v>4</v>
      </c>
      <c r="S19">
        <v>47</v>
      </c>
      <c r="T19" s="67" t="s">
        <v>1467</v>
      </c>
    </row>
    <row r="20" spans="2:20" x14ac:dyDescent="0.25">
      <c r="B20" s="253" t="s">
        <v>405</v>
      </c>
      <c r="C20" s="66" t="s">
        <v>715</v>
      </c>
      <c r="D20">
        <v>0</v>
      </c>
      <c r="E20">
        <v>1</v>
      </c>
      <c r="F20">
        <v>6</v>
      </c>
      <c r="G20">
        <v>0</v>
      </c>
      <c r="H20">
        <v>1</v>
      </c>
      <c r="I20">
        <v>3</v>
      </c>
      <c r="J20">
        <v>0</v>
      </c>
      <c r="K20">
        <v>0</v>
      </c>
      <c r="L20">
        <v>0</v>
      </c>
      <c r="M20">
        <v>0</v>
      </c>
      <c r="N20">
        <v>2</v>
      </c>
      <c r="O20">
        <v>1</v>
      </c>
      <c r="P20">
        <v>0</v>
      </c>
      <c r="Q20">
        <v>2</v>
      </c>
      <c r="R20">
        <v>0</v>
      </c>
      <c r="S20">
        <v>8</v>
      </c>
      <c r="T20" s="67" t="s">
        <v>1468</v>
      </c>
    </row>
    <row r="21" spans="2:20" x14ac:dyDescent="0.25">
      <c r="B21" s="253" t="s">
        <v>403</v>
      </c>
      <c r="C21" s="66" t="s">
        <v>717</v>
      </c>
      <c r="D21">
        <v>1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 s="67" t="s">
        <v>1470</v>
      </c>
    </row>
    <row r="22" spans="2:20" x14ac:dyDescent="0.25">
      <c r="B22" s="253" t="s">
        <v>403</v>
      </c>
      <c r="C22" s="66" t="s">
        <v>716</v>
      </c>
      <c r="D22">
        <v>1</v>
      </c>
      <c r="E22">
        <v>12</v>
      </c>
      <c r="F22">
        <v>0</v>
      </c>
      <c r="G22">
        <v>0</v>
      </c>
      <c r="H22">
        <v>1</v>
      </c>
      <c r="I22">
        <v>2</v>
      </c>
      <c r="J22">
        <v>3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2</v>
      </c>
      <c r="S22">
        <v>14</v>
      </c>
      <c r="T22" s="67" t="s">
        <v>1469</v>
      </c>
    </row>
    <row r="23" spans="2:20" x14ac:dyDescent="0.25">
      <c r="B23" s="253" t="s">
        <v>403</v>
      </c>
      <c r="C23" s="66" t="s">
        <v>715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67" t="s">
        <v>1454</v>
      </c>
    </row>
    <row r="24" spans="2:20" x14ac:dyDescent="0.25">
      <c r="B24" s="253" t="s">
        <v>406</v>
      </c>
      <c r="C24" s="66" t="s">
        <v>717</v>
      </c>
      <c r="D24">
        <v>0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 s="67" t="s">
        <v>1472</v>
      </c>
    </row>
    <row r="25" spans="2:20" x14ac:dyDescent="0.25">
      <c r="B25" s="253" t="s">
        <v>406</v>
      </c>
      <c r="C25" s="66" t="s">
        <v>716</v>
      </c>
      <c r="D25">
        <v>0</v>
      </c>
      <c r="E25">
        <v>0</v>
      </c>
      <c r="F25">
        <v>1</v>
      </c>
      <c r="G25">
        <v>1</v>
      </c>
      <c r="H25">
        <v>0</v>
      </c>
      <c r="I25">
        <v>1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2</v>
      </c>
      <c r="T25" s="67" t="s">
        <v>1471</v>
      </c>
    </row>
    <row r="26" spans="2:20" x14ac:dyDescent="0.25">
      <c r="B26" s="253" t="s">
        <v>406</v>
      </c>
      <c r="C26" s="66" t="s">
        <v>715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s="67" t="s">
        <v>1454</v>
      </c>
    </row>
    <row r="27" spans="2:20" x14ac:dyDescent="0.25">
      <c r="B27" s="253" t="s">
        <v>407</v>
      </c>
      <c r="C27" s="66" t="s">
        <v>717</v>
      </c>
      <c r="D27">
        <v>1</v>
      </c>
      <c r="E27">
        <v>4</v>
      </c>
      <c r="F27">
        <v>8</v>
      </c>
      <c r="G27">
        <v>11</v>
      </c>
      <c r="H27">
        <v>0</v>
      </c>
      <c r="I27">
        <v>2</v>
      </c>
      <c r="J27">
        <v>2</v>
      </c>
      <c r="K27">
        <v>3</v>
      </c>
      <c r="L27">
        <v>1</v>
      </c>
      <c r="M27">
        <v>2</v>
      </c>
      <c r="N27">
        <v>4</v>
      </c>
      <c r="O27">
        <v>1</v>
      </c>
      <c r="P27">
        <v>3</v>
      </c>
      <c r="Q27">
        <v>3</v>
      </c>
      <c r="R27">
        <v>3</v>
      </c>
      <c r="S27">
        <v>24</v>
      </c>
      <c r="T27" s="67" t="s">
        <v>1474</v>
      </c>
    </row>
    <row r="28" spans="2:20" x14ac:dyDescent="0.25">
      <c r="B28" s="253" t="s">
        <v>407</v>
      </c>
      <c r="C28" s="66" t="s">
        <v>716</v>
      </c>
      <c r="D28">
        <v>0</v>
      </c>
      <c r="E28">
        <v>0</v>
      </c>
      <c r="F28">
        <v>0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 s="67" t="s">
        <v>1473</v>
      </c>
    </row>
    <row r="29" spans="2:20" ht="16.5" customHeight="1" x14ac:dyDescent="0.25">
      <c r="B29" s="253" t="s">
        <v>407</v>
      </c>
      <c r="C29" s="66" t="s">
        <v>715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 s="67" t="s">
        <v>1454</v>
      </c>
    </row>
    <row r="30" spans="2:20" x14ac:dyDescent="0.25">
      <c r="B30" s="253" t="s">
        <v>408</v>
      </c>
      <c r="C30" s="66" t="s">
        <v>717</v>
      </c>
      <c r="D30">
        <v>0</v>
      </c>
      <c r="E30">
        <v>0</v>
      </c>
      <c r="F30">
        <v>0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 s="67" t="s">
        <v>1473</v>
      </c>
    </row>
    <row r="31" spans="2:20" x14ac:dyDescent="0.25">
      <c r="B31" s="253" t="s">
        <v>408</v>
      </c>
      <c r="C31" s="66" t="s">
        <v>716</v>
      </c>
      <c r="D31">
        <v>0</v>
      </c>
      <c r="E31">
        <v>0</v>
      </c>
      <c r="F31">
        <v>1</v>
      </c>
      <c r="G31">
        <v>2</v>
      </c>
      <c r="H31">
        <v>0</v>
      </c>
      <c r="I31">
        <v>1</v>
      </c>
      <c r="J31">
        <v>0</v>
      </c>
      <c r="K31">
        <v>0</v>
      </c>
      <c r="L31">
        <v>0</v>
      </c>
      <c r="M31">
        <v>1</v>
      </c>
      <c r="N31">
        <v>0</v>
      </c>
      <c r="O31">
        <v>0</v>
      </c>
      <c r="P31">
        <v>0</v>
      </c>
      <c r="Q31">
        <v>1</v>
      </c>
      <c r="R31">
        <v>0</v>
      </c>
      <c r="S31">
        <v>3</v>
      </c>
      <c r="T31" s="67" t="s">
        <v>1475</v>
      </c>
    </row>
    <row r="32" spans="2:20" x14ac:dyDescent="0.25">
      <c r="B32" s="253" t="s">
        <v>408</v>
      </c>
      <c r="C32" s="66" t="s">
        <v>715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 s="67" t="s">
        <v>1454</v>
      </c>
    </row>
    <row r="33" spans="2:20" x14ac:dyDescent="0.25">
      <c r="B33" s="253" t="s">
        <v>409</v>
      </c>
      <c r="C33" s="66" t="s">
        <v>717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 s="67" t="s">
        <v>1477</v>
      </c>
    </row>
    <row r="34" spans="2:20" x14ac:dyDescent="0.25">
      <c r="B34" s="253" t="s">
        <v>409</v>
      </c>
      <c r="C34" s="66" t="s">
        <v>716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 s="67" t="s">
        <v>1476</v>
      </c>
    </row>
    <row r="35" spans="2:20" x14ac:dyDescent="0.25">
      <c r="B35" s="253" t="s">
        <v>409</v>
      </c>
      <c r="C35" s="66" t="s">
        <v>715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 s="67" t="s">
        <v>1454</v>
      </c>
    </row>
    <row r="36" spans="2:20" x14ac:dyDescent="0.25">
      <c r="B36" s="253" t="s">
        <v>410</v>
      </c>
      <c r="C36" s="66" t="s">
        <v>717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 s="67" t="s">
        <v>1476</v>
      </c>
    </row>
    <row r="37" spans="2:20" x14ac:dyDescent="0.25">
      <c r="B37" s="253" t="s">
        <v>410</v>
      </c>
      <c r="C37" s="66" t="s">
        <v>716</v>
      </c>
      <c r="D37">
        <v>0</v>
      </c>
      <c r="E37">
        <v>0</v>
      </c>
      <c r="F37">
        <v>0</v>
      </c>
      <c r="G37">
        <v>0</v>
      </c>
      <c r="H37">
        <v>1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 s="67" t="s">
        <v>649</v>
      </c>
    </row>
    <row r="38" spans="2:20" x14ac:dyDescent="0.25">
      <c r="B38" s="253" t="s">
        <v>410</v>
      </c>
      <c r="C38" s="66" t="s">
        <v>715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s="67" t="s">
        <v>1454</v>
      </c>
    </row>
    <row r="39" spans="2:20" x14ac:dyDescent="0.25">
      <c r="B39" s="253" t="s">
        <v>411</v>
      </c>
      <c r="C39" s="66" t="s">
        <v>717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 s="67" t="s">
        <v>1454</v>
      </c>
    </row>
    <row r="40" spans="2:20" x14ac:dyDescent="0.25">
      <c r="B40" s="253" t="s">
        <v>411</v>
      </c>
      <c r="C40" s="66" t="s">
        <v>716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s="67" t="s">
        <v>1454</v>
      </c>
    </row>
    <row r="41" spans="2:20" x14ac:dyDescent="0.25">
      <c r="B41" s="253" t="s">
        <v>411</v>
      </c>
      <c r="C41" s="66" t="s">
        <v>715</v>
      </c>
      <c r="D41">
        <v>0</v>
      </c>
      <c r="E41">
        <v>0</v>
      </c>
      <c r="F41">
        <v>0</v>
      </c>
      <c r="G41">
        <v>0</v>
      </c>
      <c r="H41">
        <v>1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 s="67" t="s">
        <v>649</v>
      </c>
    </row>
    <row r="42" spans="2:20" x14ac:dyDescent="0.25">
      <c r="B42" s="253" t="s">
        <v>412</v>
      </c>
      <c r="C42" s="66" t="s">
        <v>717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 s="67" t="s">
        <v>1472</v>
      </c>
    </row>
    <row r="43" spans="2:20" x14ac:dyDescent="0.25">
      <c r="B43" s="253" t="s">
        <v>412</v>
      </c>
      <c r="C43" s="66" t="s">
        <v>716</v>
      </c>
      <c r="D43">
        <v>0</v>
      </c>
      <c r="E43">
        <v>0</v>
      </c>
      <c r="F43">
        <v>0</v>
      </c>
      <c r="G43">
        <v>10</v>
      </c>
      <c r="H43">
        <v>0</v>
      </c>
      <c r="I43">
        <v>0</v>
      </c>
      <c r="J43">
        <v>2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10</v>
      </c>
      <c r="T43" s="67" t="s">
        <v>1478</v>
      </c>
    </row>
    <row r="44" spans="2:20" x14ac:dyDescent="0.25">
      <c r="B44" s="253" t="s">
        <v>412</v>
      </c>
      <c r="C44" s="66" t="s">
        <v>715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s="67" t="s">
        <v>1454</v>
      </c>
    </row>
    <row r="45" spans="2:20" x14ac:dyDescent="0.25">
      <c r="B45" s="253" t="s">
        <v>413</v>
      </c>
      <c r="C45" s="66" t="s">
        <v>717</v>
      </c>
      <c r="D45">
        <v>0</v>
      </c>
      <c r="E45">
        <v>0</v>
      </c>
      <c r="F45">
        <v>0</v>
      </c>
      <c r="G45">
        <v>10</v>
      </c>
      <c r="H45">
        <v>0</v>
      </c>
      <c r="I45">
        <v>0</v>
      </c>
      <c r="J45">
        <v>2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10</v>
      </c>
      <c r="T45" s="67" t="s">
        <v>1478</v>
      </c>
    </row>
    <row r="46" spans="2:20" x14ac:dyDescent="0.25">
      <c r="B46" s="253" t="s">
        <v>413</v>
      </c>
      <c r="C46" s="66" t="s">
        <v>716</v>
      </c>
      <c r="D46">
        <v>0</v>
      </c>
      <c r="E46">
        <v>0</v>
      </c>
      <c r="F46">
        <v>0</v>
      </c>
      <c r="G46">
        <v>1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1</v>
      </c>
      <c r="T46" s="67" t="s">
        <v>1479</v>
      </c>
    </row>
    <row r="47" spans="2:20" ht="16.5" customHeight="1" x14ac:dyDescent="0.25">
      <c r="B47" s="253" t="s">
        <v>413</v>
      </c>
      <c r="C47" s="66" t="s">
        <v>715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 s="67" t="s">
        <v>1454</v>
      </c>
    </row>
    <row r="48" spans="2:20" x14ac:dyDescent="0.25">
      <c r="B48" s="253" t="s">
        <v>414</v>
      </c>
      <c r="C48" s="66" t="s">
        <v>717</v>
      </c>
      <c r="D48">
        <v>0</v>
      </c>
      <c r="E48">
        <v>0</v>
      </c>
      <c r="F48">
        <v>0</v>
      </c>
      <c r="G48">
        <v>1</v>
      </c>
      <c r="H48">
        <v>0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 s="67" t="s">
        <v>1479</v>
      </c>
    </row>
    <row r="49" spans="2:20" x14ac:dyDescent="0.25">
      <c r="B49" s="253" t="s">
        <v>414</v>
      </c>
      <c r="C49" s="66" t="s">
        <v>716</v>
      </c>
      <c r="D49">
        <v>0</v>
      </c>
      <c r="E49">
        <v>0</v>
      </c>
      <c r="F49">
        <v>2</v>
      </c>
      <c r="G49">
        <v>2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1</v>
      </c>
      <c r="O49">
        <v>1</v>
      </c>
      <c r="P49">
        <v>1</v>
      </c>
      <c r="Q49">
        <v>0</v>
      </c>
      <c r="R49">
        <v>0</v>
      </c>
      <c r="S49">
        <v>4</v>
      </c>
      <c r="T49" s="67" t="s">
        <v>1480</v>
      </c>
    </row>
    <row r="50" spans="2:20" ht="16.5" customHeight="1" x14ac:dyDescent="0.25">
      <c r="B50" s="253" t="s">
        <v>414</v>
      </c>
      <c r="C50" s="66" t="s">
        <v>715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 s="67" t="s">
        <v>1454</v>
      </c>
    </row>
    <row r="51" spans="2:20" x14ac:dyDescent="0.25">
      <c r="B51" s="253" t="s">
        <v>415</v>
      </c>
      <c r="C51" s="66" t="s">
        <v>717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 s="67" t="s">
        <v>1454</v>
      </c>
    </row>
    <row r="52" spans="2:20" x14ac:dyDescent="0.25">
      <c r="B52" s="253" t="s">
        <v>415</v>
      </c>
      <c r="C52" s="66" t="s">
        <v>716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 s="67" t="s">
        <v>1454</v>
      </c>
    </row>
    <row r="53" spans="2:20" x14ac:dyDescent="0.25">
      <c r="B53" s="253" t="s">
        <v>415</v>
      </c>
      <c r="C53" s="66" t="s">
        <v>715</v>
      </c>
      <c r="D53">
        <v>0</v>
      </c>
      <c r="E53">
        <v>0</v>
      </c>
      <c r="F53">
        <v>0</v>
      </c>
      <c r="G53">
        <v>0</v>
      </c>
      <c r="H53">
        <v>1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 s="67" t="s">
        <v>649</v>
      </c>
    </row>
    <row r="54" spans="2:20" x14ac:dyDescent="0.25">
      <c r="B54" s="253" t="s">
        <v>416</v>
      </c>
      <c r="C54" s="66" t="s">
        <v>717</v>
      </c>
      <c r="D54">
        <v>0</v>
      </c>
      <c r="E54">
        <v>0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1</v>
      </c>
      <c r="O54">
        <v>0</v>
      </c>
      <c r="P54">
        <v>0</v>
      </c>
      <c r="Q54">
        <v>0</v>
      </c>
      <c r="R54">
        <v>0</v>
      </c>
      <c r="S54">
        <v>1</v>
      </c>
      <c r="T54" s="67" t="s">
        <v>1482</v>
      </c>
    </row>
    <row r="55" spans="2:20" x14ac:dyDescent="0.25">
      <c r="B55" s="253" t="s">
        <v>416</v>
      </c>
      <c r="C55" s="66" t="s">
        <v>716</v>
      </c>
      <c r="D55">
        <v>0</v>
      </c>
      <c r="E55">
        <v>0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1</v>
      </c>
      <c r="T55" s="67" t="s">
        <v>1481</v>
      </c>
    </row>
    <row r="56" spans="2:20" x14ac:dyDescent="0.25">
      <c r="B56" s="253" t="s">
        <v>416</v>
      </c>
      <c r="C56" s="66" t="s">
        <v>715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 s="67" t="s">
        <v>1454</v>
      </c>
    </row>
    <row r="57" spans="2:20" x14ac:dyDescent="0.25">
      <c r="B57" s="253" t="s">
        <v>418</v>
      </c>
      <c r="C57" s="66" t="s">
        <v>717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 s="67" t="s">
        <v>1484</v>
      </c>
    </row>
    <row r="58" spans="2:20" x14ac:dyDescent="0.25">
      <c r="B58" s="253" t="s">
        <v>418</v>
      </c>
      <c r="C58" s="66" t="s">
        <v>716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 s="67" t="s">
        <v>1483</v>
      </c>
    </row>
    <row r="59" spans="2:20" x14ac:dyDescent="0.25">
      <c r="B59" s="253" t="s">
        <v>418</v>
      </c>
      <c r="C59" s="66" t="s">
        <v>715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67" t="s">
        <v>1454</v>
      </c>
    </row>
    <row r="60" spans="2:20" x14ac:dyDescent="0.25">
      <c r="B60" s="253" t="s">
        <v>419</v>
      </c>
      <c r="C60" s="66" t="s">
        <v>717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</v>
      </c>
      <c r="S60">
        <v>1</v>
      </c>
      <c r="T60" s="67" t="s">
        <v>1486</v>
      </c>
    </row>
    <row r="61" spans="2:20" x14ac:dyDescent="0.25">
      <c r="B61" s="253" t="s">
        <v>419</v>
      </c>
      <c r="C61" s="66" t="s">
        <v>716</v>
      </c>
      <c r="D61">
        <v>2</v>
      </c>
      <c r="E61">
        <v>5</v>
      </c>
      <c r="F61">
        <v>0</v>
      </c>
      <c r="G61">
        <v>3</v>
      </c>
      <c r="H61">
        <v>1</v>
      </c>
      <c r="I61">
        <v>3</v>
      </c>
      <c r="J61">
        <v>1</v>
      </c>
      <c r="K61">
        <v>1</v>
      </c>
      <c r="L61">
        <v>1</v>
      </c>
      <c r="M61">
        <v>0</v>
      </c>
      <c r="N61">
        <v>1</v>
      </c>
      <c r="O61">
        <v>0</v>
      </c>
      <c r="P61">
        <v>1</v>
      </c>
      <c r="Q61">
        <v>1</v>
      </c>
      <c r="R61">
        <v>2</v>
      </c>
      <c r="S61">
        <v>11</v>
      </c>
      <c r="T61" s="67" t="s">
        <v>1485</v>
      </c>
    </row>
    <row r="62" spans="2:20" x14ac:dyDescent="0.25">
      <c r="B62" s="253" t="s">
        <v>419</v>
      </c>
      <c r="C62" s="66" t="s">
        <v>715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 s="67" t="s">
        <v>1454</v>
      </c>
    </row>
    <row r="63" spans="2:20" x14ac:dyDescent="0.25">
      <c r="B63" s="253" t="s">
        <v>421</v>
      </c>
      <c r="C63" s="66" t="s">
        <v>717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1</v>
      </c>
      <c r="T63" s="67" t="s">
        <v>1463</v>
      </c>
    </row>
    <row r="64" spans="2:20" x14ac:dyDescent="0.25">
      <c r="B64" s="253" t="s">
        <v>421</v>
      </c>
      <c r="C64" s="66" t="s">
        <v>716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 s="67" t="s">
        <v>1454</v>
      </c>
    </row>
    <row r="65" spans="2:20" x14ac:dyDescent="0.25">
      <c r="B65" s="253" t="s">
        <v>421</v>
      </c>
      <c r="C65" s="66" t="s">
        <v>715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s="67" t="s">
        <v>1454</v>
      </c>
    </row>
    <row r="66" spans="2:20" x14ac:dyDescent="0.25">
      <c r="B66" s="253" t="s">
        <v>422</v>
      </c>
      <c r="C66" s="66" t="s">
        <v>717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1</v>
      </c>
      <c r="R66">
        <v>0</v>
      </c>
      <c r="S66">
        <v>1</v>
      </c>
      <c r="T66" s="67" t="s">
        <v>1463</v>
      </c>
    </row>
    <row r="67" spans="2:20" x14ac:dyDescent="0.25">
      <c r="B67" s="253" t="s">
        <v>422</v>
      </c>
      <c r="C67" s="66" t="s">
        <v>716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s="67" t="s">
        <v>1454</v>
      </c>
    </row>
    <row r="68" spans="2:20" x14ac:dyDescent="0.25">
      <c r="B68" s="253" t="s">
        <v>422</v>
      </c>
      <c r="C68" s="66" t="s">
        <v>715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 s="67" t="s">
        <v>1454</v>
      </c>
    </row>
    <row r="69" spans="2:20" x14ac:dyDescent="0.25">
      <c r="B69" s="253" t="s">
        <v>426</v>
      </c>
      <c r="C69" s="66" t="s">
        <v>717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s="67" t="s">
        <v>1454</v>
      </c>
    </row>
    <row r="70" spans="2:20" ht="16.5" customHeight="1" x14ac:dyDescent="0.25">
      <c r="B70" s="253" t="s">
        <v>426</v>
      </c>
      <c r="C70" s="66" t="s">
        <v>716</v>
      </c>
      <c r="D70">
        <v>0</v>
      </c>
      <c r="E70">
        <v>0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</v>
      </c>
      <c r="R70">
        <v>0</v>
      </c>
      <c r="S70">
        <v>1</v>
      </c>
      <c r="T70" s="67" t="s">
        <v>1486</v>
      </c>
    </row>
    <row r="71" spans="2:20" x14ac:dyDescent="0.25">
      <c r="B71" s="253" t="s">
        <v>426</v>
      </c>
      <c r="C71" s="66" t="s">
        <v>715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 s="67" t="s">
        <v>1454</v>
      </c>
    </row>
    <row r="72" spans="2:20" x14ac:dyDescent="0.25">
      <c r="B72" s="253" t="s">
        <v>427</v>
      </c>
      <c r="C72" s="66" t="s">
        <v>717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1</v>
      </c>
      <c r="T72" s="67" t="s">
        <v>1486</v>
      </c>
    </row>
    <row r="73" spans="2:20" x14ac:dyDescent="0.25">
      <c r="B73" s="253" t="s">
        <v>427</v>
      </c>
      <c r="C73" s="66" t="s">
        <v>716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67" t="s">
        <v>1454</v>
      </c>
    </row>
    <row r="74" spans="2:20" x14ac:dyDescent="0.25">
      <c r="B74" s="253" t="s">
        <v>427</v>
      </c>
      <c r="C74" s="66" t="s">
        <v>715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 s="67" t="s">
        <v>1454</v>
      </c>
    </row>
    <row r="75" spans="2:20" x14ac:dyDescent="0.25">
      <c r="B75" s="253" t="s">
        <v>428</v>
      </c>
      <c r="C75" s="66" t="s">
        <v>717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1</v>
      </c>
      <c r="T75" s="67" t="s">
        <v>1464</v>
      </c>
    </row>
    <row r="76" spans="2:20" x14ac:dyDescent="0.25">
      <c r="B76" s="253" t="s">
        <v>428</v>
      </c>
      <c r="C76" s="66" t="s">
        <v>716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 s="67" t="s">
        <v>1454</v>
      </c>
    </row>
    <row r="77" spans="2:20" x14ac:dyDescent="0.25">
      <c r="B77" s="253" t="s">
        <v>428</v>
      </c>
      <c r="C77" s="66" t="s">
        <v>715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 s="67" t="s">
        <v>1454</v>
      </c>
    </row>
    <row r="78" spans="2:20" x14ac:dyDescent="0.25">
      <c r="B78" s="253" t="s">
        <v>429</v>
      </c>
      <c r="C78" s="66" t="s">
        <v>717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67" t="s">
        <v>1454</v>
      </c>
    </row>
    <row r="79" spans="2:20" x14ac:dyDescent="0.25">
      <c r="B79" s="253" t="s">
        <v>429</v>
      </c>
      <c r="C79" s="66" t="s">
        <v>716</v>
      </c>
      <c r="D79">
        <v>0</v>
      </c>
      <c r="E79">
        <v>1</v>
      </c>
      <c r="F79">
        <v>0</v>
      </c>
      <c r="G79">
        <v>0</v>
      </c>
      <c r="H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 s="67" t="s">
        <v>1487</v>
      </c>
    </row>
    <row r="80" spans="2:20" x14ac:dyDescent="0.25">
      <c r="B80" s="253" t="s">
        <v>429</v>
      </c>
      <c r="C80" s="66" t="s">
        <v>715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s="67" t="s">
        <v>1454</v>
      </c>
    </row>
    <row r="81" spans="2:20" x14ac:dyDescent="0.25">
      <c r="B81" s="253" t="s">
        <v>380</v>
      </c>
      <c r="C81" s="66" t="s">
        <v>717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 s="67" t="s">
        <v>1489</v>
      </c>
    </row>
    <row r="82" spans="2:20" x14ac:dyDescent="0.25">
      <c r="B82" s="253" t="s">
        <v>380</v>
      </c>
      <c r="C82" s="66" t="s">
        <v>716</v>
      </c>
      <c r="D82">
        <v>0</v>
      </c>
      <c r="E82">
        <v>5</v>
      </c>
      <c r="F82">
        <v>1</v>
      </c>
      <c r="G82">
        <v>2</v>
      </c>
      <c r="H82">
        <v>0</v>
      </c>
      <c r="I82">
        <v>0</v>
      </c>
      <c r="J82">
        <v>5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2</v>
      </c>
      <c r="R82">
        <v>0</v>
      </c>
      <c r="S82">
        <v>8</v>
      </c>
      <c r="T82" s="67" t="s">
        <v>1488</v>
      </c>
    </row>
    <row r="83" spans="2:20" x14ac:dyDescent="0.25">
      <c r="B83" s="253" t="s">
        <v>380</v>
      </c>
      <c r="C83" s="66" t="s">
        <v>715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 s="67" t="s">
        <v>1490</v>
      </c>
    </row>
    <row r="84" spans="2:20" x14ac:dyDescent="0.25">
      <c r="B84" s="253" t="s">
        <v>381</v>
      </c>
      <c r="C84" s="66" t="s">
        <v>717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</v>
      </c>
      <c r="T84" s="67" t="s">
        <v>1489</v>
      </c>
    </row>
    <row r="85" spans="2:20" x14ac:dyDescent="0.25">
      <c r="B85" s="253" t="s">
        <v>381</v>
      </c>
      <c r="C85" s="66" t="s">
        <v>716</v>
      </c>
      <c r="D85">
        <v>0</v>
      </c>
      <c r="E85">
        <v>3</v>
      </c>
      <c r="F85">
        <v>1</v>
      </c>
      <c r="G85">
        <v>3</v>
      </c>
      <c r="H85">
        <v>0</v>
      </c>
      <c r="I85">
        <v>0</v>
      </c>
      <c r="J85">
        <v>3</v>
      </c>
      <c r="K85">
        <v>0</v>
      </c>
      <c r="L85">
        <v>0</v>
      </c>
      <c r="M85">
        <v>1</v>
      </c>
      <c r="N85">
        <v>0</v>
      </c>
      <c r="O85">
        <v>0</v>
      </c>
      <c r="P85">
        <v>1</v>
      </c>
      <c r="Q85">
        <v>2</v>
      </c>
      <c r="R85">
        <v>0</v>
      </c>
      <c r="S85">
        <v>7</v>
      </c>
      <c r="T85" s="67" t="s">
        <v>1491</v>
      </c>
    </row>
    <row r="86" spans="2:20" x14ac:dyDescent="0.25">
      <c r="B86" s="253" t="s">
        <v>381</v>
      </c>
      <c r="C86" s="66" t="s">
        <v>715</v>
      </c>
      <c r="D86">
        <v>1</v>
      </c>
      <c r="E86">
        <v>0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1</v>
      </c>
      <c r="S86">
        <v>2</v>
      </c>
      <c r="T86" s="67" t="s">
        <v>1492</v>
      </c>
    </row>
    <row r="87" spans="2:20" x14ac:dyDescent="0.25">
      <c r="B87" s="253" t="s">
        <v>382</v>
      </c>
      <c r="C87" s="66" t="s">
        <v>717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1</v>
      </c>
      <c r="T87" s="67" t="s">
        <v>1494</v>
      </c>
    </row>
    <row r="88" spans="2:20" x14ac:dyDescent="0.25">
      <c r="B88" s="253" t="s">
        <v>382</v>
      </c>
      <c r="C88" s="66" t="s">
        <v>716</v>
      </c>
      <c r="D88">
        <v>0</v>
      </c>
      <c r="E88">
        <v>6</v>
      </c>
      <c r="F88">
        <v>0</v>
      </c>
      <c r="G88">
        <v>1</v>
      </c>
      <c r="H88">
        <v>0</v>
      </c>
      <c r="I88">
        <v>0</v>
      </c>
      <c r="J88">
        <v>0</v>
      </c>
      <c r="K88">
        <v>5</v>
      </c>
      <c r="L88">
        <v>1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7</v>
      </c>
      <c r="T88" s="67" t="s">
        <v>1493</v>
      </c>
    </row>
    <row r="89" spans="2:20" x14ac:dyDescent="0.25">
      <c r="B89" s="253" t="s">
        <v>382</v>
      </c>
      <c r="C89" s="66" t="s">
        <v>715</v>
      </c>
      <c r="D89">
        <v>0</v>
      </c>
      <c r="E89">
        <v>2</v>
      </c>
      <c r="F89">
        <v>0</v>
      </c>
      <c r="G89">
        <v>1</v>
      </c>
      <c r="H89">
        <v>0</v>
      </c>
      <c r="I89">
        <v>0</v>
      </c>
      <c r="J89">
        <v>0</v>
      </c>
      <c r="K89">
        <v>2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3</v>
      </c>
      <c r="T89" s="67" t="s">
        <v>1495</v>
      </c>
    </row>
    <row r="90" spans="2:20" x14ac:dyDescent="0.25">
      <c r="B90" s="253" t="s">
        <v>383</v>
      </c>
      <c r="C90" s="66" t="s">
        <v>717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 s="67" t="s">
        <v>1497</v>
      </c>
    </row>
    <row r="91" spans="2:20" x14ac:dyDescent="0.25">
      <c r="B91" s="253" t="s">
        <v>383</v>
      </c>
      <c r="C91" s="66" t="s">
        <v>716</v>
      </c>
      <c r="D91">
        <v>0</v>
      </c>
      <c r="E91">
        <v>3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3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4</v>
      </c>
      <c r="T91" s="67" t="s">
        <v>1496</v>
      </c>
    </row>
    <row r="92" spans="2:20" x14ac:dyDescent="0.25">
      <c r="B92" s="253" t="s">
        <v>383</v>
      </c>
      <c r="C92" s="66" t="s">
        <v>715</v>
      </c>
      <c r="D92">
        <v>0</v>
      </c>
      <c r="E92">
        <v>1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1</v>
      </c>
      <c r="Q92">
        <v>0</v>
      </c>
      <c r="R92">
        <v>0</v>
      </c>
      <c r="S92">
        <v>2</v>
      </c>
      <c r="T92" s="67" t="s">
        <v>1498</v>
      </c>
    </row>
    <row r="93" spans="2:20" x14ac:dyDescent="0.25">
      <c r="B93" s="253" t="s">
        <v>384</v>
      </c>
      <c r="C93" s="66" t="s">
        <v>717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1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 s="67" t="s">
        <v>1500</v>
      </c>
    </row>
    <row r="94" spans="2:20" x14ac:dyDescent="0.25">
      <c r="B94" s="253" t="s">
        <v>384</v>
      </c>
      <c r="C94" s="66" t="s">
        <v>716</v>
      </c>
      <c r="D94">
        <v>0</v>
      </c>
      <c r="E94">
        <v>5</v>
      </c>
      <c r="F94">
        <v>1</v>
      </c>
      <c r="G94">
        <v>1</v>
      </c>
      <c r="H94">
        <v>0</v>
      </c>
      <c r="I94">
        <v>0</v>
      </c>
      <c r="J94">
        <v>1</v>
      </c>
      <c r="K94">
        <v>0</v>
      </c>
      <c r="L94">
        <v>1</v>
      </c>
      <c r="M94">
        <v>2</v>
      </c>
      <c r="N94">
        <v>1</v>
      </c>
      <c r="O94">
        <v>0</v>
      </c>
      <c r="P94">
        <v>1</v>
      </c>
      <c r="Q94">
        <v>1</v>
      </c>
      <c r="R94">
        <v>0</v>
      </c>
      <c r="S94">
        <v>7</v>
      </c>
      <c r="T94" s="67" t="s">
        <v>1499</v>
      </c>
    </row>
    <row r="95" spans="2:20" x14ac:dyDescent="0.25">
      <c r="B95" s="253" t="s">
        <v>384</v>
      </c>
      <c r="C95" s="66" t="s">
        <v>715</v>
      </c>
      <c r="D95">
        <v>0</v>
      </c>
      <c r="E95">
        <v>1</v>
      </c>
      <c r="F95">
        <v>2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1</v>
      </c>
      <c r="Q95">
        <v>1</v>
      </c>
      <c r="R95">
        <v>0</v>
      </c>
      <c r="S95">
        <v>4</v>
      </c>
      <c r="T95" s="67" t="s">
        <v>1501</v>
      </c>
    </row>
    <row r="96" spans="2:20" x14ac:dyDescent="0.25">
      <c r="B96" s="253" t="s">
        <v>385</v>
      </c>
      <c r="C96" s="66" t="s">
        <v>717</v>
      </c>
      <c r="D96">
        <v>0</v>
      </c>
      <c r="E96">
        <v>1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1</v>
      </c>
      <c r="T96" s="67" t="s">
        <v>1503</v>
      </c>
    </row>
    <row r="97" spans="2:20" x14ac:dyDescent="0.25">
      <c r="B97" s="253" t="s">
        <v>385</v>
      </c>
      <c r="C97" s="66" t="s">
        <v>716</v>
      </c>
      <c r="D97">
        <v>0</v>
      </c>
      <c r="E97">
        <v>7</v>
      </c>
      <c r="F97">
        <v>4</v>
      </c>
      <c r="G97">
        <v>3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5</v>
      </c>
      <c r="O97">
        <v>3</v>
      </c>
      <c r="P97">
        <v>2</v>
      </c>
      <c r="Q97">
        <v>1</v>
      </c>
      <c r="R97">
        <v>2</v>
      </c>
      <c r="S97">
        <v>14</v>
      </c>
      <c r="T97" s="67" t="s">
        <v>1502</v>
      </c>
    </row>
    <row r="98" spans="2:20" x14ac:dyDescent="0.25">
      <c r="B98" s="253" t="s">
        <v>385</v>
      </c>
      <c r="C98" s="66" t="s">
        <v>715</v>
      </c>
      <c r="D98">
        <v>0</v>
      </c>
      <c r="E98">
        <v>1</v>
      </c>
      <c r="F98">
        <v>3</v>
      </c>
      <c r="G98">
        <v>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4</v>
      </c>
      <c r="O98">
        <v>0</v>
      </c>
      <c r="P98">
        <v>1</v>
      </c>
      <c r="Q98">
        <v>0</v>
      </c>
      <c r="R98">
        <v>1</v>
      </c>
      <c r="S98">
        <v>6</v>
      </c>
      <c r="T98" s="67" t="s">
        <v>1504</v>
      </c>
    </row>
    <row r="99" spans="2:20" x14ac:dyDescent="0.25">
      <c r="B99" s="253" t="s">
        <v>386</v>
      </c>
      <c r="C99" s="66" t="s">
        <v>717</v>
      </c>
      <c r="D99">
        <v>0</v>
      </c>
      <c r="E99">
        <v>1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1</v>
      </c>
      <c r="T99" s="67" t="s">
        <v>1506</v>
      </c>
    </row>
    <row r="100" spans="2:20" x14ac:dyDescent="0.25">
      <c r="B100" s="253" t="s">
        <v>386</v>
      </c>
      <c r="C100" s="66" t="s">
        <v>716</v>
      </c>
      <c r="D100">
        <v>1</v>
      </c>
      <c r="E100">
        <v>1</v>
      </c>
      <c r="F100">
        <v>3</v>
      </c>
      <c r="G100">
        <v>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</v>
      </c>
      <c r="P100">
        <v>0</v>
      </c>
      <c r="Q100">
        <v>1</v>
      </c>
      <c r="R100">
        <v>4</v>
      </c>
      <c r="S100">
        <v>7</v>
      </c>
      <c r="T100" s="67" t="s">
        <v>1505</v>
      </c>
    </row>
    <row r="101" spans="2:20" x14ac:dyDescent="0.25">
      <c r="B101" s="253" t="s">
        <v>386</v>
      </c>
      <c r="C101" s="66" t="s">
        <v>715</v>
      </c>
      <c r="D101">
        <v>1</v>
      </c>
      <c r="E101">
        <v>0</v>
      </c>
      <c r="F101">
        <v>3</v>
      </c>
      <c r="G101">
        <v>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</v>
      </c>
      <c r="P101">
        <v>0</v>
      </c>
      <c r="Q101">
        <v>1</v>
      </c>
      <c r="R101">
        <v>3</v>
      </c>
      <c r="S101">
        <v>6</v>
      </c>
      <c r="T101" s="67" t="s">
        <v>1507</v>
      </c>
    </row>
    <row r="102" spans="2:20" x14ac:dyDescent="0.25">
      <c r="B102" s="253" t="s">
        <v>387</v>
      </c>
      <c r="C102" s="66" t="s">
        <v>717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1</v>
      </c>
      <c r="Q102">
        <v>0</v>
      </c>
      <c r="R102">
        <v>0</v>
      </c>
      <c r="S102">
        <v>1</v>
      </c>
      <c r="T102" s="67" t="s">
        <v>1509</v>
      </c>
    </row>
    <row r="103" spans="2:20" x14ac:dyDescent="0.25">
      <c r="B103" s="253" t="s">
        <v>387</v>
      </c>
      <c r="C103" s="66" t="s">
        <v>716</v>
      </c>
      <c r="D103">
        <v>0</v>
      </c>
      <c r="E103">
        <v>7</v>
      </c>
      <c r="F103">
        <v>3</v>
      </c>
      <c r="G103">
        <v>2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0</v>
      </c>
      <c r="P103">
        <v>6</v>
      </c>
      <c r="Q103">
        <v>2</v>
      </c>
      <c r="R103">
        <v>2</v>
      </c>
      <c r="S103">
        <v>12</v>
      </c>
      <c r="T103" s="67" t="s">
        <v>1508</v>
      </c>
    </row>
    <row r="104" spans="2:20" x14ac:dyDescent="0.25">
      <c r="B104" s="253" t="s">
        <v>387</v>
      </c>
      <c r="C104" s="66" t="s">
        <v>715</v>
      </c>
      <c r="D104">
        <v>1</v>
      </c>
      <c r="E104">
        <v>1</v>
      </c>
      <c r="F104">
        <v>1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</v>
      </c>
      <c r="R104">
        <v>1</v>
      </c>
      <c r="S104">
        <v>4</v>
      </c>
      <c r="T104" s="67" t="s">
        <v>1510</v>
      </c>
    </row>
    <row r="105" spans="2:20" x14ac:dyDescent="0.25">
      <c r="B105" s="253" t="s">
        <v>388</v>
      </c>
      <c r="C105" s="66" t="s">
        <v>717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1</v>
      </c>
      <c r="R105">
        <v>0</v>
      </c>
      <c r="S105">
        <v>1</v>
      </c>
      <c r="T105" s="67" t="s">
        <v>1463</v>
      </c>
    </row>
    <row r="106" spans="2:20" x14ac:dyDescent="0.25">
      <c r="B106" s="253" t="s">
        <v>388</v>
      </c>
      <c r="C106" s="66" t="s">
        <v>716</v>
      </c>
      <c r="D106">
        <v>0</v>
      </c>
      <c r="E106">
        <v>0</v>
      </c>
      <c r="F106">
        <v>2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1</v>
      </c>
      <c r="O106">
        <v>0</v>
      </c>
      <c r="P106">
        <v>0</v>
      </c>
      <c r="Q106">
        <v>2</v>
      </c>
      <c r="R106">
        <v>0</v>
      </c>
      <c r="S106">
        <v>3</v>
      </c>
      <c r="T106" s="67" t="s">
        <v>1511</v>
      </c>
    </row>
    <row r="107" spans="2:20" x14ac:dyDescent="0.25">
      <c r="B107" s="253" t="s">
        <v>388</v>
      </c>
      <c r="C107" s="66" t="s">
        <v>715</v>
      </c>
      <c r="D107">
        <v>0</v>
      </c>
      <c r="E107">
        <v>1</v>
      </c>
      <c r="F107">
        <v>1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2</v>
      </c>
      <c r="R107">
        <v>0</v>
      </c>
      <c r="S107">
        <v>3</v>
      </c>
      <c r="T107" s="67" t="s">
        <v>1512</v>
      </c>
    </row>
    <row r="108" spans="2:20" x14ac:dyDescent="0.25">
      <c r="B108" s="253" t="s">
        <v>389</v>
      </c>
      <c r="C108" s="66" t="s">
        <v>717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1</v>
      </c>
      <c r="T108" s="67" t="s">
        <v>1514</v>
      </c>
    </row>
    <row r="109" spans="2:20" x14ac:dyDescent="0.25">
      <c r="B109" s="253" t="s">
        <v>389</v>
      </c>
      <c r="C109" s="66" t="s">
        <v>716</v>
      </c>
      <c r="D109">
        <v>1</v>
      </c>
      <c r="E109">
        <v>3</v>
      </c>
      <c r="F109">
        <v>2</v>
      </c>
      <c r="G109">
        <v>2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1</v>
      </c>
      <c r="N109">
        <v>0</v>
      </c>
      <c r="O109">
        <v>3</v>
      </c>
      <c r="P109">
        <v>0</v>
      </c>
      <c r="Q109">
        <v>0</v>
      </c>
      <c r="R109">
        <v>3</v>
      </c>
      <c r="S109">
        <v>8</v>
      </c>
      <c r="T109" s="67" t="s">
        <v>1513</v>
      </c>
    </row>
    <row r="110" spans="2:20" x14ac:dyDescent="0.25">
      <c r="B110" s="253" t="s">
        <v>389</v>
      </c>
      <c r="C110" s="66" t="s">
        <v>715</v>
      </c>
      <c r="D110">
        <v>1</v>
      </c>
      <c r="E110">
        <v>1</v>
      </c>
      <c r="F110">
        <v>2</v>
      </c>
      <c r="G110">
        <v>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3</v>
      </c>
      <c r="P110">
        <v>0</v>
      </c>
      <c r="Q110">
        <v>0</v>
      </c>
      <c r="R110">
        <v>3</v>
      </c>
      <c r="S110">
        <v>6</v>
      </c>
      <c r="T110" s="67" t="s">
        <v>1515</v>
      </c>
    </row>
    <row r="111" spans="2:20" x14ac:dyDescent="0.25">
      <c r="B111" s="253" t="s">
        <v>390</v>
      </c>
      <c r="C111" s="66" t="s">
        <v>717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67" t="s">
        <v>1454</v>
      </c>
    </row>
    <row r="112" spans="2:20" x14ac:dyDescent="0.25">
      <c r="B112" s="253" t="s">
        <v>390</v>
      </c>
      <c r="C112" s="66" t="s">
        <v>716</v>
      </c>
      <c r="D112">
        <v>0</v>
      </c>
      <c r="E112">
        <v>0</v>
      </c>
      <c r="F112">
        <v>1</v>
      </c>
      <c r="G112">
        <v>3</v>
      </c>
      <c r="H112">
        <v>0</v>
      </c>
      <c r="I112">
        <v>1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1</v>
      </c>
      <c r="S112">
        <v>4</v>
      </c>
      <c r="T112" s="67" t="s">
        <v>1516</v>
      </c>
    </row>
    <row r="113" spans="2:20" x14ac:dyDescent="0.25">
      <c r="B113" s="253" t="s">
        <v>390</v>
      </c>
      <c r="C113" s="66" t="s">
        <v>715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s="67" t="s">
        <v>1454</v>
      </c>
    </row>
    <row r="114" spans="2:20" x14ac:dyDescent="0.25">
      <c r="B114" s="253" t="s">
        <v>391</v>
      </c>
      <c r="C114" s="66" t="s">
        <v>717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s="67" t="s">
        <v>1454</v>
      </c>
    </row>
    <row r="115" spans="2:20" x14ac:dyDescent="0.25">
      <c r="B115" s="253" t="s">
        <v>391</v>
      </c>
      <c r="C115" s="66" t="s">
        <v>716</v>
      </c>
      <c r="D115">
        <v>0</v>
      </c>
      <c r="E115">
        <v>0</v>
      </c>
      <c r="F115">
        <v>1</v>
      </c>
      <c r="G115">
        <v>2</v>
      </c>
      <c r="H115">
        <v>0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3</v>
      </c>
      <c r="T115" s="67" t="s">
        <v>1517</v>
      </c>
    </row>
    <row r="116" spans="2:20" x14ac:dyDescent="0.25">
      <c r="B116" s="253" t="s">
        <v>391</v>
      </c>
      <c r="C116" s="66" t="s">
        <v>715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s="67" t="s">
        <v>1454</v>
      </c>
    </row>
    <row r="117" spans="2:20" x14ac:dyDescent="0.25">
      <c r="B117" s="253" t="s">
        <v>430</v>
      </c>
      <c r="C117" s="66" t="s">
        <v>717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1</v>
      </c>
      <c r="T117" s="67" t="s">
        <v>1519</v>
      </c>
    </row>
    <row r="118" spans="2:20" x14ac:dyDescent="0.25">
      <c r="B118" s="253" t="s">
        <v>430</v>
      </c>
      <c r="C118" s="66" t="s">
        <v>716</v>
      </c>
      <c r="D118">
        <v>0</v>
      </c>
      <c r="E118">
        <v>12</v>
      </c>
      <c r="F118">
        <v>0</v>
      </c>
      <c r="G118">
        <v>4</v>
      </c>
      <c r="H118">
        <v>0</v>
      </c>
      <c r="I118">
        <v>1</v>
      </c>
      <c r="J118">
        <v>2</v>
      </c>
      <c r="K118">
        <v>5</v>
      </c>
      <c r="L118">
        <v>2</v>
      </c>
      <c r="M118">
        <v>1</v>
      </c>
      <c r="N118">
        <v>2</v>
      </c>
      <c r="O118">
        <v>0</v>
      </c>
      <c r="P118">
        <v>2</v>
      </c>
      <c r="Q118">
        <v>1</v>
      </c>
      <c r="R118">
        <v>0</v>
      </c>
      <c r="S118">
        <v>16</v>
      </c>
      <c r="T118" s="67" t="s">
        <v>1518</v>
      </c>
    </row>
    <row r="119" spans="2:20" ht="16.5" customHeight="1" x14ac:dyDescent="0.25">
      <c r="B119" s="253" t="s">
        <v>430</v>
      </c>
      <c r="C119" s="66" t="s">
        <v>715</v>
      </c>
      <c r="D119">
        <v>0</v>
      </c>
      <c r="E119">
        <v>2</v>
      </c>
      <c r="F119">
        <v>2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2</v>
      </c>
      <c r="N119">
        <v>0</v>
      </c>
      <c r="O119">
        <v>0</v>
      </c>
      <c r="P119">
        <v>1</v>
      </c>
      <c r="Q119">
        <v>1</v>
      </c>
      <c r="R119">
        <v>0</v>
      </c>
      <c r="S119">
        <v>5</v>
      </c>
      <c r="T119" s="67" t="s">
        <v>1520</v>
      </c>
    </row>
    <row r="120" spans="2:20" x14ac:dyDescent="0.25">
      <c r="B120" s="253" t="s">
        <v>431</v>
      </c>
      <c r="C120" s="66" t="s">
        <v>717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 s="67" t="s">
        <v>1522</v>
      </c>
    </row>
    <row r="121" spans="2:20" x14ac:dyDescent="0.25">
      <c r="B121" s="253" t="s">
        <v>431</v>
      </c>
      <c r="C121" s="66" t="s">
        <v>716</v>
      </c>
      <c r="D121">
        <v>0</v>
      </c>
      <c r="E121">
        <v>2</v>
      </c>
      <c r="F121">
        <v>0</v>
      </c>
      <c r="G121">
        <v>3</v>
      </c>
      <c r="H121">
        <v>0</v>
      </c>
      <c r="I121">
        <v>1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2</v>
      </c>
      <c r="Q121">
        <v>1</v>
      </c>
      <c r="R121">
        <v>0</v>
      </c>
      <c r="S121">
        <v>5</v>
      </c>
      <c r="T121" s="67" t="s">
        <v>1521</v>
      </c>
    </row>
    <row r="122" spans="2:20" x14ac:dyDescent="0.25">
      <c r="B122" s="253" t="s">
        <v>431</v>
      </c>
      <c r="C122" s="66" t="s">
        <v>715</v>
      </c>
      <c r="D122">
        <v>0</v>
      </c>
      <c r="E122">
        <v>2</v>
      </c>
      <c r="F122">
        <v>3</v>
      </c>
      <c r="G122">
        <v>4</v>
      </c>
      <c r="H122">
        <v>0</v>
      </c>
      <c r="I122">
        <v>0</v>
      </c>
      <c r="J122">
        <v>1</v>
      </c>
      <c r="K122">
        <v>2</v>
      </c>
      <c r="L122">
        <v>0</v>
      </c>
      <c r="M122">
        <v>1</v>
      </c>
      <c r="N122">
        <v>2</v>
      </c>
      <c r="O122">
        <v>0</v>
      </c>
      <c r="P122">
        <v>1</v>
      </c>
      <c r="Q122">
        <v>2</v>
      </c>
      <c r="R122">
        <v>0</v>
      </c>
      <c r="S122">
        <v>9</v>
      </c>
      <c r="T122" s="67" t="s">
        <v>1523</v>
      </c>
    </row>
    <row r="123" spans="2:20" x14ac:dyDescent="0.25">
      <c r="B123" s="253" t="s">
        <v>432</v>
      </c>
      <c r="C123" s="66" t="s">
        <v>717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</v>
      </c>
      <c r="T123" s="67" t="s">
        <v>1484</v>
      </c>
    </row>
    <row r="124" spans="2:20" x14ac:dyDescent="0.25">
      <c r="B124" s="253" t="s">
        <v>432</v>
      </c>
      <c r="C124" s="66" t="s">
        <v>716</v>
      </c>
      <c r="D124">
        <v>0</v>
      </c>
      <c r="E124">
        <v>3</v>
      </c>
      <c r="F124">
        <v>2</v>
      </c>
      <c r="G124">
        <v>2</v>
      </c>
      <c r="H124">
        <v>0</v>
      </c>
      <c r="I124">
        <v>1</v>
      </c>
      <c r="J124">
        <v>0</v>
      </c>
      <c r="K124">
        <v>0</v>
      </c>
      <c r="L124">
        <v>1</v>
      </c>
      <c r="M124">
        <v>0</v>
      </c>
      <c r="N124">
        <v>1</v>
      </c>
      <c r="O124">
        <v>0</v>
      </c>
      <c r="P124">
        <v>3</v>
      </c>
      <c r="Q124">
        <v>1</v>
      </c>
      <c r="R124">
        <v>0</v>
      </c>
      <c r="S124">
        <v>7</v>
      </c>
      <c r="T124" s="67" t="s">
        <v>1524</v>
      </c>
    </row>
    <row r="125" spans="2:20" x14ac:dyDescent="0.25">
      <c r="B125" s="253" t="s">
        <v>432</v>
      </c>
      <c r="C125" s="66" t="s">
        <v>715</v>
      </c>
      <c r="D125">
        <v>0</v>
      </c>
      <c r="E125">
        <v>3</v>
      </c>
      <c r="F125">
        <v>4</v>
      </c>
      <c r="G125">
        <v>5</v>
      </c>
      <c r="H125">
        <v>0</v>
      </c>
      <c r="I125">
        <v>0</v>
      </c>
      <c r="J125">
        <v>1</v>
      </c>
      <c r="K125">
        <v>3</v>
      </c>
      <c r="L125">
        <v>1</v>
      </c>
      <c r="M125">
        <v>1</v>
      </c>
      <c r="N125">
        <v>3</v>
      </c>
      <c r="O125">
        <v>0</v>
      </c>
      <c r="P125">
        <v>1</v>
      </c>
      <c r="Q125">
        <v>2</v>
      </c>
      <c r="R125">
        <v>0</v>
      </c>
      <c r="S125">
        <v>12</v>
      </c>
      <c r="T125" s="67" t="s">
        <v>1525</v>
      </c>
    </row>
    <row r="126" spans="2:20" x14ac:dyDescent="0.25">
      <c r="B126" s="253" t="s">
        <v>433</v>
      </c>
      <c r="C126" s="66" t="s">
        <v>717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s="67" t="s">
        <v>1454</v>
      </c>
    </row>
    <row r="127" spans="2:20" x14ac:dyDescent="0.25">
      <c r="B127" s="253" t="s">
        <v>433</v>
      </c>
      <c r="C127" s="66" t="s">
        <v>716</v>
      </c>
      <c r="D127">
        <v>0</v>
      </c>
      <c r="E127">
        <v>0</v>
      </c>
      <c r="F127">
        <v>0</v>
      </c>
      <c r="G127">
        <v>3</v>
      </c>
      <c r="H127">
        <v>0</v>
      </c>
      <c r="I127">
        <v>0</v>
      </c>
      <c r="J127">
        <v>1</v>
      </c>
      <c r="K127">
        <v>1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3</v>
      </c>
      <c r="T127" s="67" t="s">
        <v>1526</v>
      </c>
    </row>
    <row r="128" spans="2:20" x14ac:dyDescent="0.25">
      <c r="B128" s="253" t="s">
        <v>433</v>
      </c>
      <c r="C128" s="66" t="s">
        <v>715</v>
      </c>
      <c r="D128">
        <v>0</v>
      </c>
      <c r="E128">
        <v>0</v>
      </c>
      <c r="F128">
        <v>0</v>
      </c>
      <c r="G128">
        <v>3</v>
      </c>
      <c r="H128">
        <v>0</v>
      </c>
      <c r="I128">
        <v>0</v>
      </c>
      <c r="J128">
        <v>1</v>
      </c>
      <c r="K128">
        <v>1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3</v>
      </c>
      <c r="T128" s="67" t="s">
        <v>1526</v>
      </c>
    </row>
    <row r="129" spans="2:20" x14ac:dyDescent="0.25">
      <c r="B129" s="253" t="s">
        <v>434</v>
      </c>
      <c r="C129" s="66" t="s">
        <v>717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s="67" t="s">
        <v>1454</v>
      </c>
    </row>
    <row r="130" spans="2:20" x14ac:dyDescent="0.25">
      <c r="B130" s="253" t="s">
        <v>434</v>
      </c>
      <c r="C130" s="66" t="s">
        <v>716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 s="67" t="s">
        <v>1489</v>
      </c>
    </row>
    <row r="131" spans="2:20" x14ac:dyDescent="0.25">
      <c r="B131" s="253" t="s">
        <v>434</v>
      </c>
      <c r="C131" s="66" t="s">
        <v>715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s="67" t="s">
        <v>1454</v>
      </c>
    </row>
    <row r="132" spans="2:20" x14ac:dyDescent="0.25">
      <c r="B132" s="253" t="s">
        <v>435</v>
      </c>
      <c r="C132" s="66" t="s">
        <v>717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s="67" t="s">
        <v>1454</v>
      </c>
    </row>
    <row r="133" spans="2:20" x14ac:dyDescent="0.25">
      <c r="B133" s="253" t="s">
        <v>435</v>
      </c>
      <c r="C133" s="66" t="s">
        <v>716</v>
      </c>
      <c r="D133">
        <v>0</v>
      </c>
      <c r="E133">
        <v>2</v>
      </c>
      <c r="F133">
        <v>0</v>
      </c>
      <c r="G133">
        <v>0</v>
      </c>
      <c r="H133">
        <v>0</v>
      </c>
      <c r="I133">
        <v>0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2</v>
      </c>
      <c r="T133" s="67" t="s">
        <v>1527</v>
      </c>
    </row>
    <row r="134" spans="2:20" x14ac:dyDescent="0.25">
      <c r="B134" s="253" t="s">
        <v>435</v>
      </c>
      <c r="C134" s="66" t="s">
        <v>715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s="67" t="s">
        <v>1454</v>
      </c>
    </row>
    <row r="135" spans="2:20" x14ac:dyDescent="0.25">
      <c r="B135" s="253" t="s">
        <v>574</v>
      </c>
      <c r="C135" s="66" t="s">
        <v>717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s="67" t="s">
        <v>1454</v>
      </c>
    </row>
    <row r="136" spans="2:20" x14ac:dyDescent="0.25">
      <c r="B136" s="253" t="s">
        <v>574</v>
      </c>
      <c r="C136" s="66" t="s">
        <v>716</v>
      </c>
      <c r="D136">
        <v>0</v>
      </c>
      <c r="E136">
        <v>1</v>
      </c>
      <c r="F136">
        <v>2</v>
      </c>
      <c r="G136">
        <v>1</v>
      </c>
      <c r="H136">
        <v>1</v>
      </c>
      <c r="I136">
        <v>4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5</v>
      </c>
      <c r="T136" s="67" t="s">
        <v>1528</v>
      </c>
    </row>
    <row r="137" spans="2:20" x14ac:dyDescent="0.25">
      <c r="B137" s="253" t="s">
        <v>574</v>
      </c>
      <c r="C137" s="66" t="s">
        <v>715</v>
      </c>
      <c r="D137">
        <v>0</v>
      </c>
      <c r="E137">
        <v>0</v>
      </c>
      <c r="F137">
        <v>2</v>
      </c>
      <c r="G137">
        <v>3</v>
      </c>
      <c r="H137">
        <v>0</v>
      </c>
      <c r="I137">
        <v>4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5</v>
      </c>
      <c r="T137" s="67" t="s">
        <v>1529</v>
      </c>
    </row>
    <row r="138" spans="2:20" x14ac:dyDescent="0.25">
      <c r="B138" s="253" t="s">
        <v>436</v>
      </c>
      <c r="C138" s="66" t="s">
        <v>717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 s="67" t="s">
        <v>1531</v>
      </c>
    </row>
    <row r="139" spans="2:20" x14ac:dyDescent="0.25">
      <c r="B139" s="253" t="s">
        <v>436</v>
      </c>
      <c r="C139" s="66" t="s">
        <v>716</v>
      </c>
      <c r="D139">
        <v>0</v>
      </c>
      <c r="E139">
        <v>4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3</v>
      </c>
      <c r="L139">
        <v>0</v>
      </c>
      <c r="M139">
        <v>0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4</v>
      </c>
      <c r="T139" s="67" t="s">
        <v>1530</v>
      </c>
    </row>
    <row r="140" spans="2:20" x14ac:dyDescent="0.25">
      <c r="B140" s="253" t="s">
        <v>436</v>
      </c>
      <c r="C140" s="66" t="s">
        <v>715</v>
      </c>
      <c r="D140">
        <v>0</v>
      </c>
      <c r="E140">
        <v>4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</v>
      </c>
      <c r="L140">
        <v>0</v>
      </c>
      <c r="M140">
        <v>0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4</v>
      </c>
      <c r="T140" s="67" t="s">
        <v>1530</v>
      </c>
    </row>
    <row r="141" spans="2:20" x14ac:dyDescent="0.25">
      <c r="B141" s="253" t="s">
        <v>437</v>
      </c>
      <c r="C141" s="66" t="s">
        <v>717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1</v>
      </c>
      <c r="T141" s="67" t="s">
        <v>1531</v>
      </c>
    </row>
    <row r="142" spans="2:20" x14ac:dyDescent="0.25">
      <c r="B142" s="253" t="s">
        <v>437</v>
      </c>
      <c r="C142" s="66" t="s">
        <v>716</v>
      </c>
      <c r="D142">
        <v>0</v>
      </c>
      <c r="E142">
        <v>4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3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4</v>
      </c>
      <c r="T142" s="67" t="s">
        <v>1530</v>
      </c>
    </row>
    <row r="143" spans="2:20" x14ac:dyDescent="0.25">
      <c r="B143" s="253" t="s">
        <v>437</v>
      </c>
      <c r="C143" s="66" t="s">
        <v>715</v>
      </c>
      <c r="D143">
        <v>0</v>
      </c>
      <c r="E143">
        <v>1</v>
      </c>
      <c r="F143">
        <v>1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2</v>
      </c>
      <c r="T143" s="67" t="s">
        <v>1532</v>
      </c>
    </row>
    <row r="144" spans="2:20" x14ac:dyDescent="0.25">
      <c r="B144" s="253" t="s">
        <v>397</v>
      </c>
      <c r="C144" s="66" t="s">
        <v>717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 s="67" t="s">
        <v>1470</v>
      </c>
    </row>
    <row r="145" spans="2:20" x14ac:dyDescent="0.25">
      <c r="B145" s="253" t="s">
        <v>397</v>
      </c>
      <c r="C145" s="66" t="s">
        <v>716</v>
      </c>
      <c r="D145">
        <v>0</v>
      </c>
      <c r="E145">
        <v>11</v>
      </c>
      <c r="F145">
        <v>0</v>
      </c>
      <c r="G145">
        <v>2</v>
      </c>
      <c r="H145">
        <v>1</v>
      </c>
      <c r="I145">
        <v>2</v>
      </c>
      <c r="J145">
        <v>2</v>
      </c>
      <c r="K145">
        <v>3</v>
      </c>
      <c r="L145">
        <v>0</v>
      </c>
      <c r="M145">
        <v>1</v>
      </c>
      <c r="N145">
        <v>1</v>
      </c>
      <c r="O145">
        <v>0</v>
      </c>
      <c r="P145">
        <v>3</v>
      </c>
      <c r="Q145">
        <v>1</v>
      </c>
      <c r="R145">
        <v>1</v>
      </c>
      <c r="S145">
        <v>14</v>
      </c>
      <c r="T145" s="67" t="s">
        <v>1533</v>
      </c>
    </row>
    <row r="146" spans="2:20" ht="16.5" customHeight="1" x14ac:dyDescent="0.25">
      <c r="B146" s="253" t="s">
        <v>397</v>
      </c>
      <c r="C146" s="66" t="s">
        <v>715</v>
      </c>
      <c r="D146">
        <v>1</v>
      </c>
      <c r="E146">
        <v>11</v>
      </c>
      <c r="F146">
        <v>1</v>
      </c>
      <c r="G146">
        <v>4</v>
      </c>
      <c r="H146">
        <v>0</v>
      </c>
      <c r="I146">
        <v>1</v>
      </c>
      <c r="J146">
        <v>2</v>
      </c>
      <c r="K146">
        <v>4</v>
      </c>
      <c r="L146">
        <v>2</v>
      </c>
      <c r="M146">
        <v>0</v>
      </c>
      <c r="N146">
        <v>3</v>
      </c>
      <c r="O146">
        <v>0</v>
      </c>
      <c r="P146">
        <v>4</v>
      </c>
      <c r="Q146">
        <v>0</v>
      </c>
      <c r="R146">
        <v>1</v>
      </c>
      <c r="S146">
        <v>17</v>
      </c>
      <c r="T146" s="67" t="s">
        <v>1534</v>
      </c>
    </row>
    <row r="147" spans="2:20" x14ac:dyDescent="0.25">
      <c r="B147" s="253" t="s">
        <v>438</v>
      </c>
      <c r="C147" s="66" t="s">
        <v>717</v>
      </c>
      <c r="D147">
        <v>0</v>
      </c>
      <c r="E147">
        <v>3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</v>
      </c>
      <c r="L147">
        <v>1</v>
      </c>
      <c r="M147">
        <v>0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3</v>
      </c>
      <c r="T147" s="67" t="s">
        <v>1536</v>
      </c>
    </row>
    <row r="148" spans="2:20" x14ac:dyDescent="0.25">
      <c r="B148" s="253" t="s">
        <v>438</v>
      </c>
      <c r="C148" s="66" t="s">
        <v>716</v>
      </c>
      <c r="D148">
        <v>0</v>
      </c>
      <c r="E148">
        <v>3</v>
      </c>
      <c r="F148">
        <v>0</v>
      </c>
      <c r="G148">
        <v>2</v>
      </c>
      <c r="H148">
        <v>1</v>
      </c>
      <c r="I148">
        <v>3</v>
      </c>
      <c r="J148">
        <v>0</v>
      </c>
      <c r="K148">
        <v>1</v>
      </c>
      <c r="L148">
        <v>1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6</v>
      </c>
      <c r="T148" s="67" t="s">
        <v>1535</v>
      </c>
    </row>
    <row r="149" spans="2:20" x14ac:dyDescent="0.25">
      <c r="B149" s="253" t="s">
        <v>438</v>
      </c>
      <c r="C149" s="66" t="s">
        <v>715</v>
      </c>
      <c r="D149">
        <v>0</v>
      </c>
      <c r="E149">
        <v>0</v>
      </c>
      <c r="F149">
        <v>0</v>
      </c>
      <c r="G149">
        <v>2</v>
      </c>
      <c r="H149">
        <v>0</v>
      </c>
      <c r="I149">
        <v>0</v>
      </c>
      <c r="J149">
        <v>0</v>
      </c>
      <c r="K149">
        <v>1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2</v>
      </c>
      <c r="T149" s="67" t="s">
        <v>1537</v>
      </c>
    </row>
    <row r="150" spans="2:20" x14ac:dyDescent="0.25">
      <c r="B150" s="253" t="s">
        <v>439</v>
      </c>
      <c r="C150" s="66" t="s">
        <v>717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 s="67" t="s">
        <v>1454</v>
      </c>
    </row>
    <row r="151" spans="2:20" x14ac:dyDescent="0.25">
      <c r="B151" s="253" t="s">
        <v>439</v>
      </c>
      <c r="C151" s="66" t="s">
        <v>716</v>
      </c>
      <c r="D151">
        <v>1</v>
      </c>
      <c r="E151">
        <v>1</v>
      </c>
      <c r="F151">
        <v>3</v>
      </c>
      <c r="G151">
        <v>0</v>
      </c>
      <c r="H151">
        <v>1</v>
      </c>
      <c r="I151">
        <v>2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3</v>
      </c>
      <c r="S151">
        <v>6</v>
      </c>
      <c r="T151" s="67" t="s">
        <v>1538</v>
      </c>
    </row>
    <row r="152" spans="2:20" x14ac:dyDescent="0.25">
      <c r="B152" s="253" t="s">
        <v>439</v>
      </c>
      <c r="C152" s="66" t="s">
        <v>715</v>
      </c>
      <c r="D152">
        <v>0</v>
      </c>
      <c r="E152">
        <v>0</v>
      </c>
      <c r="F152">
        <v>1</v>
      </c>
      <c r="G152">
        <v>1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1</v>
      </c>
      <c r="S152">
        <v>2</v>
      </c>
      <c r="T152" s="67" t="s">
        <v>1539</v>
      </c>
    </row>
    <row r="153" spans="2:20" x14ac:dyDescent="0.25">
      <c r="B153" s="253" t="s">
        <v>440</v>
      </c>
      <c r="C153" s="66" t="s">
        <v>717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1</v>
      </c>
      <c r="T153" s="67" t="s">
        <v>1541</v>
      </c>
    </row>
    <row r="154" spans="2:20" x14ac:dyDescent="0.25">
      <c r="B154" s="253" t="s">
        <v>440</v>
      </c>
      <c r="C154" s="66" t="s">
        <v>716</v>
      </c>
      <c r="D154">
        <v>0</v>
      </c>
      <c r="E154">
        <v>4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1</v>
      </c>
      <c r="O154">
        <v>0</v>
      </c>
      <c r="P154">
        <v>2</v>
      </c>
      <c r="Q154">
        <v>0</v>
      </c>
      <c r="R154">
        <v>0</v>
      </c>
      <c r="S154">
        <v>4</v>
      </c>
      <c r="T154" s="67" t="s">
        <v>1540</v>
      </c>
    </row>
    <row r="155" spans="2:20" x14ac:dyDescent="0.25">
      <c r="B155" s="253" t="s">
        <v>440</v>
      </c>
      <c r="C155" s="66" t="s">
        <v>715</v>
      </c>
      <c r="D155">
        <v>0</v>
      </c>
      <c r="E155">
        <v>1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2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2</v>
      </c>
      <c r="T155" s="67" t="s">
        <v>1542</v>
      </c>
    </row>
    <row r="156" spans="2:20" x14ac:dyDescent="0.25">
      <c r="B156" s="253" t="s">
        <v>441</v>
      </c>
      <c r="C156" s="66" t="s">
        <v>717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 s="67" t="s">
        <v>1483</v>
      </c>
    </row>
    <row r="157" spans="2:20" ht="16.5" customHeight="1" x14ac:dyDescent="0.25">
      <c r="B157" s="253" t="s">
        <v>441</v>
      </c>
      <c r="C157" s="66" t="s">
        <v>716</v>
      </c>
      <c r="D157">
        <v>0</v>
      </c>
      <c r="E157">
        <v>1</v>
      </c>
      <c r="F157">
        <v>0</v>
      </c>
      <c r="G157">
        <v>1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0</v>
      </c>
      <c r="R157">
        <v>0</v>
      </c>
      <c r="S157">
        <v>2</v>
      </c>
      <c r="T157" s="67" t="s">
        <v>1543</v>
      </c>
    </row>
    <row r="158" spans="2:20" x14ac:dyDescent="0.25">
      <c r="B158" s="253" t="s">
        <v>441</v>
      </c>
      <c r="C158" s="66" t="s">
        <v>715</v>
      </c>
      <c r="D158">
        <v>0</v>
      </c>
      <c r="E158">
        <v>1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1</v>
      </c>
      <c r="Q158">
        <v>0</v>
      </c>
      <c r="R158">
        <v>0</v>
      </c>
      <c r="S158">
        <v>2</v>
      </c>
      <c r="T158" s="67" t="s">
        <v>1544</v>
      </c>
    </row>
    <row r="159" spans="2:20" ht="16.5" customHeight="1" x14ac:dyDescent="0.25">
      <c r="B159" s="253" t="s">
        <v>442</v>
      </c>
      <c r="C159" s="66" t="s">
        <v>717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1</v>
      </c>
      <c r="T159" s="67" t="s">
        <v>1546</v>
      </c>
    </row>
    <row r="160" spans="2:20" x14ac:dyDescent="0.25">
      <c r="B160" s="253" t="s">
        <v>442</v>
      </c>
      <c r="C160" s="66" t="s">
        <v>716</v>
      </c>
      <c r="D160">
        <v>0</v>
      </c>
      <c r="E160">
        <v>3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2</v>
      </c>
      <c r="Q160">
        <v>0</v>
      </c>
      <c r="R160">
        <v>0</v>
      </c>
      <c r="S160">
        <v>3</v>
      </c>
      <c r="T160" s="67" t="s">
        <v>1545</v>
      </c>
    </row>
    <row r="161" spans="2:20" x14ac:dyDescent="0.25">
      <c r="B161" s="253" t="s">
        <v>442</v>
      </c>
      <c r="C161" s="66" t="s">
        <v>715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1</v>
      </c>
      <c r="T161" s="67" t="s">
        <v>1522</v>
      </c>
    </row>
    <row r="162" spans="2:20" x14ac:dyDescent="0.25">
      <c r="B162" s="253" t="s">
        <v>443</v>
      </c>
      <c r="C162" s="66" t="s">
        <v>717</v>
      </c>
      <c r="D162">
        <v>0</v>
      </c>
      <c r="E162">
        <v>0</v>
      </c>
      <c r="F162">
        <v>1</v>
      </c>
      <c r="G162">
        <v>0</v>
      </c>
      <c r="H162">
        <v>0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1</v>
      </c>
      <c r="T162" s="67" t="s">
        <v>1472</v>
      </c>
    </row>
    <row r="163" spans="2:20" ht="16.5" customHeight="1" x14ac:dyDescent="0.25">
      <c r="B163" s="253" t="s">
        <v>443</v>
      </c>
      <c r="C163" s="66" t="s">
        <v>716</v>
      </c>
      <c r="D163">
        <v>1</v>
      </c>
      <c r="E163">
        <v>2</v>
      </c>
      <c r="F163">
        <v>3</v>
      </c>
      <c r="G163">
        <v>5</v>
      </c>
      <c r="H163">
        <v>1</v>
      </c>
      <c r="I163">
        <v>2</v>
      </c>
      <c r="J163">
        <v>0</v>
      </c>
      <c r="K163">
        <v>0</v>
      </c>
      <c r="L163">
        <v>0</v>
      </c>
      <c r="M163">
        <v>0</v>
      </c>
      <c r="N163">
        <v>2</v>
      </c>
      <c r="O163">
        <v>2</v>
      </c>
      <c r="P163">
        <v>2</v>
      </c>
      <c r="Q163">
        <v>0</v>
      </c>
      <c r="R163">
        <v>4</v>
      </c>
      <c r="S163">
        <v>12</v>
      </c>
      <c r="T163" s="67" t="s">
        <v>1547</v>
      </c>
    </row>
    <row r="164" spans="2:20" ht="16.5" customHeight="1" x14ac:dyDescent="0.25">
      <c r="B164" s="253" t="s">
        <v>443</v>
      </c>
      <c r="C164" s="66" t="s">
        <v>715</v>
      </c>
      <c r="D164">
        <v>1</v>
      </c>
      <c r="E164">
        <v>2</v>
      </c>
      <c r="F164">
        <v>5</v>
      </c>
      <c r="G164">
        <v>6</v>
      </c>
      <c r="H164">
        <v>0</v>
      </c>
      <c r="I164">
        <v>1</v>
      </c>
      <c r="J164">
        <v>0</v>
      </c>
      <c r="K164">
        <v>0</v>
      </c>
      <c r="L164">
        <v>0</v>
      </c>
      <c r="M164">
        <v>2</v>
      </c>
      <c r="N164">
        <v>2</v>
      </c>
      <c r="O164">
        <v>2</v>
      </c>
      <c r="P164">
        <v>4</v>
      </c>
      <c r="Q164">
        <v>0</v>
      </c>
      <c r="R164">
        <v>3</v>
      </c>
      <c r="S164">
        <v>14</v>
      </c>
      <c r="T164" s="67" t="s">
        <v>1548</v>
      </c>
    </row>
    <row r="165" spans="2:20" x14ac:dyDescent="0.25">
      <c r="B165" s="253" t="s">
        <v>444</v>
      </c>
      <c r="C165" s="66" t="s">
        <v>717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1</v>
      </c>
      <c r="T165" s="67" t="s">
        <v>1550</v>
      </c>
    </row>
    <row r="166" spans="2:20" x14ac:dyDescent="0.25">
      <c r="B166" s="253" t="s">
        <v>444</v>
      </c>
      <c r="C166" s="66" t="s">
        <v>716</v>
      </c>
      <c r="D166">
        <v>0</v>
      </c>
      <c r="E166">
        <v>6</v>
      </c>
      <c r="F166">
        <v>9</v>
      </c>
      <c r="G166">
        <v>11</v>
      </c>
      <c r="H166">
        <v>1</v>
      </c>
      <c r="I166">
        <v>4</v>
      </c>
      <c r="J166">
        <v>3</v>
      </c>
      <c r="K166">
        <v>3</v>
      </c>
      <c r="L166">
        <v>2</v>
      </c>
      <c r="M166">
        <v>2</v>
      </c>
      <c r="N166">
        <v>3</v>
      </c>
      <c r="O166">
        <v>2</v>
      </c>
      <c r="P166">
        <v>4</v>
      </c>
      <c r="Q166">
        <v>2</v>
      </c>
      <c r="R166">
        <v>2</v>
      </c>
      <c r="S166">
        <v>27</v>
      </c>
      <c r="T166" s="67" t="s">
        <v>1549</v>
      </c>
    </row>
    <row r="167" spans="2:20" x14ac:dyDescent="0.25">
      <c r="B167" s="253" t="s">
        <v>444</v>
      </c>
      <c r="C167" s="66" t="s">
        <v>715</v>
      </c>
      <c r="D167">
        <v>0</v>
      </c>
      <c r="E167">
        <v>8</v>
      </c>
      <c r="F167">
        <v>9</v>
      </c>
      <c r="G167">
        <v>11</v>
      </c>
      <c r="H167">
        <v>1</v>
      </c>
      <c r="I167">
        <v>3</v>
      </c>
      <c r="J167">
        <v>2</v>
      </c>
      <c r="K167">
        <v>3</v>
      </c>
      <c r="L167">
        <v>2</v>
      </c>
      <c r="M167">
        <v>3</v>
      </c>
      <c r="N167">
        <v>5</v>
      </c>
      <c r="O167">
        <v>2</v>
      </c>
      <c r="P167">
        <v>4</v>
      </c>
      <c r="Q167">
        <v>3</v>
      </c>
      <c r="R167">
        <v>2</v>
      </c>
      <c r="S167">
        <v>29</v>
      </c>
      <c r="T167" s="67" t="s">
        <v>1551</v>
      </c>
    </row>
    <row r="168" spans="2:20" x14ac:dyDescent="0.25">
      <c r="B168" s="253" t="s">
        <v>445</v>
      </c>
      <c r="C168" s="66" t="s">
        <v>717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</v>
      </c>
      <c r="T168" s="67" t="s">
        <v>1531</v>
      </c>
    </row>
    <row r="169" spans="2:20" x14ac:dyDescent="0.25">
      <c r="B169" s="253" t="s">
        <v>445</v>
      </c>
      <c r="C169" s="66" t="s">
        <v>716</v>
      </c>
      <c r="D169">
        <v>0</v>
      </c>
      <c r="E169">
        <v>5</v>
      </c>
      <c r="F169">
        <v>1</v>
      </c>
      <c r="G169">
        <v>2</v>
      </c>
      <c r="H169">
        <v>1</v>
      </c>
      <c r="I169">
        <v>3</v>
      </c>
      <c r="J169">
        <v>0</v>
      </c>
      <c r="K169">
        <v>3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2</v>
      </c>
      <c r="R169">
        <v>0</v>
      </c>
      <c r="S169">
        <v>9</v>
      </c>
      <c r="T169" s="67" t="s">
        <v>1552</v>
      </c>
    </row>
    <row r="170" spans="2:20" x14ac:dyDescent="0.25">
      <c r="B170" s="253" t="s">
        <v>445</v>
      </c>
      <c r="C170" s="66" t="s">
        <v>715</v>
      </c>
      <c r="D170">
        <v>0</v>
      </c>
      <c r="E170">
        <v>2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0</v>
      </c>
      <c r="S170">
        <v>2</v>
      </c>
      <c r="T170" s="67" t="s">
        <v>1553</v>
      </c>
    </row>
    <row r="171" spans="2:20" x14ac:dyDescent="0.25">
      <c r="B171" s="253" t="s">
        <v>446</v>
      </c>
      <c r="C171" s="66" t="s">
        <v>717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1</v>
      </c>
      <c r="T171" s="67" t="s">
        <v>1555</v>
      </c>
    </row>
    <row r="172" spans="2:20" x14ac:dyDescent="0.25">
      <c r="B172" s="253" t="s">
        <v>446</v>
      </c>
      <c r="C172" s="66" t="s">
        <v>716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1</v>
      </c>
      <c r="T172" s="67" t="s">
        <v>1554</v>
      </c>
    </row>
    <row r="173" spans="2:20" x14ac:dyDescent="0.25">
      <c r="B173" s="253" t="s">
        <v>446</v>
      </c>
      <c r="C173" s="66" t="s">
        <v>715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1</v>
      </c>
      <c r="T173" s="67" t="s">
        <v>1554</v>
      </c>
    </row>
    <row r="174" spans="2:20" x14ac:dyDescent="0.25">
      <c r="B174" s="253" t="s">
        <v>447</v>
      </c>
      <c r="C174" s="66" t="s">
        <v>717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1</v>
      </c>
      <c r="T174" s="67" t="s">
        <v>1522</v>
      </c>
    </row>
    <row r="175" spans="2:20" x14ac:dyDescent="0.25">
      <c r="B175" s="253" t="s">
        <v>447</v>
      </c>
      <c r="C175" s="66" t="s">
        <v>716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</v>
      </c>
      <c r="T175" s="67" t="s">
        <v>1556</v>
      </c>
    </row>
    <row r="176" spans="2:20" x14ac:dyDescent="0.25">
      <c r="B176" s="253" t="s">
        <v>447</v>
      </c>
      <c r="C176" s="66" t="s">
        <v>715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s="67" t="s">
        <v>1454</v>
      </c>
    </row>
    <row r="177" spans="2:20" x14ac:dyDescent="0.25">
      <c r="B177" s="253" t="s">
        <v>448</v>
      </c>
      <c r="C177" s="66" t="s">
        <v>717</v>
      </c>
      <c r="D177">
        <v>0</v>
      </c>
      <c r="E177">
        <v>0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</v>
      </c>
      <c r="S177">
        <v>1</v>
      </c>
      <c r="T177" s="67" t="s">
        <v>1558</v>
      </c>
    </row>
    <row r="178" spans="2:20" x14ac:dyDescent="0.25">
      <c r="B178" s="253" t="s">
        <v>448</v>
      </c>
      <c r="C178" s="66" t="s">
        <v>716</v>
      </c>
      <c r="D178">
        <v>0</v>
      </c>
      <c r="E178">
        <v>0</v>
      </c>
      <c r="F178">
        <v>1</v>
      </c>
      <c r="G178">
        <v>2</v>
      </c>
      <c r="H178">
        <v>1</v>
      </c>
      <c r="I178">
        <v>2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1</v>
      </c>
      <c r="S178">
        <v>4</v>
      </c>
      <c r="T178" s="67" t="s">
        <v>1557</v>
      </c>
    </row>
    <row r="179" spans="2:20" x14ac:dyDescent="0.25">
      <c r="B179" s="253" t="s">
        <v>448</v>
      </c>
      <c r="C179" s="66" t="s">
        <v>715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67" t="s">
        <v>1454</v>
      </c>
    </row>
    <row r="180" spans="2:20" x14ac:dyDescent="0.25">
      <c r="B180" s="253" t="s">
        <v>449</v>
      </c>
      <c r="C180" s="66" t="s">
        <v>717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</v>
      </c>
      <c r="T180" s="67" t="s">
        <v>1522</v>
      </c>
    </row>
    <row r="181" spans="2:20" x14ac:dyDescent="0.25">
      <c r="B181" s="253" t="s">
        <v>449</v>
      </c>
      <c r="C181" s="66" t="s">
        <v>716</v>
      </c>
      <c r="D181">
        <v>0</v>
      </c>
      <c r="E181">
        <v>5</v>
      </c>
      <c r="F181">
        <v>4</v>
      </c>
      <c r="G181">
        <v>2</v>
      </c>
      <c r="H181">
        <v>0</v>
      </c>
      <c r="I181">
        <v>1</v>
      </c>
      <c r="J181">
        <v>0</v>
      </c>
      <c r="K181">
        <v>1</v>
      </c>
      <c r="L181">
        <v>2</v>
      </c>
      <c r="M181">
        <v>0</v>
      </c>
      <c r="N181">
        <v>4</v>
      </c>
      <c r="O181">
        <v>0</v>
      </c>
      <c r="P181">
        <v>1</v>
      </c>
      <c r="Q181">
        <v>1</v>
      </c>
      <c r="R181">
        <v>1</v>
      </c>
      <c r="S181">
        <v>11</v>
      </c>
      <c r="T181" s="67" t="s">
        <v>1559</v>
      </c>
    </row>
    <row r="182" spans="2:20" x14ac:dyDescent="0.25">
      <c r="B182" s="253" t="s">
        <v>449</v>
      </c>
      <c r="C182" s="66" t="s">
        <v>715</v>
      </c>
      <c r="D182">
        <v>0</v>
      </c>
      <c r="E182">
        <v>3</v>
      </c>
      <c r="F182">
        <v>3</v>
      </c>
      <c r="G182">
        <v>1</v>
      </c>
      <c r="H182">
        <v>0</v>
      </c>
      <c r="I182">
        <v>0</v>
      </c>
      <c r="J182">
        <v>0</v>
      </c>
      <c r="K182">
        <v>1</v>
      </c>
      <c r="L182">
        <v>1</v>
      </c>
      <c r="M182">
        <v>0</v>
      </c>
      <c r="N182">
        <v>2</v>
      </c>
      <c r="O182">
        <v>2</v>
      </c>
      <c r="P182">
        <v>1</v>
      </c>
      <c r="Q182">
        <v>0</v>
      </c>
      <c r="R182">
        <v>0</v>
      </c>
      <c r="S182">
        <v>7</v>
      </c>
      <c r="T182" s="67" t="s">
        <v>1560</v>
      </c>
    </row>
    <row r="183" spans="2:20" x14ac:dyDescent="0.25">
      <c r="B183" s="253" t="s">
        <v>450</v>
      </c>
      <c r="C183" s="66" t="s">
        <v>717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1</v>
      </c>
      <c r="T183" s="67" t="s">
        <v>1561</v>
      </c>
    </row>
    <row r="184" spans="2:20" x14ac:dyDescent="0.25">
      <c r="B184" s="253" t="s">
        <v>450</v>
      </c>
      <c r="C184" s="66" t="s">
        <v>716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</v>
      </c>
      <c r="T184" s="67" t="s">
        <v>1522</v>
      </c>
    </row>
    <row r="185" spans="2:20" x14ac:dyDescent="0.25">
      <c r="B185" s="253" t="s">
        <v>450</v>
      </c>
      <c r="C185" s="66" t="s">
        <v>715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 s="67" t="s">
        <v>1454</v>
      </c>
    </row>
    <row r="186" spans="2:20" x14ac:dyDescent="0.25">
      <c r="B186" s="253" t="s">
        <v>451</v>
      </c>
      <c r="C186" s="66" t="s">
        <v>717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1</v>
      </c>
      <c r="T186" s="67" t="s">
        <v>1562</v>
      </c>
    </row>
    <row r="187" spans="2:20" x14ac:dyDescent="0.25">
      <c r="B187" s="253" t="s">
        <v>451</v>
      </c>
      <c r="C187" s="66" t="s">
        <v>716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</v>
      </c>
      <c r="T187" s="67" t="s">
        <v>1519</v>
      </c>
    </row>
    <row r="188" spans="2:20" x14ac:dyDescent="0.25">
      <c r="B188" s="253" t="s">
        <v>451</v>
      </c>
      <c r="C188" s="66" t="s">
        <v>715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s="67" t="s">
        <v>1454</v>
      </c>
    </row>
    <row r="189" spans="2:20" x14ac:dyDescent="0.25">
      <c r="B189" s="253" t="s">
        <v>452</v>
      </c>
      <c r="C189" s="66" t="s">
        <v>717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1</v>
      </c>
      <c r="T189" s="67" t="s">
        <v>1555</v>
      </c>
    </row>
    <row r="190" spans="2:20" x14ac:dyDescent="0.25">
      <c r="B190" s="253" t="s">
        <v>452</v>
      </c>
      <c r="C190" s="66" t="s">
        <v>716</v>
      </c>
      <c r="D190">
        <v>0</v>
      </c>
      <c r="E190">
        <v>4</v>
      </c>
      <c r="F190">
        <v>3</v>
      </c>
      <c r="G190">
        <v>0</v>
      </c>
      <c r="H190">
        <v>0</v>
      </c>
      <c r="I190">
        <v>1</v>
      </c>
      <c r="J190">
        <v>0</v>
      </c>
      <c r="K190">
        <v>2</v>
      </c>
      <c r="L190">
        <v>0</v>
      </c>
      <c r="M190">
        <v>0</v>
      </c>
      <c r="N190">
        <v>2</v>
      </c>
      <c r="O190">
        <v>0</v>
      </c>
      <c r="P190">
        <v>1</v>
      </c>
      <c r="Q190">
        <v>1</v>
      </c>
      <c r="R190">
        <v>0</v>
      </c>
      <c r="S190">
        <v>7</v>
      </c>
      <c r="T190" s="67" t="s">
        <v>1563</v>
      </c>
    </row>
    <row r="191" spans="2:20" x14ac:dyDescent="0.25">
      <c r="B191" s="253" t="s">
        <v>452</v>
      </c>
      <c r="C191" s="66" t="s">
        <v>715</v>
      </c>
      <c r="D191">
        <v>0</v>
      </c>
      <c r="E191">
        <v>1</v>
      </c>
      <c r="F191">
        <v>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2</v>
      </c>
      <c r="O191">
        <v>0</v>
      </c>
      <c r="P191">
        <v>2</v>
      </c>
      <c r="Q191">
        <v>0</v>
      </c>
      <c r="R191">
        <v>0</v>
      </c>
      <c r="S191">
        <v>4</v>
      </c>
      <c r="T191" s="67" t="s">
        <v>1564</v>
      </c>
    </row>
    <row r="192" spans="2:20" x14ac:dyDescent="0.25">
      <c r="B192" s="253" t="s">
        <v>453</v>
      </c>
      <c r="C192" s="66" t="s">
        <v>717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 s="67" t="s">
        <v>1477</v>
      </c>
    </row>
    <row r="193" spans="2:20" x14ac:dyDescent="0.25">
      <c r="B193" s="253" t="s">
        <v>453</v>
      </c>
      <c r="C193" s="66" t="s">
        <v>716</v>
      </c>
      <c r="D193">
        <v>0</v>
      </c>
      <c r="E193">
        <v>0</v>
      </c>
      <c r="F193">
        <v>1</v>
      </c>
      <c r="G193">
        <v>0</v>
      </c>
      <c r="H193">
        <v>1</v>
      </c>
      <c r="I193">
        <v>1</v>
      </c>
      <c r="J193">
        <v>0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2</v>
      </c>
      <c r="T193" s="67" t="s">
        <v>1565</v>
      </c>
    </row>
    <row r="194" spans="2:20" x14ac:dyDescent="0.25">
      <c r="B194" s="253" t="s">
        <v>453</v>
      </c>
      <c r="C194" s="66" t="s">
        <v>715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67" t="s">
        <v>1454</v>
      </c>
    </row>
    <row r="195" spans="2:20" x14ac:dyDescent="0.25">
      <c r="B195" s="253" t="s">
        <v>396</v>
      </c>
      <c r="C195" s="66" t="s">
        <v>717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1</v>
      </c>
      <c r="T195" s="67" t="s">
        <v>1500</v>
      </c>
    </row>
    <row r="196" spans="2:20" x14ac:dyDescent="0.25">
      <c r="B196" s="253" t="s">
        <v>396</v>
      </c>
      <c r="C196" s="66" t="s">
        <v>716</v>
      </c>
      <c r="D196">
        <v>0</v>
      </c>
      <c r="E196">
        <v>0</v>
      </c>
      <c r="F196">
        <v>1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2</v>
      </c>
      <c r="T196" s="67" t="s">
        <v>1566</v>
      </c>
    </row>
    <row r="197" spans="2:20" x14ac:dyDescent="0.25">
      <c r="B197" s="253" t="s">
        <v>396</v>
      </c>
      <c r="C197" s="66" t="s">
        <v>715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 s="67" t="s">
        <v>1454</v>
      </c>
    </row>
    <row r="198" spans="2:20" x14ac:dyDescent="0.25">
      <c r="B198" s="253" t="s">
        <v>454</v>
      </c>
      <c r="C198" s="66" t="s">
        <v>717</v>
      </c>
      <c r="D198">
        <v>0</v>
      </c>
      <c r="E198">
        <v>0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1</v>
      </c>
      <c r="T198" s="67" t="s">
        <v>1568</v>
      </c>
    </row>
    <row r="199" spans="2:20" x14ac:dyDescent="0.25">
      <c r="B199" s="253" t="s">
        <v>454</v>
      </c>
      <c r="C199" s="66" t="s">
        <v>716</v>
      </c>
      <c r="D199">
        <v>0</v>
      </c>
      <c r="E199">
        <v>0</v>
      </c>
      <c r="F199">
        <v>1</v>
      </c>
      <c r="G199">
        <v>3</v>
      </c>
      <c r="H199">
        <v>1</v>
      </c>
      <c r="I199">
        <v>2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1</v>
      </c>
      <c r="P199">
        <v>0</v>
      </c>
      <c r="Q199">
        <v>1</v>
      </c>
      <c r="R199">
        <v>0</v>
      </c>
      <c r="S199">
        <v>5</v>
      </c>
      <c r="T199" s="67" t="s">
        <v>1567</v>
      </c>
    </row>
    <row r="200" spans="2:20" x14ac:dyDescent="0.25">
      <c r="B200" s="253" t="s">
        <v>454</v>
      </c>
      <c r="C200" s="66" t="s">
        <v>715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 s="67" t="s">
        <v>1454</v>
      </c>
    </row>
    <row r="201" spans="2:20" x14ac:dyDescent="0.25">
      <c r="B201" s="253" t="s">
        <v>455</v>
      </c>
      <c r="C201" s="66" t="s">
        <v>717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1</v>
      </c>
      <c r="T201" s="67" t="s">
        <v>1570</v>
      </c>
    </row>
    <row r="202" spans="2:20" x14ac:dyDescent="0.25">
      <c r="B202" s="253" t="s">
        <v>455</v>
      </c>
      <c r="C202" s="66" t="s">
        <v>716</v>
      </c>
      <c r="D202">
        <v>1</v>
      </c>
      <c r="E202">
        <v>7</v>
      </c>
      <c r="F202">
        <v>1</v>
      </c>
      <c r="G202">
        <v>3</v>
      </c>
      <c r="H202">
        <v>1</v>
      </c>
      <c r="I202">
        <v>1</v>
      </c>
      <c r="J202">
        <v>4</v>
      </c>
      <c r="K202">
        <v>0</v>
      </c>
      <c r="L202">
        <v>0</v>
      </c>
      <c r="M202">
        <v>1</v>
      </c>
      <c r="N202">
        <v>1</v>
      </c>
      <c r="O202">
        <v>1</v>
      </c>
      <c r="P202">
        <v>1</v>
      </c>
      <c r="Q202">
        <v>3</v>
      </c>
      <c r="R202">
        <v>1</v>
      </c>
      <c r="S202">
        <v>13</v>
      </c>
      <c r="T202" s="67" t="s">
        <v>1569</v>
      </c>
    </row>
    <row r="203" spans="2:20" x14ac:dyDescent="0.25">
      <c r="B203" s="253" t="s">
        <v>455</v>
      </c>
      <c r="C203" s="66" t="s">
        <v>715</v>
      </c>
      <c r="D203">
        <v>0</v>
      </c>
      <c r="E203">
        <v>3</v>
      </c>
      <c r="F203">
        <v>2</v>
      </c>
      <c r="G203">
        <v>2</v>
      </c>
      <c r="H203">
        <v>0</v>
      </c>
      <c r="I203">
        <v>1</v>
      </c>
      <c r="J203">
        <v>4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2</v>
      </c>
      <c r="R203">
        <v>0</v>
      </c>
      <c r="S203">
        <v>7</v>
      </c>
      <c r="T203" s="67" t="s">
        <v>1571</v>
      </c>
    </row>
    <row r="204" spans="2:20" x14ac:dyDescent="0.25">
      <c r="B204" s="253" t="s">
        <v>456</v>
      </c>
      <c r="C204" s="66" t="s">
        <v>717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1</v>
      </c>
      <c r="T204" s="67" t="s">
        <v>1570</v>
      </c>
    </row>
    <row r="205" spans="2:20" x14ac:dyDescent="0.25">
      <c r="B205" s="253" t="s">
        <v>456</v>
      </c>
      <c r="C205" s="66" t="s">
        <v>716</v>
      </c>
      <c r="D205">
        <v>0</v>
      </c>
      <c r="E205">
        <v>2</v>
      </c>
      <c r="F205">
        <v>1</v>
      </c>
      <c r="G205">
        <v>4</v>
      </c>
      <c r="H205">
        <v>0</v>
      </c>
      <c r="I205">
        <v>2</v>
      </c>
      <c r="J205">
        <v>2</v>
      </c>
      <c r="K205">
        <v>0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2</v>
      </c>
      <c r="R205">
        <v>0</v>
      </c>
      <c r="S205">
        <v>7</v>
      </c>
      <c r="T205" s="67" t="s">
        <v>1572</v>
      </c>
    </row>
    <row r="206" spans="2:20" x14ac:dyDescent="0.25">
      <c r="B206" s="253" t="s">
        <v>456</v>
      </c>
      <c r="C206" s="66" t="s">
        <v>715</v>
      </c>
      <c r="D206">
        <v>0</v>
      </c>
      <c r="E206">
        <v>3</v>
      </c>
      <c r="F206">
        <v>1</v>
      </c>
      <c r="G206">
        <v>3</v>
      </c>
      <c r="H206">
        <v>0</v>
      </c>
      <c r="I206">
        <v>0</v>
      </c>
      <c r="J206">
        <v>3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0</v>
      </c>
      <c r="Q206">
        <v>3</v>
      </c>
      <c r="R206">
        <v>0</v>
      </c>
      <c r="S206">
        <v>7</v>
      </c>
      <c r="T206" s="67" t="s">
        <v>1573</v>
      </c>
    </row>
    <row r="207" spans="2:20" x14ac:dyDescent="0.25">
      <c r="B207" s="253" t="s">
        <v>457</v>
      </c>
      <c r="C207" s="66" t="s">
        <v>717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1</v>
      </c>
      <c r="T207" s="67" t="s">
        <v>1575</v>
      </c>
    </row>
    <row r="208" spans="2:20" x14ac:dyDescent="0.25">
      <c r="B208" s="253" t="s">
        <v>457</v>
      </c>
      <c r="C208" s="66" t="s">
        <v>716</v>
      </c>
      <c r="D208">
        <v>0</v>
      </c>
      <c r="E208">
        <v>1</v>
      </c>
      <c r="F208">
        <v>1</v>
      </c>
      <c r="G208">
        <v>1</v>
      </c>
      <c r="H208">
        <v>0</v>
      </c>
      <c r="I208">
        <v>1</v>
      </c>
      <c r="J208">
        <v>0</v>
      </c>
      <c r="K208">
        <v>1</v>
      </c>
      <c r="L208">
        <v>0</v>
      </c>
      <c r="M208">
        <v>0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3</v>
      </c>
      <c r="T208" s="67" t="s">
        <v>1574</v>
      </c>
    </row>
    <row r="209" spans="2:20" x14ac:dyDescent="0.25">
      <c r="B209" s="253" t="s">
        <v>457</v>
      </c>
      <c r="C209" s="66" t="s">
        <v>715</v>
      </c>
      <c r="D209">
        <v>0</v>
      </c>
      <c r="E209">
        <v>0</v>
      </c>
      <c r="F209">
        <v>1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2</v>
      </c>
      <c r="O209">
        <v>0</v>
      </c>
      <c r="P209">
        <v>0</v>
      </c>
      <c r="Q209">
        <v>0</v>
      </c>
      <c r="R209">
        <v>0</v>
      </c>
      <c r="S209">
        <v>2</v>
      </c>
      <c r="T209" s="67" t="s">
        <v>1576</v>
      </c>
    </row>
    <row r="210" spans="2:20" x14ac:dyDescent="0.25">
      <c r="B210" s="253" t="s">
        <v>458</v>
      </c>
      <c r="C210" s="66" t="s">
        <v>717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1</v>
      </c>
      <c r="T210" s="67" t="s">
        <v>1555</v>
      </c>
    </row>
    <row r="211" spans="2:20" x14ac:dyDescent="0.25">
      <c r="B211" s="253" t="s">
        <v>458</v>
      </c>
      <c r="C211" s="66" t="s">
        <v>716</v>
      </c>
      <c r="D211">
        <v>0</v>
      </c>
      <c r="E211">
        <v>4</v>
      </c>
      <c r="F211">
        <v>2</v>
      </c>
      <c r="G211">
        <v>1</v>
      </c>
      <c r="H211">
        <v>0</v>
      </c>
      <c r="I211">
        <v>0</v>
      </c>
      <c r="J211">
        <v>0</v>
      </c>
      <c r="K211">
        <v>3</v>
      </c>
      <c r="L211">
        <v>0</v>
      </c>
      <c r="M211">
        <v>0</v>
      </c>
      <c r="N211">
        <v>3</v>
      </c>
      <c r="O211">
        <v>0</v>
      </c>
      <c r="P211">
        <v>1</v>
      </c>
      <c r="Q211">
        <v>0</v>
      </c>
      <c r="R211">
        <v>0</v>
      </c>
      <c r="S211">
        <v>7</v>
      </c>
      <c r="T211" s="67" t="s">
        <v>1577</v>
      </c>
    </row>
    <row r="212" spans="2:20" x14ac:dyDescent="0.25">
      <c r="B212" s="253" t="s">
        <v>458</v>
      </c>
      <c r="C212" s="66" t="s">
        <v>715</v>
      </c>
      <c r="D212">
        <v>0</v>
      </c>
      <c r="E212">
        <v>0</v>
      </c>
      <c r="F212">
        <v>2</v>
      </c>
      <c r="G212">
        <v>1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1</v>
      </c>
      <c r="R212">
        <v>0</v>
      </c>
      <c r="S212">
        <v>3</v>
      </c>
      <c r="T212" s="67" t="s">
        <v>1578</v>
      </c>
    </row>
    <row r="213" spans="2:20" x14ac:dyDescent="0.25">
      <c r="B213" s="253" t="s">
        <v>459</v>
      </c>
      <c r="C213" s="66" t="s">
        <v>717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1</v>
      </c>
      <c r="O213">
        <v>0</v>
      </c>
      <c r="P213">
        <v>0</v>
      </c>
      <c r="Q213">
        <v>0</v>
      </c>
      <c r="R213">
        <v>0</v>
      </c>
      <c r="S213">
        <v>1</v>
      </c>
      <c r="T213" s="67" t="s">
        <v>1575</v>
      </c>
    </row>
    <row r="214" spans="2:20" x14ac:dyDescent="0.25">
      <c r="B214" s="253" t="s">
        <v>459</v>
      </c>
      <c r="C214" s="66" t="s">
        <v>716</v>
      </c>
      <c r="D214">
        <v>0</v>
      </c>
      <c r="E214">
        <v>6</v>
      </c>
      <c r="F214">
        <v>1</v>
      </c>
      <c r="G214">
        <v>1</v>
      </c>
      <c r="H214">
        <v>0</v>
      </c>
      <c r="I214">
        <v>0</v>
      </c>
      <c r="J214">
        <v>0</v>
      </c>
      <c r="K214">
        <v>2</v>
      </c>
      <c r="L214">
        <v>1</v>
      </c>
      <c r="M214">
        <v>0</v>
      </c>
      <c r="N214">
        <v>2</v>
      </c>
      <c r="O214">
        <v>0</v>
      </c>
      <c r="P214">
        <v>2</v>
      </c>
      <c r="Q214">
        <v>1</v>
      </c>
      <c r="R214">
        <v>0</v>
      </c>
      <c r="S214">
        <v>8</v>
      </c>
      <c r="T214" s="67" t="s">
        <v>1579</v>
      </c>
    </row>
    <row r="215" spans="2:20" x14ac:dyDescent="0.25">
      <c r="B215" s="253" t="s">
        <v>459</v>
      </c>
      <c r="C215" s="66" t="s">
        <v>715</v>
      </c>
      <c r="D215">
        <v>0</v>
      </c>
      <c r="E215">
        <v>1</v>
      </c>
      <c r="F215">
        <v>1</v>
      </c>
      <c r="G215">
        <v>1</v>
      </c>
      <c r="H215">
        <v>0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1</v>
      </c>
      <c r="O215">
        <v>0</v>
      </c>
      <c r="P215">
        <v>0</v>
      </c>
      <c r="Q215">
        <v>1</v>
      </c>
      <c r="R215">
        <v>0</v>
      </c>
      <c r="S215">
        <v>3</v>
      </c>
      <c r="T215" s="67" t="s">
        <v>1580</v>
      </c>
    </row>
    <row r="216" spans="2:20" x14ac:dyDescent="0.25">
      <c r="B216" s="253" t="s">
        <v>460</v>
      </c>
      <c r="C216" s="66" t="s">
        <v>717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0</v>
      </c>
      <c r="R216">
        <v>0</v>
      </c>
      <c r="S216">
        <v>1</v>
      </c>
      <c r="T216" s="67" t="s">
        <v>1582</v>
      </c>
    </row>
    <row r="217" spans="2:20" x14ac:dyDescent="0.25">
      <c r="B217" s="253" t="s">
        <v>460</v>
      </c>
      <c r="C217" s="66" t="s">
        <v>716</v>
      </c>
      <c r="D217">
        <v>0</v>
      </c>
      <c r="E217">
        <v>13</v>
      </c>
      <c r="F217">
        <v>3</v>
      </c>
      <c r="G217">
        <v>5</v>
      </c>
      <c r="H217">
        <v>1</v>
      </c>
      <c r="I217">
        <v>3</v>
      </c>
      <c r="J217">
        <v>1</v>
      </c>
      <c r="K217">
        <v>2</v>
      </c>
      <c r="L217">
        <v>2</v>
      </c>
      <c r="M217">
        <v>1</v>
      </c>
      <c r="N217">
        <v>3</v>
      </c>
      <c r="O217">
        <v>0</v>
      </c>
      <c r="P217">
        <v>5</v>
      </c>
      <c r="Q217">
        <v>3</v>
      </c>
      <c r="R217">
        <v>2</v>
      </c>
      <c r="S217">
        <v>22</v>
      </c>
      <c r="T217" s="67" t="s">
        <v>1581</v>
      </c>
    </row>
    <row r="218" spans="2:20" x14ac:dyDescent="0.25">
      <c r="B218" s="253" t="s">
        <v>460</v>
      </c>
      <c r="C218" s="66" t="s">
        <v>715</v>
      </c>
      <c r="D218">
        <v>1</v>
      </c>
      <c r="E218">
        <v>8</v>
      </c>
      <c r="F218">
        <v>6</v>
      </c>
      <c r="G218">
        <v>8</v>
      </c>
      <c r="H218">
        <v>0</v>
      </c>
      <c r="I218">
        <v>2</v>
      </c>
      <c r="J218">
        <v>0</v>
      </c>
      <c r="K218">
        <v>2</v>
      </c>
      <c r="L218">
        <v>3</v>
      </c>
      <c r="M218">
        <v>3</v>
      </c>
      <c r="N218">
        <v>3</v>
      </c>
      <c r="O218">
        <v>1</v>
      </c>
      <c r="P218">
        <v>4</v>
      </c>
      <c r="Q218">
        <v>3</v>
      </c>
      <c r="R218">
        <v>2</v>
      </c>
      <c r="S218">
        <v>23</v>
      </c>
      <c r="T218" s="67" t="s">
        <v>1583</v>
      </c>
    </row>
    <row r="219" spans="2:20" x14ac:dyDescent="0.25">
      <c r="B219" s="253" t="s">
        <v>461</v>
      </c>
      <c r="C219" s="66" t="s">
        <v>717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0</v>
      </c>
      <c r="R219">
        <v>0</v>
      </c>
      <c r="S219">
        <v>1</v>
      </c>
      <c r="T219" s="67" t="s">
        <v>1582</v>
      </c>
    </row>
    <row r="220" spans="2:20" x14ac:dyDescent="0.25">
      <c r="B220" s="253" t="s">
        <v>461</v>
      </c>
      <c r="C220" s="66" t="s">
        <v>716</v>
      </c>
      <c r="D220">
        <v>0</v>
      </c>
      <c r="E220">
        <v>2</v>
      </c>
      <c r="F220">
        <v>4</v>
      </c>
      <c r="G220">
        <v>3</v>
      </c>
      <c r="H220">
        <v>1</v>
      </c>
      <c r="I220">
        <v>4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1</v>
      </c>
      <c r="P220">
        <v>4</v>
      </c>
      <c r="Q220">
        <v>0</v>
      </c>
      <c r="R220">
        <v>0</v>
      </c>
      <c r="S220">
        <v>10</v>
      </c>
      <c r="T220" s="67" t="s">
        <v>1584</v>
      </c>
    </row>
    <row r="221" spans="2:20" x14ac:dyDescent="0.25">
      <c r="B221" s="253" t="s">
        <v>461</v>
      </c>
      <c r="C221" s="66" t="s">
        <v>715</v>
      </c>
      <c r="D221">
        <v>0</v>
      </c>
      <c r="E221">
        <v>3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5</v>
      </c>
      <c r="Q221">
        <v>0</v>
      </c>
      <c r="R221">
        <v>0</v>
      </c>
      <c r="S221">
        <v>5</v>
      </c>
      <c r="T221" s="67" t="s">
        <v>1585</v>
      </c>
    </row>
    <row r="222" spans="2:20" x14ac:dyDescent="0.25">
      <c r="B222" s="253" t="s">
        <v>462</v>
      </c>
      <c r="C222" s="66" t="s">
        <v>717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1</v>
      </c>
      <c r="T222" s="67" t="s">
        <v>1522</v>
      </c>
    </row>
    <row r="223" spans="2:20" x14ac:dyDescent="0.25">
      <c r="B223" s="253" t="s">
        <v>462</v>
      </c>
      <c r="C223" s="66" t="s">
        <v>716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1</v>
      </c>
      <c r="T223" s="67" t="s">
        <v>1556</v>
      </c>
    </row>
    <row r="224" spans="2:20" x14ac:dyDescent="0.25">
      <c r="B224" s="253" t="s">
        <v>462</v>
      </c>
      <c r="C224" s="66" t="s">
        <v>715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 s="67" t="s">
        <v>1556</v>
      </c>
    </row>
    <row r="225" spans="2:20" x14ac:dyDescent="0.25">
      <c r="B225" s="253" t="s">
        <v>463</v>
      </c>
      <c r="C225" s="66" t="s">
        <v>717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</v>
      </c>
      <c r="T225" s="67" t="s">
        <v>1556</v>
      </c>
    </row>
    <row r="226" spans="2:20" x14ac:dyDescent="0.25">
      <c r="B226" s="253" t="s">
        <v>463</v>
      </c>
      <c r="C226" s="66" t="s">
        <v>716</v>
      </c>
      <c r="D226">
        <v>0</v>
      </c>
      <c r="E226">
        <v>1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2</v>
      </c>
      <c r="T226" s="67" t="s">
        <v>1543</v>
      </c>
    </row>
    <row r="227" spans="2:20" x14ac:dyDescent="0.25">
      <c r="B227" s="253" t="s">
        <v>463</v>
      </c>
      <c r="C227" s="66" t="s">
        <v>715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1</v>
      </c>
      <c r="T227" s="67" t="s">
        <v>1479</v>
      </c>
    </row>
    <row r="228" spans="2:20" x14ac:dyDescent="0.25">
      <c r="B228" s="253" t="s">
        <v>464</v>
      </c>
      <c r="C228" s="66" t="s">
        <v>717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1</v>
      </c>
      <c r="S228">
        <v>1</v>
      </c>
      <c r="T228" s="67" t="s">
        <v>1587</v>
      </c>
    </row>
    <row r="229" spans="2:20" x14ac:dyDescent="0.25">
      <c r="B229" s="253" t="s">
        <v>464</v>
      </c>
      <c r="C229" s="66" t="s">
        <v>716</v>
      </c>
      <c r="D229">
        <v>0</v>
      </c>
      <c r="E229">
        <v>10</v>
      </c>
      <c r="F229">
        <v>5</v>
      </c>
      <c r="G229">
        <v>2</v>
      </c>
      <c r="H229">
        <v>0</v>
      </c>
      <c r="I229">
        <v>1</v>
      </c>
      <c r="J229">
        <v>1</v>
      </c>
      <c r="K229">
        <v>0</v>
      </c>
      <c r="L229">
        <v>0</v>
      </c>
      <c r="M229">
        <v>1</v>
      </c>
      <c r="N229">
        <v>2</v>
      </c>
      <c r="O229">
        <v>2</v>
      </c>
      <c r="P229">
        <v>4</v>
      </c>
      <c r="Q229">
        <v>3</v>
      </c>
      <c r="R229">
        <v>3</v>
      </c>
      <c r="S229">
        <v>17</v>
      </c>
      <c r="T229" s="67" t="s">
        <v>1586</v>
      </c>
    </row>
    <row r="230" spans="2:20" x14ac:dyDescent="0.25">
      <c r="B230" s="253" t="s">
        <v>464</v>
      </c>
      <c r="C230" s="66" t="s">
        <v>715</v>
      </c>
      <c r="D230">
        <v>0</v>
      </c>
      <c r="E230">
        <v>4</v>
      </c>
      <c r="F230">
        <v>5</v>
      </c>
      <c r="G230">
        <v>3</v>
      </c>
      <c r="H230">
        <v>0</v>
      </c>
      <c r="I230">
        <v>1</v>
      </c>
      <c r="J230">
        <v>1</v>
      </c>
      <c r="K230">
        <v>0</v>
      </c>
      <c r="L230">
        <v>0</v>
      </c>
      <c r="M230">
        <v>1</v>
      </c>
      <c r="N230">
        <v>1</v>
      </c>
      <c r="O230">
        <v>3</v>
      </c>
      <c r="P230">
        <v>0</v>
      </c>
      <c r="Q230">
        <v>3</v>
      </c>
      <c r="R230">
        <v>2</v>
      </c>
      <c r="S230">
        <v>12</v>
      </c>
      <c r="T230" s="67" t="s">
        <v>1588</v>
      </c>
    </row>
    <row r="231" spans="2:20" x14ac:dyDescent="0.25">
      <c r="B231" s="253" t="s">
        <v>465</v>
      </c>
      <c r="C231" s="66" t="s">
        <v>717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1</v>
      </c>
      <c r="T231" s="67" t="s">
        <v>1503</v>
      </c>
    </row>
    <row r="232" spans="2:20" x14ac:dyDescent="0.25">
      <c r="B232" s="253" t="s">
        <v>465</v>
      </c>
      <c r="C232" s="66" t="s">
        <v>716</v>
      </c>
      <c r="D232">
        <v>0</v>
      </c>
      <c r="E232">
        <v>0</v>
      </c>
      <c r="F232">
        <v>2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2</v>
      </c>
      <c r="O232">
        <v>0</v>
      </c>
      <c r="P232">
        <v>0</v>
      </c>
      <c r="Q232">
        <v>0</v>
      </c>
      <c r="R232">
        <v>0</v>
      </c>
      <c r="S232">
        <v>2</v>
      </c>
      <c r="T232" s="67" t="s">
        <v>1589</v>
      </c>
    </row>
    <row r="233" spans="2:20" x14ac:dyDescent="0.25">
      <c r="B233" s="253" t="s">
        <v>465</v>
      </c>
      <c r="C233" s="66" t="s">
        <v>715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1</v>
      </c>
      <c r="T233" s="67" t="s">
        <v>1482</v>
      </c>
    </row>
    <row r="234" spans="2:20" x14ac:dyDescent="0.25">
      <c r="B234" s="253" t="s">
        <v>466</v>
      </c>
      <c r="C234" s="66" t="s">
        <v>717</v>
      </c>
      <c r="D234">
        <v>0</v>
      </c>
      <c r="E234">
        <v>0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</v>
      </c>
      <c r="T234" s="67" t="s">
        <v>1568</v>
      </c>
    </row>
    <row r="235" spans="2:20" x14ac:dyDescent="0.25">
      <c r="B235" s="253" t="s">
        <v>466</v>
      </c>
      <c r="C235" s="66" t="s">
        <v>716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1</v>
      </c>
      <c r="T235" s="67" t="s">
        <v>1477</v>
      </c>
    </row>
    <row r="236" spans="2:20" x14ac:dyDescent="0.25">
      <c r="B236" s="253" t="s">
        <v>466</v>
      </c>
      <c r="C236" s="66" t="s">
        <v>715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1</v>
      </c>
      <c r="T236" s="67" t="s">
        <v>1477</v>
      </c>
    </row>
    <row r="237" spans="2:20" x14ac:dyDescent="0.25">
      <c r="B237" s="253" t="s">
        <v>467</v>
      </c>
      <c r="C237" s="66" t="s">
        <v>717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67" t="s">
        <v>1454</v>
      </c>
    </row>
    <row r="238" spans="2:20" x14ac:dyDescent="0.25">
      <c r="B238" s="253" t="s">
        <v>467</v>
      </c>
      <c r="C238" s="66" t="s">
        <v>716</v>
      </c>
      <c r="D238">
        <v>2</v>
      </c>
      <c r="E238">
        <v>3</v>
      </c>
      <c r="F238">
        <v>0</v>
      </c>
      <c r="G238">
        <v>0</v>
      </c>
      <c r="H238">
        <v>1</v>
      </c>
      <c r="I238">
        <v>2</v>
      </c>
      <c r="J238">
        <v>1</v>
      </c>
      <c r="K238">
        <v>0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1</v>
      </c>
      <c r="R238">
        <v>1</v>
      </c>
      <c r="S238">
        <v>6</v>
      </c>
      <c r="T238" s="67" t="s">
        <v>1461</v>
      </c>
    </row>
    <row r="239" spans="2:20" x14ac:dyDescent="0.25">
      <c r="B239" s="253" t="s">
        <v>467</v>
      </c>
      <c r="C239" s="66" t="s">
        <v>715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 t="s">
        <v>1454</v>
      </c>
    </row>
    <row r="240" spans="2:20" x14ac:dyDescent="0.25">
      <c r="B240" s="253" t="s">
        <v>393</v>
      </c>
      <c r="C240" s="66" t="s">
        <v>717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 t="s">
        <v>1454</v>
      </c>
    </row>
    <row r="241" spans="2:20" x14ac:dyDescent="0.25">
      <c r="B241" s="253" t="s">
        <v>393</v>
      </c>
      <c r="C241" s="66" t="s">
        <v>716</v>
      </c>
      <c r="D241">
        <v>2</v>
      </c>
      <c r="E241">
        <v>2</v>
      </c>
      <c r="F241">
        <v>0</v>
      </c>
      <c r="G241">
        <v>0</v>
      </c>
      <c r="H241">
        <v>1</v>
      </c>
      <c r="I241">
        <v>2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1</v>
      </c>
      <c r="R241">
        <v>1</v>
      </c>
      <c r="S241">
        <v>5</v>
      </c>
      <c r="T241" s="67" t="s">
        <v>1590</v>
      </c>
    </row>
    <row r="242" spans="2:20" x14ac:dyDescent="0.25">
      <c r="B242" s="253" t="s">
        <v>393</v>
      </c>
      <c r="C242" s="66" t="s">
        <v>715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 t="s">
        <v>1454</v>
      </c>
    </row>
    <row r="243" spans="2:20" x14ac:dyDescent="0.25">
      <c r="B243" s="253" t="s">
        <v>417</v>
      </c>
      <c r="C243" s="66" t="s">
        <v>717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1</v>
      </c>
      <c r="R243">
        <v>0</v>
      </c>
      <c r="S243">
        <v>1</v>
      </c>
      <c r="T243" s="67" t="s">
        <v>1463</v>
      </c>
    </row>
    <row r="244" spans="2:20" x14ac:dyDescent="0.25">
      <c r="B244" s="253" t="s">
        <v>417</v>
      </c>
      <c r="C244" s="66" t="s">
        <v>716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 t="s">
        <v>1454</v>
      </c>
    </row>
    <row r="245" spans="2:20" x14ac:dyDescent="0.25">
      <c r="B245" s="253" t="s">
        <v>417</v>
      </c>
      <c r="C245" s="66" t="s">
        <v>715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67" t="s">
        <v>1454</v>
      </c>
    </row>
    <row r="246" spans="2:20" x14ac:dyDescent="0.25">
      <c r="B246" s="253" t="s">
        <v>420</v>
      </c>
      <c r="C246" s="66" t="s">
        <v>717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1</v>
      </c>
      <c r="T246" s="67" t="s">
        <v>1463</v>
      </c>
    </row>
    <row r="247" spans="2:20" x14ac:dyDescent="0.25">
      <c r="B247" s="253" t="s">
        <v>420</v>
      </c>
      <c r="C247" s="66" t="s">
        <v>716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 s="67" t="s">
        <v>1454</v>
      </c>
    </row>
    <row r="248" spans="2:20" x14ac:dyDescent="0.25">
      <c r="B248" s="253" t="s">
        <v>420</v>
      </c>
      <c r="C248" s="66" t="s">
        <v>715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 t="s">
        <v>1454</v>
      </c>
    </row>
    <row r="249" spans="2:20" x14ac:dyDescent="0.25">
      <c r="B249" s="253" t="s">
        <v>423</v>
      </c>
      <c r="C249" s="66" t="s">
        <v>717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1</v>
      </c>
      <c r="T249" s="67" t="s">
        <v>1463</v>
      </c>
    </row>
    <row r="250" spans="2:20" x14ac:dyDescent="0.25">
      <c r="B250" s="253" t="s">
        <v>423</v>
      </c>
      <c r="C250" s="66" t="s">
        <v>716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 t="s">
        <v>1454</v>
      </c>
    </row>
    <row r="251" spans="2:20" x14ac:dyDescent="0.25">
      <c r="B251" s="253" t="s">
        <v>423</v>
      </c>
      <c r="C251" s="66" t="s">
        <v>715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67" t="s">
        <v>1454</v>
      </c>
    </row>
    <row r="252" spans="2:20" x14ac:dyDescent="0.25">
      <c r="B252" s="253" t="s">
        <v>425</v>
      </c>
      <c r="C252" s="66" t="s">
        <v>717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1</v>
      </c>
      <c r="T252" s="67" t="s">
        <v>1463</v>
      </c>
    </row>
    <row r="253" spans="2:20" x14ac:dyDescent="0.25">
      <c r="B253" s="253" t="s">
        <v>425</v>
      </c>
      <c r="C253" s="66" t="s">
        <v>716</v>
      </c>
      <c r="D253">
        <v>0</v>
      </c>
      <c r="E253">
        <v>0</v>
      </c>
      <c r="F253">
        <v>1</v>
      </c>
      <c r="G253">
        <v>0</v>
      </c>
      <c r="H253">
        <v>0</v>
      </c>
      <c r="I253">
        <v>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</v>
      </c>
      <c r="T253" s="67" t="s">
        <v>1550</v>
      </c>
    </row>
    <row r="254" spans="2:20" x14ac:dyDescent="0.25">
      <c r="B254" s="253" t="s">
        <v>425</v>
      </c>
      <c r="C254" s="66" t="s">
        <v>715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 t="s">
        <v>1454</v>
      </c>
    </row>
    <row r="255" spans="2:20" x14ac:dyDescent="0.25">
      <c r="B255" s="73" t="s">
        <v>702</v>
      </c>
      <c r="C255" s="11" t="s">
        <v>1169</v>
      </c>
      <c r="D255">
        <v>2</v>
      </c>
      <c r="E255">
        <v>9</v>
      </c>
      <c r="F255">
        <v>1</v>
      </c>
      <c r="G255">
        <v>1</v>
      </c>
      <c r="H255">
        <v>0</v>
      </c>
      <c r="I255">
        <v>2</v>
      </c>
      <c r="J255">
        <v>1</v>
      </c>
      <c r="K255">
        <v>0</v>
      </c>
      <c r="L255">
        <v>0</v>
      </c>
      <c r="M255">
        <v>3</v>
      </c>
      <c r="N255">
        <v>0</v>
      </c>
      <c r="O255">
        <v>0</v>
      </c>
      <c r="P255">
        <v>4</v>
      </c>
      <c r="Q255">
        <v>1</v>
      </c>
      <c r="R255">
        <v>2</v>
      </c>
      <c r="S255">
        <v>13</v>
      </c>
      <c r="T255" s="67" t="s">
        <v>1591</v>
      </c>
    </row>
    <row r="256" spans="2:20" x14ac:dyDescent="0.25">
      <c r="B256" s="73" t="s">
        <v>703</v>
      </c>
      <c r="C256" s="66" t="s">
        <v>1169</v>
      </c>
      <c r="D256">
        <v>1</v>
      </c>
      <c r="E256">
        <v>18</v>
      </c>
      <c r="F256">
        <v>2</v>
      </c>
      <c r="G256">
        <v>11</v>
      </c>
      <c r="H256">
        <v>1</v>
      </c>
      <c r="I256">
        <v>3</v>
      </c>
      <c r="J256">
        <v>4</v>
      </c>
      <c r="K256">
        <v>4</v>
      </c>
      <c r="L256">
        <v>4</v>
      </c>
      <c r="M256">
        <v>3</v>
      </c>
      <c r="N256">
        <v>2</v>
      </c>
      <c r="O256">
        <v>1</v>
      </c>
      <c r="P256">
        <v>6</v>
      </c>
      <c r="Q256">
        <v>3</v>
      </c>
      <c r="R256">
        <v>3</v>
      </c>
      <c r="S256">
        <v>33</v>
      </c>
      <c r="T256" s="67" t="s">
        <v>1592</v>
      </c>
    </row>
    <row r="257" spans="2:20" x14ac:dyDescent="0.25">
      <c r="B257" s="73" t="s">
        <v>704</v>
      </c>
      <c r="C257" s="66" t="s">
        <v>1169</v>
      </c>
      <c r="D257">
        <v>1</v>
      </c>
      <c r="E257">
        <v>6</v>
      </c>
      <c r="F257">
        <v>1</v>
      </c>
      <c r="G257">
        <v>2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3</v>
      </c>
      <c r="N257">
        <v>1</v>
      </c>
      <c r="O257">
        <v>1</v>
      </c>
      <c r="P257">
        <v>1</v>
      </c>
      <c r="Q257">
        <v>0</v>
      </c>
      <c r="R257">
        <v>3</v>
      </c>
      <c r="S257">
        <v>10</v>
      </c>
      <c r="T257" s="67" t="s">
        <v>1593</v>
      </c>
    </row>
    <row r="258" spans="2:20" x14ac:dyDescent="0.25">
      <c r="B258" s="73" t="s">
        <v>705</v>
      </c>
      <c r="C258" s="66" t="s">
        <v>1169</v>
      </c>
      <c r="D258">
        <v>0</v>
      </c>
      <c r="E258">
        <v>7</v>
      </c>
      <c r="F258">
        <v>2</v>
      </c>
      <c r="G258">
        <v>4</v>
      </c>
      <c r="H258">
        <v>0</v>
      </c>
      <c r="I258">
        <v>2</v>
      </c>
      <c r="J258">
        <v>3</v>
      </c>
      <c r="K258">
        <v>1</v>
      </c>
      <c r="L258">
        <v>1</v>
      </c>
      <c r="M258">
        <v>2</v>
      </c>
      <c r="N258">
        <v>1</v>
      </c>
      <c r="O258">
        <v>0</v>
      </c>
      <c r="P258">
        <v>1</v>
      </c>
      <c r="Q258">
        <v>0</v>
      </c>
      <c r="R258">
        <v>2</v>
      </c>
      <c r="S258">
        <v>13</v>
      </c>
      <c r="T258" s="67" t="s">
        <v>1594</v>
      </c>
    </row>
    <row r="259" spans="2:20" x14ac:dyDescent="0.25">
      <c r="B259" s="73" t="s">
        <v>707</v>
      </c>
      <c r="C259" s="66" t="s">
        <v>1169</v>
      </c>
      <c r="D259">
        <v>0</v>
      </c>
      <c r="E259">
        <v>0</v>
      </c>
      <c r="F259">
        <v>2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>
        <v>0</v>
      </c>
      <c r="Q259">
        <v>0</v>
      </c>
      <c r="R259">
        <v>2</v>
      </c>
      <c r="S259">
        <v>3</v>
      </c>
      <c r="T259" s="67" t="s">
        <v>1595</v>
      </c>
    </row>
    <row r="260" spans="2:20" x14ac:dyDescent="0.25">
      <c r="B260" s="73" t="s">
        <v>395</v>
      </c>
      <c r="C260" s="66" t="s">
        <v>1169</v>
      </c>
      <c r="D260">
        <v>1</v>
      </c>
      <c r="E260">
        <v>8</v>
      </c>
      <c r="F260">
        <v>8</v>
      </c>
      <c r="G260">
        <v>3</v>
      </c>
      <c r="H260">
        <v>0</v>
      </c>
      <c r="I260">
        <v>3</v>
      </c>
      <c r="J260">
        <v>2</v>
      </c>
      <c r="K260">
        <v>0</v>
      </c>
      <c r="L260">
        <v>0</v>
      </c>
      <c r="M260">
        <v>0</v>
      </c>
      <c r="N260">
        <v>4</v>
      </c>
      <c r="O260">
        <v>3</v>
      </c>
      <c r="P260">
        <v>5</v>
      </c>
      <c r="Q260">
        <v>1</v>
      </c>
      <c r="R260">
        <v>2</v>
      </c>
      <c r="S260">
        <v>20</v>
      </c>
      <c r="T260" s="67" t="s">
        <v>1596</v>
      </c>
    </row>
    <row r="261" spans="2:20" x14ac:dyDescent="0.25">
      <c r="B261" s="73" t="s">
        <v>357</v>
      </c>
      <c r="C261" s="66" t="s">
        <v>1169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</v>
      </c>
      <c r="R261">
        <v>0</v>
      </c>
      <c r="S261">
        <v>1</v>
      </c>
      <c r="T261" s="67" t="s">
        <v>1486</v>
      </c>
    </row>
    <row r="262" spans="2:20" x14ac:dyDescent="0.25">
      <c r="B262" s="73" t="s">
        <v>358</v>
      </c>
      <c r="C262" s="66" t="s">
        <v>1169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1</v>
      </c>
      <c r="T262" s="67" t="s">
        <v>1522</v>
      </c>
    </row>
    <row r="263" spans="2:20" x14ac:dyDescent="0.25">
      <c r="B263" s="73" t="s">
        <v>359</v>
      </c>
      <c r="C263" s="66" t="s">
        <v>1169</v>
      </c>
      <c r="D263">
        <v>0</v>
      </c>
      <c r="E263">
        <v>3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1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3</v>
      </c>
      <c r="T263" s="67" t="s">
        <v>1536</v>
      </c>
    </row>
    <row r="264" spans="2:20" x14ac:dyDescent="0.25">
      <c r="B264" s="73" t="s">
        <v>360</v>
      </c>
      <c r="C264" s="66" t="s">
        <v>1169</v>
      </c>
      <c r="D264">
        <v>0</v>
      </c>
      <c r="E264">
        <v>0</v>
      </c>
      <c r="F264">
        <v>1</v>
      </c>
      <c r="G264">
        <v>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1</v>
      </c>
      <c r="Q264">
        <v>1</v>
      </c>
      <c r="R264">
        <v>0</v>
      </c>
      <c r="S264">
        <v>3</v>
      </c>
      <c r="T264" s="67" t="s">
        <v>1597</v>
      </c>
    </row>
    <row r="265" spans="2:20" x14ac:dyDescent="0.25">
      <c r="B265" s="73" t="s">
        <v>362</v>
      </c>
      <c r="C265" s="66" t="s">
        <v>1169</v>
      </c>
      <c r="D265">
        <v>0</v>
      </c>
      <c r="E265">
        <v>0</v>
      </c>
      <c r="F265">
        <v>1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1</v>
      </c>
      <c r="T265" s="67" t="s">
        <v>1486</v>
      </c>
    </row>
    <row r="266" spans="2:20" x14ac:dyDescent="0.25">
      <c r="B266" s="73" t="s">
        <v>590</v>
      </c>
      <c r="C266" s="66" t="s">
        <v>1169</v>
      </c>
      <c r="D266">
        <v>0</v>
      </c>
      <c r="E266">
        <v>3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3</v>
      </c>
      <c r="T266" s="67" t="s">
        <v>1536</v>
      </c>
    </row>
    <row r="267" spans="2:20" x14ac:dyDescent="0.25">
      <c r="B267" s="73" t="s">
        <v>363</v>
      </c>
      <c r="C267" s="66" t="s">
        <v>1169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1</v>
      </c>
      <c r="T267" s="67" t="s">
        <v>1473</v>
      </c>
    </row>
    <row r="268" spans="2:20" x14ac:dyDescent="0.25">
      <c r="B268" s="73" t="s">
        <v>364</v>
      </c>
      <c r="C268" s="66" t="s">
        <v>1169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</v>
      </c>
      <c r="R268">
        <v>0</v>
      </c>
      <c r="S268">
        <v>1</v>
      </c>
      <c r="T268" s="67" t="s">
        <v>1464</v>
      </c>
    </row>
    <row r="269" spans="2:20" x14ac:dyDescent="0.25">
      <c r="B269" s="73" t="s">
        <v>591</v>
      </c>
      <c r="C269" s="66" t="s">
        <v>1169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</v>
      </c>
      <c r="T269" s="67" t="s">
        <v>1482</v>
      </c>
    </row>
    <row r="270" spans="2:20" x14ac:dyDescent="0.25">
      <c r="B270" s="73" t="s">
        <v>366</v>
      </c>
      <c r="C270" s="11" t="s">
        <v>727</v>
      </c>
      <c r="D270">
        <v>0</v>
      </c>
      <c r="E270">
        <v>1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2</v>
      </c>
      <c r="P270">
        <v>0</v>
      </c>
      <c r="Q270">
        <v>0</v>
      </c>
      <c r="R270">
        <v>0</v>
      </c>
      <c r="S270">
        <v>2</v>
      </c>
      <c r="T270" s="67" t="s">
        <v>1598</v>
      </c>
    </row>
    <row r="271" spans="2:20" x14ac:dyDescent="0.25">
      <c r="B271" s="73" t="s">
        <v>367</v>
      </c>
      <c r="C271" s="11" t="s">
        <v>727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>
        <v>0</v>
      </c>
      <c r="Q271">
        <v>0</v>
      </c>
      <c r="R271">
        <v>0</v>
      </c>
      <c r="S271">
        <v>1</v>
      </c>
      <c r="T271" s="67" t="s">
        <v>1506</v>
      </c>
    </row>
    <row r="272" spans="2:20" x14ac:dyDescent="0.25">
      <c r="B272" s="73" t="s">
        <v>369</v>
      </c>
      <c r="C272" s="11" t="s">
        <v>727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0</v>
      </c>
      <c r="Q272">
        <v>0</v>
      </c>
      <c r="R272">
        <v>0</v>
      </c>
      <c r="S272">
        <v>1</v>
      </c>
      <c r="T272" s="67" t="s">
        <v>1506</v>
      </c>
    </row>
    <row r="273" spans="2:20" x14ac:dyDescent="0.25">
      <c r="B273" s="73" t="s">
        <v>371</v>
      </c>
      <c r="C273" s="11" t="s">
        <v>727</v>
      </c>
      <c r="D273">
        <v>0</v>
      </c>
      <c r="E273">
        <v>1</v>
      </c>
      <c r="F273">
        <v>2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2</v>
      </c>
      <c r="P273">
        <v>0</v>
      </c>
      <c r="Q273">
        <v>0</v>
      </c>
      <c r="R273">
        <v>0</v>
      </c>
      <c r="S273">
        <v>3</v>
      </c>
      <c r="T273" s="67" t="s">
        <v>1599</v>
      </c>
    </row>
    <row r="274" spans="2:20" x14ac:dyDescent="0.25">
      <c r="B274" s="73" t="s">
        <v>372</v>
      </c>
      <c r="C274" s="11" t="s">
        <v>727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 s="67" t="s">
        <v>1570</v>
      </c>
    </row>
    <row r="275" spans="2:20" x14ac:dyDescent="0.25">
      <c r="B275" s="73" t="s">
        <v>373</v>
      </c>
      <c r="C275" s="11" t="s">
        <v>727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1</v>
      </c>
      <c r="T275" s="67" t="s">
        <v>1600</v>
      </c>
    </row>
    <row r="276" spans="2:20" x14ac:dyDescent="0.25">
      <c r="B276" s="73" t="s">
        <v>374</v>
      </c>
      <c r="C276" s="11" t="s">
        <v>727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1</v>
      </c>
      <c r="T276" s="67" t="s">
        <v>1484</v>
      </c>
    </row>
    <row r="277" spans="2:20" x14ac:dyDescent="0.25">
      <c r="B277" s="73" t="s">
        <v>376</v>
      </c>
      <c r="C277" s="11" t="s">
        <v>727</v>
      </c>
      <c r="D277">
        <v>0</v>
      </c>
      <c r="E277">
        <v>1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2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</v>
      </c>
      <c r="T277" s="67" t="s">
        <v>1601</v>
      </c>
    </row>
    <row r="278" spans="2:20" x14ac:dyDescent="0.25">
      <c r="B278" s="73" t="s">
        <v>468</v>
      </c>
      <c r="C278" s="11" t="s">
        <v>727</v>
      </c>
      <c r="D278">
        <v>0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1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2</v>
      </c>
      <c r="T278" s="67" t="s">
        <v>1602</v>
      </c>
    </row>
    <row r="279" spans="2:20" x14ac:dyDescent="0.25">
      <c r="B279" s="73" t="s">
        <v>560</v>
      </c>
      <c r="C279" s="11" t="s">
        <v>727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1</v>
      </c>
      <c r="T279" s="67" t="s">
        <v>1561</v>
      </c>
    </row>
    <row r="280" spans="2:20" x14ac:dyDescent="0.25">
      <c r="B280" s="73" t="s">
        <v>592</v>
      </c>
      <c r="C280" s="11" t="s">
        <v>727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1</v>
      </c>
      <c r="T280" s="67" t="s">
        <v>1568</v>
      </c>
    </row>
    <row r="281" spans="2:20" x14ac:dyDescent="0.25">
      <c r="B281" s="73" t="s">
        <v>469</v>
      </c>
      <c r="C281" s="11" t="s">
        <v>727</v>
      </c>
      <c r="D281">
        <v>2</v>
      </c>
      <c r="E281">
        <v>22</v>
      </c>
      <c r="F281">
        <v>5</v>
      </c>
      <c r="G281">
        <v>5</v>
      </c>
      <c r="H281">
        <v>1</v>
      </c>
      <c r="I281">
        <v>7</v>
      </c>
      <c r="J281">
        <v>4</v>
      </c>
      <c r="K281">
        <v>3</v>
      </c>
      <c r="L281">
        <v>4</v>
      </c>
      <c r="M281">
        <v>1</v>
      </c>
      <c r="N281">
        <v>2</v>
      </c>
      <c r="O281">
        <v>2</v>
      </c>
      <c r="P281">
        <v>6</v>
      </c>
      <c r="Q281">
        <v>3</v>
      </c>
      <c r="R281">
        <v>3</v>
      </c>
      <c r="S281">
        <v>35</v>
      </c>
      <c r="T281" s="67" t="s">
        <v>1603</v>
      </c>
    </row>
    <row r="282" spans="2:20" x14ac:dyDescent="0.25">
      <c r="B282" s="73" t="s">
        <v>470</v>
      </c>
      <c r="C282" s="11" t="s">
        <v>727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1</v>
      </c>
      <c r="T282" s="67" t="s">
        <v>1484</v>
      </c>
    </row>
    <row r="283" spans="2:20" x14ac:dyDescent="0.25">
      <c r="B283" s="73" t="s">
        <v>471</v>
      </c>
      <c r="C283" s="11" t="s">
        <v>727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1</v>
      </c>
      <c r="T283" s="67" t="s">
        <v>1484</v>
      </c>
    </row>
    <row r="284" spans="2:20" x14ac:dyDescent="0.25">
      <c r="B284" s="73" t="s">
        <v>472</v>
      </c>
      <c r="C284" s="11" t="s">
        <v>727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1</v>
      </c>
      <c r="T284" s="67" t="s">
        <v>1604</v>
      </c>
    </row>
    <row r="285" spans="2:20" x14ac:dyDescent="0.25">
      <c r="B285" s="73" t="s">
        <v>473</v>
      </c>
      <c r="C285" s="11" t="s">
        <v>727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1</v>
      </c>
      <c r="T285" s="67" t="s">
        <v>1484</v>
      </c>
    </row>
    <row r="286" spans="2:20" x14ac:dyDescent="0.25">
      <c r="B286" s="73" t="s">
        <v>474</v>
      </c>
      <c r="C286" s="11" t="s">
        <v>727</v>
      </c>
      <c r="D286">
        <v>0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1</v>
      </c>
      <c r="T286" s="67" t="s">
        <v>1482</v>
      </c>
    </row>
    <row r="287" spans="2:20" x14ac:dyDescent="0.25">
      <c r="B287" s="73" t="s">
        <v>475</v>
      </c>
      <c r="C287" s="11" t="s">
        <v>727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1</v>
      </c>
      <c r="T287" s="67" t="s">
        <v>1550</v>
      </c>
    </row>
    <row r="288" spans="2:20" x14ac:dyDescent="0.25">
      <c r="B288" s="73" t="s">
        <v>476</v>
      </c>
      <c r="C288" s="11" t="s">
        <v>727</v>
      </c>
      <c r="D288">
        <v>0</v>
      </c>
      <c r="E288">
        <v>0</v>
      </c>
      <c r="F288">
        <v>0</v>
      </c>
      <c r="G288">
        <v>3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1</v>
      </c>
      <c r="R288">
        <v>0</v>
      </c>
      <c r="S288">
        <v>3</v>
      </c>
      <c r="T288" s="67" t="s">
        <v>1605</v>
      </c>
    </row>
    <row r="289" spans="2:20" x14ac:dyDescent="0.25">
      <c r="B289" s="73" t="s">
        <v>477</v>
      </c>
      <c r="C289" s="11" t="s">
        <v>727</v>
      </c>
      <c r="D289">
        <v>0</v>
      </c>
      <c r="E289">
        <v>0</v>
      </c>
      <c r="F289">
        <v>1</v>
      </c>
      <c r="G289">
        <v>0</v>
      </c>
      <c r="H289">
        <v>0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1</v>
      </c>
      <c r="T289" s="67" t="s">
        <v>1550</v>
      </c>
    </row>
    <row r="290" spans="2:20" x14ac:dyDescent="0.25">
      <c r="B290" s="73" t="s">
        <v>478</v>
      </c>
      <c r="C290" s="11" t="s">
        <v>727</v>
      </c>
      <c r="D290">
        <v>0</v>
      </c>
      <c r="E290">
        <v>2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</v>
      </c>
      <c r="T290" s="67" t="s">
        <v>1606</v>
      </c>
    </row>
    <row r="291" spans="2:20" x14ac:dyDescent="0.25">
      <c r="B291" s="73" t="s">
        <v>479</v>
      </c>
      <c r="C291" s="11" t="s">
        <v>727</v>
      </c>
      <c r="D291">
        <v>2</v>
      </c>
      <c r="E291">
        <v>15</v>
      </c>
      <c r="F291">
        <v>4</v>
      </c>
      <c r="G291">
        <v>6</v>
      </c>
      <c r="H291">
        <v>1</v>
      </c>
      <c r="I291">
        <v>6</v>
      </c>
      <c r="J291">
        <v>1</v>
      </c>
      <c r="K291">
        <v>3</v>
      </c>
      <c r="L291">
        <v>1</v>
      </c>
      <c r="M291">
        <v>2</v>
      </c>
      <c r="N291">
        <v>3</v>
      </c>
      <c r="O291">
        <v>3</v>
      </c>
      <c r="P291">
        <v>4</v>
      </c>
      <c r="Q291">
        <v>1</v>
      </c>
      <c r="R291">
        <v>4</v>
      </c>
      <c r="S291">
        <v>28</v>
      </c>
      <c r="T291" s="67" t="s">
        <v>1607</v>
      </c>
    </row>
    <row r="292" spans="2:20" x14ac:dyDescent="0.25">
      <c r="B292" s="73" t="s">
        <v>480</v>
      </c>
      <c r="C292" s="11" t="s">
        <v>727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 s="67" t="s">
        <v>1503</v>
      </c>
    </row>
    <row r="293" spans="2:20" x14ac:dyDescent="0.25">
      <c r="B293" s="73" t="s">
        <v>481</v>
      </c>
      <c r="C293" s="11" t="s">
        <v>727</v>
      </c>
      <c r="D293">
        <v>0</v>
      </c>
      <c r="E293">
        <v>3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1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3</v>
      </c>
      <c r="T293" s="67" t="s">
        <v>1536</v>
      </c>
    </row>
    <row r="294" spans="2:20" x14ac:dyDescent="0.25">
      <c r="B294" s="73" t="s">
        <v>482</v>
      </c>
      <c r="C294" s="11" t="s">
        <v>727</v>
      </c>
      <c r="D294">
        <v>0</v>
      </c>
      <c r="E294">
        <v>0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1</v>
      </c>
      <c r="T294" s="67" t="s">
        <v>1555</v>
      </c>
    </row>
    <row r="295" spans="2:20" x14ac:dyDescent="0.25">
      <c r="B295" s="73" t="s">
        <v>483</v>
      </c>
      <c r="C295" s="11" t="s">
        <v>727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 s="67" t="s">
        <v>1561</v>
      </c>
    </row>
    <row r="296" spans="2:20" x14ac:dyDescent="0.25">
      <c r="B296" s="73" t="s">
        <v>484</v>
      </c>
      <c r="C296" s="11" t="s">
        <v>727</v>
      </c>
      <c r="D296">
        <v>0</v>
      </c>
      <c r="E296">
        <v>0</v>
      </c>
      <c r="F296">
        <v>1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2</v>
      </c>
      <c r="T296" s="67" t="s">
        <v>1608</v>
      </c>
    </row>
    <row r="297" spans="2:20" x14ac:dyDescent="0.25">
      <c r="B297" s="73" t="s">
        <v>485</v>
      </c>
      <c r="C297" s="11" t="s">
        <v>727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1</v>
      </c>
      <c r="T297" s="67" t="s">
        <v>1562</v>
      </c>
    </row>
    <row r="298" spans="2:20" x14ac:dyDescent="0.25">
      <c r="B298" s="73" t="s">
        <v>486</v>
      </c>
      <c r="C298" s="11" t="s">
        <v>727</v>
      </c>
      <c r="D298">
        <v>0</v>
      </c>
      <c r="E298">
        <v>4</v>
      </c>
      <c r="F298">
        <v>4</v>
      </c>
      <c r="G298">
        <v>4</v>
      </c>
      <c r="H298">
        <v>0</v>
      </c>
      <c r="I298">
        <v>1</v>
      </c>
      <c r="J298">
        <v>0</v>
      </c>
      <c r="K298">
        <v>3</v>
      </c>
      <c r="L298">
        <v>2</v>
      </c>
      <c r="M298">
        <v>0</v>
      </c>
      <c r="N298">
        <v>3</v>
      </c>
      <c r="O298">
        <v>2</v>
      </c>
      <c r="P298">
        <v>1</v>
      </c>
      <c r="Q298">
        <v>0</v>
      </c>
      <c r="R298">
        <v>0</v>
      </c>
      <c r="S298">
        <v>12</v>
      </c>
      <c r="T298" s="67" t="s">
        <v>1609</v>
      </c>
    </row>
    <row r="299" spans="2:20" x14ac:dyDescent="0.25">
      <c r="B299" s="73" t="s">
        <v>487</v>
      </c>
      <c r="C299" s="11" t="s">
        <v>727</v>
      </c>
      <c r="D299">
        <v>0</v>
      </c>
      <c r="E299">
        <v>0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>
        <v>0</v>
      </c>
      <c r="Q299">
        <v>0</v>
      </c>
      <c r="R299">
        <v>0</v>
      </c>
      <c r="S299">
        <v>1</v>
      </c>
      <c r="T299" s="67" t="s">
        <v>1558</v>
      </c>
    </row>
    <row r="300" spans="2:20" x14ac:dyDescent="0.25">
      <c r="B300" s="73" t="s">
        <v>488</v>
      </c>
      <c r="C300" s="11" t="s">
        <v>727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0</v>
      </c>
      <c r="R300">
        <v>0</v>
      </c>
      <c r="S300">
        <v>1</v>
      </c>
      <c r="T300" s="67" t="s">
        <v>1582</v>
      </c>
    </row>
    <row r="301" spans="2:20" x14ac:dyDescent="0.25">
      <c r="B301" s="73" t="s">
        <v>489</v>
      </c>
      <c r="C301" s="11" t="s">
        <v>727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</v>
      </c>
      <c r="T301" s="67" t="s">
        <v>1570</v>
      </c>
    </row>
    <row r="302" spans="2:20" x14ac:dyDescent="0.25">
      <c r="B302" s="73" t="s">
        <v>490</v>
      </c>
      <c r="C302" s="11" t="s">
        <v>727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</v>
      </c>
      <c r="T302" s="67" t="s">
        <v>1568</v>
      </c>
    </row>
    <row r="303" spans="2:20" x14ac:dyDescent="0.25">
      <c r="B303" s="73" t="s">
        <v>491</v>
      </c>
      <c r="C303" s="11" t="s">
        <v>727</v>
      </c>
      <c r="D303">
        <v>0</v>
      </c>
      <c r="E303">
        <v>0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1</v>
      </c>
      <c r="T303" s="67" t="s">
        <v>1482</v>
      </c>
    </row>
    <row r="304" spans="2:20" x14ac:dyDescent="0.25">
      <c r="B304" s="73" t="s">
        <v>492</v>
      </c>
      <c r="C304" s="11" t="s">
        <v>727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0</v>
      </c>
      <c r="R304">
        <v>0</v>
      </c>
      <c r="S304">
        <v>1</v>
      </c>
      <c r="T304" s="67" t="s">
        <v>1610</v>
      </c>
    </row>
    <row r="305" spans="2:20" x14ac:dyDescent="0.25">
      <c r="B305" s="73" t="s">
        <v>493</v>
      </c>
      <c r="C305" s="11" t="s">
        <v>727</v>
      </c>
      <c r="D305">
        <v>0</v>
      </c>
      <c r="E305">
        <v>1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2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2</v>
      </c>
      <c r="T305" s="67" t="s">
        <v>1601</v>
      </c>
    </row>
    <row r="306" spans="2:20" x14ac:dyDescent="0.25">
      <c r="B306" s="73" t="s">
        <v>494</v>
      </c>
      <c r="C306" s="11" t="s">
        <v>727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1</v>
      </c>
      <c r="Q306">
        <v>0</v>
      </c>
      <c r="R306">
        <v>0</v>
      </c>
      <c r="S306">
        <v>1</v>
      </c>
      <c r="T306" s="67" t="s">
        <v>1611</v>
      </c>
    </row>
    <row r="307" spans="2:20" x14ac:dyDescent="0.25">
      <c r="B307" s="73" t="s">
        <v>495</v>
      </c>
      <c r="C307" s="11" t="s">
        <v>727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1</v>
      </c>
      <c r="T307" s="67" t="s">
        <v>1531</v>
      </c>
    </row>
    <row r="308" spans="2:20" x14ac:dyDescent="0.25">
      <c r="B308" s="73" t="s">
        <v>496</v>
      </c>
      <c r="C308" s="11" t="s">
        <v>727</v>
      </c>
      <c r="D308">
        <v>0</v>
      </c>
      <c r="E308">
        <v>1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2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2</v>
      </c>
      <c r="T308" s="67" t="s">
        <v>1601</v>
      </c>
    </row>
    <row r="309" spans="2:20" x14ac:dyDescent="0.25">
      <c r="B309" s="73" t="s">
        <v>497</v>
      </c>
      <c r="C309" s="11" t="s">
        <v>727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 s="67" t="s">
        <v>1522</v>
      </c>
    </row>
    <row r="310" spans="2:20" x14ac:dyDescent="0.25">
      <c r="B310" s="73" t="s">
        <v>594</v>
      </c>
      <c r="C310" s="11" t="s">
        <v>727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>
        <v>1</v>
      </c>
      <c r="T310" s="67" t="s">
        <v>1463</v>
      </c>
    </row>
    <row r="311" spans="2:20" x14ac:dyDescent="0.25">
      <c r="B311" s="73" t="s">
        <v>498</v>
      </c>
      <c r="C311" s="11" t="s">
        <v>727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1</v>
      </c>
      <c r="T311" s="67" t="s">
        <v>1600</v>
      </c>
    </row>
    <row r="312" spans="2:20" x14ac:dyDescent="0.25">
      <c r="B312" s="73" t="s">
        <v>499</v>
      </c>
      <c r="C312" s="11" t="s">
        <v>727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0</v>
      </c>
      <c r="R312">
        <v>0</v>
      </c>
      <c r="S312">
        <v>1</v>
      </c>
      <c r="T312" s="67" t="s">
        <v>1600</v>
      </c>
    </row>
    <row r="313" spans="2:20" x14ac:dyDescent="0.25">
      <c r="B313" s="73" t="s">
        <v>500</v>
      </c>
      <c r="C313" s="11" t="s">
        <v>727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1</v>
      </c>
      <c r="Q313">
        <v>0</v>
      </c>
      <c r="R313">
        <v>0</v>
      </c>
      <c r="S313">
        <v>1</v>
      </c>
      <c r="T313" s="67" t="s">
        <v>1600</v>
      </c>
    </row>
    <row r="314" spans="2:20" x14ac:dyDescent="0.25">
      <c r="B314" s="73" t="s">
        <v>501</v>
      </c>
      <c r="C314" s="11" t="s">
        <v>727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 s="67" t="s">
        <v>1500</v>
      </c>
    </row>
    <row r="315" spans="2:20" x14ac:dyDescent="0.25">
      <c r="B315" s="73" t="s">
        <v>502</v>
      </c>
      <c r="C315" s="11" t="s">
        <v>727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 s="67" t="s">
        <v>1477</v>
      </c>
    </row>
    <row r="316" spans="2:20" x14ac:dyDescent="0.25">
      <c r="B316" s="73" t="s">
        <v>503</v>
      </c>
      <c r="C316" s="11" t="s">
        <v>727</v>
      </c>
      <c r="D316">
        <v>0</v>
      </c>
      <c r="E316">
        <v>2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1</v>
      </c>
      <c r="L316">
        <v>1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2</v>
      </c>
      <c r="T316" s="67" t="s">
        <v>1612</v>
      </c>
    </row>
    <row r="317" spans="2:20" x14ac:dyDescent="0.25">
      <c r="B317" s="73" t="s">
        <v>504</v>
      </c>
      <c r="C317" s="11" t="s">
        <v>727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 s="67" t="s">
        <v>1483</v>
      </c>
    </row>
    <row r="318" spans="2:20" x14ac:dyDescent="0.25">
      <c r="B318" s="73" t="s">
        <v>505</v>
      </c>
      <c r="C318" s="11" t="s">
        <v>727</v>
      </c>
      <c r="D318">
        <v>0</v>
      </c>
      <c r="E318">
        <v>0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1</v>
      </c>
      <c r="T318" s="67" t="s">
        <v>1482</v>
      </c>
    </row>
    <row r="319" spans="2:20" x14ac:dyDescent="0.25">
      <c r="B319" s="73" t="s">
        <v>506</v>
      </c>
      <c r="C319" s="11" t="s">
        <v>727</v>
      </c>
      <c r="D319">
        <v>0</v>
      </c>
      <c r="E319">
        <v>0</v>
      </c>
      <c r="F319">
        <v>2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2</v>
      </c>
      <c r="O319">
        <v>0</v>
      </c>
      <c r="P319">
        <v>0</v>
      </c>
      <c r="Q319">
        <v>0</v>
      </c>
      <c r="R319">
        <v>0</v>
      </c>
      <c r="S319">
        <v>2</v>
      </c>
      <c r="T319" s="67" t="s">
        <v>1613</v>
      </c>
    </row>
    <row r="320" spans="2:20" x14ac:dyDescent="0.25">
      <c r="B320" s="73" t="s">
        <v>507</v>
      </c>
      <c r="C320" s="11" t="s">
        <v>727</v>
      </c>
      <c r="D320">
        <v>0</v>
      </c>
      <c r="E320">
        <v>3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1</v>
      </c>
      <c r="S320">
        <v>3</v>
      </c>
      <c r="T320" s="67" t="s">
        <v>1614</v>
      </c>
    </row>
    <row r="321" spans="2:20" x14ac:dyDescent="0.25">
      <c r="B321" s="73" t="s">
        <v>394</v>
      </c>
      <c r="C321" s="11" t="s">
        <v>727</v>
      </c>
      <c r="D321">
        <v>2</v>
      </c>
      <c r="E321">
        <v>4</v>
      </c>
      <c r="F321">
        <v>0</v>
      </c>
      <c r="G321">
        <v>0</v>
      </c>
      <c r="H321">
        <v>0</v>
      </c>
      <c r="I321">
        <v>2</v>
      </c>
      <c r="J321">
        <v>1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1</v>
      </c>
      <c r="Q321">
        <v>0</v>
      </c>
      <c r="R321">
        <v>1</v>
      </c>
      <c r="S321">
        <v>6</v>
      </c>
      <c r="T321" s="67" t="s">
        <v>1615</v>
      </c>
    </row>
    <row r="322" spans="2:20" x14ac:dyDescent="0.25">
      <c r="B322" s="73" t="s">
        <v>508</v>
      </c>
      <c r="C322" s="11" t="s">
        <v>727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 s="67" t="s">
        <v>1477</v>
      </c>
    </row>
    <row r="323" spans="2:20" x14ac:dyDescent="0.25">
      <c r="B323" s="73" t="s">
        <v>509</v>
      </c>
      <c r="C323" s="11" t="s">
        <v>727</v>
      </c>
      <c r="D323">
        <v>0</v>
      </c>
      <c r="E323">
        <v>2</v>
      </c>
      <c r="F323">
        <v>1</v>
      </c>
      <c r="G323">
        <v>1</v>
      </c>
      <c r="H323">
        <v>0</v>
      </c>
      <c r="I323">
        <v>1</v>
      </c>
      <c r="J323">
        <v>0</v>
      </c>
      <c r="K323">
        <v>0</v>
      </c>
      <c r="L323">
        <v>0</v>
      </c>
      <c r="M323">
        <v>2</v>
      </c>
      <c r="N323">
        <v>0</v>
      </c>
      <c r="O323">
        <v>0</v>
      </c>
      <c r="P323">
        <v>1</v>
      </c>
      <c r="Q323">
        <v>0</v>
      </c>
      <c r="R323">
        <v>0</v>
      </c>
      <c r="S323">
        <v>4</v>
      </c>
      <c r="T323" s="67" t="s">
        <v>1616</v>
      </c>
    </row>
    <row r="324" spans="2:20" x14ac:dyDescent="0.25">
      <c r="B324" s="73" t="s">
        <v>510</v>
      </c>
      <c r="C324" s="11" t="s">
        <v>727</v>
      </c>
      <c r="D324">
        <v>1</v>
      </c>
      <c r="E324">
        <v>2</v>
      </c>
      <c r="F324">
        <v>0</v>
      </c>
      <c r="G324">
        <v>0</v>
      </c>
      <c r="H324">
        <v>0</v>
      </c>
      <c r="I324">
        <v>2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3</v>
      </c>
      <c r="T324" s="67" t="s">
        <v>1617</v>
      </c>
    </row>
    <row r="325" spans="2:20" x14ac:dyDescent="0.25">
      <c r="B325" s="73" t="s">
        <v>511</v>
      </c>
      <c r="C325" s="11" t="s">
        <v>727</v>
      </c>
      <c r="D325">
        <v>1</v>
      </c>
      <c r="E325">
        <v>7</v>
      </c>
      <c r="F325">
        <v>0</v>
      </c>
      <c r="G325">
        <v>0</v>
      </c>
      <c r="H325">
        <v>0</v>
      </c>
      <c r="I325">
        <v>2</v>
      </c>
      <c r="J325">
        <v>1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4</v>
      </c>
      <c r="Q325">
        <v>0</v>
      </c>
      <c r="R325">
        <v>0</v>
      </c>
      <c r="S325">
        <v>8</v>
      </c>
      <c r="T325" s="67" t="s">
        <v>1618</v>
      </c>
    </row>
    <row r="326" spans="2:20" x14ac:dyDescent="0.25">
      <c r="B326" s="73" t="s">
        <v>512</v>
      </c>
      <c r="C326" s="11" t="s">
        <v>727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</v>
      </c>
      <c r="R326">
        <v>0</v>
      </c>
      <c r="S326">
        <v>1</v>
      </c>
      <c r="T326" s="67" t="s">
        <v>1463</v>
      </c>
    </row>
    <row r="327" spans="2:20" x14ac:dyDescent="0.25">
      <c r="B327" s="73" t="s">
        <v>563</v>
      </c>
      <c r="C327" s="11" t="s">
        <v>727</v>
      </c>
      <c r="D327">
        <v>1</v>
      </c>
      <c r="E327">
        <v>1</v>
      </c>
      <c r="F327">
        <v>0</v>
      </c>
      <c r="G327">
        <v>1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0</v>
      </c>
      <c r="R327">
        <v>1</v>
      </c>
      <c r="S327">
        <v>3</v>
      </c>
      <c r="T327" s="67" t="s">
        <v>1619</v>
      </c>
    </row>
    <row r="328" spans="2:20" x14ac:dyDescent="0.25">
      <c r="B328" s="73" t="s">
        <v>513</v>
      </c>
      <c r="C328" s="11" t="s">
        <v>727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1</v>
      </c>
      <c r="T328" s="67" t="s">
        <v>1477</v>
      </c>
    </row>
    <row r="329" spans="2:20" x14ac:dyDescent="0.25">
      <c r="B329" s="73" t="s">
        <v>514</v>
      </c>
      <c r="C329" s="11" t="s">
        <v>727</v>
      </c>
      <c r="D329">
        <v>0</v>
      </c>
      <c r="E329">
        <v>6</v>
      </c>
      <c r="F329">
        <v>1</v>
      </c>
      <c r="G329">
        <v>4</v>
      </c>
      <c r="H329">
        <v>0</v>
      </c>
      <c r="I329">
        <v>2</v>
      </c>
      <c r="J329">
        <v>2</v>
      </c>
      <c r="K329">
        <v>1</v>
      </c>
      <c r="L329">
        <v>1</v>
      </c>
      <c r="M329">
        <v>1</v>
      </c>
      <c r="N329">
        <v>2</v>
      </c>
      <c r="O329">
        <v>0</v>
      </c>
      <c r="P329">
        <v>1</v>
      </c>
      <c r="Q329">
        <v>0</v>
      </c>
      <c r="R329">
        <v>1</v>
      </c>
      <c r="S329">
        <v>11</v>
      </c>
      <c r="T329" s="67" t="s">
        <v>1620</v>
      </c>
    </row>
    <row r="330" spans="2:20" x14ac:dyDescent="0.25">
      <c r="B330" s="73" t="s">
        <v>515</v>
      </c>
      <c r="C330" s="11" t="s">
        <v>727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1</v>
      </c>
      <c r="Q330">
        <v>0</v>
      </c>
      <c r="R330">
        <v>0</v>
      </c>
      <c r="S330">
        <v>1</v>
      </c>
      <c r="T330" s="67" t="s">
        <v>1611</v>
      </c>
    </row>
    <row r="331" spans="2:20" x14ac:dyDescent="0.25">
      <c r="B331" s="73" t="s">
        <v>516</v>
      </c>
      <c r="C331" s="11" t="s">
        <v>727</v>
      </c>
      <c r="D331">
        <v>0</v>
      </c>
      <c r="E331">
        <v>2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0</v>
      </c>
      <c r="R331">
        <v>1</v>
      </c>
      <c r="S331">
        <v>2</v>
      </c>
      <c r="T331" s="67" t="s">
        <v>1621</v>
      </c>
    </row>
    <row r="332" spans="2:20" x14ac:dyDescent="0.25">
      <c r="B332" s="73" t="s">
        <v>517</v>
      </c>
      <c r="C332" s="11" t="s">
        <v>727</v>
      </c>
      <c r="D332">
        <v>0</v>
      </c>
      <c r="E332">
        <v>2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2</v>
      </c>
      <c r="T332" s="67" t="s">
        <v>1622</v>
      </c>
    </row>
    <row r="333" spans="2:20" x14ac:dyDescent="0.25">
      <c r="B333" s="73" t="s">
        <v>518</v>
      </c>
      <c r="C333" s="11" t="s">
        <v>727</v>
      </c>
      <c r="D333">
        <v>0</v>
      </c>
      <c r="E333">
        <v>2</v>
      </c>
      <c r="F333">
        <v>0</v>
      </c>
      <c r="G333">
        <v>3</v>
      </c>
      <c r="H333">
        <v>0</v>
      </c>
      <c r="I333">
        <v>2</v>
      </c>
      <c r="J333">
        <v>0</v>
      </c>
      <c r="K333">
        <v>0</v>
      </c>
      <c r="L333">
        <v>0</v>
      </c>
      <c r="M333">
        <v>1</v>
      </c>
      <c r="N333">
        <v>1</v>
      </c>
      <c r="O333">
        <v>0</v>
      </c>
      <c r="P333">
        <v>1</v>
      </c>
      <c r="Q333">
        <v>0</v>
      </c>
      <c r="R333">
        <v>0</v>
      </c>
      <c r="S333">
        <v>5</v>
      </c>
      <c r="T333" s="67" t="s">
        <v>1623</v>
      </c>
    </row>
    <row r="334" spans="2:20" x14ac:dyDescent="0.25">
      <c r="B334" s="73" t="s">
        <v>299</v>
      </c>
      <c r="C334" s="11" t="s">
        <v>727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 s="67" t="s">
        <v>1610</v>
      </c>
    </row>
    <row r="335" spans="2:20" x14ac:dyDescent="0.25">
      <c r="B335" s="73" t="s">
        <v>519</v>
      </c>
      <c r="C335" s="11" t="s">
        <v>727</v>
      </c>
      <c r="D335">
        <v>1</v>
      </c>
      <c r="E335">
        <v>2</v>
      </c>
      <c r="F335">
        <v>1</v>
      </c>
      <c r="G335">
        <v>0</v>
      </c>
      <c r="H335">
        <v>1</v>
      </c>
      <c r="I335">
        <v>1</v>
      </c>
      <c r="J335">
        <v>1</v>
      </c>
      <c r="K335">
        <v>0</v>
      </c>
      <c r="L335">
        <v>0</v>
      </c>
      <c r="M335">
        <v>1</v>
      </c>
      <c r="N335">
        <v>0</v>
      </c>
      <c r="O335">
        <v>0</v>
      </c>
      <c r="P335">
        <v>1</v>
      </c>
      <c r="Q335">
        <v>0</v>
      </c>
      <c r="R335">
        <v>1</v>
      </c>
      <c r="S335">
        <v>5</v>
      </c>
      <c r="T335" s="67" t="s">
        <v>1624</v>
      </c>
    </row>
    <row r="336" spans="2:20" x14ac:dyDescent="0.25">
      <c r="B336" s="73" t="s">
        <v>520</v>
      </c>
      <c r="C336" s="11" t="s">
        <v>727</v>
      </c>
      <c r="D336">
        <v>0</v>
      </c>
      <c r="E336">
        <v>0</v>
      </c>
      <c r="F336">
        <v>0</v>
      </c>
      <c r="G336">
        <v>4</v>
      </c>
      <c r="H336">
        <v>0</v>
      </c>
      <c r="I336">
        <v>1</v>
      </c>
      <c r="J336">
        <v>0</v>
      </c>
      <c r="K336">
        <v>1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1</v>
      </c>
      <c r="R336">
        <v>0</v>
      </c>
      <c r="S336">
        <v>4</v>
      </c>
      <c r="T336" s="67" t="s">
        <v>1625</v>
      </c>
    </row>
    <row r="337" spans="2:20" x14ac:dyDescent="0.25">
      <c r="B337" s="73" t="s">
        <v>521</v>
      </c>
      <c r="C337" s="11" t="s">
        <v>727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1</v>
      </c>
      <c r="T337" s="67" t="s">
        <v>1610</v>
      </c>
    </row>
    <row r="338" spans="2:20" x14ac:dyDescent="0.25">
      <c r="B338" s="73" t="s">
        <v>522</v>
      </c>
      <c r="C338" s="11" t="s">
        <v>727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1</v>
      </c>
      <c r="T338" s="67" t="s">
        <v>1556</v>
      </c>
    </row>
    <row r="339" spans="2:20" x14ac:dyDescent="0.25">
      <c r="B339" s="73" t="s">
        <v>523</v>
      </c>
      <c r="C339" s="11" t="s">
        <v>727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>
        <v>1</v>
      </c>
      <c r="T339" s="67" t="s">
        <v>1463</v>
      </c>
    </row>
    <row r="340" spans="2:20" x14ac:dyDescent="0.25">
      <c r="B340" s="73" t="s">
        <v>524</v>
      </c>
      <c r="C340" s="11" t="s">
        <v>727</v>
      </c>
      <c r="D340">
        <v>0</v>
      </c>
      <c r="E340">
        <v>0</v>
      </c>
      <c r="F340">
        <v>0</v>
      </c>
      <c r="G340">
        <v>4</v>
      </c>
      <c r="H340">
        <v>0</v>
      </c>
      <c r="I340">
        <v>0</v>
      </c>
      <c r="J340">
        <v>0</v>
      </c>
      <c r="K340">
        <v>1</v>
      </c>
      <c r="L340">
        <v>0</v>
      </c>
      <c r="M340">
        <v>1</v>
      </c>
      <c r="N340">
        <v>1</v>
      </c>
      <c r="O340">
        <v>0</v>
      </c>
      <c r="P340">
        <v>0</v>
      </c>
      <c r="Q340">
        <v>1</v>
      </c>
      <c r="R340">
        <v>0</v>
      </c>
      <c r="S340">
        <v>4</v>
      </c>
      <c r="T340" s="67" t="s">
        <v>1626</v>
      </c>
    </row>
    <row r="341" spans="2:20" x14ac:dyDescent="0.25">
      <c r="B341" s="73" t="s">
        <v>525</v>
      </c>
      <c r="C341" s="11" t="s">
        <v>727</v>
      </c>
      <c r="D341">
        <v>0</v>
      </c>
      <c r="E341">
        <v>0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1</v>
      </c>
      <c r="T341" s="67" t="s">
        <v>1568</v>
      </c>
    </row>
    <row r="342" spans="2:20" x14ac:dyDescent="0.25">
      <c r="B342" s="73" t="s">
        <v>526</v>
      </c>
      <c r="C342" s="11" t="s">
        <v>727</v>
      </c>
      <c r="D342">
        <v>0</v>
      </c>
      <c r="E342">
        <v>0</v>
      </c>
      <c r="F342">
        <v>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</v>
      </c>
      <c r="R342">
        <v>0</v>
      </c>
      <c r="S342">
        <v>1</v>
      </c>
      <c r="T342" s="67" t="s">
        <v>1486</v>
      </c>
    </row>
    <row r="343" spans="2:20" x14ac:dyDescent="0.25">
      <c r="B343" s="73" t="s">
        <v>527</v>
      </c>
      <c r="C343" s="11" t="s">
        <v>727</v>
      </c>
      <c r="D343">
        <v>0</v>
      </c>
      <c r="E343">
        <v>0</v>
      </c>
      <c r="F343">
        <v>0</v>
      </c>
      <c r="G343">
        <v>0</v>
      </c>
      <c r="H343">
        <v>1</v>
      </c>
      <c r="I343">
        <v>1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 s="67" t="s">
        <v>649</v>
      </c>
    </row>
    <row r="344" spans="2:20" x14ac:dyDescent="0.25">
      <c r="B344" s="73" t="s">
        <v>528</v>
      </c>
      <c r="C344" s="11" t="s">
        <v>727</v>
      </c>
      <c r="D344">
        <v>0</v>
      </c>
      <c r="E344">
        <v>3</v>
      </c>
      <c r="F344">
        <v>0</v>
      </c>
      <c r="G344">
        <v>2</v>
      </c>
      <c r="H344">
        <v>0</v>
      </c>
      <c r="I344">
        <v>0</v>
      </c>
      <c r="J344">
        <v>0</v>
      </c>
      <c r="K344">
        <v>1</v>
      </c>
      <c r="L344">
        <v>3</v>
      </c>
      <c r="M344">
        <v>0</v>
      </c>
      <c r="N344">
        <v>0</v>
      </c>
      <c r="O344">
        <v>0</v>
      </c>
      <c r="P344">
        <v>1</v>
      </c>
      <c r="Q344">
        <v>0</v>
      </c>
      <c r="R344">
        <v>0</v>
      </c>
      <c r="S344">
        <v>5</v>
      </c>
      <c r="T344" s="67" t="s">
        <v>1627</v>
      </c>
    </row>
    <row r="345" spans="2:20" x14ac:dyDescent="0.25">
      <c r="B345" s="73" t="s">
        <v>529</v>
      </c>
      <c r="C345" s="11" t="s">
        <v>727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1</v>
      </c>
      <c r="Q345">
        <v>0</v>
      </c>
      <c r="R345">
        <v>0</v>
      </c>
      <c r="S345">
        <v>1</v>
      </c>
      <c r="T345" s="67" t="s">
        <v>1611</v>
      </c>
    </row>
    <row r="346" spans="2:20" x14ac:dyDescent="0.25">
      <c r="B346" s="73" t="s">
        <v>530</v>
      </c>
      <c r="C346" s="11" t="s">
        <v>727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0</v>
      </c>
      <c r="R346">
        <v>0</v>
      </c>
      <c r="S346">
        <v>1</v>
      </c>
      <c r="T346" s="67" t="s">
        <v>1611</v>
      </c>
    </row>
    <row r="347" spans="2:20" x14ac:dyDescent="0.25">
      <c r="B347" s="73" t="s">
        <v>531</v>
      </c>
      <c r="C347" s="11" t="s">
        <v>727</v>
      </c>
      <c r="D347">
        <v>0</v>
      </c>
      <c r="E347">
        <v>2</v>
      </c>
      <c r="F347">
        <v>1</v>
      </c>
      <c r="G347">
        <v>3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2</v>
      </c>
      <c r="N347">
        <v>0</v>
      </c>
      <c r="O347">
        <v>0</v>
      </c>
      <c r="P347">
        <v>1</v>
      </c>
      <c r="Q347">
        <v>0</v>
      </c>
      <c r="R347">
        <v>2</v>
      </c>
      <c r="S347">
        <v>6</v>
      </c>
      <c r="T347" s="67" t="s">
        <v>1628</v>
      </c>
    </row>
    <row r="348" spans="2:20" x14ac:dyDescent="0.25">
      <c r="B348" s="73" t="s">
        <v>532</v>
      </c>
      <c r="C348" s="11" t="s">
        <v>727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 s="67" t="s">
        <v>1610</v>
      </c>
    </row>
    <row r="349" spans="2:20" x14ac:dyDescent="0.25">
      <c r="B349" s="73" t="s">
        <v>533</v>
      </c>
      <c r="C349" s="11" t="s">
        <v>727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1</v>
      </c>
      <c r="Q349">
        <v>0</v>
      </c>
      <c r="R349">
        <v>0</v>
      </c>
      <c r="S349">
        <v>2</v>
      </c>
      <c r="T349" s="67" t="s">
        <v>1629</v>
      </c>
    </row>
    <row r="350" spans="2:20" x14ac:dyDescent="0.25">
      <c r="B350" s="73" t="s">
        <v>534</v>
      </c>
      <c r="C350" s="11" t="s">
        <v>727</v>
      </c>
      <c r="D350">
        <v>1</v>
      </c>
      <c r="E350">
        <v>1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>
        <v>0</v>
      </c>
      <c r="R350">
        <v>2</v>
      </c>
      <c r="S350">
        <v>3</v>
      </c>
      <c r="T350" s="67" t="s">
        <v>1630</v>
      </c>
    </row>
    <row r="351" spans="2:20" x14ac:dyDescent="0.25">
      <c r="B351" s="73" t="s">
        <v>535</v>
      </c>
      <c r="C351" s="11" t="s">
        <v>727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 s="67" t="s">
        <v>1582</v>
      </c>
    </row>
    <row r="352" spans="2:20" x14ac:dyDescent="0.25">
      <c r="B352" s="73" t="s">
        <v>536</v>
      </c>
      <c r="C352" s="11" t="s">
        <v>727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1</v>
      </c>
      <c r="Q352">
        <v>0</v>
      </c>
      <c r="R352">
        <v>0</v>
      </c>
      <c r="S352">
        <v>1</v>
      </c>
      <c r="T352" s="67" t="s">
        <v>1631</v>
      </c>
    </row>
    <row r="353" spans="2:20" x14ac:dyDescent="0.25">
      <c r="B353" s="73" t="s">
        <v>537</v>
      </c>
      <c r="C353" s="11" t="s">
        <v>727</v>
      </c>
      <c r="D353">
        <v>0</v>
      </c>
      <c r="E353">
        <v>0</v>
      </c>
      <c r="F353">
        <v>0</v>
      </c>
      <c r="G353">
        <v>6</v>
      </c>
      <c r="H353">
        <v>1</v>
      </c>
      <c r="I353">
        <v>2</v>
      </c>
      <c r="J353">
        <v>1</v>
      </c>
      <c r="K353">
        <v>1</v>
      </c>
      <c r="L353">
        <v>1</v>
      </c>
      <c r="M353">
        <v>0</v>
      </c>
      <c r="N353">
        <v>1</v>
      </c>
      <c r="O353">
        <v>0</v>
      </c>
      <c r="P353">
        <v>0</v>
      </c>
      <c r="Q353">
        <v>1</v>
      </c>
      <c r="R353">
        <v>0</v>
      </c>
      <c r="S353">
        <v>7</v>
      </c>
      <c r="T353" s="67" t="s">
        <v>1632</v>
      </c>
    </row>
    <row r="354" spans="2:20" x14ac:dyDescent="0.25">
      <c r="B354" s="73" t="s">
        <v>538</v>
      </c>
      <c r="C354" s="11" t="s">
        <v>727</v>
      </c>
      <c r="D354">
        <v>0</v>
      </c>
      <c r="E354">
        <v>0</v>
      </c>
      <c r="F354">
        <v>0</v>
      </c>
      <c r="G354">
        <v>4</v>
      </c>
      <c r="H354">
        <v>1</v>
      </c>
      <c r="I354">
        <v>2</v>
      </c>
      <c r="J354">
        <v>1</v>
      </c>
      <c r="K354">
        <v>1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5</v>
      </c>
      <c r="T354" s="67" t="s">
        <v>1633</v>
      </c>
    </row>
    <row r="355" spans="2:20" x14ac:dyDescent="0.25">
      <c r="B355" s="73" t="s">
        <v>595</v>
      </c>
      <c r="C355" s="11" t="s">
        <v>727</v>
      </c>
      <c r="D355">
        <v>0</v>
      </c>
      <c r="E355">
        <v>1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2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2</v>
      </c>
      <c r="T355" s="67" t="s">
        <v>1601</v>
      </c>
    </row>
    <row r="356" spans="2:20" x14ac:dyDescent="0.25">
      <c r="B356" s="73" t="s">
        <v>301</v>
      </c>
      <c r="C356" s="11" t="s">
        <v>727</v>
      </c>
      <c r="D356">
        <v>0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1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2</v>
      </c>
      <c r="T356" s="67" t="s">
        <v>1634</v>
      </c>
    </row>
    <row r="357" spans="2:20" x14ac:dyDescent="0.25">
      <c r="B357" s="73" t="s">
        <v>303</v>
      </c>
      <c r="C357" s="11" t="s">
        <v>727</v>
      </c>
      <c r="D357">
        <v>0</v>
      </c>
      <c r="E357">
        <v>0</v>
      </c>
      <c r="F357">
        <v>1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2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2</v>
      </c>
      <c r="T357" s="67" t="s">
        <v>1566</v>
      </c>
    </row>
    <row r="358" spans="2:20" x14ac:dyDescent="0.25">
      <c r="B358" s="73" t="s">
        <v>305</v>
      </c>
      <c r="C358" s="11" t="s">
        <v>727</v>
      </c>
      <c r="D358">
        <v>0</v>
      </c>
      <c r="E358">
        <v>0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1</v>
      </c>
      <c r="T358" s="67" t="s">
        <v>1477</v>
      </c>
    </row>
    <row r="359" spans="2:20" x14ac:dyDescent="0.25">
      <c r="B359" s="73" t="s">
        <v>596</v>
      </c>
      <c r="C359" s="11" t="s">
        <v>727</v>
      </c>
      <c r="D359">
        <v>0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2</v>
      </c>
      <c r="T359" s="67" t="s">
        <v>1635</v>
      </c>
    </row>
    <row r="360" spans="2:20" x14ac:dyDescent="0.25">
      <c r="B360" s="73" t="s">
        <v>307</v>
      </c>
      <c r="C360" s="11" t="s">
        <v>727</v>
      </c>
      <c r="D360">
        <v>0</v>
      </c>
      <c r="E360">
        <v>2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1</v>
      </c>
      <c r="O360">
        <v>0</v>
      </c>
      <c r="P360">
        <v>1</v>
      </c>
      <c r="Q360">
        <v>0</v>
      </c>
      <c r="R360">
        <v>0</v>
      </c>
      <c r="S360">
        <v>2</v>
      </c>
      <c r="T360" s="67" t="s">
        <v>1636</v>
      </c>
    </row>
    <row r="361" spans="2:20" x14ac:dyDescent="0.25">
      <c r="B361" s="73" t="s">
        <v>309</v>
      </c>
      <c r="C361" s="11" t="s">
        <v>727</v>
      </c>
      <c r="D361">
        <v>0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 s="67" t="s">
        <v>1566</v>
      </c>
    </row>
    <row r="362" spans="2:20" x14ac:dyDescent="0.25">
      <c r="B362" s="73" t="s">
        <v>311</v>
      </c>
      <c r="C362" s="11" t="s">
        <v>727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</v>
      </c>
      <c r="T362" s="67" t="s">
        <v>1500</v>
      </c>
    </row>
    <row r="363" spans="2:20" x14ac:dyDescent="0.25">
      <c r="B363" s="73" t="s">
        <v>312</v>
      </c>
      <c r="C363" s="11" t="s">
        <v>727</v>
      </c>
      <c r="D363">
        <v>0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2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2</v>
      </c>
      <c r="T363" s="67" t="s">
        <v>1635</v>
      </c>
    </row>
    <row r="364" spans="2:20" x14ac:dyDescent="0.25">
      <c r="B364" s="73" t="s">
        <v>597</v>
      </c>
      <c r="C364" s="11" t="s">
        <v>727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1</v>
      </c>
      <c r="O364">
        <v>0</v>
      </c>
      <c r="P364">
        <v>0</v>
      </c>
      <c r="Q364">
        <v>0</v>
      </c>
      <c r="R364">
        <v>0</v>
      </c>
      <c r="S364">
        <v>1</v>
      </c>
      <c r="T364" s="67" t="s">
        <v>1503</v>
      </c>
    </row>
    <row r="365" spans="2:20" x14ac:dyDescent="0.25">
      <c r="B365" s="73" t="s">
        <v>314</v>
      </c>
      <c r="C365" s="11" t="s">
        <v>727</v>
      </c>
      <c r="D365">
        <v>0</v>
      </c>
      <c r="E365">
        <v>3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0</v>
      </c>
      <c r="R365">
        <v>1</v>
      </c>
      <c r="S365">
        <v>3</v>
      </c>
      <c r="T365" s="67" t="s">
        <v>1614</v>
      </c>
    </row>
    <row r="366" spans="2:20" x14ac:dyDescent="0.25">
      <c r="B366" s="73" t="s">
        <v>315</v>
      </c>
      <c r="C366" s="11" t="s">
        <v>727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1</v>
      </c>
      <c r="T366" s="67" t="s">
        <v>1611</v>
      </c>
    </row>
    <row r="367" spans="2:20" x14ac:dyDescent="0.25">
      <c r="B367" s="73" t="s">
        <v>317</v>
      </c>
      <c r="C367" s="11" t="s">
        <v>727</v>
      </c>
      <c r="D367">
        <v>0</v>
      </c>
      <c r="E367">
        <v>0</v>
      </c>
      <c r="F367">
        <v>1</v>
      </c>
      <c r="G367">
        <v>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2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2</v>
      </c>
      <c r="T367" s="67" t="s">
        <v>1566</v>
      </c>
    </row>
    <row r="368" spans="2:20" x14ac:dyDescent="0.25">
      <c r="B368" s="73" t="s">
        <v>319</v>
      </c>
      <c r="C368" s="11" t="s">
        <v>727</v>
      </c>
      <c r="D368">
        <v>0</v>
      </c>
      <c r="E368">
        <v>2</v>
      </c>
      <c r="F368">
        <v>0</v>
      </c>
      <c r="G368">
        <v>2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2</v>
      </c>
      <c r="P368">
        <v>0</v>
      </c>
      <c r="Q368">
        <v>0</v>
      </c>
      <c r="R368">
        <v>2</v>
      </c>
      <c r="S368">
        <v>4</v>
      </c>
      <c r="T368" s="67" t="s">
        <v>1637</v>
      </c>
    </row>
    <row r="369" spans="2:20" x14ac:dyDescent="0.25">
      <c r="B369" s="73" t="s">
        <v>321</v>
      </c>
      <c r="C369" s="11" t="s">
        <v>727</v>
      </c>
      <c r="D369">
        <v>1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1</v>
      </c>
      <c r="S369">
        <v>1</v>
      </c>
      <c r="T369" s="67" t="s">
        <v>1587</v>
      </c>
    </row>
    <row r="370" spans="2:20" x14ac:dyDescent="0.25">
      <c r="B370" s="73" t="s">
        <v>323</v>
      </c>
      <c r="C370" s="11" t="s">
        <v>727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1</v>
      </c>
      <c r="T370" s="67" t="s">
        <v>1503</v>
      </c>
    </row>
    <row r="371" spans="2:20" x14ac:dyDescent="0.25">
      <c r="B371" s="73" t="s">
        <v>598</v>
      </c>
      <c r="C371" s="11" t="s">
        <v>727</v>
      </c>
      <c r="D371">
        <v>0</v>
      </c>
      <c r="E371">
        <v>0</v>
      </c>
      <c r="F371">
        <v>0</v>
      </c>
      <c r="G371">
        <v>1</v>
      </c>
      <c r="H371">
        <v>0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1</v>
      </c>
      <c r="T371" s="67" t="s">
        <v>1473</v>
      </c>
    </row>
    <row r="372" spans="2:20" x14ac:dyDescent="0.25">
      <c r="B372" s="73" t="s">
        <v>326</v>
      </c>
      <c r="C372" s="11" t="s">
        <v>727</v>
      </c>
      <c r="D372">
        <v>0</v>
      </c>
      <c r="E372">
        <v>4</v>
      </c>
      <c r="F372">
        <v>2</v>
      </c>
      <c r="G372">
        <v>2</v>
      </c>
      <c r="H372">
        <v>0</v>
      </c>
      <c r="I372">
        <v>1</v>
      </c>
      <c r="J372">
        <v>2</v>
      </c>
      <c r="K372">
        <v>0</v>
      </c>
      <c r="L372">
        <v>0</v>
      </c>
      <c r="M372">
        <v>2</v>
      </c>
      <c r="N372">
        <v>1</v>
      </c>
      <c r="O372">
        <v>0</v>
      </c>
      <c r="P372">
        <v>1</v>
      </c>
      <c r="Q372">
        <v>0</v>
      </c>
      <c r="R372">
        <v>1</v>
      </c>
      <c r="S372">
        <v>8</v>
      </c>
      <c r="T372" s="67" t="s">
        <v>1638</v>
      </c>
    </row>
    <row r="373" spans="2:20" x14ac:dyDescent="0.25">
      <c r="B373" s="73" t="s">
        <v>327</v>
      </c>
      <c r="C373" s="11" t="s">
        <v>727</v>
      </c>
      <c r="D373">
        <v>0</v>
      </c>
      <c r="E373">
        <v>2</v>
      </c>
      <c r="F373">
        <v>0</v>
      </c>
      <c r="G373">
        <v>3</v>
      </c>
      <c r="H373">
        <v>0</v>
      </c>
      <c r="I373">
        <v>1</v>
      </c>
      <c r="J373">
        <v>2</v>
      </c>
      <c r="K373">
        <v>0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1</v>
      </c>
      <c r="S373">
        <v>5</v>
      </c>
      <c r="T373" s="67" t="s">
        <v>1639</v>
      </c>
    </row>
    <row r="374" spans="2:20" x14ac:dyDescent="0.25">
      <c r="B374" s="73" t="s">
        <v>583</v>
      </c>
      <c r="C374" s="11" t="s">
        <v>727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1</v>
      </c>
      <c r="T374" s="67" t="s">
        <v>1514</v>
      </c>
    </row>
    <row r="375" spans="2:20" x14ac:dyDescent="0.25">
      <c r="B375" s="73" t="s">
        <v>599</v>
      </c>
      <c r="C375" s="11" t="s">
        <v>727</v>
      </c>
      <c r="D375">
        <v>0</v>
      </c>
      <c r="E375">
        <v>0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</v>
      </c>
      <c r="P375">
        <v>0</v>
      </c>
      <c r="Q375">
        <v>0</v>
      </c>
      <c r="R375">
        <v>0</v>
      </c>
      <c r="S375">
        <v>1</v>
      </c>
      <c r="T375" s="67" t="s">
        <v>1558</v>
      </c>
    </row>
    <row r="376" spans="2:20" x14ac:dyDescent="0.25">
      <c r="B376" s="73" t="s">
        <v>328</v>
      </c>
      <c r="C376" s="11" t="s">
        <v>727</v>
      </c>
      <c r="D376">
        <v>0</v>
      </c>
      <c r="E376">
        <v>0</v>
      </c>
      <c r="F376">
        <v>2</v>
      </c>
      <c r="G376">
        <v>1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>
        <v>0</v>
      </c>
      <c r="Q376">
        <v>0</v>
      </c>
      <c r="R376">
        <v>2</v>
      </c>
      <c r="S376">
        <v>3</v>
      </c>
      <c r="T376" s="67" t="s">
        <v>1595</v>
      </c>
    </row>
    <row r="377" spans="2:20" x14ac:dyDescent="0.25">
      <c r="B377" s="73" t="s">
        <v>600</v>
      </c>
      <c r="C377" s="11" t="s">
        <v>727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>
        <v>0</v>
      </c>
      <c r="Q377">
        <v>0</v>
      </c>
      <c r="R377">
        <v>0</v>
      </c>
      <c r="S377">
        <v>1</v>
      </c>
      <c r="T377" s="67" t="s">
        <v>1558</v>
      </c>
    </row>
    <row r="378" spans="2:20" x14ac:dyDescent="0.25">
      <c r="B378" s="73" t="s">
        <v>330</v>
      </c>
      <c r="C378" s="11" t="s">
        <v>727</v>
      </c>
      <c r="D378">
        <v>0</v>
      </c>
      <c r="E378">
        <v>0</v>
      </c>
      <c r="F378">
        <v>1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1</v>
      </c>
      <c r="S378">
        <v>2</v>
      </c>
      <c r="T378" s="67" t="s">
        <v>1640</v>
      </c>
    </row>
    <row r="379" spans="2:20" x14ac:dyDescent="0.25">
      <c r="B379" s="73" t="s">
        <v>332</v>
      </c>
      <c r="C379" s="11" t="s">
        <v>727</v>
      </c>
      <c r="D379">
        <v>0</v>
      </c>
      <c r="E379">
        <v>0</v>
      </c>
      <c r="F379">
        <v>2</v>
      </c>
      <c r="G379">
        <v>1</v>
      </c>
      <c r="H379">
        <v>0</v>
      </c>
      <c r="I379">
        <v>1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>
        <v>0</v>
      </c>
      <c r="Q379">
        <v>0</v>
      </c>
      <c r="R379">
        <v>1</v>
      </c>
      <c r="S379">
        <v>3</v>
      </c>
      <c r="T379" s="67" t="s">
        <v>1641</v>
      </c>
    </row>
    <row r="380" spans="2:20" x14ac:dyDescent="0.25">
      <c r="B380" s="73" t="s">
        <v>333</v>
      </c>
      <c r="C380" s="11" t="s">
        <v>727</v>
      </c>
      <c r="D380">
        <v>0</v>
      </c>
      <c r="E380">
        <v>1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>
        <v>0</v>
      </c>
      <c r="Q380">
        <v>0</v>
      </c>
      <c r="R380">
        <v>0</v>
      </c>
      <c r="S380">
        <v>1</v>
      </c>
      <c r="T380" s="67" t="s">
        <v>1506</v>
      </c>
    </row>
    <row r="381" spans="2:20" x14ac:dyDescent="0.25">
      <c r="B381" s="73" t="s">
        <v>335</v>
      </c>
      <c r="C381" s="11" t="s">
        <v>727</v>
      </c>
      <c r="D381">
        <v>1</v>
      </c>
      <c r="E381">
        <v>1</v>
      </c>
      <c r="F381">
        <v>4</v>
      </c>
      <c r="G381">
        <v>0</v>
      </c>
      <c r="H381">
        <v>0</v>
      </c>
      <c r="I381">
        <v>2</v>
      </c>
      <c r="J381">
        <v>0</v>
      </c>
      <c r="K381">
        <v>0</v>
      </c>
      <c r="L381">
        <v>0</v>
      </c>
      <c r="M381">
        <v>0</v>
      </c>
      <c r="N381">
        <v>2</v>
      </c>
      <c r="O381">
        <v>1</v>
      </c>
      <c r="P381">
        <v>0</v>
      </c>
      <c r="Q381">
        <v>0</v>
      </c>
      <c r="R381">
        <v>1</v>
      </c>
      <c r="S381">
        <v>6</v>
      </c>
      <c r="T381" s="67" t="s">
        <v>1642</v>
      </c>
    </row>
    <row r="382" spans="2:20" x14ac:dyDescent="0.25">
      <c r="B382" s="73" t="s">
        <v>336</v>
      </c>
      <c r="C382" s="11" t="s">
        <v>727</v>
      </c>
      <c r="D382">
        <v>0</v>
      </c>
      <c r="E382">
        <v>1</v>
      </c>
      <c r="F382">
        <v>2</v>
      </c>
      <c r="G382">
        <v>1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2</v>
      </c>
      <c r="P382">
        <v>0</v>
      </c>
      <c r="Q382">
        <v>0</v>
      </c>
      <c r="R382">
        <v>2</v>
      </c>
      <c r="S382">
        <v>4</v>
      </c>
      <c r="T382" s="67" t="s">
        <v>1643</v>
      </c>
    </row>
    <row r="383" spans="2:20" x14ac:dyDescent="0.25">
      <c r="B383" s="73" t="s">
        <v>325</v>
      </c>
      <c r="C383" s="11" t="s">
        <v>727</v>
      </c>
      <c r="D383">
        <v>0</v>
      </c>
      <c r="E383">
        <v>0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1</v>
      </c>
      <c r="T383" s="67" t="s">
        <v>1481</v>
      </c>
    </row>
    <row r="384" spans="2:20" x14ac:dyDescent="0.25">
      <c r="B384" s="73" t="s">
        <v>338</v>
      </c>
      <c r="C384" s="11" t="s">
        <v>727</v>
      </c>
      <c r="D384">
        <v>0</v>
      </c>
      <c r="E384">
        <v>0</v>
      </c>
      <c r="F384">
        <v>1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 s="67" t="s">
        <v>1481</v>
      </c>
    </row>
    <row r="385" spans="2:20" x14ac:dyDescent="0.25">
      <c r="B385" s="73" t="s">
        <v>340</v>
      </c>
      <c r="C385" s="11" t="s">
        <v>727</v>
      </c>
      <c r="D385">
        <v>1</v>
      </c>
      <c r="E385">
        <v>7</v>
      </c>
      <c r="F385">
        <v>1</v>
      </c>
      <c r="G385">
        <v>0</v>
      </c>
      <c r="H385">
        <v>0</v>
      </c>
      <c r="I385">
        <v>3</v>
      </c>
      <c r="J385">
        <v>2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4</v>
      </c>
      <c r="Q385">
        <v>0</v>
      </c>
      <c r="R385">
        <v>0</v>
      </c>
      <c r="S385">
        <v>9</v>
      </c>
      <c r="T385" s="67" t="s">
        <v>1644</v>
      </c>
    </row>
    <row r="386" spans="2:20" x14ac:dyDescent="0.25">
      <c r="B386" s="73" t="s">
        <v>341</v>
      </c>
      <c r="C386" s="11" t="s">
        <v>727</v>
      </c>
      <c r="D386">
        <v>0</v>
      </c>
      <c r="E386">
        <v>0</v>
      </c>
      <c r="F386">
        <v>3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3</v>
      </c>
      <c r="O386">
        <v>0</v>
      </c>
      <c r="P386">
        <v>1</v>
      </c>
      <c r="Q386">
        <v>0</v>
      </c>
      <c r="R386">
        <v>0</v>
      </c>
      <c r="S386">
        <v>4</v>
      </c>
      <c r="T386" s="67" t="s">
        <v>1645</v>
      </c>
    </row>
    <row r="387" spans="2:20" x14ac:dyDescent="0.25">
      <c r="B387" s="73" t="s">
        <v>343</v>
      </c>
      <c r="C387" s="11" t="s">
        <v>727</v>
      </c>
      <c r="D387">
        <v>0</v>
      </c>
      <c r="E387">
        <v>0</v>
      </c>
      <c r="F387">
        <v>2</v>
      </c>
      <c r="G387">
        <v>1</v>
      </c>
      <c r="H387">
        <v>0</v>
      </c>
      <c r="I387">
        <v>1</v>
      </c>
      <c r="J387">
        <v>0</v>
      </c>
      <c r="K387">
        <v>0</v>
      </c>
      <c r="L387">
        <v>0</v>
      </c>
      <c r="M387">
        <v>0</v>
      </c>
      <c r="N387">
        <v>1</v>
      </c>
      <c r="O387">
        <v>0</v>
      </c>
      <c r="P387">
        <v>0</v>
      </c>
      <c r="Q387">
        <v>0</v>
      </c>
      <c r="R387">
        <v>1</v>
      </c>
      <c r="S387">
        <v>3</v>
      </c>
      <c r="T387" s="67" t="s">
        <v>1646</v>
      </c>
    </row>
    <row r="388" spans="2:20" x14ac:dyDescent="0.25">
      <c r="B388" s="73" t="s">
        <v>344</v>
      </c>
      <c r="C388" s="11" t="s">
        <v>727</v>
      </c>
      <c r="D388">
        <v>1</v>
      </c>
      <c r="E388">
        <v>1</v>
      </c>
      <c r="F388">
        <v>1</v>
      </c>
      <c r="G388">
        <v>0</v>
      </c>
      <c r="H388">
        <v>0</v>
      </c>
      <c r="I388">
        <v>2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0</v>
      </c>
      <c r="R388">
        <v>0</v>
      </c>
      <c r="S388">
        <v>3</v>
      </c>
      <c r="T388" s="67" t="s">
        <v>1647</v>
      </c>
    </row>
    <row r="389" spans="2:20" x14ac:dyDescent="0.25">
      <c r="B389" s="73" t="s">
        <v>345</v>
      </c>
      <c r="C389" s="11" t="s">
        <v>727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1</v>
      </c>
      <c r="T389" s="67" t="s">
        <v>1482</v>
      </c>
    </row>
    <row r="390" spans="2:20" x14ac:dyDescent="0.25">
      <c r="B390" s="73" t="s">
        <v>347</v>
      </c>
      <c r="C390" s="11" t="s">
        <v>727</v>
      </c>
      <c r="D390">
        <v>0</v>
      </c>
      <c r="E390">
        <v>0</v>
      </c>
      <c r="F390">
        <v>4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3</v>
      </c>
      <c r="O390">
        <v>0</v>
      </c>
      <c r="P390">
        <v>0</v>
      </c>
      <c r="Q390">
        <v>1</v>
      </c>
      <c r="R390">
        <v>1</v>
      </c>
      <c r="S390">
        <v>5</v>
      </c>
      <c r="T390" s="67" t="s">
        <v>1648</v>
      </c>
    </row>
    <row r="391" spans="2:20" x14ac:dyDescent="0.25">
      <c r="B391" s="73" t="s">
        <v>349</v>
      </c>
      <c r="C391" s="11" t="s">
        <v>727</v>
      </c>
      <c r="D391">
        <v>0</v>
      </c>
      <c r="E391">
        <v>0</v>
      </c>
      <c r="F391">
        <v>2</v>
      </c>
      <c r="G391">
        <v>1</v>
      </c>
      <c r="H391">
        <v>0</v>
      </c>
      <c r="I391">
        <v>1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>
        <v>0</v>
      </c>
      <c r="Q391">
        <v>0</v>
      </c>
      <c r="R391">
        <v>1</v>
      </c>
      <c r="S391">
        <v>3</v>
      </c>
      <c r="T391" s="67" t="s">
        <v>1641</v>
      </c>
    </row>
    <row r="392" spans="2:20" x14ac:dyDescent="0.25">
      <c r="B392" s="73" t="s">
        <v>351</v>
      </c>
      <c r="C392" s="11" t="s">
        <v>727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 s="67" t="s">
        <v>1570</v>
      </c>
    </row>
    <row r="393" spans="2:20" x14ac:dyDescent="0.25">
      <c r="B393" s="73" t="s">
        <v>352</v>
      </c>
      <c r="C393" s="11" t="s">
        <v>727</v>
      </c>
      <c r="D393">
        <v>0</v>
      </c>
      <c r="E393">
        <v>1</v>
      </c>
      <c r="F393">
        <v>1</v>
      </c>
      <c r="G393">
        <v>1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0</v>
      </c>
      <c r="R393">
        <v>1</v>
      </c>
      <c r="S393">
        <v>3</v>
      </c>
      <c r="T393" s="67" t="s">
        <v>1649</v>
      </c>
    </row>
    <row r="394" spans="2:20" x14ac:dyDescent="0.25">
      <c r="B394" s="73" t="s">
        <v>354</v>
      </c>
      <c r="C394" s="11" t="s">
        <v>727</v>
      </c>
      <c r="D394">
        <v>0</v>
      </c>
      <c r="E394">
        <v>1</v>
      </c>
      <c r="F394">
        <v>3</v>
      </c>
      <c r="G394">
        <v>1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2</v>
      </c>
      <c r="P394">
        <v>0</v>
      </c>
      <c r="Q394">
        <v>0</v>
      </c>
      <c r="R394">
        <v>2</v>
      </c>
      <c r="S394">
        <v>5</v>
      </c>
      <c r="T394" s="67" t="s">
        <v>1650</v>
      </c>
    </row>
    <row r="395" spans="2:20" x14ac:dyDescent="0.25">
      <c r="B395" s="73" t="s">
        <v>355</v>
      </c>
      <c r="C395" s="11" t="s">
        <v>727</v>
      </c>
      <c r="D395">
        <v>0</v>
      </c>
      <c r="E395">
        <v>0</v>
      </c>
      <c r="F395">
        <v>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1</v>
      </c>
      <c r="T395" s="67" t="s">
        <v>1482</v>
      </c>
    </row>
    <row r="396" spans="2:20" x14ac:dyDescent="0.25">
      <c r="B396" s="73" t="s">
        <v>718</v>
      </c>
      <c r="C396" s="11" t="s">
        <v>727</v>
      </c>
      <c r="D396">
        <v>55</v>
      </c>
      <c r="E396">
        <v>662</v>
      </c>
      <c r="F396">
        <v>334</v>
      </c>
      <c r="G396">
        <v>402</v>
      </c>
      <c r="H396">
        <v>35</v>
      </c>
      <c r="I396">
        <v>194</v>
      </c>
      <c r="J396">
        <v>139</v>
      </c>
      <c r="K396">
        <v>170</v>
      </c>
      <c r="L396">
        <v>101</v>
      </c>
      <c r="M396">
        <v>123</v>
      </c>
      <c r="N396">
        <v>186</v>
      </c>
      <c r="O396">
        <v>98</v>
      </c>
      <c r="P396">
        <v>203</v>
      </c>
      <c r="Q396">
        <v>134</v>
      </c>
      <c r="R396">
        <v>140</v>
      </c>
      <c r="S396">
        <v>1488</v>
      </c>
    </row>
  </sheetData>
  <mergeCells count="85">
    <mergeCell ref="B195:B197"/>
    <mergeCell ref="B198:B200"/>
    <mergeCell ref="B165:B167"/>
    <mergeCell ref="B183:B185"/>
    <mergeCell ref="B186:B188"/>
    <mergeCell ref="B189:B191"/>
    <mergeCell ref="B192:B194"/>
    <mergeCell ref="B168:B170"/>
    <mergeCell ref="B171:B173"/>
    <mergeCell ref="B174:B176"/>
    <mergeCell ref="B177:B179"/>
    <mergeCell ref="B180:B182"/>
    <mergeCell ref="B120:B122"/>
    <mergeCell ref="B123:B125"/>
    <mergeCell ref="B156:B158"/>
    <mergeCell ref="B159:B161"/>
    <mergeCell ref="B162:B164"/>
    <mergeCell ref="B126:B128"/>
    <mergeCell ref="B129:B131"/>
    <mergeCell ref="B132:B134"/>
    <mergeCell ref="B135:B137"/>
    <mergeCell ref="B138:B140"/>
    <mergeCell ref="B141:B143"/>
    <mergeCell ref="B144:B146"/>
    <mergeCell ref="B147:B149"/>
    <mergeCell ref="B150:B152"/>
    <mergeCell ref="B153:B155"/>
    <mergeCell ref="B90:B92"/>
    <mergeCell ref="B93:B95"/>
    <mergeCell ref="B96:B98"/>
    <mergeCell ref="B114:B116"/>
    <mergeCell ref="B117:B119"/>
    <mergeCell ref="B99:B101"/>
    <mergeCell ref="B102:B104"/>
    <mergeCell ref="B105:B107"/>
    <mergeCell ref="B108:B110"/>
    <mergeCell ref="B111:B113"/>
    <mergeCell ref="B45:B47"/>
    <mergeCell ref="B48:B50"/>
    <mergeCell ref="B51:B53"/>
    <mergeCell ref="B54:B56"/>
    <mergeCell ref="B87:B89"/>
    <mergeCell ref="B57:B59"/>
    <mergeCell ref="B60:B62"/>
    <mergeCell ref="B63:B65"/>
    <mergeCell ref="B66:B68"/>
    <mergeCell ref="B69:B71"/>
    <mergeCell ref="B72:B74"/>
    <mergeCell ref="B75:B77"/>
    <mergeCell ref="B78:B80"/>
    <mergeCell ref="B81:B83"/>
    <mergeCell ref="B84:B86"/>
    <mergeCell ref="B33:B35"/>
    <mergeCell ref="B36:B38"/>
    <mergeCell ref="B39:B41"/>
    <mergeCell ref="B42:B44"/>
    <mergeCell ref="A3:A5"/>
    <mergeCell ref="B18:B20"/>
    <mergeCell ref="B21:B23"/>
    <mergeCell ref="B24:B26"/>
    <mergeCell ref="B27:B29"/>
    <mergeCell ref="B30:B32"/>
    <mergeCell ref="B3:B5"/>
    <mergeCell ref="B6:B8"/>
    <mergeCell ref="B9:B11"/>
    <mergeCell ref="B12:B14"/>
    <mergeCell ref="B15:B17"/>
    <mergeCell ref="B201:B203"/>
    <mergeCell ref="B204:B206"/>
    <mergeCell ref="B207:B209"/>
    <mergeCell ref="B210:B212"/>
    <mergeCell ref="B213:B215"/>
    <mergeCell ref="B216:B218"/>
    <mergeCell ref="B219:B221"/>
    <mergeCell ref="B222:B224"/>
    <mergeCell ref="B252:B254"/>
    <mergeCell ref="B237:B239"/>
    <mergeCell ref="B240:B242"/>
    <mergeCell ref="B243:B245"/>
    <mergeCell ref="B246:B248"/>
    <mergeCell ref="B249:B251"/>
    <mergeCell ref="B225:B227"/>
    <mergeCell ref="B228:B230"/>
    <mergeCell ref="B231:B233"/>
    <mergeCell ref="B234:B236"/>
  </mergeCells>
  <phoneticPr fontId="3" type="noConversion"/>
  <dataValidations count="1">
    <dataValidation type="list" allowBlank="1" showInputMessage="1" sqref="B3:B396">
      <formula1>i01_清單投入與產出元件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W254"/>
  <sheetViews>
    <sheetView workbookViewId="0">
      <selection activeCell="B4" sqref="B4:B87"/>
    </sheetView>
  </sheetViews>
  <sheetFormatPr defaultRowHeight="16.5" x14ac:dyDescent="0.25"/>
  <cols>
    <col min="1" max="1" width="3.625" style="26" customWidth="1"/>
    <col min="2" max="2" width="7.625" style="72" customWidth="1"/>
    <col min="3" max="3" width="7.625" style="63" customWidth="1"/>
    <col min="4" max="4" width="10.625" style="65" customWidth="1"/>
    <col min="5" max="6" width="6.625" customWidth="1"/>
    <col min="7" max="7" width="5.75" style="51" customWidth="1"/>
    <col min="8" max="10" width="5.75" style="78" customWidth="1"/>
    <col min="11" max="11" width="5.75" style="52" customWidth="1"/>
    <col min="12" max="21" width="5.75" style="78" customWidth="1"/>
    <col min="22" max="22" width="5.75" style="52" customWidth="1"/>
  </cols>
  <sheetData>
    <row r="1" spans="1:23" ht="16.5" customHeight="1" x14ac:dyDescent="0.25">
      <c r="B1" s="39"/>
      <c r="C1" s="64" t="s">
        <v>818</v>
      </c>
      <c r="D1" s="39" t="s">
        <v>539</v>
      </c>
      <c r="E1" s="38" t="s">
        <v>729</v>
      </c>
      <c r="G1" s="44" t="s">
        <v>2</v>
      </c>
      <c r="H1" s="45" t="s">
        <v>3</v>
      </c>
      <c r="I1" s="45" t="s">
        <v>4</v>
      </c>
      <c r="J1" s="45" t="s">
        <v>296</v>
      </c>
      <c r="K1" s="46" t="s">
        <v>6</v>
      </c>
      <c r="L1" s="45" t="s">
        <v>273</v>
      </c>
      <c r="M1" s="45" t="s">
        <v>275</v>
      </c>
      <c r="N1" s="45" t="s">
        <v>276</v>
      </c>
      <c r="O1" s="45" t="s">
        <v>277</v>
      </c>
      <c r="P1" s="45" t="s">
        <v>278</v>
      </c>
      <c r="Q1" s="45" t="s">
        <v>279</v>
      </c>
      <c r="R1" s="45" t="s">
        <v>280</v>
      </c>
      <c r="S1" s="45" t="s">
        <v>281</v>
      </c>
      <c r="T1" s="45" t="s">
        <v>282</v>
      </c>
      <c r="U1" s="45" t="s">
        <v>291</v>
      </c>
      <c r="V1" s="46" t="s">
        <v>718</v>
      </c>
      <c r="W1" t="s">
        <v>728</v>
      </c>
    </row>
    <row r="2" spans="1:23" s="43" customFormat="1" ht="16.5" customHeight="1" x14ac:dyDescent="0.25">
      <c r="A2" s="255" t="s">
        <v>1651</v>
      </c>
      <c r="B2" s="255" t="s">
        <v>1652</v>
      </c>
      <c r="C2" s="255" t="s">
        <v>1093</v>
      </c>
      <c r="D2" s="255" t="s">
        <v>558</v>
      </c>
      <c r="E2" s="255" t="s">
        <v>1130</v>
      </c>
      <c r="F2" s="42" t="s">
        <v>815</v>
      </c>
      <c r="G2" s="47">
        <v>0</v>
      </c>
      <c r="H2" s="76">
        <v>13</v>
      </c>
      <c r="I2" s="76">
        <v>0</v>
      </c>
      <c r="J2" s="76">
        <v>0</v>
      </c>
      <c r="K2" s="48">
        <v>0</v>
      </c>
      <c r="L2" s="76">
        <v>1</v>
      </c>
      <c r="M2" s="76">
        <v>2</v>
      </c>
      <c r="N2" s="76">
        <v>2</v>
      </c>
      <c r="O2" s="76">
        <v>2</v>
      </c>
      <c r="P2" s="76">
        <v>1</v>
      </c>
      <c r="Q2" s="76">
        <v>1</v>
      </c>
      <c r="R2" s="76">
        <v>1</v>
      </c>
      <c r="S2" s="76">
        <v>1</v>
      </c>
      <c r="T2" s="76">
        <v>1</v>
      </c>
      <c r="U2" s="76">
        <v>1</v>
      </c>
      <c r="V2" s="48">
        <v>13</v>
      </c>
      <c r="W2" s="43" t="s">
        <v>1456</v>
      </c>
    </row>
    <row r="3" spans="1:23" s="41" customFormat="1" ht="16.5" customHeight="1" x14ac:dyDescent="0.25">
      <c r="A3" s="255" t="s">
        <v>1651</v>
      </c>
      <c r="B3" s="255" t="s">
        <v>1652</v>
      </c>
      <c r="C3" s="255" t="s">
        <v>1093</v>
      </c>
      <c r="D3" s="255" t="s">
        <v>558</v>
      </c>
      <c r="E3" s="255" t="s">
        <v>1128</v>
      </c>
      <c r="F3" s="40" t="s">
        <v>816</v>
      </c>
      <c r="G3" s="49">
        <v>1</v>
      </c>
      <c r="H3" s="77">
        <v>23</v>
      </c>
      <c r="I3" s="77">
        <v>10</v>
      </c>
      <c r="J3" s="77">
        <v>12</v>
      </c>
      <c r="K3" s="50">
        <v>1</v>
      </c>
      <c r="L3" s="77">
        <v>5</v>
      </c>
      <c r="M3" s="77">
        <v>6</v>
      </c>
      <c r="N3" s="77">
        <v>6</v>
      </c>
      <c r="O3" s="77">
        <v>4</v>
      </c>
      <c r="P3" s="77">
        <v>3</v>
      </c>
      <c r="Q3" s="77">
        <v>6</v>
      </c>
      <c r="R3" s="77">
        <v>3</v>
      </c>
      <c r="S3" s="77">
        <v>7</v>
      </c>
      <c r="T3" s="77">
        <v>3</v>
      </c>
      <c r="U3" s="77">
        <v>4</v>
      </c>
      <c r="V3" s="50">
        <v>47</v>
      </c>
      <c r="W3" s="41" t="s">
        <v>1455</v>
      </c>
    </row>
    <row r="4" spans="1:23" ht="16.5" customHeight="1" x14ac:dyDescent="0.25">
      <c r="A4" s="255" t="s">
        <v>1651</v>
      </c>
      <c r="B4" s="255" t="s">
        <v>1652</v>
      </c>
      <c r="C4" s="255" t="s">
        <v>1093</v>
      </c>
      <c r="D4" s="255" t="s">
        <v>558</v>
      </c>
      <c r="E4" s="255" t="s">
        <v>274</v>
      </c>
      <c r="F4" s="11" t="s">
        <v>817</v>
      </c>
      <c r="G4" s="51">
        <v>1</v>
      </c>
      <c r="H4" s="78">
        <v>5</v>
      </c>
      <c r="I4" s="78">
        <v>9</v>
      </c>
      <c r="J4" s="78">
        <v>11</v>
      </c>
      <c r="K4" s="52">
        <v>0</v>
      </c>
      <c r="L4" s="78">
        <v>4</v>
      </c>
      <c r="M4" s="78">
        <v>1</v>
      </c>
      <c r="N4" s="78">
        <v>3</v>
      </c>
      <c r="O4" s="78">
        <v>1</v>
      </c>
      <c r="P4" s="78">
        <v>3</v>
      </c>
      <c r="Q4" s="78">
        <v>4</v>
      </c>
      <c r="R4" s="78">
        <v>3</v>
      </c>
      <c r="S4" s="78">
        <v>2</v>
      </c>
      <c r="T4" s="78">
        <v>2</v>
      </c>
      <c r="U4" s="78">
        <v>3</v>
      </c>
      <c r="V4" s="52">
        <v>26</v>
      </c>
      <c r="W4" t="s">
        <v>1457</v>
      </c>
    </row>
    <row r="5" spans="1:23" s="43" customFormat="1" ht="16.5" customHeight="1" x14ac:dyDescent="0.25">
      <c r="A5" s="255" t="s">
        <v>1651</v>
      </c>
      <c r="B5" s="255" t="s">
        <v>1653</v>
      </c>
      <c r="C5" s="255" t="s">
        <v>1094</v>
      </c>
      <c r="D5" s="255" t="s">
        <v>1173</v>
      </c>
      <c r="E5" s="255" t="s">
        <v>283</v>
      </c>
      <c r="F5" s="42" t="s">
        <v>815</v>
      </c>
      <c r="G5" s="47">
        <v>0</v>
      </c>
      <c r="H5" s="76">
        <v>1</v>
      </c>
      <c r="I5" s="76">
        <v>0</v>
      </c>
      <c r="J5" s="76">
        <v>0</v>
      </c>
      <c r="K5" s="48">
        <v>0</v>
      </c>
      <c r="L5" s="76">
        <v>0</v>
      </c>
      <c r="M5" s="76">
        <v>1</v>
      </c>
      <c r="N5" s="76">
        <v>0</v>
      </c>
      <c r="O5" s="76">
        <v>0</v>
      </c>
      <c r="P5" s="76">
        <v>0</v>
      </c>
      <c r="Q5" s="76">
        <v>0</v>
      </c>
      <c r="R5" s="76">
        <v>0</v>
      </c>
      <c r="S5" s="76">
        <v>0</v>
      </c>
      <c r="T5" s="76">
        <v>0</v>
      </c>
      <c r="U5" s="76">
        <v>0</v>
      </c>
      <c r="V5" s="48">
        <v>1</v>
      </c>
      <c r="W5" s="43" t="s">
        <v>1488</v>
      </c>
    </row>
    <row r="6" spans="1:23" s="41" customFormat="1" ht="16.5" customHeight="1" x14ac:dyDescent="0.25">
      <c r="A6" s="255" t="s">
        <v>1651</v>
      </c>
      <c r="B6" s="255" t="s">
        <v>1653</v>
      </c>
      <c r="C6" s="255" t="s">
        <v>819</v>
      </c>
      <c r="D6" s="255" t="s">
        <v>1174</v>
      </c>
      <c r="E6" s="255" t="s">
        <v>283</v>
      </c>
      <c r="F6" s="40" t="s">
        <v>816</v>
      </c>
      <c r="G6" s="49">
        <v>0</v>
      </c>
      <c r="H6" s="77">
        <v>5</v>
      </c>
      <c r="I6" s="77">
        <v>1</v>
      </c>
      <c r="J6" s="77">
        <v>2</v>
      </c>
      <c r="K6" s="50">
        <v>0</v>
      </c>
      <c r="L6" s="77">
        <v>0</v>
      </c>
      <c r="M6" s="77">
        <v>5</v>
      </c>
      <c r="N6" s="77">
        <v>1</v>
      </c>
      <c r="O6" s="77">
        <v>0</v>
      </c>
      <c r="P6" s="77">
        <v>0</v>
      </c>
      <c r="Q6" s="77">
        <v>0</v>
      </c>
      <c r="R6" s="77">
        <v>0</v>
      </c>
      <c r="S6" s="77">
        <v>0</v>
      </c>
      <c r="T6" s="77">
        <v>2</v>
      </c>
      <c r="U6" s="77">
        <v>0</v>
      </c>
      <c r="V6" s="50">
        <v>8</v>
      </c>
      <c r="W6" s="41" t="s">
        <v>1489</v>
      </c>
    </row>
    <row r="7" spans="1:23" ht="16.5" customHeight="1" x14ac:dyDescent="0.25">
      <c r="A7" s="255" t="s">
        <v>1651</v>
      </c>
      <c r="B7" s="255" t="s">
        <v>1653</v>
      </c>
      <c r="C7" s="255" t="s">
        <v>819</v>
      </c>
      <c r="D7" s="255" t="s">
        <v>576</v>
      </c>
      <c r="E7" s="255" t="s">
        <v>1124</v>
      </c>
      <c r="F7" s="11" t="s">
        <v>817</v>
      </c>
      <c r="G7" s="51">
        <v>0</v>
      </c>
      <c r="H7" s="78">
        <v>0</v>
      </c>
      <c r="I7" s="78">
        <v>0</v>
      </c>
      <c r="J7" s="78">
        <v>1</v>
      </c>
      <c r="K7" s="52">
        <v>0</v>
      </c>
      <c r="L7" s="78">
        <v>0</v>
      </c>
      <c r="M7" s="78">
        <v>1</v>
      </c>
      <c r="N7" s="78">
        <v>0</v>
      </c>
      <c r="O7" s="78">
        <v>0</v>
      </c>
      <c r="P7" s="78">
        <v>0</v>
      </c>
      <c r="Q7" s="78">
        <v>0</v>
      </c>
      <c r="R7" s="78">
        <v>0</v>
      </c>
      <c r="S7" s="78">
        <v>0</v>
      </c>
      <c r="T7" s="78">
        <v>0</v>
      </c>
      <c r="U7" s="78">
        <v>0</v>
      </c>
      <c r="V7" s="52">
        <v>1</v>
      </c>
      <c r="W7" t="s">
        <v>1490</v>
      </c>
    </row>
    <row r="8" spans="1:23" s="43" customFormat="1" ht="16.5" customHeight="1" x14ac:dyDescent="0.25">
      <c r="A8" s="255" t="s">
        <v>1651</v>
      </c>
      <c r="B8" s="255" t="s">
        <v>784</v>
      </c>
      <c r="C8" s="255" t="s">
        <v>819</v>
      </c>
      <c r="D8" s="255" t="s">
        <v>1175</v>
      </c>
      <c r="E8" s="255" t="s">
        <v>1125</v>
      </c>
      <c r="F8" s="42" t="s">
        <v>815</v>
      </c>
      <c r="G8" s="47">
        <v>0</v>
      </c>
      <c r="H8" s="76">
        <v>1</v>
      </c>
      <c r="I8" s="76">
        <v>0</v>
      </c>
      <c r="J8" s="76">
        <v>0</v>
      </c>
      <c r="K8" s="48">
        <v>0</v>
      </c>
      <c r="L8" s="76">
        <v>0</v>
      </c>
      <c r="M8" s="76">
        <v>1</v>
      </c>
      <c r="N8" s="76">
        <v>0</v>
      </c>
      <c r="O8" s="76">
        <v>0</v>
      </c>
      <c r="P8" s="76">
        <v>0</v>
      </c>
      <c r="Q8" s="76">
        <v>0</v>
      </c>
      <c r="R8" s="76">
        <v>0</v>
      </c>
      <c r="S8" s="76">
        <v>0</v>
      </c>
      <c r="T8" s="76">
        <v>0</v>
      </c>
      <c r="U8" s="76">
        <v>0</v>
      </c>
      <c r="V8" s="48">
        <v>1</v>
      </c>
      <c r="W8" s="43" t="s">
        <v>1491</v>
      </c>
    </row>
    <row r="9" spans="1:23" s="41" customFormat="1" ht="16.5" customHeight="1" x14ac:dyDescent="0.25">
      <c r="A9" s="255" t="s">
        <v>1651</v>
      </c>
      <c r="B9" s="255" t="s">
        <v>784</v>
      </c>
      <c r="C9" s="255" t="s">
        <v>819</v>
      </c>
      <c r="D9" s="255" t="s">
        <v>1175</v>
      </c>
      <c r="E9" s="255" t="s">
        <v>283</v>
      </c>
      <c r="F9" s="40" t="s">
        <v>816</v>
      </c>
      <c r="G9" s="49">
        <v>0</v>
      </c>
      <c r="H9" s="77">
        <v>3</v>
      </c>
      <c r="I9" s="77">
        <v>1</v>
      </c>
      <c r="J9" s="77">
        <v>3</v>
      </c>
      <c r="K9" s="50">
        <v>0</v>
      </c>
      <c r="L9" s="77">
        <v>0</v>
      </c>
      <c r="M9" s="77">
        <v>3</v>
      </c>
      <c r="N9" s="77">
        <v>0</v>
      </c>
      <c r="O9" s="77">
        <v>0</v>
      </c>
      <c r="P9" s="77">
        <v>1</v>
      </c>
      <c r="Q9" s="77">
        <v>0</v>
      </c>
      <c r="R9" s="77">
        <v>0</v>
      </c>
      <c r="S9" s="77">
        <v>1</v>
      </c>
      <c r="T9" s="77">
        <v>2</v>
      </c>
      <c r="U9" s="77">
        <v>0</v>
      </c>
      <c r="V9" s="50">
        <v>7</v>
      </c>
      <c r="W9" s="41" t="s">
        <v>1489</v>
      </c>
    </row>
    <row r="10" spans="1:23" ht="16.5" customHeight="1" x14ac:dyDescent="0.25">
      <c r="A10" s="255" t="s">
        <v>1651</v>
      </c>
      <c r="B10" s="255" t="s">
        <v>784</v>
      </c>
      <c r="C10" s="255" t="s">
        <v>819</v>
      </c>
      <c r="D10" s="255" t="s">
        <v>580</v>
      </c>
      <c r="E10" s="255" t="s">
        <v>1125</v>
      </c>
      <c r="F10" s="11" t="s">
        <v>817</v>
      </c>
      <c r="G10" s="51">
        <v>1</v>
      </c>
      <c r="H10" s="78">
        <v>0</v>
      </c>
      <c r="I10" s="78">
        <v>1</v>
      </c>
      <c r="J10" s="78">
        <v>0</v>
      </c>
      <c r="K10" s="52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8">
        <v>0</v>
      </c>
      <c r="S10" s="78">
        <v>0</v>
      </c>
      <c r="T10" s="78">
        <v>1</v>
      </c>
      <c r="U10" s="78">
        <v>1</v>
      </c>
      <c r="V10" s="52">
        <v>2</v>
      </c>
      <c r="W10" t="s">
        <v>1492</v>
      </c>
    </row>
    <row r="11" spans="1:23" s="43" customFormat="1" ht="16.5" customHeight="1" x14ac:dyDescent="0.25">
      <c r="A11" s="255" t="s">
        <v>1651</v>
      </c>
      <c r="B11" s="255" t="s">
        <v>785</v>
      </c>
      <c r="C11" s="255" t="s">
        <v>819</v>
      </c>
      <c r="D11" s="255" t="s">
        <v>1176</v>
      </c>
      <c r="E11" s="255" t="s">
        <v>284</v>
      </c>
      <c r="F11" s="42" t="s">
        <v>815</v>
      </c>
      <c r="G11" s="47">
        <v>0</v>
      </c>
      <c r="H11" s="76">
        <v>1</v>
      </c>
      <c r="I11" s="76">
        <v>0</v>
      </c>
      <c r="J11" s="76">
        <v>0</v>
      </c>
      <c r="K11" s="48">
        <v>0</v>
      </c>
      <c r="L11" s="76">
        <v>0</v>
      </c>
      <c r="M11" s="76">
        <v>0</v>
      </c>
      <c r="N11" s="76">
        <v>1</v>
      </c>
      <c r="O11" s="76">
        <v>0</v>
      </c>
      <c r="P11" s="76">
        <v>0</v>
      </c>
      <c r="Q11" s="76">
        <v>0</v>
      </c>
      <c r="R11" s="76">
        <v>0</v>
      </c>
      <c r="S11" s="76">
        <v>0</v>
      </c>
      <c r="T11" s="76">
        <v>0</v>
      </c>
      <c r="U11" s="76">
        <v>0</v>
      </c>
      <c r="V11" s="48">
        <v>1</v>
      </c>
      <c r="W11" s="43" t="s">
        <v>1493</v>
      </c>
    </row>
    <row r="12" spans="1:23" s="41" customFormat="1" ht="16.5" customHeight="1" x14ac:dyDescent="0.25">
      <c r="A12" s="255" t="s">
        <v>1651</v>
      </c>
      <c r="B12" s="255" t="s">
        <v>785</v>
      </c>
      <c r="C12" s="255" t="s">
        <v>819</v>
      </c>
      <c r="D12" s="255" t="s">
        <v>559</v>
      </c>
      <c r="E12" s="255" t="s">
        <v>284</v>
      </c>
      <c r="F12" s="40" t="s">
        <v>816</v>
      </c>
      <c r="G12" s="49">
        <v>0</v>
      </c>
      <c r="H12" s="77">
        <v>6</v>
      </c>
      <c r="I12" s="77">
        <v>0</v>
      </c>
      <c r="J12" s="77">
        <v>1</v>
      </c>
      <c r="K12" s="50">
        <v>0</v>
      </c>
      <c r="L12" s="77">
        <v>0</v>
      </c>
      <c r="M12" s="77">
        <v>0</v>
      </c>
      <c r="N12" s="77">
        <v>5</v>
      </c>
      <c r="O12" s="77">
        <v>1</v>
      </c>
      <c r="P12" s="77">
        <v>0</v>
      </c>
      <c r="Q12" s="77">
        <v>0</v>
      </c>
      <c r="R12" s="77">
        <v>0</v>
      </c>
      <c r="S12" s="77">
        <v>1</v>
      </c>
      <c r="T12" s="77">
        <v>0</v>
      </c>
      <c r="U12" s="77">
        <v>0</v>
      </c>
      <c r="V12" s="50">
        <v>7</v>
      </c>
      <c r="W12" s="41" t="s">
        <v>1494</v>
      </c>
    </row>
    <row r="13" spans="1:23" ht="16.5" customHeight="1" x14ac:dyDescent="0.25">
      <c r="A13" s="255" t="s">
        <v>1651</v>
      </c>
      <c r="B13" s="255" t="s">
        <v>785</v>
      </c>
      <c r="C13" s="255" t="s">
        <v>819</v>
      </c>
      <c r="D13" s="255" t="s">
        <v>1176</v>
      </c>
      <c r="E13" s="255" t="s">
        <v>1113</v>
      </c>
      <c r="F13" s="11" t="s">
        <v>817</v>
      </c>
      <c r="G13" s="51">
        <v>0</v>
      </c>
      <c r="H13" s="78">
        <v>2</v>
      </c>
      <c r="I13" s="78">
        <v>0</v>
      </c>
      <c r="J13" s="78">
        <v>1</v>
      </c>
      <c r="K13" s="52">
        <v>0</v>
      </c>
      <c r="L13" s="78">
        <v>0</v>
      </c>
      <c r="M13" s="78">
        <v>0</v>
      </c>
      <c r="N13" s="78">
        <v>2</v>
      </c>
      <c r="O13" s="78">
        <v>0</v>
      </c>
      <c r="P13" s="78">
        <v>0</v>
      </c>
      <c r="Q13" s="78">
        <v>0</v>
      </c>
      <c r="R13" s="78">
        <v>0</v>
      </c>
      <c r="S13" s="78">
        <v>1</v>
      </c>
      <c r="T13" s="78">
        <v>0</v>
      </c>
      <c r="U13" s="78">
        <v>0</v>
      </c>
      <c r="V13" s="52">
        <v>3</v>
      </c>
      <c r="W13" t="s">
        <v>1495</v>
      </c>
    </row>
    <row r="14" spans="1:23" s="43" customFormat="1" ht="16.5" customHeight="1" x14ac:dyDescent="0.25">
      <c r="A14" s="255" t="s">
        <v>1651</v>
      </c>
      <c r="B14" s="255" t="s">
        <v>786</v>
      </c>
      <c r="C14" s="255" t="s">
        <v>819</v>
      </c>
      <c r="D14" s="255" t="s">
        <v>1177</v>
      </c>
      <c r="E14" s="255" t="s">
        <v>285</v>
      </c>
      <c r="F14" s="42" t="s">
        <v>815</v>
      </c>
      <c r="G14" s="47">
        <v>0</v>
      </c>
      <c r="H14" s="76">
        <v>1</v>
      </c>
      <c r="I14" s="76">
        <v>0</v>
      </c>
      <c r="J14" s="76">
        <v>0</v>
      </c>
      <c r="K14" s="48">
        <v>0</v>
      </c>
      <c r="L14" s="76">
        <v>0</v>
      </c>
      <c r="M14" s="76">
        <v>0</v>
      </c>
      <c r="N14" s="76">
        <v>0</v>
      </c>
      <c r="O14" s="76">
        <v>1</v>
      </c>
      <c r="P14" s="76">
        <v>0</v>
      </c>
      <c r="Q14" s="76">
        <v>0</v>
      </c>
      <c r="R14" s="76">
        <v>0</v>
      </c>
      <c r="S14" s="76">
        <v>0</v>
      </c>
      <c r="T14" s="76">
        <v>0</v>
      </c>
      <c r="U14" s="76">
        <v>0</v>
      </c>
      <c r="V14" s="48">
        <v>1</v>
      </c>
      <c r="W14" s="43" t="s">
        <v>1496</v>
      </c>
    </row>
    <row r="15" spans="1:23" s="41" customFormat="1" ht="16.5" customHeight="1" x14ac:dyDescent="0.25">
      <c r="A15" s="255" t="s">
        <v>1651</v>
      </c>
      <c r="B15" s="255" t="s">
        <v>786</v>
      </c>
      <c r="C15" s="255" t="s">
        <v>819</v>
      </c>
      <c r="D15" s="255" t="s">
        <v>1178</v>
      </c>
      <c r="E15" s="255" t="s">
        <v>1095</v>
      </c>
      <c r="F15" s="40" t="s">
        <v>816</v>
      </c>
      <c r="G15" s="49">
        <v>0</v>
      </c>
      <c r="H15" s="77">
        <v>3</v>
      </c>
      <c r="I15" s="77">
        <v>0</v>
      </c>
      <c r="J15" s="77">
        <v>1</v>
      </c>
      <c r="K15" s="50">
        <v>0</v>
      </c>
      <c r="L15" s="77">
        <v>0</v>
      </c>
      <c r="M15" s="77">
        <v>0</v>
      </c>
      <c r="N15" s="77">
        <v>0</v>
      </c>
      <c r="O15" s="77">
        <v>3</v>
      </c>
      <c r="P15" s="77">
        <v>0</v>
      </c>
      <c r="Q15" s="77">
        <v>0</v>
      </c>
      <c r="R15" s="77">
        <v>0</v>
      </c>
      <c r="S15" s="77">
        <v>1</v>
      </c>
      <c r="T15" s="77">
        <v>0</v>
      </c>
      <c r="U15" s="77">
        <v>0</v>
      </c>
      <c r="V15" s="50">
        <v>4</v>
      </c>
      <c r="W15" s="41" t="s">
        <v>1497</v>
      </c>
    </row>
    <row r="16" spans="1:23" ht="16.5" customHeight="1" x14ac:dyDescent="0.25">
      <c r="A16" s="255" t="s">
        <v>1651</v>
      </c>
      <c r="B16" s="255" t="s">
        <v>786</v>
      </c>
      <c r="C16" s="255" t="s">
        <v>819</v>
      </c>
      <c r="D16" s="255" t="s">
        <v>1178</v>
      </c>
      <c r="E16" s="255" t="s">
        <v>285</v>
      </c>
      <c r="F16" s="11" t="s">
        <v>817</v>
      </c>
      <c r="G16" s="51">
        <v>0</v>
      </c>
      <c r="H16" s="78">
        <v>1</v>
      </c>
      <c r="I16" s="78">
        <v>0</v>
      </c>
      <c r="J16" s="78">
        <v>1</v>
      </c>
      <c r="K16" s="52">
        <v>0</v>
      </c>
      <c r="L16" s="78">
        <v>0</v>
      </c>
      <c r="M16" s="78">
        <v>0</v>
      </c>
      <c r="N16" s="78">
        <v>0</v>
      </c>
      <c r="O16" s="78">
        <v>1</v>
      </c>
      <c r="P16" s="78">
        <v>0</v>
      </c>
      <c r="Q16" s="78">
        <v>0</v>
      </c>
      <c r="R16" s="78">
        <v>0</v>
      </c>
      <c r="S16" s="78">
        <v>1</v>
      </c>
      <c r="T16" s="78">
        <v>0</v>
      </c>
      <c r="U16" s="78">
        <v>0</v>
      </c>
      <c r="V16" s="52">
        <v>2</v>
      </c>
      <c r="W16" t="s">
        <v>1498</v>
      </c>
    </row>
    <row r="17" spans="1:23" s="43" customFormat="1" ht="16.5" customHeight="1" x14ac:dyDescent="0.25">
      <c r="A17" s="255" t="s">
        <v>1651</v>
      </c>
      <c r="B17" s="255" t="s">
        <v>787</v>
      </c>
      <c r="C17" s="255" t="s">
        <v>819</v>
      </c>
      <c r="D17" s="255" t="s">
        <v>568</v>
      </c>
      <c r="E17" s="255" t="s">
        <v>1103</v>
      </c>
      <c r="F17" s="42" t="s">
        <v>815</v>
      </c>
      <c r="G17" s="47">
        <v>0</v>
      </c>
      <c r="H17" s="76">
        <v>1</v>
      </c>
      <c r="I17" s="76">
        <v>0</v>
      </c>
      <c r="J17" s="76">
        <v>0</v>
      </c>
      <c r="K17" s="48">
        <v>0</v>
      </c>
      <c r="L17" s="76">
        <v>0</v>
      </c>
      <c r="M17" s="76">
        <v>0</v>
      </c>
      <c r="N17" s="76">
        <v>0</v>
      </c>
      <c r="O17" s="76">
        <v>0</v>
      </c>
      <c r="P17" s="76">
        <v>1</v>
      </c>
      <c r="Q17" s="76">
        <v>0</v>
      </c>
      <c r="R17" s="76">
        <v>0</v>
      </c>
      <c r="S17" s="76">
        <v>0</v>
      </c>
      <c r="T17" s="76">
        <v>0</v>
      </c>
      <c r="U17" s="76">
        <v>0</v>
      </c>
      <c r="V17" s="48">
        <v>1</v>
      </c>
      <c r="W17" s="43" t="s">
        <v>1499</v>
      </c>
    </row>
    <row r="18" spans="1:23" s="41" customFormat="1" ht="16.5" customHeight="1" x14ac:dyDescent="0.25">
      <c r="A18" s="255" t="s">
        <v>1651</v>
      </c>
      <c r="B18" s="255" t="s">
        <v>787</v>
      </c>
      <c r="C18" s="255" t="s">
        <v>819</v>
      </c>
      <c r="D18" s="255" t="s">
        <v>1179</v>
      </c>
      <c r="E18" s="255" t="s">
        <v>1104</v>
      </c>
      <c r="F18" s="40" t="s">
        <v>816</v>
      </c>
      <c r="G18" s="49">
        <v>0</v>
      </c>
      <c r="H18" s="77">
        <v>5</v>
      </c>
      <c r="I18" s="77">
        <v>1</v>
      </c>
      <c r="J18" s="77">
        <v>1</v>
      </c>
      <c r="K18" s="50">
        <v>0</v>
      </c>
      <c r="L18" s="77">
        <v>0</v>
      </c>
      <c r="M18" s="77">
        <v>1</v>
      </c>
      <c r="N18" s="77">
        <v>0</v>
      </c>
      <c r="O18" s="77">
        <v>1</v>
      </c>
      <c r="P18" s="77">
        <v>2</v>
      </c>
      <c r="Q18" s="77">
        <v>1</v>
      </c>
      <c r="R18" s="77">
        <v>0</v>
      </c>
      <c r="S18" s="77">
        <v>1</v>
      </c>
      <c r="T18" s="77">
        <v>1</v>
      </c>
      <c r="U18" s="77">
        <v>0</v>
      </c>
      <c r="V18" s="50">
        <v>7</v>
      </c>
      <c r="W18" s="41" t="s">
        <v>1500</v>
      </c>
    </row>
    <row r="19" spans="1:23" ht="16.5" customHeight="1" x14ac:dyDescent="0.25">
      <c r="A19" s="255" t="s">
        <v>1651</v>
      </c>
      <c r="B19" s="255" t="s">
        <v>787</v>
      </c>
      <c r="C19" s="255" t="s">
        <v>819</v>
      </c>
      <c r="D19" s="255" t="s">
        <v>568</v>
      </c>
      <c r="E19" s="255" t="s">
        <v>1105</v>
      </c>
      <c r="F19" s="11" t="s">
        <v>826</v>
      </c>
      <c r="G19" s="51">
        <v>0</v>
      </c>
      <c r="H19" s="78">
        <v>1</v>
      </c>
      <c r="I19" s="78">
        <v>2</v>
      </c>
      <c r="J19" s="78">
        <v>1</v>
      </c>
      <c r="K19" s="52">
        <v>0</v>
      </c>
      <c r="L19" s="78">
        <v>0</v>
      </c>
      <c r="M19" s="78">
        <v>0</v>
      </c>
      <c r="N19" s="78">
        <v>0</v>
      </c>
      <c r="O19" s="78">
        <v>0</v>
      </c>
      <c r="P19" s="78">
        <v>2</v>
      </c>
      <c r="Q19" s="78">
        <v>0</v>
      </c>
      <c r="R19" s="78">
        <v>0</v>
      </c>
      <c r="S19" s="78">
        <v>1</v>
      </c>
      <c r="T19" s="78">
        <v>1</v>
      </c>
      <c r="U19" s="78">
        <v>0</v>
      </c>
      <c r="V19" s="52">
        <v>4</v>
      </c>
      <c r="W19" t="s">
        <v>1501</v>
      </c>
    </row>
    <row r="20" spans="1:23" s="43" customFormat="1" ht="16.5" customHeight="1" x14ac:dyDescent="0.25">
      <c r="A20" s="255" t="s">
        <v>1651</v>
      </c>
      <c r="B20" s="255" t="s">
        <v>788</v>
      </c>
      <c r="C20" s="255" t="s">
        <v>819</v>
      </c>
      <c r="D20" s="255" t="s">
        <v>1180</v>
      </c>
      <c r="E20" s="255" t="s">
        <v>287</v>
      </c>
      <c r="F20" s="42" t="s">
        <v>815</v>
      </c>
      <c r="G20" s="47">
        <v>0</v>
      </c>
      <c r="H20" s="76">
        <v>1</v>
      </c>
      <c r="I20" s="76">
        <v>0</v>
      </c>
      <c r="J20" s="76">
        <v>0</v>
      </c>
      <c r="K20" s="48">
        <v>0</v>
      </c>
      <c r="L20" s="76">
        <v>0</v>
      </c>
      <c r="M20" s="76">
        <v>0</v>
      </c>
      <c r="N20" s="76">
        <v>0</v>
      </c>
      <c r="O20" s="76">
        <v>0</v>
      </c>
      <c r="P20" s="76">
        <v>0</v>
      </c>
      <c r="Q20" s="76">
        <v>1</v>
      </c>
      <c r="R20" s="76">
        <v>0</v>
      </c>
      <c r="S20" s="76">
        <v>0</v>
      </c>
      <c r="T20" s="76">
        <v>0</v>
      </c>
      <c r="U20" s="76">
        <v>0</v>
      </c>
      <c r="V20" s="48">
        <v>1</v>
      </c>
      <c r="W20" s="43" t="s">
        <v>1502</v>
      </c>
    </row>
    <row r="21" spans="1:23" s="41" customFormat="1" ht="16.5" customHeight="1" x14ac:dyDescent="0.25">
      <c r="A21" s="255" t="s">
        <v>1651</v>
      </c>
      <c r="B21" s="255" t="s">
        <v>788</v>
      </c>
      <c r="C21" s="255" t="s">
        <v>819</v>
      </c>
      <c r="D21" s="255" t="s">
        <v>1181</v>
      </c>
      <c r="E21" s="255" t="s">
        <v>287</v>
      </c>
      <c r="F21" s="40" t="s">
        <v>816</v>
      </c>
      <c r="G21" s="49">
        <v>0</v>
      </c>
      <c r="H21" s="77">
        <v>7</v>
      </c>
      <c r="I21" s="77">
        <v>4</v>
      </c>
      <c r="J21" s="77">
        <v>3</v>
      </c>
      <c r="K21" s="50">
        <v>0</v>
      </c>
      <c r="L21" s="77">
        <v>0</v>
      </c>
      <c r="M21" s="77">
        <v>0</v>
      </c>
      <c r="N21" s="77">
        <v>0</v>
      </c>
      <c r="O21" s="77">
        <v>1</v>
      </c>
      <c r="P21" s="77">
        <v>0</v>
      </c>
      <c r="Q21" s="77">
        <v>5</v>
      </c>
      <c r="R21" s="77">
        <v>3</v>
      </c>
      <c r="S21" s="77">
        <v>2</v>
      </c>
      <c r="T21" s="77">
        <v>1</v>
      </c>
      <c r="U21" s="77">
        <v>2</v>
      </c>
      <c r="V21" s="50">
        <v>14</v>
      </c>
      <c r="W21" s="41" t="s">
        <v>1503</v>
      </c>
    </row>
    <row r="22" spans="1:23" ht="16.5" customHeight="1" x14ac:dyDescent="0.25">
      <c r="A22" s="255" t="s">
        <v>1651</v>
      </c>
      <c r="B22" s="255" t="s">
        <v>788</v>
      </c>
      <c r="C22" s="255" t="s">
        <v>819</v>
      </c>
      <c r="D22" s="255" t="s">
        <v>1182</v>
      </c>
      <c r="E22" s="255" t="s">
        <v>1123</v>
      </c>
      <c r="F22" s="11" t="s">
        <v>817</v>
      </c>
      <c r="G22" s="51">
        <v>0</v>
      </c>
      <c r="H22" s="78">
        <v>1</v>
      </c>
      <c r="I22" s="78">
        <v>3</v>
      </c>
      <c r="J22" s="78">
        <v>2</v>
      </c>
      <c r="K22" s="52">
        <v>0</v>
      </c>
      <c r="L22" s="78">
        <v>0</v>
      </c>
      <c r="M22" s="78">
        <v>0</v>
      </c>
      <c r="N22" s="78">
        <v>0</v>
      </c>
      <c r="O22" s="78">
        <v>0</v>
      </c>
      <c r="P22" s="78">
        <v>0</v>
      </c>
      <c r="Q22" s="78">
        <v>4</v>
      </c>
      <c r="R22" s="78">
        <v>0</v>
      </c>
      <c r="S22" s="78">
        <v>1</v>
      </c>
      <c r="T22" s="78">
        <v>0</v>
      </c>
      <c r="U22" s="78">
        <v>1</v>
      </c>
      <c r="V22" s="52">
        <v>6</v>
      </c>
      <c r="W22" t="s">
        <v>1504</v>
      </c>
    </row>
    <row r="23" spans="1:23" s="43" customFormat="1" ht="16.5" customHeight="1" x14ac:dyDescent="0.25">
      <c r="A23" s="255" t="s">
        <v>1651</v>
      </c>
      <c r="B23" s="255" t="s">
        <v>789</v>
      </c>
      <c r="C23" s="255" t="s">
        <v>819</v>
      </c>
      <c r="D23" s="255" t="s">
        <v>573</v>
      </c>
      <c r="E23" s="255" t="s">
        <v>1115</v>
      </c>
      <c r="F23" s="42" t="s">
        <v>815</v>
      </c>
      <c r="G23" s="47">
        <v>0</v>
      </c>
      <c r="H23" s="76">
        <v>1</v>
      </c>
      <c r="I23" s="76">
        <v>0</v>
      </c>
      <c r="J23" s="76">
        <v>0</v>
      </c>
      <c r="K23" s="48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1</v>
      </c>
      <c r="S23" s="76">
        <v>0</v>
      </c>
      <c r="T23" s="76">
        <v>0</v>
      </c>
      <c r="U23" s="76">
        <v>0</v>
      </c>
      <c r="V23" s="48">
        <v>1</v>
      </c>
      <c r="W23" s="43" t="s">
        <v>1505</v>
      </c>
    </row>
    <row r="24" spans="1:23" s="41" customFormat="1" ht="16.5" customHeight="1" x14ac:dyDescent="0.25">
      <c r="A24" s="255" t="s">
        <v>1651</v>
      </c>
      <c r="B24" s="255" t="s">
        <v>789</v>
      </c>
      <c r="C24" s="255" t="s">
        <v>819</v>
      </c>
      <c r="D24" s="255" t="s">
        <v>1183</v>
      </c>
      <c r="E24" s="255" t="s">
        <v>290</v>
      </c>
      <c r="F24" s="40" t="s">
        <v>816</v>
      </c>
      <c r="G24" s="49">
        <v>1</v>
      </c>
      <c r="H24" s="77">
        <v>1</v>
      </c>
      <c r="I24" s="77">
        <v>3</v>
      </c>
      <c r="J24" s="77">
        <v>2</v>
      </c>
      <c r="K24" s="50">
        <v>0</v>
      </c>
      <c r="L24" s="77">
        <v>0</v>
      </c>
      <c r="M24" s="77">
        <v>0</v>
      </c>
      <c r="N24" s="77">
        <v>0</v>
      </c>
      <c r="O24" s="77">
        <v>0</v>
      </c>
      <c r="P24" s="77">
        <v>0</v>
      </c>
      <c r="Q24" s="77">
        <v>0</v>
      </c>
      <c r="R24" s="77">
        <v>2</v>
      </c>
      <c r="S24" s="77">
        <v>0</v>
      </c>
      <c r="T24" s="77">
        <v>1</v>
      </c>
      <c r="U24" s="77">
        <v>4</v>
      </c>
      <c r="V24" s="50">
        <v>7</v>
      </c>
      <c r="W24" s="41" t="s">
        <v>1506</v>
      </c>
    </row>
    <row r="25" spans="1:23" ht="16.5" customHeight="1" x14ac:dyDescent="0.25">
      <c r="A25" s="255" t="s">
        <v>1651</v>
      </c>
      <c r="B25" s="255" t="s">
        <v>789</v>
      </c>
      <c r="C25" s="255" t="s">
        <v>819</v>
      </c>
      <c r="D25" s="255" t="s">
        <v>1183</v>
      </c>
      <c r="E25" s="255" t="s">
        <v>290</v>
      </c>
      <c r="F25" s="11" t="s">
        <v>817</v>
      </c>
      <c r="G25" s="51">
        <v>1</v>
      </c>
      <c r="H25" s="78">
        <v>0</v>
      </c>
      <c r="I25" s="78">
        <v>3</v>
      </c>
      <c r="J25" s="78">
        <v>2</v>
      </c>
      <c r="K25" s="52">
        <v>0</v>
      </c>
      <c r="L25" s="78">
        <v>0</v>
      </c>
      <c r="M25" s="78">
        <v>0</v>
      </c>
      <c r="N25" s="78">
        <v>0</v>
      </c>
      <c r="O25" s="78">
        <v>0</v>
      </c>
      <c r="P25" s="78">
        <v>0</v>
      </c>
      <c r="Q25" s="78">
        <v>0</v>
      </c>
      <c r="R25" s="78">
        <v>2</v>
      </c>
      <c r="S25" s="78">
        <v>0</v>
      </c>
      <c r="T25" s="78">
        <v>1</v>
      </c>
      <c r="U25" s="78">
        <v>3</v>
      </c>
      <c r="V25" s="52">
        <v>6</v>
      </c>
      <c r="W25" t="s">
        <v>1507</v>
      </c>
    </row>
    <row r="26" spans="1:23" s="43" customFormat="1" ht="16.5" customHeight="1" x14ac:dyDescent="0.25">
      <c r="A26" s="255" t="s">
        <v>1651</v>
      </c>
      <c r="B26" s="255" t="s">
        <v>790</v>
      </c>
      <c r="C26" s="255" t="s">
        <v>819</v>
      </c>
      <c r="D26" s="255" t="s">
        <v>1184</v>
      </c>
      <c r="E26" s="255" t="s">
        <v>289</v>
      </c>
      <c r="F26" s="42" t="s">
        <v>827</v>
      </c>
      <c r="G26" s="47">
        <v>0</v>
      </c>
      <c r="H26" s="76">
        <v>1</v>
      </c>
      <c r="I26" s="76">
        <v>0</v>
      </c>
      <c r="J26" s="76">
        <v>0</v>
      </c>
      <c r="K26" s="48">
        <v>0</v>
      </c>
      <c r="L26" s="76">
        <v>0</v>
      </c>
      <c r="M26" s="76">
        <v>0</v>
      </c>
      <c r="N26" s="76">
        <v>0</v>
      </c>
      <c r="O26" s="76">
        <v>0</v>
      </c>
      <c r="P26" s="76">
        <v>0</v>
      </c>
      <c r="Q26" s="76">
        <v>0</v>
      </c>
      <c r="R26" s="76">
        <v>0</v>
      </c>
      <c r="S26" s="76">
        <v>1</v>
      </c>
      <c r="T26" s="76">
        <v>0</v>
      </c>
      <c r="U26" s="76">
        <v>0</v>
      </c>
      <c r="V26" s="48">
        <v>1</v>
      </c>
      <c r="W26" s="43" t="s">
        <v>1508</v>
      </c>
    </row>
    <row r="27" spans="1:23" s="41" customFormat="1" ht="16.5" customHeight="1" x14ac:dyDescent="0.25">
      <c r="A27" s="255" t="s">
        <v>1651</v>
      </c>
      <c r="B27" s="255" t="s">
        <v>790</v>
      </c>
      <c r="C27" s="255" t="s">
        <v>819</v>
      </c>
      <c r="D27" s="255" t="s">
        <v>1185</v>
      </c>
      <c r="E27" s="255" t="s">
        <v>1108</v>
      </c>
      <c r="F27" s="40" t="s">
        <v>816</v>
      </c>
      <c r="G27" s="49">
        <v>0</v>
      </c>
      <c r="H27" s="77">
        <v>7</v>
      </c>
      <c r="I27" s="77">
        <v>3</v>
      </c>
      <c r="J27" s="77">
        <v>2</v>
      </c>
      <c r="K27" s="50">
        <v>0</v>
      </c>
      <c r="L27" s="77">
        <v>0</v>
      </c>
      <c r="M27" s="77">
        <v>0</v>
      </c>
      <c r="N27" s="77">
        <v>0</v>
      </c>
      <c r="O27" s="77">
        <v>1</v>
      </c>
      <c r="P27" s="77">
        <v>1</v>
      </c>
      <c r="Q27" s="77">
        <v>0</v>
      </c>
      <c r="R27" s="77">
        <v>0</v>
      </c>
      <c r="S27" s="77">
        <v>6</v>
      </c>
      <c r="T27" s="77">
        <v>2</v>
      </c>
      <c r="U27" s="77">
        <v>2</v>
      </c>
      <c r="V27" s="50">
        <v>12</v>
      </c>
      <c r="W27" s="41" t="s">
        <v>1509</v>
      </c>
    </row>
    <row r="28" spans="1:23" ht="16.5" customHeight="1" x14ac:dyDescent="0.25">
      <c r="A28" s="255" t="s">
        <v>1651</v>
      </c>
      <c r="B28" s="255" t="s">
        <v>790</v>
      </c>
      <c r="C28" s="255" t="s">
        <v>819</v>
      </c>
      <c r="D28" s="255" t="s">
        <v>566</v>
      </c>
      <c r="E28" s="255" t="s">
        <v>289</v>
      </c>
      <c r="F28" s="11" t="s">
        <v>817</v>
      </c>
      <c r="G28" s="51">
        <v>1</v>
      </c>
      <c r="H28" s="78">
        <v>1</v>
      </c>
      <c r="I28" s="78">
        <v>1</v>
      </c>
      <c r="J28" s="78">
        <v>1</v>
      </c>
      <c r="K28" s="52">
        <v>0</v>
      </c>
      <c r="L28" s="78">
        <v>0</v>
      </c>
      <c r="M28" s="78">
        <v>0</v>
      </c>
      <c r="N28" s="78">
        <v>0</v>
      </c>
      <c r="O28" s="78">
        <v>0</v>
      </c>
      <c r="P28" s="78">
        <v>1</v>
      </c>
      <c r="Q28" s="78">
        <v>0</v>
      </c>
      <c r="R28" s="78">
        <v>0</v>
      </c>
      <c r="S28" s="78">
        <v>0</v>
      </c>
      <c r="T28" s="78">
        <v>2</v>
      </c>
      <c r="U28" s="78">
        <v>1</v>
      </c>
      <c r="V28" s="52">
        <v>4</v>
      </c>
      <c r="W28" t="s">
        <v>1510</v>
      </c>
    </row>
    <row r="29" spans="1:23" s="43" customFormat="1" ht="16.5" customHeight="1" x14ac:dyDescent="0.25">
      <c r="A29" s="255" t="s">
        <v>1651</v>
      </c>
      <c r="B29" s="255" t="s">
        <v>730</v>
      </c>
      <c r="C29" s="255" t="s">
        <v>819</v>
      </c>
      <c r="D29" s="255" t="s">
        <v>1186</v>
      </c>
      <c r="E29" s="255" t="s">
        <v>290</v>
      </c>
      <c r="F29" s="42" t="s">
        <v>815</v>
      </c>
      <c r="G29" s="47">
        <v>0</v>
      </c>
      <c r="H29" s="76">
        <v>1</v>
      </c>
      <c r="I29" s="76">
        <v>0</v>
      </c>
      <c r="J29" s="76">
        <v>0</v>
      </c>
      <c r="K29" s="48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1</v>
      </c>
      <c r="U29" s="76">
        <v>0</v>
      </c>
      <c r="V29" s="48">
        <v>1</v>
      </c>
      <c r="W29" s="43" t="s">
        <v>1511</v>
      </c>
    </row>
    <row r="30" spans="1:23" s="41" customFormat="1" ht="16.5" customHeight="1" x14ac:dyDescent="0.25">
      <c r="A30" s="255" t="s">
        <v>1651</v>
      </c>
      <c r="B30" s="255" t="s">
        <v>730</v>
      </c>
      <c r="C30" s="255" t="s">
        <v>819</v>
      </c>
      <c r="D30" s="255" t="s">
        <v>1186</v>
      </c>
      <c r="E30" s="255" t="s">
        <v>1114</v>
      </c>
      <c r="F30" s="40" t="s">
        <v>816</v>
      </c>
      <c r="G30" s="49">
        <v>0</v>
      </c>
      <c r="H30" s="77">
        <v>0</v>
      </c>
      <c r="I30" s="77">
        <v>2</v>
      </c>
      <c r="J30" s="77">
        <v>1</v>
      </c>
      <c r="K30" s="50">
        <v>0</v>
      </c>
      <c r="L30" s="77">
        <v>0</v>
      </c>
      <c r="M30" s="77">
        <v>0</v>
      </c>
      <c r="N30" s="77">
        <v>0</v>
      </c>
      <c r="O30" s="77">
        <v>0</v>
      </c>
      <c r="P30" s="77">
        <v>0</v>
      </c>
      <c r="Q30" s="77">
        <v>1</v>
      </c>
      <c r="R30" s="77">
        <v>0</v>
      </c>
      <c r="S30" s="77">
        <v>0</v>
      </c>
      <c r="T30" s="77">
        <v>2</v>
      </c>
      <c r="U30" s="77">
        <v>0</v>
      </c>
      <c r="V30" s="50">
        <v>3</v>
      </c>
      <c r="W30" s="41" t="s">
        <v>1463</v>
      </c>
    </row>
    <row r="31" spans="1:23" ht="16.5" customHeight="1" x14ac:dyDescent="0.25">
      <c r="A31" s="255" t="s">
        <v>1651</v>
      </c>
      <c r="B31" s="255" t="s">
        <v>730</v>
      </c>
      <c r="C31" s="255" t="s">
        <v>819</v>
      </c>
      <c r="D31" s="255" t="s">
        <v>571</v>
      </c>
      <c r="E31" s="255" t="s">
        <v>290</v>
      </c>
      <c r="F31" s="11" t="s">
        <v>826</v>
      </c>
      <c r="G31" s="51">
        <v>0</v>
      </c>
      <c r="H31" s="78">
        <v>1</v>
      </c>
      <c r="I31" s="78">
        <v>1</v>
      </c>
      <c r="J31" s="78">
        <v>1</v>
      </c>
      <c r="K31" s="52">
        <v>0</v>
      </c>
      <c r="L31" s="78">
        <v>0</v>
      </c>
      <c r="M31" s="78">
        <v>0</v>
      </c>
      <c r="N31" s="78">
        <v>0</v>
      </c>
      <c r="O31" s="78">
        <v>0</v>
      </c>
      <c r="P31" s="78">
        <v>0</v>
      </c>
      <c r="Q31" s="78">
        <v>0</v>
      </c>
      <c r="R31" s="78">
        <v>0</v>
      </c>
      <c r="S31" s="78">
        <v>1</v>
      </c>
      <c r="T31" s="78">
        <v>2</v>
      </c>
      <c r="U31" s="78">
        <v>0</v>
      </c>
      <c r="V31" s="52">
        <v>3</v>
      </c>
      <c r="W31" t="s">
        <v>1512</v>
      </c>
    </row>
    <row r="32" spans="1:23" s="43" customFormat="1" ht="16.5" customHeight="1" x14ac:dyDescent="0.25">
      <c r="A32" s="255" t="s">
        <v>1651</v>
      </c>
      <c r="B32" s="255" t="s">
        <v>731</v>
      </c>
      <c r="C32" s="255" t="s">
        <v>819</v>
      </c>
      <c r="D32" s="255" t="s">
        <v>208</v>
      </c>
      <c r="E32" s="255" t="s">
        <v>292</v>
      </c>
      <c r="F32" s="42" t="s">
        <v>815</v>
      </c>
      <c r="G32" s="47">
        <v>0</v>
      </c>
      <c r="H32" s="76">
        <v>1</v>
      </c>
      <c r="I32" s="76">
        <v>0</v>
      </c>
      <c r="J32" s="76">
        <v>0</v>
      </c>
      <c r="K32" s="48">
        <v>0</v>
      </c>
      <c r="L32" s="76">
        <v>0</v>
      </c>
      <c r="M32" s="76">
        <v>0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1</v>
      </c>
      <c r="V32" s="48">
        <v>1</v>
      </c>
      <c r="W32" s="43" t="s">
        <v>1513</v>
      </c>
    </row>
    <row r="33" spans="1:23" s="41" customFormat="1" ht="16.5" customHeight="1" x14ac:dyDescent="0.25">
      <c r="A33" s="255" t="s">
        <v>1651</v>
      </c>
      <c r="B33" s="255" t="s">
        <v>731</v>
      </c>
      <c r="C33" s="255" t="s">
        <v>819</v>
      </c>
      <c r="D33" s="255" t="s">
        <v>208</v>
      </c>
      <c r="E33" s="255" t="s">
        <v>1100</v>
      </c>
      <c r="F33" s="40" t="s">
        <v>816</v>
      </c>
      <c r="G33" s="49">
        <v>1</v>
      </c>
      <c r="H33" s="77">
        <v>3</v>
      </c>
      <c r="I33" s="77">
        <v>2</v>
      </c>
      <c r="J33" s="77">
        <v>2</v>
      </c>
      <c r="K33" s="50">
        <v>0</v>
      </c>
      <c r="L33" s="77">
        <v>0</v>
      </c>
      <c r="M33" s="77">
        <v>1</v>
      </c>
      <c r="N33" s="77">
        <v>0</v>
      </c>
      <c r="O33" s="77">
        <v>0</v>
      </c>
      <c r="P33" s="77">
        <v>1</v>
      </c>
      <c r="Q33" s="77">
        <v>0</v>
      </c>
      <c r="R33" s="77">
        <v>3</v>
      </c>
      <c r="S33" s="77">
        <v>0</v>
      </c>
      <c r="T33" s="77">
        <v>0</v>
      </c>
      <c r="U33" s="77">
        <v>3</v>
      </c>
      <c r="V33" s="50">
        <v>8</v>
      </c>
      <c r="W33" s="41" t="s">
        <v>1514</v>
      </c>
    </row>
    <row r="34" spans="1:23" ht="16.5" customHeight="1" x14ac:dyDescent="0.25">
      <c r="A34" s="255" t="s">
        <v>1651</v>
      </c>
      <c r="B34" s="255" t="s">
        <v>731</v>
      </c>
      <c r="C34" s="255" t="s">
        <v>819</v>
      </c>
      <c r="D34" s="255" t="s">
        <v>1187</v>
      </c>
      <c r="E34" s="255" t="s">
        <v>1101</v>
      </c>
      <c r="F34" s="11" t="s">
        <v>817</v>
      </c>
      <c r="G34" s="51">
        <v>1</v>
      </c>
      <c r="H34" s="78">
        <v>1</v>
      </c>
      <c r="I34" s="78">
        <v>2</v>
      </c>
      <c r="J34" s="78">
        <v>2</v>
      </c>
      <c r="K34" s="52">
        <v>0</v>
      </c>
      <c r="L34" s="78">
        <v>0</v>
      </c>
      <c r="M34" s="78">
        <v>0</v>
      </c>
      <c r="N34" s="78">
        <v>0</v>
      </c>
      <c r="O34" s="78">
        <v>0</v>
      </c>
      <c r="P34" s="78">
        <v>0</v>
      </c>
      <c r="Q34" s="78">
        <v>0</v>
      </c>
      <c r="R34" s="78">
        <v>3</v>
      </c>
      <c r="S34" s="78">
        <v>0</v>
      </c>
      <c r="T34" s="78">
        <v>0</v>
      </c>
      <c r="U34" s="78">
        <v>3</v>
      </c>
      <c r="V34" s="52">
        <v>6</v>
      </c>
      <c r="W34" t="s">
        <v>1515</v>
      </c>
    </row>
    <row r="35" spans="1:23" s="43" customFormat="1" ht="16.5" customHeight="1" x14ac:dyDescent="0.25">
      <c r="A35" s="255" t="s">
        <v>1651</v>
      </c>
      <c r="B35" s="255" t="s">
        <v>732</v>
      </c>
      <c r="C35" s="255" t="s">
        <v>819</v>
      </c>
      <c r="D35" s="255" t="s">
        <v>1188</v>
      </c>
      <c r="E35" s="255" t="s">
        <v>274</v>
      </c>
      <c r="F35" s="42" t="s">
        <v>815</v>
      </c>
      <c r="G35" s="47">
        <v>0</v>
      </c>
      <c r="H35" s="76">
        <v>0</v>
      </c>
      <c r="I35" s="76">
        <v>0</v>
      </c>
      <c r="J35" s="76">
        <v>0</v>
      </c>
      <c r="K35" s="48">
        <v>0</v>
      </c>
      <c r="L35" s="76">
        <v>0</v>
      </c>
      <c r="M35" s="76">
        <v>0</v>
      </c>
      <c r="N35" s="76">
        <v>0</v>
      </c>
      <c r="O35" s="76">
        <v>0</v>
      </c>
      <c r="P35" s="76">
        <v>0</v>
      </c>
      <c r="Q35" s="76">
        <v>0</v>
      </c>
      <c r="R35" s="76">
        <v>0</v>
      </c>
      <c r="S35" s="76">
        <v>0</v>
      </c>
      <c r="T35" s="76">
        <v>0</v>
      </c>
      <c r="U35" s="76">
        <v>0</v>
      </c>
      <c r="V35" s="48">
        <v>0</v>
      </c>
      <c r="W35" s="43" t="s">
        <v>1516</v>
      </c>
    </row>
    <row r="36" spans="1:23" s="41" customFormat="1" ht="16.5" customHeight="1" x14ac:dyDescent="0.25">
      <c r="A36" s="255" t="s">
        <v>1651</v>
      </c>
      <c r="B36" s="255" t="s">
        <v>732</v>
      </c>
      <c r="C36" s="255" t="s">
        <v>819</v>
      </c>
      <c r="D36" s="255" t="s">
        <v>1189</v>
      </c>
      <c r="E36" s="255" t="s">
        <v>1131</v>
      </c>
      <c r="F36" s="40" t="s">
        <v>828</v>
      </c>
      <c r="G36" s="49">
        <v>0</v>
      </c>
      <c r="H36" s="77">
        <v>0</v>
      </c>
      <c r="I36" s="77">
        <v>1</v>
      </c>
      <c r="J36" s="77">
        <v>3</v>
      </c>
      <c r="K36" s="50">
        <v>0</v>
      </c>
      <c r="L36" s="77">
        <v>1</v>
      </c>
      <c r="M36" s="77">
        <v>1</v>
      </c>
      <c r="N36" s="77">
        <v>0</v>
      </c>
      <c r="O36" s="77">
        <v>0</v>
      </c>
      <c r="P36" s="77">
        <v>0</v>
      </c>
      <c r="Q36" s="77">
        <v>0</v>
      </c>
      <c r="R36" s="77">
        <v>0</v>
      </c>
      <c r="S36" s="77">
        <v>0</v>
      </c>
      <c r="T36" s="77">
        <v>1</v>
      </c>
      <c r="U36" s="77">
        <v>1</v>
      </c>
      <c r="V36" s="50">
        <v>4</v>
      </c>
      <c r="W36" s="41" t="s">
        <v>1454</v>
      </c>
    </row>
    <row r="37" spans="1:23" ht="16.5" customHeight="1" x14ac:dyDescent="0.25">
      <c r="A37" s="255" t="s">
        <v>1651</v>
      </c>
      <c r="B37" s="255" t="s">
        <v>732</v>
      </c>
      <c r="C37" s="255" t="s">
        <v>819</v>
      </c>
      <c r="D37" s="255" t="s">
        <v>582</v>
      </c>
      <c r="E37" s="255" t="s">
        <v>274</v>
      </c>
      <c r="F37" s="11" t="s">
        <v>817</v>
      </c>
      <c r="G37" s="51">
        <v>0</v>
      </c>
      <c r="H37" s="78">
        <v>0</v>
      </c>
      <c r="I37" s="78">
        <v>0</v>
      </c>
      <c r="J37" s="78">
        <v>0</v>
      </c>
      <c r="K37" s="52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8">
        <v>0</v>
      </c>
      <c r="U37" s="78">
        <v>0</v>
      </c>
      <c r="V37" s="52">
        <v>0</v>
      </c>
      <c r="W37" t="s">
        <v>1454</v>
      </c>
    </row>
    <row r="38" spans="1:23" s="43" customFormat="1" ht="16.5" customHeight="1" x14ac:dyDescent="0.25">
      <c r="A38" s="255" t="s">
        <v>1651</v>
      </c>
      <c r="B38" s="255" t="s">
        <v>733</v>
      </c>
      <c r="C38" s="255" t="s">
        <v>819</v>
      </c>
      <c r="D38" s="255" t="s">
        <v>1190</v>
      </c>
      <c r="E38" s="255" t="s">
        <v>1125</v>
      </c>
      <c r="F38" s="42" t="s">
        <v>827</v>
      </c>
      <c r="G38" s="47">
        <v>0</v>
      </c>
      <c r="H38" s="76">
        <v>0</v>
      </c>
      <c r="I38" s="76">
        <v>0</v>
      </c>
      <c r="J38" s="76">
        <v>0</v>
      </c>
      <c r="K38" s="48">
        <v>0</v>
      </c>
      <c r="L38" s="76">
        <v>0</v>
      </c>
      <c r="M38" s="76">
        <v>0</v>
      </c>
      <c r="N38" s="76">
        <v>0</v>
      </c>
      <c r="O38" s="76">
        <v>0</v>
      </c>
      <c r="P38" s="76">
        <v>0</v>
      </c>
      <c r="Q38" s="76">
        <v>0</v>
      </c>
      <c r="R38" s="76">
        <v>0</v>
      </c>
      <c r="S38" s="76">
        <v>0</v>
      </c>
      <c r="T38" s="76">
        <v>0</v>
      </c>
      <c r="U38" s="76">
        <v>0</v>
      </c>
      <c r="V38" s="48">
        <v>0</v>
      </c>
      <c r="W38" s="43" t="s">
        <v>1517</v>
      </c>
    </row>
    <row r="39" spans="1:23" s="41" customFormat="1" ht="16.5" customHeight="1" x14ac:dyDescent="0.25">
      <c r="A39" s="255" t="s">
        <v>1651</v>
      </c>
      <c r="B39" s="255" t="s">
        <v>733</v>
      </c>
      <c r="C39" s="255" t="s">
        <v>819</v>
      </c>
      <c r="D39" s="255" t="s">
        <v>1191</v>
      </c>
      <c r="E39" s="255" t="s">
        <v>1126</v>
      </c>
      <c r="F39" s="40" t="s">
        <v>828</v>
      </c>
      <c r="G39" s="49">
        <v>0</v>
      </c>
      <c r="H39" s="77">
        <v>0</v>
      </c>
      <c r="I39" s="77">
        <v>1</v>
      </c>
      <c r="J39" s="77">
        <v>2</v>
      </c>
      <c r="K39" s="50">
        <v>0</v>
      </c>
      <c r="L39" s="77">
        <v>1</v>
      </c>
      <c r="M39" s="77">
        <v>1</v>
      </c>
      <c r="N39" s="77">
        <v>0</v>
      </c>
      <c r="O39" s="77">
        <v>0</v>
      </c>
      <c r="P39" s="77">
        <v>0</v>
      </c>
      <c r="Q39" s="77">
        <v>0</v>
      </c>
      <c r="R39" s="77">
        <v>0</v>
      </c>
      <c r="S39" s="77">
        <v>0</v>
      </c>
      <c r="T39" s="77">
        <v>1</v>
      </c>
      <c r="U39" s="77">
        <v>0</v>
      </c>
      <c r="V39" s="50">
        <v>3</v>
      </c>
      <c r="W39" s="41" t="s">
        <v>1454</v>
      </c>
    </row>
    <row r="40" spans="1:23" ht="16.5" customHeight="1" x14ac:dyDescent="0.25">
      <c r="A40" s="255" t="s">
        <v>1651</v>
      </c>
      <c r="B40" s="255" t="s">
        <v>733</v>
      </c>
      <c r="C40" s="255" t="s">
        <v>819</v>
      </c>
      <c r="D40" s="255" t="s">
        <v>1191</v>
      </c>
      <c r="E40" s="255" t="s">
        <v>1124</v>
      </c>
      <c r="F40" s="11" t="s">
        <v>817</v>
      </c>
      <c r="G40" s="51">
        <v>0</v>
      </c>
      <c r="H40" s="78">
        <v>0</v>
      </c>
      <c r="I40" s="78">
        <v>0</v>
      </c>
      <c r="J40" s="78">
        <v>0</v>
      </c>
      <c r="K40" s="52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8">
        <v>0</v>
      </c>
      <c r="S40" s="78">
        <v>0</v>
      </c>
      <c r="T40" s="78">
        <v>0</v>
      </c>
      <c r="U40" s="78">
        <v>0</v>
      </c>
      <c r="V40" s="52">
        <v>0</v>
      </c>
      <c r="W40" t="s">
        <v>1454</v>
      </c>
    </row>
    <row r="41" spans="1:23" s="43" customFormat="1" ht="16.5" customHeight="1" x14ac:dyDescent="0.25">
      <c r="A41" s="255" t="s">
        <v>1651</v>
      </c>
      <c r="B41" s="255" t="s">
        <v>734</v>
      </c>
      <c r="C41" s="255" t="s">
        <v>829</v>
      </c>
      <c r="D41" s="255" t="s">
        <v>1192</v>
      </c>
      <c r="E41" s="255" t="s">
        <v>283</v>
      </c>
      <c r="F41" s="42" t="s">
        <v>815</v>
      </c>
      <c r="G41" s="47">
        <v>0</v>
      </c>
      <c r="H41" s="76">
        <v>1</v>
      </c>
      <c r="I41" s="76">
        <v>0</v>
      </c>
      <c r="J41" s="76">
        <v>0</v>
      </c>
      <c r="K41" s="48">
        <v>0</v>
      </c>
      <c r="L41" s="76">
        <v>0</v>
      </c>
      <c r="M41" s="76">
        <v>1</v>
      </c>
      <c r="N41" s="76">
        <v>0</v>
      </c>
      <c r="O41" s="76">
        <v>0</v>
      </c>
      <c r="P41" s="76">
        <v>0</v>
      </c>
      <c r="Q41" s="76">
        <v>0</v>
      </c>
      <c r="R41" s="76">
        <v>0</v>
      </c>
      <c r="S41" s="76">
        <v>0</v>
      </c>
      <c r="T41" s="76">
        <v>0</v>
      </c>
      <c r="U41" s="76">
        <v>0</v>
      </c>
      <c r="V41" s="48">
        <v>1</v>
      </c>
      <c r="W41" s="43" t="s">
        <v>1518</v>
      </c>
    </row>
    <row r="42" spans="1:23" s="41" customFormat="1" ht="16.5" customHeight="1" x14ac:dyDescent="0.25">
      <c r="A42" s="255" t="s">
        <v>1651</v>
      </c>
      <c r="B42" s="255" t="s">
        <v>734</v>
      </c>
      <c r="C42" s="255" t="s">
        <v>829</v>
      </c>
      <c r="D42" s="255" t="s">
        <v>1193</v>
      </c>
      <c r="E42" s="255" t="s">
        <v>283</v>
      </c>
      <c r="F42" s="40" t="s">
        <v>816</v>
      </c>
      <c r="G42" s="49">
        <v>0</v>
      </c>
      <c r="H42" s="77">
        <v>12</v>
      </c>
      <c r="I42" s="77">
        <v>0</v>
      </c>
      <c r="J42" s="77">
        <v>4</v>
      </c>
      <c r="K42" s="50">
        <v>0</v>
      </c>
      <c r="L42" s="77">
        <v>1</v>
      </c>
      <c r="M42" s="77">
        <v>2</v>
      </c>
      <c r="N42" s="77">
        <v>5</v>
      </c>
      <c r="O42" s="77">
        <v>2</v>
      </c>
      <c r="P42" s="77">
        <v>1</v>
      </c>
      <c r="Q42" s="77">
        <v>2</v>
      </c>
      <c r="R42" s="77">
        <v>0</v>
      </c>
      <c r="S42" s="77">
        <v>2</v>
      </c>
      <c r="T42" s="77">
        <v>1</v>
      </c>
      <c r="U42" s="77">
        <v>0</v>
      </c>
      <c r="V42" s="50">
        <v>16</v>
      </c>
      <c r="W42" s="41" t="s">
        <v>1519</v>
      </c>
    </row>
    <row r="43" spans="1:23" ht="16.5" customHeight="1" x14ac:dyDescent="0.25">
      <c r="A43" s="255" t="s">
        <v>1651</v>
      </c>
      <c r="B43" s="255" t="s">
        <v>734</v>
      </c>
      <c r="C43" s="255" t="s">
        <v>829</v>
      </c>
      <c r="D43" s="255" t="s">
        <v>1192</v>
      </c>
      <c r="E43" s="255" t="s">
        <v>1125</v>
      </c>
      <c r="F43" s="11" t="s">
        <v>817</v>
      </c>
      <c r="G43" s="51">
        <v>0</v>
      </c>
      <c r="H43" s="78">
        <v>2</v>
      </c>
      <c r="I43" s="78">
        <v>2</v>
      </c>
      <c r="J43" s="78">
        <v>1</v>
      </c>
      <c r="K43" s="52">
        <v>0</v>
      </c>
      <c r="L43" s="78">
        <v>0</v>
      </c>
      <c r="M43" s="78">
        <v>1</v>
      </c>
      <c r="N43" s="78">
        <v>0</v>
      </c>
      <c r="O43" s="78">
        <v>0</v>
      </c>
      <c r="P43" s="78">
        <v>2</v>
      </c>
      <c r="Q43" s="78">
        <v>0</v>
      </c>
      <c r="R43" s="78">
        <v>0</v>
      </c>
      <c r="S43" s="78">
        <v>1</v>
      </c>
      <c r="T43" s="78">
        <v>1</v>
      </c>
      <c r="U43" s="78">
        <v>0</v>
      </c>
      <c r="V43" s="52">
        <v>5</v>
      </c>
      <c r="W43" t="s">
        <v>1520</v>
      </c>
    </row>
    <row r="44" spans="1:23" s="43" customFormat="1" ht="16.5" customHeight="1" x14ac:dyDescent="0.25">
      <c r="A44" s="255" t="s">
        <v>1651</v>
      </c>
      <c r="B44" s="255" t="s">
        <v>735</v>
      </c>
      <c r="C44" s="255" t="s">
        <v>829</v>
      </c>
      <c r="D44" s="255" t="s">
        <v>110</v>
      </c>
      <c r="E44" s="255" t="s">
        <v>1113</v>
      </c>
      <c r="F44" s="42" t="s">
        <v>827</v>
      </c>
      <c r="G44" s="47">
        <v>0</v>
      </c>
      <c r="H44" s="76">
        <v>1</v>
      </c>
      <c r="I44" s="76">
        <v>0</v>
      </c>
      <c r="J44" s="76">
        <v>0</v>
      </c>
      <c r="K44" s="48">
        <v>0</v>
      </c>
      <c r="L44" s="76">
        <v>0</v>
      </c>
      <c r="M44" s="76">
        <v>0</v>
      </c>
      <c r="N44" s="76">
        <v>1</v>
      </c>
      <c r="O44" s="76">
        <v>0</v>
      </c>
      <c r="P44" s="76">
        <v>0</v>
      </c>
      <c r="Q44" s="76">
        <v>0</v>
      </c>
      <c r="R44" s="76">
        <v>0</v>
      </c>
      <c r="S44" s="76">
        <v>0</v>
      </c>
      <c r="T44" s="76">
        <v>0</v>
      </c>
      <c r="U44" s="76">
        <v>0</v>
      </c>
      <c r="V44" s="48">
        <v>1</v>
      </c>
      <c r="W44" s="43" t="s">
        <v>1521</v>
      </c>
    </row>
    <row r="45" spans="1:23" s="41" customFormat="1" ht="16.5" customHeight="1" x14ac:dyDescent="0.25">
      <c r="A45" s="255" t="s">
        <v>1651</v>
      </c>
      <c r="B45" s="255" t="s">
        <v>735</v>
      </c>
      <c r="C45" s="255" t="s">
        <v>829</v>
      </c>
      <c r="D45" s="255" t="s">
        <v>1194</v>
      </c>
      <c r="E45" s="255" t="s">
        <v>284</v>
      </c>
      <c r="F45" s="40" t="s">
        <v>828</v>
      </c>
      <c r="G45" s="49">
        <v>0</v>
      </c>
      <c r="H45" s="77">
        <v>2</v>
      </c>
      <c r="I45" s="77">
        <v>0</v>
      </c>
      <c r="J45" s="77">
        <v>3</v>
      </c>
      <c r="K45" s="50">
        <v>0</v>
      </c>
      <c r="L45" s="77">
        <v>1</v>
      </c>
      <c r="M45" s="77">
        <v>0</v>
      </c>
      <c r="N45" s="77">
        <v>1</v>
      </c>
      <c r="O45" s="77">
        <v>0</v>
      </c>
      <c r="P45" s="77">
        <v>0</v>
      </c>
      <c r="Q45" s="77">
        <v>0</v>
      </c>
      <c r="R45" s="77">
        <v>0</v>
      </c>
      <c r="S45" s="77">
        <v>2</v>
      </c>
      <c r="T45" s="77">
        <v>1</v>
      </c>
      <c r="U45" s="77">
        <v>0</v>
      </c>
      <c r="V45" s="50">
        <v>5</v>
      </c>
      <c r="W45" s="41" t="s">
        <v>1522</v>
      </c>
    </row>
    <row r="46" spans="1:23" ht="16.5" customHeight="1" x14ac:dyDescent="0.25">
      <c r="A46" s="255" t="s">
        <v>1651</v>
      </c>
      <c r="B46" s="255" t="s">
        <v>735</v>
      </c>
      <c r="C46" s="255" t="s">
        <v>829</v>
      </c>
      <c r="D46" s="255" t="s">
        <v>1195</v>
      </c>
      <c r="E46" s="255" t="s">
        <v>284</v>
      </c>
      <c r="F46" s="11" t="s">
        <v>826</v>
      </c>
      <c r="G46" s="51">
        <v>0</v>
      </c>
      <c r="H46" s="78">
        <v>2</v>
      </c>
      <c r="I46" s="78">
        <v>3</v>
      </c>
      <c r="J46" s="78">
        <v>4</v>
      </c>
      <c r="K46" s="52">
        <v>0</v>
      </c>
      <c r="L46" s="78">
        <v>0</v>
      </c>
      <c r="M46" s="78">
        <v>1</v>
      </c>
      <c r="N46" s="78">
        <v>2</v>
      </c>
      <c r="O46" s="78">
        <v>0</v>
      </c>
      <c r="P46" s="78">
        <v>1</v>
      </c>
      <c r="Q46" s="78">
        <v>2</v>
      </c>
      <c r="R46" s="78">
        <v>0</v>
      </c>
      <c r="S46" s="78">
        <v>1</v>
      </c>
      <c r="T46" s="78">
        <v>2</v>
      </c>
      <c r="U46" s="78">
        <v>0</v>
      </c>
      <c r="V46" s="52">
        <v>9</v>
      </c>
      <c r="W46" t="s">
        <v>1523</v>
      </c>
    </row>
    <row r="47" spans="1:23" s="43" customFormat="1" ht="16.5" customHeight="1" x14ac:dyDescent="0.25">
      <c r="A47" s="255" t="s">
        <v>1651</v>
      </c>
      <c r="B47" s="255" t="s">
        <v>736</v>
      </c>
      <c r="C47" s="255" t="s">
        <v>829</v>
      </c>
      <c r="D47" s="255" t="s">
        <v>1196</v>
      </c>
      <c r="E47" s="255" t="s">
        <v>285</v>
      </c>
      <c r="F47" s="42" t="s">
        <v>815</v>
      </c>
      <c r="G47" s="47">
        <v>0</v>
      </c>
      <c r="H47" s="76">
        <v>1</v>
      </c>
      <c r="I47" s="76">
        <v>0</v>
      </c>
      <c r="J47" s="76">
        <v>0</v>
      </c>
      <c r="K47" s="48">
        <v>0</v>
      </c>
      <c r="L47" s="76">
        <v>0</v>
      </c>
      <c r="M47" s="76">
        <v>0</v>
      </c>
      <c r="N47" s="76">
        <v>0</v>
      </c>
      <c r="O47" s="76">
        <v>1</v>
      </c>
      <c r="P47" s="76">
        <v>0</v>
      </c>
      <c r="Q47" s="76">
        <v>0</v>
      </c>
      <c r="R47" s="76">
        <v>0</v>
      </c>
      <c r="S47" s="76">
        <v>0</v>
      </c>
      <c r="T47" s="76">
        <v>0</v>
      </c>
      <c r="U47" s="76">
        <v>0</v>
      </c>
      <c r="V47" s="48">
        <v>1</v>
      </c>
      <c r="W47" s="43" t="s">
        <v>1524</v>
      </c>
    </row>
    <row r="48" spans="1:23" s="41" customFormat="1" ht="16.5" customHeight="1" x14ac:dyDescent="0.25">
      <c r="A48" s="255" t="s">
        <v>1651</v>
      </c>
      <c r="B48" s="255" t="s">
        <v>736</v>
      </c>
      <c r="C48" s="255" t="s">
        <v>829</v>
      </c>
      <c r="D48" s="255" t="s">
        <v>1197</v>
      </c>
      <c r="E48" s="255" t="s">
        <v>1096</v>
      </c>
      <c r="F48" s="40" t="s">
        <v>828</v>
      </c>
      <c r="G48" s="49">
        <v>0</v>
      </c>
      <c r="H48" s="77">
        <v>3</v>
      </c>
      <c r="I48" s="77">
        <v>2</v>
      </c>
      <c r="J48" s="77">
        <v>2</v>
      </c>
      <c r="K48" s="50">
        <v>0</v>
      </c>
      <c r="L48" s="77">
        <v>1</v>
      </c>
      <c r="M48" s="77">
        <v>0</v>
      </c>
      <c r="N48" s="77">
        <v>0</v>
      </c>
      <c r="O48" s="77">
        <v>1</v>
      </c>
      <c r="P48" s="77">
        <v>0</v>
      </c>
      <c r="Q48" s="77">
        <v>1</v>
      </c>
      <c r="R48" s="77">
        <v>0</v>
      </c>
      <c r="S48" s="77">
        <v>3</v>
      </c>
      <c r="T48" s="77">
        <v>1</v>
      </c>
      <c r="U48" s="77">
        <v>0</v>
      </c>
      <c r="V48" s="50">
        <v>7</v>
      </c>
      <c r="W48" s="41" t="s">
        <v>1484</v>
      </c>
    </row>
    <row r="49" spans="1:23" ht="16.5" customHeight="1" x14ac:dyDescent="0.25">
      <c r="A49" s="255" t="s">
        <v>1651</v>
      </c>
      <c r="B49" s="255" t="s">
        <v>736</v>
      </c>
      <c r="C49" s="255" t="s">
        <v>829</v>
      </c>
      <c r="D49" s="255" t="s">
        <v>1196</v>
      </c>
      <c r="E49" s="255" t="s">
        <v>285</v>
      </c>
      <c r="F49" s="11" t="s">
        <v>817</v>
      </c>
      <c r="G49" s="51">
        <v>0</v>
      </c>
      <c r="H49" s="78">
        <v>3</v>
      </c>
      <c r="I49" s="78">
        <v>4</v>
      </c>
      <c r="J49" s="78">
        <v>5</v>
      </c>
      <c r="K49" s="52">
        <v>0</v>
      </c>
      <c r="L49" s="78">
        <v>0</v>
      </c>
      <c r="M49" s="78">
        <v>1</v>
      </c>
      <c r="N49" s="78">
        <v>3</v>
      </c>
      <c r="O49" s="78">
        <v>1</v>
      </c>
      <c r="P49" s="78">
        <v>1</v>
      </c>
      <c r="Q49" s="78">
        <v>3</v>
      </c>
      <c r="R49" s="78">
        <v>0</v>
      </c>
      <c r="S49" s="78">
        <v>1</v>
      </c>
      <c r="T49" s="78">
        <v>2</v>
      </c>
      <c r="U49" s="78">
        <v>0</v>
      </c>
      <c r="V49" s="52">
        <v>12</v>
      </c>
      <c r="W49" t="s">
        <v>1525</v>
      </c>
    </row>
    <row r="50" spans="1:23" s="43" customFormat="1" ht="16.5" customHeight="1" x14ac:dyDescent="0.25">
      <c r="A50" s="255" t="s">
        <v>1651</v>
      </c>
      <c r="B50" s="255" t="s">
        <v>737</v>
      </c>
      <c r="C50" s="255" t="s">
        <v>829</v>
      </c>
      <c r="D50" s="255" t="s">
        <v>1198</v>
      </c>
      <c r="E50" s="255" t="s">
        <v>1097</v>
      </c>
      <c r="F50" s="42" t="s">
        <v>815</v>
      </c>
      <c r="G50" s="47">
        <v>0</v>
      </c>
      <c r="H50" s="76">
        <v>0</v>
      </c>
      <c r="I50" s="76">
        <v>0</v>
      </c>
      <c r="J50" s="76">
        <v>0</v>
      </c>
      <c r="K50" s="48">
        <v>0</v>
      </c>
      <c r="L50" s="76">
        <v>0</v>
      </c>
      <c r="M50" s="76">
        <v>0</v>
      </c>
      <c r="N50" s="76">
        <v>0</v>
      </c>
      <c r="O50" s="76">
        <v>0</v>
      </c>
      <c r="P50" s="76">
        <v>0</v>
      </c>
      <c r="Q50" s="76">
        <v>0</v>
      </c>
      <c r="R50" s="76">
        <v>0</v>
      </c>
      <c r="S50" s="76">
        <v>0</v>
      </c>
      <c r="T50" s="76">
        <v>0</v>
      </c>
      <c r="U50" s="76">
        <v>0</v>
      </c>
      <c r="V50" s="48">
        <v>0</v>
      </c>
      <c r="W50" s="43" t="s">
        <v>1526</v>
      </c>
    </row>
    <row r="51" spans="1:23" s="41" customFormat="1" ht="16.5" customHeight="1" x14ac:dyDescent="0.25">
      <c r="A51" s="255" t="s">
        <v>1651</v>
      </c>
      <c r="B51" s="255" t="s">
        <v>737</v>
      </c>
      <c r="C51" s="255" t="s">
        <v>829</v>
      </c>
      <c r="D51" s="255" t="s">
        <v>1199</v>
      </c>
      <c r="E51" s="255" t="s">
        <v>1095</v>
      </c>
      <c r="F51" s="40" t="s">
        <v>816</v>
      </c>
      <c r="G51" s="49">
        <v>0</v>
      </c>
      <c r="H51" s="77">
        <v>0</v>
      </c>
      <c r="I51" s="77">
        <v>0</v>
      </c>
      <c r="J51" s="77">
        <v>3</v>
      </c>
      <c r="K51" s="50">
        <v>0</v>
      </c>
      <c r="L51" s="77">
        <v>0</v>
      </c>
      <c r="M51" s="77">
        <v>1</v>
      </c>
      <c r="N51" s="77">
        <v>1</v>
      </c>
      <c r="O51" s="77">
        <v>1</v>
      </c>
      <c r="P51" s="77">
        <v>0</v>
      </c>
      <c r="Q51" s="77">
        <v>0</v>
      </c>
      <c r="R51" s="77">
        <v>0</v>
      </c>
      <c r="S51" s="77">
        <v>0</v>
      </c>
      <c r="T51" s="77">
        <v>0</v>
      </c>
      <c r="U51" s="77">
        <v>0</v>
      </c>
      <c r="V51" s="50">
        <v>3</v>
      </c>
      <c r="W51" s="41" t="s">
        <v>1454</v>
      </c>
    </row>
    <row r="52" spans="1:23" ht="16.5" customHeight="1" x14ac:dyDescent="0.25">
      <c r="A52" s="255" t="s">
        <v>1651</v>
      </c>
      <c r="B52" s="255" t="s">
        <v>737</v>
      </c>
      <c r="C52" s="255" t="s">
        <v>829</v>
      </c>
      <c r="D52" s="255" t="s">
        <v>112</v>
      </c>
      <c r="E52" s="255" t="s">
        <v>1098</v>
      </c>
      <c r="F52" s="11" t="s">
        <v>817</v>
      </c>
      <c r="G52" s="51">
        <v>0</v>
      </c>
      <c r="H52" s="78">
        <v>0</v>
      </c>
      <c r="I52" s="78">
        <v>0</v>
      </c>
      <c r="J52" s="78">
        <v>3</v>
      </c>
      <c r="K52" s="52">
        <v>0</v>
      </c>
      <c r="L52" s="78">
        <v>0</v>
      </c>
      <c r="M52" s="78">
        <v>1</v>
      </c>
      <c r="N52" s="78">
        <v>1</v>
      </c>
      <c r="O52" s="78">
        <v>1</v>
      </c>
      <c r="P52" s="78">
        <v>0</v>
      </c>
      <c r="Q52" s="78">
        <v>0</v>
      </c>
      <c r="R52" s="78">
        <v>0</v>
      </c>
      <c r="S52" s="78">
        <v>0</v>
      </c>
      <c r="T52" s="78">
        <v>0</v>
      </c>
      <c r="U52" s="78">
        <v>0</v>
      </c>
      <c r="V52" s="52">
        <v>3</v>
      </c>
      <c r="W52" t="s">
        <v>1526</v>
      </c>
    </row>
    <row r="53" spans="1:23" s="43" customFormat="1" ht="16.5" customHeight="1" x14ac:dyDescent="0.25">
      <c r="A53" s="255" t="s">
        <v>1651</v>
      </c>
      <c r="B53" s="255" t="s">
        <v>738</v>
      </c>
      <c r="C53" s="255"/>
      <c r="D53" s="255" t="s">
        <v>1200</v>
      </c>
      <c r="E53" s="255" t="s">
        <v>1125</v>
      </c>
      <c r="F53" s="42" t="s">
        <v>815</v>
      </c>
      <c r="G53" s="47">
        <v>0</v>
      </c>
      <c r="H53" s="76">
        <v>0</v>
      </c>
      <c r="I53" s="76">
        <v>0</v>
      </c>
      <c r="J53" s="76">
        <v>0</v>
      </c>
      <c r="K53" s="48">
        <v>0</v>
      </c>
      <c r="L53" s="76">
        <v>0</v>
      </c>
      <c r="M53" s="76">
        <v>0</v>
      </c>
      <c r="N53" s="76">
        <v>0</v>
      </c>
      <c r="O53" s="76">
        <v>0</v>
      </c>
      <c r="P53" s="76">
        <v>0</v>
      </c>
      <c r="Q53" s="76">
        <v>0</v>
      </c>
      <c r="R53" s="76">
        <v>0</v>
      </c>
      <c r="S53" s="76">
        <v>0</v>
      </c>
      <c r="T53" s="76">
        <v>0</v>
      </c>
      <c r="U53" s="76">
        <v>0</v>
      </c>
      <c r="V53" s="48">
        <v>0</v>
      </c>
      <c r="W53" s="43" t="s">
        <v>1489</v>
      </c>
    </row>
    <row r="54" spans="1:23" s="41" customFormat="1" ht="16.5" customHeight="1" x14ac:dyDescent="0.25">
      <c r="A54" s="255" t="s">
        <v>1651</v>
      </c>
      <c r="B54" s="255" t="s">
        <v>738</v>
      </c>
      <c r="C54" s="255"/>
      <c r="D54" s="255" t="s">
        <v>113</v>
      </c>
      <c r="E54" s="255" t="s">
        <v>283</v>
      </c>
      <c r="F54" s="40" t="s">
        <v>816</v>
      </c>
      <c r="G54" s="49">
        <v>0</v>
      </c>
      <c r="H54" s="77">
        <v>1</v>
      </c>
      <c r="I54" s="77">
        <v>0</v>
      </c>
      <c r="J54" s="77">
        <v>0</v>
      </c>
      <c r="K54" s="50">
        <v>0</v>
      </c>
      <c r="L54" s="77">
        <v>0</v>
      </c>
      <c r="M54" s="77">
        <v>1</v>
      </c>
      <c r="N54" s="77">
        <v>0</v>
      </c>
      <c r="O54" s="77">
        <v>0</v>
      </c>
      <c r="P54" s="77">
        <v>0</v>
      </c>
      <c r="Q54" s="77">
        <v>0</v>
      </c>
      <c r="R54" s="77">
        <v>0</v>
      </c>
      <c r="S54" s="77">
        <v>0</v>
      </c>
      <c r="T54" s="77">
        <v>0</v>
      </c>
      <c r="U54" s="77">
        <v>0</v>
      </c>
      <c r="V54" s="50">
        <v>1</v>
      </c>
      <c r="W54" s="41" t="s">
        <v>1454</v>
      </c>
    </row>
    <row r="55" spans="1:23" ht="16.5" customHeight="1" x14ac:dyDescent="0.25">
      <c r="A55" s="255" t="s">
        <v>1651</v>
      </c>
      <c r="B55" s="255" t="s">
        <v>738</v>
      </c>
      <c r="C55" s="255"/>
      <c r="D55" s="255" t="s">
        <v>1200</v>
      </c>
      <c r="E55" s="255" t="s">
        <v>283</v>
      </c>
      <c r="F55" s="11" t="s">
        <v>826</v>
      </c>
      <c r="G55" s="51">
        <v>0</v>
      </c>
      <c r="H55" s="78">
        <v>0</v>
      </c>
      <c r="I55" s="78">
        <v>0</v>
      </c>
      <c r="J55" s="78">
        <v>0</v>
      </c>
      <c r="K55" s="52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52">
        <v>0</v>
      </c>
      <c r="W55" t="s">
        <v>1454</v>
      </c>
    </row>
    <row r="56" spans="1:23" s="43" customFormat="1" ht="16.5" customHeight="1" x14ac:dyDescent="0.25">
      <c r="A56" s="255" t="s">
        <v>1651</v>
      </c>
      <c r="B56" s="255" t="s">
        <v>739</v>
      </c>
      <c r="C56" s="255"/>
      <c r="D56" s="255" t="s">
        <v>114</v>
      </c>
      <c r="E56" s="255" t="s">
        <v>283</v>
      </c>
      <c r="F56" s="42" t="s">
        <v>815</v>
      </c>
      <c r="G56" s="47">
        <v>0</v>
      </c>
      <c r="H56" s="76">
        <v>0</v>
      </c>
      <c r="I56" s="76">
        <v>0</v>
      </c>
      <c r="J56" s="76">
        <v>0</v>
      </c>
      <c r="K56" s="48">
        <v>0</v>
      </c>
      <c r="L56" s="76">
        <v>0</v>
      </c>
      <c r="M56" s="76">
        <v>0</v>
      </c>
      <c r="N56" s="76">
        <v>0</v>
      </c>
      <c r="O56" s="76">
        <v>0</v>
      </c>
      <c r="P56" s="76">
        <v>0</v>
      </c>
      <c r="Q56" s="76">
        <v>0</v>
      </c>
      <c r="R56" s="76">
        <v>0</v>
      </c>
      <c r="S56" s="76">
        <v>0</v>
      </c>
      <c r="T56" s="76">
        <v>0</v>
      </c>
      <c r="U56" s="76">
        <v>0</v>
      </c>
      <c r="V56" s="48">
        <v>0</v>
      </c>
      <c r="W56" s="43" t="s">
        <v>1527</v>
      </c>
    </row>
    <row r="57" spans="1:23" s="41" customFormat="1" ht="16.5" customHeight="1" x14ac:dyDescent="0.25">
      <c r="A57" s="255" t="s">
        <v>1651</v>
      </c>
      <c r="B57" s="255" t="s">
        <v>739</v>
      </c>
      <c r="C57" s="255"/>
      <c r="D57" s="255" t="s">
        <v>1201</v>
      </c>
      <c r="E57" s="255" t="s">
        <v>1125</v>
      </c>
      <c r="F57" s="40" t="s">
        <v>816</v>
      </c>
      <c r="G57" s="49">
        <v>0</v>
      </c>
      <c r="H57" s="77">
        <v>2</v>
      </c>
      <c r="I57" s="77">
        <v>0</v>
      </c>
      <c r="J57" s="77">
        <v>0</v>
      </c>
      <c r="K57" s="50">
        <v>0</v>
      </c>
      <c r="L57" s="77">
        <v>0</v>
      </c>
      <c r="M57" s="77">
        <v>1</v>
      </c>
      <c r="N57" s="77">
        <v>1</v>
      </c>
      <c r="O57" s="77">
        <v>0</v>
      </c>
      <c r="P57" s="77">
        <v>0</v>
      </c>
      <c r="Q57" s="77">
        <v>0</v>
      </c>
      <c r="R57" s="77">
        <v>0</v>
      </c>
      <c r="S57" s="77">
        <v>0</v>
      </c>
      <c r="T57" s="77">
        <v>0</v>
      </c>
      <c r="U57" s="77">
        <v>0</v>
      </c>
      <c r="V57" s="50">
        <v>2</v>
      </c>
      <c r="W57" s="41" t="s">
        <v>1454</v>
      </c>
    </row>
    <row r="58" spans="1:23" ht="16.5" customHeight="1" x14ac:dyDescent="0.25">
      <c r="A58" s="255" t="s">
        <v>1651</v>
      </c>
      <c r="B58" s="255" t="s">
        <v>739</v>
      </c>
      <c r="C58" s="255"/>
      <c r="D58" s="255" t="s">
        <v>1201</v>
      </c>
      <c r="E58" s="255" t="s">
        <v>283</v>
      </c>
      <c r="F58" s="11" t="s">
        <v>826</v>
      </c>
      <c r="G58" s="51">
        <v>0</v>
      </c>
      <c r="H58" s="78">
        <v>0</v>
      </c>
      <c r="I58" s="78">
        <v>0</v>
      </c>
      <c r="J58" s="78">
        <v>0</v>
      </c>
      <c r="K58" s="52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78">
        <v>0</v>
      </c>
      <c r="T58" s="78">
        <v>0</v>
      </c>
      <c r="U58" s="78">
        <v>0</v>
      </c>
      <c r="V58" s="52">
        <v>0</v>
      </c>
      <c r="W58" t="s">
        <v>1454</v>
      </c>
    </row>
    <row r="59" spans="1:23" s="43" customFormat="1" ht="16.5" customHeight="1" x14ac:dyDescent="0.25">
      <c r="A59" s="255" t="s">
        <v>1651</v>
      </c>
      <c r="B59" s="255" t="s">
        <v>740</v>
      </c>
      <c r="C59" s="255"/>
      <c r="D59" s="255" t="s">
        <v>1202</v>
      </c>
      <c r="E59" s="255" t="s">
        <v>1128</v>
      </c>
      <c r="F59" s="42" t="s">
        <v>827</v>
      </c>
      <c r="G59" s="47">
        <v>0</v>
      </c>
      <c r="H59" s="76">
        <v>0</v>
      </c>
      <c r="I59" s="76">
        <v>0</v>
      </c>
      <c r="J59" s="76">
        <v>0</v>
      </c>
      <c r="K59" s="48">
        <v>0</v>
      </c>
      <c r="L59" s="76">
        <v>0</v>
      </c>
      <c r="M59" s="76">
        <v>0</v>
      </c>
      <c r="N59" s="76">
        <v>0</v>
      </c>
      <c r="O59" s="76">
        <v>0</v>
      </c>
      <c r="P59" s="76">
        <v>0</v>
      </c>
      <c r="Q59" s="76">
        <v>0</v>
      </c>
      <c r="R59" s="76">
        <v>0</v>
      </c>
      <c r="S59" s="76">
        <v>0</v>
      </c>
      <c r="T59" s="76">
        <v>0</v>
      </c>
      <c r="U59" s="76">
        <v>0</v>
      </c>
      <c r="V59" s="48">
        <v>0</v>
      </c>
      <c r="W59" s="43" t="s">
        <v>1528</v>
      </c>
    </row>
    <row r="60" spans="1:23" s="41" customFormat="1" ht="16.5" customHeight="1" x14ac:dyDescent="0.25">
      <c r="A60" s="255" t="s">
        <v>1651</v>
      </c>
      <c r="B60" s="255" t="s">
        <v>740</v>
      </c>
      <c r="C60" s="255"/>
      <c r="D60" s="255" t="s">
        <v>1202</v>
      </c>
      <c r="E60" s="255" t="s">
        <v>274</v>
      </c>
      <c r="F60" s="40" t="s">
        <v>816</v>
      </c>
      <c r="G60" s="49">
        <v>0</v>
      </c>
      <c r="H60" s="77">
        <v>1</v>
      </c>
      <c r="I60" s="77">
        <v>2</v>
      </c>
      <c r="J60" s="77">
        <v>1</v>
      </c>
      <c r="K60" s="50">
        <v>1</v>
      </c>
      <c r="L60" s="77">
        <v>4</v>
      </c>
      <c r="M60" s="77">
        <v>0</v>
      </c>
      <c r="N60" s="77">
        <v>0</v>
      </c>
      <c r="O60" s="77">
        <v>0</v>
      </c>
      <c r="P60" s="77">
        <v>0</v>
      </c>
      <c r="Q60" s="77">
        <v>0</v>
      </c>
      <c r="R60" s="77">
        <v>0</v>
      </c>
      <c r="S60" s="77">
        <v>1</v>
      </c>
      <c r="T60" s="77">
        <v>0</v>
      </c>
      <c r="U60" s="77">
        <v>0</v>
      </c>
      <c r="V60" s="50">
        <v>5</v>
      </c>
      <c r="W60" s="41" t="s">
        <v>1454</v>
      </c>
    </row>
    <row r="61" spans="1:23" ht="16.5" customHeight="1" x14ac:dyDescent="0.25">
      <c r="A61" s="255" t="s">
        <v>1651</v>
      </c>
      <c r="B61" s="255" t="s">
        <v>740</v>
      </c>
      <c r="C61" s="255"/>
      <c r="D61" s="255" t="s">
        <v>1203</v>
      </c>
      <c r="E61" s="255" t="s">
        <v>274</v>
      </c>
      <c r="F61" s="11" t="s">
        <v>817</v>
      </c>
      <c r="G61" s="51">
        <v>0</v>
      </c>
      <c r="H61" s="78">
        <v>0</v>
      </c>
      <c r="I61" s="78">
        <v>2</v>
      </c>
      <c r="J61" s="78">
        <v>3</v>
      </c>
      <c r="K61" s="52">
        <v>0</v>
      </c>
      <c r="L61" s="78">
        <v>4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1</v>
      </c>
      <c r="T61" s="78">
        <v>0</v>
      </c>
      <c r="U61" s="78">
        <v>0</v>
      </c>
      <c r="V61" s="52">
        <v>5</v>
      </c>
      <c r="W61" t="s">
        <v>1529</v>
      </c>
    </row>
    <row r="62" spans="1:23" s="43" customFormat="1" ht="16.5" customHeight="1" x14ac:dyDescent="0.25">
      <c r="A62" s="255" t="s">
        <v>1654</v>
      </c>
      <c r="B62" s="255" t="s">
        <v>1655</v>
      </c>
      <c r="C62" s="255"/>
      <c r="D62" s="255" t="s">
        <v>1204</v>
      </c>
      <c r="E62" s="255" t="s">
        <v>1111</v>
      </c>
      <c r="F62" s="42" t="s">
        <v>815</v>
      </c>
      <c r="G62" s="47">
        <v>0</v>
      </c>
      <c r="H62" s="76">
        <v>1</v>
      </c>
      <c r="I62" s="76">
        <v>0</v>
      </c>
      <c r="J62" s="76">
        <v>0</v>
      </c>
      <c r="K62" s="48">
        <v>0</v>
      </c>
      <c r="L62" s="76">
        <v>0</v>
      </c>
      <c r="M62" s="76">
        <v>0</v>
      </c>
      <c r="N62" s="76">
        <v>1</v>
      </c>
      <c r="O62" s="76">
        <v>0</v>
      </c>
      <c r="P62" s="76">
        <v>0</v>
      </c>
      <c r="Q62" s="76">
        <v>0</v>
      </c>
      <c r="R62" s="76">
        <v>0</v>
      </c>
      <c r="S62" s="76">
        <v>0</v>
      </c>
      <c r="T62" s="76">
        <v>0</v>
      </c>
      <c r="U62" s="76">
        <v>0</v>
      </c>
      <c r="V62" s="48">
        <v>1</v>
      </c>
      <c r="W62" s="43" t="s">
        <v>1530</v>
      </c>
    </row>
    <row r="63" spans="1:23" s="41" customFormat="1" ht="16.5" customHeight="1" x14ac:dyDescent="0.25">
      <c r="A63" s="255" t="s">
        <v>1654</v>
      </c>
      <c r="B63" s="255" t="s">
        <v>1655</v>
      </c>
      <c r="C63" s="255"/>
      <c r="D63" s="255" t="s">
        <v>1205</v>
      </c>
      <c r="E63" s="255" t="s">
        <v>1112</v>
      </c>
      <c r="F63" s="40" t="s">
        <v>816</v>
      </c>
      <c r="G63" s="49">
        <v>0</v>
      </c>
      <c r="H63" s="77">
        <v>4</v>
      </c>
      <c r="I63" s="77">
        <v>0</v>
      </c>
      <c r="J63" s="77">
        <v>0</v>
      </c>
      <c r="K63" s="50">
        <v>0</v>
      </c>
      <c r="L63" s="77">
        <v>0</v>
      </c>
      <c r="M63" s="77">
        <v>0</v>
      </c>
      <c r="N63" s="77">
        <v>3</v>
      </c>
      <c r="O63" s="77">
        <v>0</v>
      </c>
      <c r="P63" s="77">
        <v>0</v>
      </c>
      <c r="Q63" s="77">
        <v>1</v>
      </c>
      <c r="R63" s="77">
        <v>0</v>
      </c>
      <c r="S63" s="77">
        <v>0</v>
      </c>
      <c r="T63" s="77">
        <v>0</v>
      </c>
      <c r="U63" s="77">
        <v>0</v>
      </c>
      <c r="V63" s="50">
        <v>4</v>
      </c>
      <c r="W63" s="41" t="s">
        <v>1531</v>
      </c>
    </row>
    <row r="64" spans="1:23" ht="16.5" customHeight="1" x14ac:dyDescent="0.25">
      <c r="A64" s="255" t="s">
        <v>1654</v>
      </c>
      <c r="B64" s="255" t="s">
        <v>1655</v>
      </c>
      <c r="C64" s="255"/>
      <c r="D64" s="255" t="s">
        <v>116</v>
      </c>
      <c r="E64" s="255" t="s">
        <v>284</v>
      </c>
      <c r="F64" s="11" t="s">
        <v>817</v>
      </c>
      <c r="G64" s="51">
        <v>0</v>
      </c>
      <c r="H64" s="78">
        <v>4</v>
      </c>
      <c r="I64" s="78">
        <v>0</v>
      </c>
      <c r="J64" s="78">
        <v>0</v>
      </c>
      <c r="K64" s="52">
        <v>0</v>
      </c>
      <c r="L64" s="78">
        <v>0</v>
      </c>
      <c r="M64" s="78">
        <v>0</v>
      </c>
      <c r="N64" s="78">
        <v>3</v>
      </c>
      <c r="O64" s="78">
        <v>0</v>
      </c>
      <c r="P64" s="78">
        <v>0</v>
      </c>
      <c r="Q64" s="78">
        <v>1</v>
      </c>
      <c r="R64" s="78">
        <v>0</v>
      </c>
      <c r="S64" s="78">
        <v>0</v>
      </c>
      <c r="T64" s="78">
        <v>0</v>
      </c>
      <c r="U64" s="78">
        <v>0</v>
      </c>
      <c r="V64" s="52">
        <v>4</v>
      </c>
      <c r="W64" t="s">
        <v>1530</v>
      </c>
    </row>
    <row r="65" spans="1:23" s="43" customFormat="1" ht="16.5" customHeight="1" x14ac:dyDescent="0.25">
      <c r="A65" s="255" t="s">
        <v>1654</v>
      </c>
      <c r="B65" s="255" t="s">
        <v>1656</v>
      </c>
      <c r="C65" s="255" t="s">
        <v>821</v>
      </c>
      <c r="D65" s="255" t="s">
        <v>117</v>
      </c>
      <c r="E65" s="255" t="s">
        <v>1111</v>
      </c>
      <c r="F65" s="42" t="s">
        <v>815</v>
      </c>
      <c r="G65" s="47">
        <v>0</v>
      </c>
      <c r="H65" s="76">
        <v>1</v>
      </c>
      <c r="I65" s="76">
        <v>0</v>
      </c>
      <c r="J65" s="76">
        <v>0</v>
      </c>
      <c r="K65" s="48">
        <v>0</v>
      </c>
      <c r="L65" s="76">
        <v>0</v>
      </c>
      <c r="M65" s="76">
        <v>0</v>
      </c>
      <c r="N65" s="76">
        <v>1</v>
      </c>
      <c r="O65" s="76">
        <v>0</v>
      </c>
      <c r="P65" s="76">
        <v>0</v>
      </c>
      <c r="Q65" s="76">
        <v>0</v>
      </c>
      <c r="R65" s="76">
        <v>0</v>
      </c>
      <c r="S65" s="76">
        <v>0</v>
      </c>
      <c r="T65" s="76">
        <v>0</v>
      </c>
      <c r="U65" s="76">
        <v>0</v>
      </c>
      <c r="V65" s="48">
        <v>1</v>
      </c>
      <c r="W65" s="43" t="s">
        <v>1530</v>
      </c>
    </row>
    <row r="66" spans="1:23" s="41" customFormat="1" ht="16.5" customHeight="1" x14ac:dyDescent="0.25">
      <c r="A66" s="255" t="s">
        <v>1654</v>
      </c>
      <c r="B66" s="255" t="s">
        <v>1656</v>
      </c>
      <c r="C66" s="255" t="s">
        <v>821</v>
      </c>
      <c r="D66" s="255" t="s">
        <v>117</v>
      </c>
      <c r="E66" s="255" t="s">
        <v>284</v>
      </c>
      <c r="F66" s="40" t="s">
        <v>828</v>
      </c>
      <c r="G66" s="49">
        <v>0</v>
      </c>
      <c r="H66" s="77">
        <v>4</v>
      </c>
      <c r="I66" s="77">
        <v>0</v>
      </c>
      <c r="J66" s="77">
        <v>0</v>
      </c>
      <c r="K66" s="50">
        <v>0</v>
      </c>
      <c r="L66" s="77">
        <v>0</v>
      </c>
      <c r="M66" s="77">
        <v>0</v>
      </c>
      <c r="N66" s="77">
        <v>3</v>
      </c>
      <c r="O66" s="77">
        <v>0</v>
      </c>
      <c r="P66" s="77">
        <v>0</v>
      </c>
      <c r="Q66" s="77">
        <v>1</v>
      </c>
      <c r="R66" s="77">
        <v>0</v>
      </c>
      <c r="S66" s="77">
        <v>0</v>
      </c>
      <c r="T66" s="77">
        <v>0</v>
      </c>
      <c r="U66" s="77">
        <v>0</v>
      </c>
      <c r="V66" s="50">
        <v>4</v>
      </c>
      <c r="W66" s="41" t="s">
        <v>1531</v>
      </c>
    </row>
    <row r="67" spans="1:23" ht="16.5" customHeight="1" x14ac:dyDescent="0.25">
      <c r="A67" s="255" t="s">
        <v>1654</v>
      </c>
      <c r="B67" s="255" t="s">
        <v>1656</v>
      </c>
      <c r="C67" s="255" t="s">
        <v>821</v>
      </c>
      <c r="D67" s="255" t="s">
        <v>1206</v>
      </c>
      <c r="E67" s="255" t="s">
        <v>284</v>
      </c>
      <c r="F67" s="11" t="s">
        <v>817</v>
      </c>
      <c r="G67" s="51">
        <v>0</v>
      </c>
      <c r="H67" s="78">
        <v>1</v>
      </c>
      <c r="I67" s="78">
        <v>1</v>
      </c>
      <c r="J67" s="78">
        <v>0</v>
      </c>
      <c r="K67" s="52">
        <v>0</v>
      </c>
      <c r="L67" s="78">
        <v>1</v>
      </c>
      <c r="M67" s="78">
        <v>0</v>
      </c>
      <c r="N67" s="78">
        <v>1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52">
        <v>2</v>
      </c>
      <c r="W67" t="s">
        <v>1532</v>
      </c>
    </row>
    <row r="68" spans="1:23" s="43" customFormat="1" ht="16.5" customHeight="1" x14ac:dyDescent="0.25">
      <c r="A68" s="255" t="s">
        <v>1654</v>
      </c>
      <c r="B68" s="255" t="s">
        <v>793</v>
      </c>
      <c r="C68" s="255" t="s">
        <v>1092</v>
      </c>
      <c r="D68" s="255" t="s">
        <v>1207</v>
      </c>
      <c r="E68" s="255" t="s">
        <v>274</v>
      </c>
      <c r="F68" s="42" t="s">
        <v>815</v>
      </c>
      <c r="G68" s="47">
        <v>1</v>
      </c>
      <c r="H68" s="76">
        <v>0</v>
      </c>
      <c r="I68" s="76">
        <v>0</v>
      </c>
      <c r="J68" s="76">
        <v>0</v>
      </c>
      <c r="K68" s="48">
        <v>0</v>
      </c>
      <c r="L68" s="76">
        <v>1</v>
      </c>
      <c r="M68" s="76">
        <v>0</v>
      </c>
      <c r="N68" s="76">
        <v>0</v>
      </c>
      <c r="O68" s="76">
        <v>0</v>
      </c>
      <c r="P68" s="76">
        <v>0</v>
      </c>
      <c r="Q68" s="76">
        <v>0</v>
      </c>
      <c r="R68" s="76">
        <v>0</v>
      </c>
      <c r="S68" s="76">
        <v>0</v>
      </c>
      <c r="T68" s="76">
        <v>0</v>
      </c>
      <c r="U68" s="76">
        <v>0</v>
      </c>
      <c r="V68" s="48">
        <v>1</v>
      </c>
      <c r="W68" s="43" t="s">
        <v>1533</v>
      </c>
    </row>
    <row r="69" spans="1:23" s="41" customFormat="1" ht="16.5" customHeight="1" x14ac:dyDescent="0.25">
      <c r="A69" s="255" t="s">
        <v>1654</v>
      </c>
      <c r="B69" s="255" t="s">
        <v>793</v>
      </c>
      <c r="C69" s="255" t="s">
        <v>1092</v>
      </c>
      <c r="D69" s="255" t="s">
        <v>1207</v>
      </c>
      <c r="E69" s="255" t="s">
        <v>1128</v>
      </c>
      <c r="F69" s="40" t="s">
        <v>816</v>
      </c>
      <c r="G69" s="49">
        <v>0</v>
      </c>
      <c r="H69" s="77">
        <v>11</v>
      </c>
      <c r="I69" s="77">
        <v>0</v>
      </c>
      <c r="J69" s="77">
        <v>2</v>
      </c>
      <c r="K69" s="50">
        <v>1</v>
      </c>
      <c r="L69" s="77">
        <v>2</v>
      </c>
      <c r="M69" s="77">
        <v>2</v>
      </c>
      <c r="N69" s="77">
        <v>3</v>
      </c>
      <c r="O69" s="77">
        <v>0</v>
      </c>
      <c r="P69" s="77">
        <v>1</v>
      </c>
      <c r="Q69" s="77">
        <v>1</v>
      </c>
      <c r="R69" s="77">
        <v>0</v>
      </c>
      <c r="S69" s="77">
        <v>3</v>
      </c>
      <c r="T69" s="77">
        <v>1</v>
      </c>
      <c r="U69" s="77">
        <v>1</v>
      </c>
      <c r="V69" s="50">
        <v>14</v>
      </c>
      <c r="W69" s="41" t="s">
        <v>1470</v>
      </c>
    </row>
    <row r="70" spans="1:23" ht="16.5" customHeight="1" x14ac:dyDescent="0.25">
      <c r="A70" s="255" t="s">
        <v>1654</v>
      </c>
      <c r="B70" s="255" t="s">
        <v>793</v>
      </c>
      <c r="C70" s="255" t="s">
        <v>1092</v>
      </c>
      <c r="D70" s="255" t="s">
        <v>1208</v>
      </c>
      <c r="E70" s="255" t="s">
        <v>274</v>
      </c>
      <c r="F70" s="11" t="s">
        <v>817</v>
      </c>
      <c r="G70" s="51">
        <v>1</v>
      </c>
      <c r="H70" s="78">
        <v>11</v>
      </c>
      <c r="I70" s="78">
        <v>1</v>
      </c>
      <c r="J70" s="78">
        <v>4</v>
      </c>
      <c r="K70" s="52">
        <v>0</v>
      </c>
      <c r="L70" s="78">
        <v>1</v>
      </c>
      <c r="M70" s="78">
        <v>2</v>
      </c>
      <c r="N70" s="78">
        <v>4</v>
      </c>
      <c r="O70" s="78">
        <v>2</v>
      </c>
      <c r="P70" s="78">
        <v>0</v>
      </c>
      <c r="Q70" s="78">
        <v>3</v>
      </c>
      <c r="R70" s="78">
        <v>0</v>
      </c>
      <c r="S70" s="78">
        <v>4</v>
      </c>
      <c r="T70" s="78">
        <v>0</v>
      </c>
      <c r="U70" s="78">
        <v>1</v>
      </c>
      <c r="V70" s="52">
        <v>17</v>
      </c>
      <c r="W70" t="s">
        <v>1534</v>
      </c>
    </row>
    <row r="71" spans="1:23" s="43" customFormat="1" ht="16.5" customHeight="1" x14ac:dyDescent="0.25">
      <c r="A71" s="255" t="s">
        <v>1654</v>
      </c>
      <c r="B71" s="255" t="s">
        <v>794</v>
      </c>
      <c r="C71" s="255"/>
      <c r="D71" s="255" t="s">
        <v>119</v>
      </c>
      <c r="E71" s="255" t="s">
        <v>283</v>
      </c>
      <c r="F71" s="42" t="s">
        <v>815</v>
      </c>
      <c r="G71" s="47">
        <v>0</v>
      </c>
      <c r="H71" s="76">
        <v>3</v>
      </c>
      <c r="I71" s="76">
        <v>0</v>
      </c>
      <c r="J71" s="76">
        <v>0</v>
      </c>
      <c r="K71" s="48">
        <v>0</v>
      </c>
      <c r="L71" s="76">
        <v>0</v>
      </c>
      <c r="M71" s="76">
        <v>0</v>
      </c>
      <c r="N71" s="76">
        <v>1</v>
      </c>
      <c r="O71" s="76">
        <v>1</v>
      </c>
      <c r="P71" s="76">
        <v>0</v>
      </c>
      <c r="Q71" s="76">
        <v>1</v>
      </c>
      <c r="R71" s="76">
        <v>0</v>
      </c>
      <c r="S71" s="76">
        <v>0</v>
      </c>
      <c r="T71" s="76">
        <v>0</v>
      </c>
      <c r="U71" s="76">
        <v>0</v>
      </c>
      <c r="V71" s="48">
        <v>3</v>
      </c>
      <c r="W71" s="43" t="s">
        <v>1535</v>
      </c>
    </row>
    <row r="72" spans="1:23" s="41" customFormat="1" ht="16.5" customHeight="1" x14ac:dyDescent="0.25">
      <c r="A72" s="255" t="s">
        <v>1654</v>
      </c>
      <c r="B72" s="255" t="s">
        <v>794</v>
      </c>
      <c r="C72" s="255"/>
      <c r="D72" s="255" t="s">
        <v>1209</v>
      </c>
      <c r="E72" s="255" t="s">
        <v>1126</v>
      </c>
      <c r="F72" s="40" t="s">
        <v>816</v>
      </c>
      <c r="G72" s="49">
        <v>0</v>
      </c>
      <c r="H72" s="77">
        <v>3</v>
      </c>
      <c r="I72" s="77">
        <v>0</v>
      </c>
      <c r="J72" s="77">
        <v>2</v>
      </c>
      <c r="K72" s="50">
        <v>1</v>
      </c>
      <c r="L72" s="77">
        <v>3</v>
      </c>
      <c r="M72" s="77">
        <v>0</v>
      </c>
      <c r="N72" s="77">
        <v>1</v>
      </c>
      <c r="O72" s="77">
        <v>1</v>
      </c>
      <c r="P72" s="77">
        <v>0</v>
      </c>
      <c r="Q72" s="77">
        <v>0</v>
      </c>
      <c r="R72" s="77">
        <v>0</v>
      </c>
      <c r="S72" s="77">
        <v>1</v>
      </c>
      <c r="T72" s="77">
        <v>0</v>
      </c>
      <c r="U72" s="77">
        <v>0</v>
      </c>
      <c r="V72" s="50">
        <v>6</v>
      </c>
      <c r="W72" s="41" t="s">
        <v>1536</v>
      </c>
    </row>
    <row r="73" spans="1:23" ht="16.5" customHeight="1" x14ac:dyDescent="0.25">
      <c r="A73" s="255" t="s">
        <v>1654</v>
      </c>
      <c r="B73" s="255" t="s">
        <v>794</v>
      </c>
      <c r="C73" s="255"/>
      <c r="D73" s="255" t="s">
        <v>1210</v>
      </c>
      <c r="E73" s="255" t="s">
        <v>283</v>
      </c>
      <c r="F73" s="11" t="s">
        <v>826</v>
      </c>
      <c r="G73" s="51">
        <v>0</v>
      </c>
      <c r="H73" s="78">
        <v>0</v>
      </c>
      <c r="I73" s="78">
        <v>0</v>
      </c>
      <c r="J73" s="78">
        <v>2</v>
      </c>
      <c r="K73" s="52">
        <v>0</v>
      </c>
      <c r="L73" s="78">
        <v>0</v>
      </c>
      <c r="M73" s="78">
        <v>0</v>
      </c>
      <c r="N73" s="78">
        <v>1</v>
      </c>
      <c r="O73" s="78">
        <v>1</v>
      </c>
      <c r="P73" s="78">
        <v>0</v>
      </c>
      <c r="Q73" s="78">
        <v>0</v>
      </c>
      <c r="R73" s="78">
        <v>0</v>
      </c>
      <c r="S73" s="78">
        <v>0</v>
      </c>
      <c r="T73" s="78">
        <v>0</v>
      </c>
      <c r="U73" s="78">
        <v>0</v>
      </c>
      <c r="V73" s="52">
        <v>2</v>
      </c>
      <c r="W73" t="s">
        <v>1537</v>
      </c>
    </row>
    <row r="74" spans="1:23" s="43" customFormat="1" ht="16.5" customHeight="1" x14ac:dyDescent="0.25">
      <c r="A74" s="255" t="s">
        <v>1654</v>
      </c>
      <c r="B74" s="255" t="s">
        <v>795</v>
      </c>
      <c r="C74" s="255" t="s">
        <v>1092</v>
      </c>
      <c r="D74" s="255" t="s">
        <v>1211</v>
      </c>
      <c r="E74" s="255" t="s">
        <v>274</v>
      </c>
      <c r="F74" s="42" t="s">
        <v>815</v>
      </c>
      <c r="G74" s="47">
        <v>0</v>
      </c>
      <c r="H74" s="76">
        <v>0</v>
      </c>
      <c r="I74" s="76">
        <v>0</v>
      </c>
      <c r="J74" s="76">
        <v>0</v>
      </c>
      <c r="K74" s="48">
        <v>0</v>
      </c>
      <c r="L74" s="76">
        <v>0</v>
      </c>
      <c r="M74" s="76">
        <v>0</v>
      </c>
      <c r="N74" s="76">
        <v>0</v>
      </c>
      <c r="O74" s="76">
        <v>0</v>
      </c>
      <c r="P74" s="76">
        <v>0</v>
      </c>
      <c r="Q74" s="76">
        <v>0</v>
      </c>
      <c r="R74" s="76">
        <v>0</v>
      </c>
      <c r="S74" s="76">
        <v>0</v>
      </c>
      <c r="T74" s="76">
        <v>0</v>
      </c>
      <c r="U74" s="76">
        <v>0</v>
      </c>
      <c r="V74" s="48">
        <v>0</v>
      </c>
      <c r="W74" s="43" t="s">
        <v>1538</v>
      </c>
    </row>
    <row r="75" spans="1:23" s="41" customFormat="1" ht="16.5" customHeight="1" x14ac:dyDescent="0.25">
      <c r="A75" s="255" t="s">
        <v>1654</v>
      </c>
      <c r="B75" s="255" t="s">
        <v>795</v>
      </c>
      <c r="C75" s="255" t="s">
        <v>1092</v>
      </c>
      <c r="D75" s="255" t="s">
        <v>1212</v>
      </c>
      <c r="E75" s="255" t="s">
        <v>274</v>
      </c>
      <c r="F75" s="40" t="s">
        <v>828</v>
      </c>
      <c r="G75" s="49">
        <v>1</v>
      </c>
      <c r="H75" s="77">
        <v>1</v>
      </c>
      <c r="I75" s="77">
        <v>3</v>
      </c>
      <c r="J75" s="77">
        <v>0</v>
      </c>
      <c r="K75" s="50">
        <v>1</v>
      </c>
      <c r="L75" s="77">
        <v>2</v>
      </c>
      <c r="M75" s="77">
        <v>0</v>
      </c>
      <c r="N75" s="77">
        <v>0</v>
      </c>
      <c r="O75" s="77">
        <v>0</v>
      </c>
      <c r="P75" s="77">
        <v>0</v>
      </c>
      <c r="Q75" s="77">
        <v>0</v>
      </c>
      <c r="R75" s="77">
        <v>1</v>
      </c>
      <c r="S75" s="77">
        <v>0</v>
      </c>
      <c r="T75" s="77">
        <v>0</v>
      </c>
      <c r="U75" s="77">
        <v>3</v>
      </c>
      <c r="V75" s="50">
        <v>6</v>
      </c>
      <c r="W75" s="41" t="s">
        <v>1454</v>
      </c>
    </row>
    <row r="76" spans="1:23" ht="16.5" customHeight="1" x14ac:dyDescent="0.25">
      <c r="A76" s="255" t="s">
        <v>1654</v>
      </c>
      <c r="B76" s="255" t="s">
        <v>795</v>
      </c>
      <c r="C76" s="255" t="s">
        <v>1092</v>
      </c>
      <c r="D76" s="255" t="s">
        <v>120</v>
      </c>
      <c r="E76" s="255" t="s">
        <v>274</v>
      </c>
      <c r="F76" s="11" t="s">
        <v>826</v>
      </c>
      <c r="G76" s="51">
        <v>0</v>
      </c>
      <c r="H76" s="78">
        <v>0</v>
      </c>
      <c r="I76" s="78">
        <v>1</v>
      </c>
      <c r="J76" s="78">
        <v>1</v>
      </c>
      <c r="K76" s="52">
        <v>0</v>
      </c>
      <c r="L76" s="78">
        <v>1</v>
      </c>
      <c r="M76" s="78">
        <v>0</v>
      </c>
      <c r="N76" s="78">
        <v>0</v>
      </c>
      <c r="O76" s="78">
        <v>0</v>
      </c>
      <c r="P76" s="78">
        <v>0</v>
      </c>
      <c r="Q76" s="78">
        <v>0</v>
      </c>
      <c r="R76" s="78">
        <v>0</v>
      </c>
      <c r="S76" s="78">
        <v>0</v>
      </c>
      <c r="T76" s="78">
        <v>0</v>
      </c>
      <c r="U76" s="78">
        <v>1</v>
      </c>
      <c r="V76" s="52">
        <v>2</v>
      </c>
      <c r="W76" t="s">
        <v>1539</v>
      </c>
    </row>
    <row r="77" spans="1:23" s="43" customFormat="1" ht="16.5" customHeight="1" x14ac:dyDescent="0.25">
      <c r="A77" s="255" t="s">
        <v>1654</v>
      </c>
      <c r="B77" s="255" t="s">
        <v>796</v>
      </c>
      <c r="C77" s="255" t="s">
        <v>1091</v>
      </c>
      <c r="D77" s="255" t="s">
        <v>1213</v>
      </c>
      <c r="E77" s="255" t="s">
        <v>285</v>
      </c>
      <c r="F77" s="42" t="s">
        <v>827</v>
      </c>
      <c r="G77" s="47">
        <v>0</v>
      </c>
      <c r="H77" s="76">
        <v>1</v>
      </c>
      <c r="I77" s="76">
        <v>0</v>
      </c>
      <c r="J77" s="76">
        <v>0</v>
      </c>
      <c r="K77" s="48">
        <v>0</v>
      </c>
      <c r="L77" s="76">
        <v>0</v>
      </c>
      <c r="M77" s="76">
        <v>0</v>
      </c>
      <c r="N77" s="76">
        <v>0</v>
      </c>
      <c r="O77" s="76">
        <v>1</v>
      </c>
      <c r="P77" s="76">
        <v>0</v>
      </c>
      <c r="Q77" s="76">
        <v>0</v>
      </c>
      <c r="R77" s="76">
        <v>0</v>
      </c>
      <c r="S77" s="76">
        <v>0</v>
      </c>
      <c r="T77" s="76">
        <v>0</v>
      </c>
      <c r="U77" s="76">
        <v>0</v>
      </c>
      <c r="V77" s="48">
        <v>1</v>
      </c>
      <c r="W77" s="43" t="s">
        <v>1540</v>
      </c>
    </row>
    <row r="78" spans="1:23" s="41" customFormat="1" ht="16.5" customHeight="1" x14ac:dyDescent="0.25">
      <c r="A78" s="255" t="s">
        <v>1654</v>
      </c>
      <c r="B78" s="255" t="s">
        <v>796</v>
      </c>
      <c r="C78" s="255" t="s">
        <v>1091</v>
      </c>
      <c r="D78" s="255" t="s">
        <v>1214</v>
      </c>
      <c r="E78" s="255" t="s">
        <v>285</v>
      </c>
      <c r="F78" s="40" t="s">
        <v>828</v>
      </c>
      <c r="G78" s="49">
        <v>0</v>
      </c>
      <c r="H78" s="77">
        <v>4</v>
      </c>
      <c r="I78" s="77">
        <v>0</v>
      </c>
      <c r="J78" s="77">
        <v>0</v>
      </c>
      <c r="K78" s="50">
        <v>0</v>
      </c>
      <c r="L78" s="77">
        <v>0</v>
      </c>
      <c r="M78" s="77">
        <v>0</v>
      </c>
      <c r="N78" s="77">
        <v>0</v>
      </c>
      <c r="O78" s="77">
        <v>1</v>
      </c>
      <c r="P78" s="77">
        <v>0</v>
      </c>
      <c r="Q78" s="77">
        <v>1</v>
      </c>
      <c r="R78" s="77">
        <v>0</v>
      </c>
      <c r="S78" s="77">
        <v>2</v>
      </c>
      <c r="T78" s="77">
        <v>0</v>
      </c>
      <c r="U78" s="77">
        <v>0</v>
      </c>
      <c r="V78" s="50">
        <v>4</v>
      </c>
      <c r="W78" s="41" t="s">
        <v>1541</v>
      </c>
    </row>
    <row r="79" spans="1:23" ht="16.5" customHeight="1" x14ac:dyDescent="0.25">
      <c r="A79" s="255" t="s">
        <v>1654</v>
      </c>
      <c r="B79" s="255" t="s">
        <v>796</v>
      </c>
      <c r="C79" s="255" t="s">
        <v>1091</v>
      </c>
      <c r="D79" s="255" t="s">
        <v>1214</v>
      </c>
      <c r="E79" s="255" t="s">
        <v>285</v>
      </c>
      <c r="F79" s="11" t="s">
        <v>826</v>
      </c>
      <c r="G79" s="51">
        <v>0</v>
      </c>
      <c r="H79" s="78">
        <v>1</v>
      </c>
      <c r="I79" s="78">
        <v>0</v>
      </c>
      <c r="J79" s="78">
        <v>1</v>
      </c>
      <c r="K79" s="52">
        <v>0</v>
      </c>
      <c r="L79" s="78">
        <v>0</v>
      </c>
      <c r="M79" s="78">
        <v>0</v>
      </c>
      <c r="N79" s="78">
        <v>0</v>
      </c>
      <c r="O79" s="78">
        <v>2</v>
      </c>
      <c r="P79" s="78">
        <v>0</v>
      </c>
      <c r="Q79" s="78">
        <v>0</v>
      </c>
      <c r="R79" s="78">
        <v>0</v>
      </c>
      <c r="S79" s="78">
        <v>0</v>
      </c>
      <c r="T79" s="78">
        <v>0</v>
      </c>
      <c r="U79" s="78">
        <v>0</v>
      </c>
      <c r="V79" s="52">
        <v>2</v>
      </c>
      <c r="W79" t="s">
        <v>1542</v>
      </c>
    </row>
    <row r="80" spans="1:23" s="43" customFormat="1" ht="16.5" customHeight="1" x14ac:dyDescent="0.25">
      <c r="A80" s="255" t="s">
        <v>1654</v>
      </c>
      <c r="B80" s="255" t="s">
        <v>797</v>
      </c>
      <c r="C80" s="255" t="s">
        <v>822</v>
      </c>
      <c r="D80" s="255" t="s">
        <v>1215</v>
      </c>
      <c r="E80" s="255" t="s">
        <v>1096</v>
      </c>
      <c r="F80" s="42" t="s">
        <v>815</v>
      </c>
      <c r="G80" s="47">
        <v>0</v>
      </c>
      <c r="H80" s="76">
        <v>0</v>
      </c>
      <c r="I80" s="76">
        <v>0</v>
      </c>
      <c r="J80" s="76">
        <v>1</v>
      </c>
      <c r="K80" s="48">
        <v>0</v>
      </c>
      <c r="L80" s="76">
        <v>0</v>
      </c>
      <c r="M80" s="76">
        <v>0</v>
      </c>
      <c r="N80" s="76">
        <v>0</v>
      </c>
      <c r="O80" s="76">
        <v>1</v>
      </c>
      <c r="P80" s="76">
        <v>0</v>
      </c>
      <c r="Q80" s="76">
        <v>0</v>
      </c>
      <c r="R80" s="76">
        <v>0</v>
      </c>
      <c r="S80" s="76">
        <v>0</v>
      </c>
      <c r="T80" s="76">
        <v>0</v>
      </c>
      <c r="U80" s="76">
        <v>0</v>
      </c>
      <c r="V80" s="48">
        <v>1</v>
      </c>
      <c r="W80" s="43" t="s">
        <v>1543</v>
      </c>
    </row>
    <row r="81" spans="1:23" s="41" customFormat="1" ht="16.5" customHeight="1" x14ac:dyDescent="0.25">
      <c r="A81" s="255" t="s">
        <v>1654</v>
      </c>
      <c r="B81" s="255" t="s">
        <v>797</v>
      </c>
      <c r="C81" s="255" t="s">
        <v>822</v>
      </c>
      <c r="D81" s="255" t="s">
        <v>122</v>
      </c>
      <c r="E81" s="255" t="s">
        <v>1096</v>
      </c>
      <c r="F81" s="40" t="s">
        <v>816</v>
      </c>
      <c r="G81" s="49">
        <v>0</v>
      </c>
      <c r="H81" s="77">
        <v>1</v>
      </c>
      <c r="I81" s="77">
        <v>0</v>
      </c>
      <c r="J81" s="77">
        <v>1</v>
      </c>
      <c r="K81" s="50">
        <v>0</v>
      </c>
      <c r="L81" s="77">
        <v>1</v>
      </c>
      <c r="M81" s="77">
        <v>0</v>
      </c>
      <c r="N81" s="77">
        <v>0</v>
      </c>
      <c r="O81" s="77">
        <v>0</v>
      </c>
      <c r="P81" s="77">
        <v>0</v>
      </c>
      <c r="Q81" s="77">
        <v>0</v>
      </c>
      <c r="R81" s="77">
        <v>0</v>
      </c>
      <c r="S81" s="77">
        <v>1</v>
      </c>
      <c r="T81" s="77">
        <v>0</v>
      </c>
      <c r="U81" s="77">
        <v>0</v>
      </c>
      <c r="V81" s="50">
        <v>2</v>
      </c>
      <c r="W81" s="41" t="s">
        <v>1483</v>
      </c>
    </row>
    <row r="82" spans="1:23" ht="16.5" customHeight="1" x14ac:dyDescent="0.25">
      <c r="A82" s="255" t="s">
        <v>1654</v>
      </c>
      <c r="B82" s="255" t="s">
        <v>797</v>
      </c>
      <c r="C82" s="255" t="s">
        <v>822</v>
      </c>
      <c r="D82" s="255" t="s">
        <v>1216</v>
      </c>
      <c r="E82" s="255" t="s">
        <v>285</v>
      </c>
      <c r="F82" s="11" t="s">
        <v>817</v>
      </c>
      <c r="G82" s="51">
        <v>0</v>
      </c>
      <c r="H82" s="78">
        <v>1</v>
      </c>
      <c r="I82" s="78">
        <v>0</v>
      </c>
      <c r="J82" s="78">
        <v>1</v>
      </c>
      <c r="K82" s="52">
        <v>0</v>
      </c>
      <c r="L82" s="78">
        <v>1</v>
      </c>
      <c r="M82" s="78">
        <v>0</v>
      </c>
      <c r="N82" s="78">
        <v>0</v>
      </c>
      <c r="O82" s="78">
        <v>0</v>
      </c>
      <c r="P82" s="78">
        <v>0</v>
      </c>
      <c r="Q82" s="78">
        <v>0</v>
      </c>
      <c r="R82" s="78">
        <v>0</v>
      </c>
      <c r="S82" s="78">
        <v>1</v>
      </c>
      <c r="T82" s="78">
        <v>0</v>
      </c>
      <c r="U82" s="78">
        <v>0</v>
      </c>
      <c r="V82" s="52">
        <v>2</v>
      </c>
      <c r="W82" t="s">
        <v>1544</v>
      </c>
    </row>
    <row r="83" spans="1:23" s="43" customFormat="1" ht="16.5" customHeight="1" x14ac:dyDescent="0.25">
      <c r="A83" s="255" t="s">
        <v>1654</v>
      </c>
      <c r="B83" s="255" t="s">
        <v>798</v>
      </c>
      <c r="C83" s="255" t="s">
        <v>1091</v>
      </c>
      <c r="D83" s="255" t="s">
        <v>123</v>
      </c>
      <c r="E83" s="255" t="s">
        <v>1113</v>
      </c>
      <c r="F83" s="42" t="s">
        <v>815</v>
      </c>
      <c r="G83" s="47">
        <v>0</v>
      </c>
      <c r="H83" s="76">
        <v>1</v>
      </c>
      <c r="I83" s="76">
        <v>0</v>
      </c>
      <c r="J83" s="76">
        <v>0</v>
      </c>
      <c r="K83" s="48">
        <v>0</v>
      </c>
      <c r="L83" s="76">
        <v>0</v>
      </c>
      <c r="M83" s="76">
        <v>0</v>
      </c>
      <c r="N83" s="76">
        <v>1</v>
      </c>
      <c r="O83" s="76">
        <v>0</v>
      </c>
      <c r="P83" s="76">
        <v>0</v>
      </c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48">
        <v>1</v>
      </c>
      <c r="W83" s="43" t="s">
        <v>1545</v>
      </c>
    </row>
    <row r="84" spans="1:23" s="41" customFormat="1" ht="16.5" customHeight="1" x14ac:dyDescent="0.25">
      <c r="A84" s="255" t="s">
        <v>1654</v>
      </c>
      <c r="B84" s="255" t="s">
        <v>798</v>
      </c>
      <c r="C84" s="255" t="s">
        <v>1091</v>
      </c>
      <c r="D84" s="255" t="s">
        <v>1217</v>
      </c>
      <c r="E84" s="255" t="s">
        <v>1112</v>
      </c>
      <c r="F84" s="40" t="s">
        <v>816</v>
      </c>
      <c r="G84" s="49">
        <v>0</v>
      </c>
      <c r="H84" s="77">
        <v>3</v>
      </c>
      <c r="I84" s="77">
        <v>0</v>
      </c>
      <c r="J84" s="77">
        <v>0</v>
      </c>
      <c r="K84" s="50">
        <v>0</v>
      </c>
      <c r="L84" s="77">
        <v>0</v>
      </c>
      <c r="M84" s="77">
        <v>0</v>
      </c>
      <c r="N84" s="77">
        <v>1</v>
      </c>
      <c r="O84" s="77">
        <v>0</v>
      </c>
      <c r="P84" s="77">
        <v>0</v>
      </c>
      <c r="Q84" s="77">
        <v>0</v>
      </c>
      <c r="R84" s="77">
        <v>0</v>
      </c>
      <c r="S84" s="77">
        <v>2</v>
      </c>
      <c r="T84" s="77">
        <v>0</v>
      </c>
      <c r="U84" s="77">
        <v>0</v>
      </c>
      <c r="V84" s="50">
        <v>3</v>
      </c>
      <c r="W84" s="41" t="s">
        <v>1546</v>
      </c>
    </row>
    <row r="85" spans="1:23" ht="16.5" customHeight="1" x14ac:dyDescent="0.25">
      <c r="A85" s="255" t="s">
        <v>1654</v>
      </c>
      <c r="B85" s="255" t="s">
        <v>798</v>
      </c>
      <c r="C85" s="255" t="s">
        <v>1091</v>
      </c>
      <c r="D85" s="255" t="s">
        <v>1218</v>
      </c>
      <c r="E85" s="255" t="s">
        <v>1112</v>
      </c>
      <c r="F85" s="11" t="s">
        <v>817</v>
      </c>
      <c r="G85" s="51">
        <v>0</v>
      </c>
      <c r="H85" s="78">
        <v>1</v>
      </c>
      <c r="I85" s="78">
        <v>0</v>
      </c>
      <c r="J85" s="78">
        <v>0</v>
      </c>
      <c r="K85" s="52">
        <v>0</v>
      </c>
      <c r="L85" s="78">
        <v>0</v>
      </c>
      <c r="M85" s="78">
        <v>0</v>
      </c>
      <c r="N85" s="78">
        <v>1</v>
      </c>
      <c r="O85" s="78">
        <v>0</v>
      </c>
      <c r="P85" s="78">
        <v>0</v>
      </c>
      <c r="Q85" s="78">
        <v>0</v>
      </c>
      <c r="R85" s="78">
        <v>0</v>
      </c>
      <c r="S85" s="78">
        <v>0</v>
      </c>
      <c r="T85" s="78">
        <v>0</v>
      </c>
      <c r="U85" s="78">
        <v>0</v>
      </c>
      <c r="V85" s="52">
        <v>1</v>
      </c>
      <c r="W85" t="s">
        <v>1522</v>
      </c>
    </row>
    <row r="86" spans="1:23" s="43" customFormat="1" ht="16.5" customHeight="1" x14ac:dyDescent="0.25">
      <c r="A86" s="255" t="s">
        <v>1654</v>
      </c>
      <c r="B86" s="255" t="s">
        <v>799</v>
      </c>
      <c r="C86" s="255" t="s">
        <v>1092</v>
      </c>
      <c r="D86" s="255" t="s">
        <v>1219</v>
      </c>
      <c r="E86" s="255" t="s">
        <v>1128</v>
      </c>
      <c r="F86" s="42" t="s">
        <v>815</v>
      </c>
      <c r="G86" s="47">
        <v>0</v>
      </c>
      <c r="H86" s="76">
        <v>0</v>
      </c>
      <c r="I86" s="76">
        <v>1</v>
      </c>
      <c r="J86" s="76">
        <v>0</v>
      </c>
      <c r="K86" s="48">
        <v>0</v>
      </c>
      <c r="L86" s="76">
        <v>1</v>
      </c>
      <c r="M86" s="76">
        <v>0</v>
      </c>
      <c r="N86" s="76">
        <v>0</v>
      </c>
      <c r="O86" s="76">
        <v>0</v>
      </c>
      <c r="P86" s="76">
        <v>0</v>
      </c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48">
        <v>1</v>
      </c>
      <c r="W86" s="43" t="s">
        <v>1547</v>
      </c>
    </row>
    <row r="87" spans="1:23" s="41" customFormat="1" ht="16.5" customHeight="1" x14ac:dyDescent="0.25">
      <c r="A87" s="255" t="s">
        <v>1654</v>
      </c>
      <c r="B87" s="255" t="s">
        <v>799</v>
      </c>
      <c r="C87" s="255" t="s">
        <v>1092</v>
      </c>
      <c r="D87" s="255" t="s">
        <v>1220</v>
      </c>
      <c r="E87" s="255" t="s">
        <v>274</v>
      </c>
      <c r="F87" s="40" t="s">
        <v>828</v>
      </c>
      <c r="G87" s="49">
        <v>1</v>
      </c>
      <c r="H87" s="77">
        <v>2</v>
      </c>
      <c r="I87" s="77">
        <v>3</v>
      </c>
      <c r="J87" s="77">
        <v>5</v>
      </c>
      <c r="K87" s="50">
        <v>1</v>
      </c>
      <c r="L87" s="77">
        <v>2</v>
      </c>
      <c r="M87" s="77">
        <v>0</v>
      </c>
      <c r="N87" s="77">
        <v>0</v>
      </c>
      <c r="O87" s="77">
        <v>0</v>
      </c>
      <c r="P87" s="77">
        <v>0</v>
      </c>
      <c r="Q87" s="77">
        <v>2</v>
      </c>
      <c r="R87" s="77">
        <v>2</v>
      </c>
      <c r="S87" s="77">
        <v>2</v>
      </c>
      <c r="T87" s="77">
        <v>0</v>
      </c>
      <c r="U87" s="77">
        <v>4</v>
      </c>
      <c r="V87" s="50">
        <v>12</v>
      </c>
      <c r="W87" s="41" t="s">
        <v>1472</v>
      </c>
    </row>
    <row r="88" spans="1:23" ht="16.5" customHeight="1" x14ac:dyDescent="0.25">
      <c r="A88" s="255" t="s">
        <v>1654</v>
      </c>
      <c r="B88" s="255" t="s">
        <v>799</v>
      </c>
      <c r="C88" s="255" t="s">
        <v>1092</v>
      </c>
      <c r="D88" s="255" t="s">
        <v>124</v>
      </c>
      <c r="E88" s="255" t="s">
        <v>274</v>
      </c>
      <c r="F88" s="11" t="s">
        <v>826</v>
      </c>
      <c r="G88" s="51">
        <v>1</v>
      </c>
      <c r="H88" s="78">
        <v>2</v>
      </c>
      <c r="I88" s="78">
        <v>5</v>
      </c>
      <c r="J88" s="78">
        <v>6</v>
      </c>
      <c r="K88" s="52">
        <v>0</v>
      </c>
      <c r="L88" s="78">
        <v>1</v>
      </c>
      <c r="M88" s="78">
        <v>0</v>
      </c>
      <c r="N88" s="78">
        <v>0</v>
      </c>
      <c r="O88" s="78">
        <v>0</v>
      </c>
      <c r="P88" s="78">
        <v>2</v>
      </c>
      <c r="Q88" s="78">
        <v>2</v>
      </c>
      <c r="R88" s="78">
        <v>2</v>
      </c>
      <c r="S88" s="78">
        <v>4</v>
      </c>
      <c r="T88" s="78">
        <v>0</v>
      </c>
      <c r="U88" s="78">
        <v>3</v>
      </c>
      <c r="V88" s="52">
        <v>14</v>
      </c>
      <c r="W88" t="s">
        <v>1548</v>
      </c>
    </row>
    <row r="89" spans="1:23" s="43" customFormat="1" ht="16.5" customHeight="1" x14ac:dyDescent="0.25">
      <c r="A89" s="255" t="s">
        <v>1654</v>
      </c>
      <c r="B89" s="255" t="s">
        <v>741</v>
      </c>
      <c r="C89" s="255" t="s">
        <v>820</v>
      </c>
      <c r="D89" s="255" t="s">
        <v>125</v>
      </c>
      <c r="E89" s="255" t="s">
        <v>274</v>
      </c>
      <c r="F89" s="42" t="s">
        <v>827</v>
      </c>
      <c r="G89" s="47">
        <v>0</v>
      </c>
      <c r="H89" s="76">
        <v>0</v>
      </c>
      <c r="I89" s="76">
        <v>1</v>
      </c>
      <c r="J89" s="76">
        <v>0</v>
      </c>
      <c r="K89" s="48">
        <v>0</v>
      </c>
      <c r="L89" s="76">
        <v>1</v>
      </c>
      <c r="M89" s="76">
        <v>0</v>
      </c>
      <c r="N89" s="76">
        <v>0</v>
      </c>
      <c r="O89" s="76">
        <v>0</v>
      </c>
      <c r="P89" s="76">
        <v>0</v>
      </c>
      <c r="Q89" s="76">
        <v>0</v>
      </c>
      <c r="R89" s="76">
        <v>0</v>
      </c>
      <c r="S89" s="76">
        <v>0</v>
      </c>
      <c r="T89" s="76">
        <v>0</v>
      </c>
      <c r="U89" s="76">
        <v>0</v>
      </c>
      <c r="V89" s="48">
        <v>1</v>
      </c>
      <c r="W89" s="43" t="s">
        <v>1549</v>
      </c>
    </row>
    <row r="90" spans="1:23" s="41" customFormat="1" ht="16.5" customHeight="1" x14ac:dyDescent="0.25">
      <c r="A90" s="255" t="s">
        <v>1654</v>
      </c>
      <c r="B90" s="255" t="s">
        <v>741</v>
      </c>
      <c r="C90" s="255" t="s">
        <v>820</v>
      </c>
      <c r="D90" s="255" t="s">
        <v>1221</v>
      </c>
      <c r="E90" s="255" t="s">
        <v>1130</v>
      </c>
      <c r="F90" s="40" t="s">
        <v>816</v>
      </c>
      <c r="G90" s="49">
        <v>0</v>
      </c>
      <c r="H90" s="77">
        <v>6</v>
      </c>
      <c r="I90" s="77">
        <v>9</v>
      </c>
      <c r="J90" s="77">
        <v>11</v>
      </c>
      <c r="K90" s="50">
        <v>1</v>
      </c>
      <c r="L90" s="77">
        <v>4</v>
      </c>
      <c r="M90" s="77">
        <v>3</v>
      </c>
      <c r="N90" s="77">
        <v>3</v>
      </c>
      <c r="O90" s="77">
        <v>2</v>
      </c>
      <c r="P90" s="77">
        <v>2</v>
      </c>
      <c r="Q90" s="77">
        <v>3</v>
      </c>
      <c r="R90" s="77">
        <v>2</v>
      </c>
      <c r="S90" s="77">
        <v>4</v>
      </c>
      <c r="T90" s="77">
        <v>2</v>
      </c>
      <c r="U90" s="77">
        <v>2</v>
      </c>
      <c r="V90" s="50">
        <v>27</v>
      </c>
      <c r="W90" s="41" t="s">
        <v>1550</v>
      </c>
    </row>
    <row r="91" spans="1:23" ht="16.5" customHeight="1" x14ac:dyDescent="0.25">
      <c r="A91" s="255" t="s">
        <v>1654</v>
      </c>
      <c r="B91" s="255" t="s">
        <v>741</v>
      </c>
      <c r="C91" s="255" t="s">
        <v>820</v>
      </c>
      <c r="D91" s="255" t="s">
        <v>1221</v>
      </c>
      <c r="E91" s="255" t="s">
        <v>274</v>
      </c>
      <c r="F91" s="11" t="s">
        <v>817</v>
      </c>
      <c r="G91" s="51">
        <v>0</v>
      </c>
      <c r="H91" s="78">
        <v>8</v>
      </c>
      <c r="I91" s="78">
        <v>9</v>
      </c>
      <c r="J91" s="78">
        <v>11</v>
      </c>
      <c r="K91" s="52">
        <v>1</v>
      </c>
      <c r="L91" s="78">
        <v>3</v>
      </c>
      <c r="M91" s="78">
        <v>2</v>
      </c>
      <c r="N91" s="78">
        <v>3</v>
      </c>
      <c r="O91" s="78">
        <v>2</v>
      </c>
      <c r="P91" s="78">
        <v>3</v>
      </c>
      <c r="Q91" s="78">
        <v>5</v>
      </c>
      <c r="R91" s="78">
        <v>2</v>
      </c>
      <c r="S91" s="78">
        <v>4</v>
      </c>
      <c r="T91" s="78">
        <v>3</v>
      </c>
      <c r="U91" s="78">
        <v>2</v>
      </c>
      <c r="V91" s="52">
        <v>29</v>
      </c>
      <c r="W91" t="s">
        <v>1551</v>
      </c>
    </row>
    <row r="92" spans="1:23" s="43" customFormat="1" ht="16.5" customHeight="1" x14ac:dyDescent="0.25">
      <c r="A92" s="255" t="s">
        <v>1654</v>
      </c>
      <c r="B92" s="255" t="s">
        <v>742</v>
      </c>
      <c r="C92" s="255" t="s">
        <v>821</v>
      </c>
      <c r="D92" s="255" t="s">
        <v>126</v>
      </c>
      <c r="E92" s="255" t="s">
        <v>1112</v>
      </c>
      <c r="F92" s="42" t="s">
        <v>815</v>
      </c>
      <c r="G92" s="47">
        <v>0</v>
      </c>
      <c r="H92" s="76">
        <v>1</v>
      </c>
      <c r="I92" s="76">
        <v>0</v>
      </c>
      <c r="J92" s="76">
        <v>0</v>
      </c>
      <c r="K92" s="48">
        <v>0</v>
      </c>
      <c r="L92" s="76">
        <v>0</v>
      </c>
      <c r="M92" s="76">
        <v>0</v>
      </c>
      <c r="N92" s="76">
        <v>1</v>
      </c>
      <c r="O92" s="76">
        <v>0</v>
      </c>
      <c r="P92" s="76">
        <v>0</v>
      </c>
      <c r="Q92" s="76">
        <v>0</v>
      </c>
      <c r="R92" s="76">
        <v>0</v>
      </c>
      <c r="S92" s="76">
        <v>0</v>
      </c>
      <c r="T92" s="76">
        <v>0</v>
      </c>
      <c r="U92" s="76">
        <v>0</v>
      </c>
      <c r="V92" s="48">
        <v>1</v>
      </c>
      <c r="W92" s="43" t="s">
        <v>1552</v>
      </c>
    </row>
    <row r="93" spans="1:23" s="41" customFormat="1" ht="16.5" customHeight="1" x14ac:dyDescent="0.25">
      <c r="A93" s="255" t="s">
        <v>1654</v>
      </c>
      <c r="B93" s="255" t="s">
        <v>742</v>
      </c>
      <c r="C93" s="255" t="s">
        <v>821</v>
      </c>
      <c r="D93" s="255" t="s">
        <v>126</v>
      </c>
      <c r="E93" s="255" t="s">
        <v>1112</v>
      </c>
      <c r="F93" s="40" t="s">
        <v>828</v>
      </c>
      <c r="G93" s="49">
        <v>0</v>
      </c>
      <c r="H93" s="77">
        <v>5</v>
      </c>
      <c r="I93" s="77">
        <v>1</v>
      </c>
      <c r="J93" s="77">
        <v>2</v>
      </c>
      <c r="K93" s="50">
        <v>1</v>
      </c>
      <c r="L93" s="77">
        <v>3</v>
      </c>
      <c r="M93" s="77">
        <v>0</v>
      </c>
      <c r="N93" s="77">
        <v>3</v>
      </c>
      <c r="O93" s="77">
        <v>0</v>
      </c>
      <c r="P93" s="77">
        <v>0</v>
      </c>
      <c r="Q93" s="77">
        <v>0</v>
      </c>
      <c r="R93" s="77">
        <v>0</v>
      </c>
      <c r="S93" s="77">
        <v>1</v>
      </c>
      <c r="T93" s="77">
        <v>2</v>
      </c>
      <c r="U93" s="77">
        <v>0</v>
      </c>
      <c r="V93" s="50">
        <v>9</v>
      </c>
      <c r="W93" s="41" t="s">
        <v>1531</v>
      </c>
    </row>
    <row r="94" spans="1:23" ht="16.5" customHeight="1" x14ac:dyDescent="0.25">
      <c r="A94" s="255" t="s">
        <v>1654</v>
      </c>
      <c r="B94" s="255" t="s">
        <v>742</v>
      </c>
      <c r="C94" s="255" t="s">
        <v>821</v>
      </c>
      <c r="D94" s="255" t="s">
        <v>1222</v>
      </c>
      <c r="E94" s="255" t="s">
        <v>284</v>
      </c>
      <c r="F94" s="11" t="s">
        <v>826</v>
      </c>
      <c r="G94" s="51">
        <v>0</v>
      </c>
      <c r="H94" s="78">
        <v>2</v>
      </c>
      <c r="I94" s="78">
        <v>0</v>
      </c>
      <c r="J94" s="78">
        <v>0</v>
      </c>
      <c r="K94" s="52">
        <v>0</v>
      </c>
      <c r="L94" s="78">
        <v>0</v>
      </c>
      <c r="M94" s="78">
        <v>0</v>
      </c>
      <c r="N94" s="78">
        <v>1</v>
      </c>
      <c r="O94" s="78">
        <v>0</v>
      </c>
      <c r="P94" s="78">
        <v>0</v>
      </c>
      <c r="Q94" s="78">
        <v>0</v>
      </c>
      <c r="R94" s="78">
        <v>0</v>
      </c>
      <c r="S94" s="78">
        <v>0</v>
      </c>
      <c r="T94" s="78">
        <v>1</v>
      </c>
      <c r="U94" s="78">
        <v>0</v>
      </c>
      <c r="V94" s="52">
        <v>2</v>
      </c>
      <c r="W94" t="s">
        <v>1553</v>
      </c>
    </row>
    <row r="95" spans="1:23" s="43" customFormat="1" ht="16.5" customHeight="1" x14ac:dyDescent="0.25">
      <c r="A95" s="255" t="s">
        <v>1654</v>
      </c>
      <c r="B95" s="255" t="s">
        <v>743</v>
      </c>
      <c r="C95" s="255" t="s">
        <v>830</v>
      </c>
      <c r="D95" s="255" t="s">
        <v>127</v>
      </c>
      <c r="E95" s="255" t="s">
        <v>287</v>
      </c>
      <c r="F95" s="42" t="s">
        <v>827</v>
      </c>
      <c r="G95" s="47">
        <v>0</v>
      </c>
      <c r="H95" s="76">
        <v>0</v>
      </c>
      <c r="I95" s="76">
        <v>1</v>
      </c>
      <c r="J95" s="76">
        <v>0</v>
      </c>
      <c r="K95" s="48">
        <v>0</v>
      </c>
      <c r="L95" s="76">
        <v>0</v>
      </c>
      <c r="M95" s="76">
        <v>0</v>
      </c>
      <c r="N95" s="76">
        <v>0</v>
      </c>
      <c r="O95" s="76">
        <v>0</v>
      </c>
      <c r="P95" s="76">
        <v>0</v>
      </c>
      <c r="Q95" s="76">
        <v>1</v>
      </c>
      <c r="R95" s="76">
        <v>0</v>
      </c>
      <c r="S95" s="76">
        <v>0</v>
      </c>
      <c r="T95" s="76">
        <v>0</v>
      </c>
      <c r="U95" s="76">
        <v>0</v>
      </c>
      <c r="V95" s="48">
        <v>1</v>
      </c>
      <c r="W95" s="43" t="s">
        <v>1554</v>
      </c>
    </row>
    <row r="96" spans="1:23" s="41" customFormat="1" ht="16.5" customHeight="1" x14ac:dyDescent="0.25">
      <c r="A96" s="255" t="s">
        <v>1654</v>
      </c>
      <c r="B96" s="255" t="s">
        <v>743</v>
      </c>
      <c r="C96" s="255" t="s">
        <v>830</v>
      </c>
      <c r="D96" s="255" t="s">
        <v>1223</v>
      </c>
      <c r="E96" s="255" t="s">
        <v>1119</v>
      </c>
      <c r="F96" s="40" t="s">
        <v>816</v>
      </c>
      <c r="G96" s="49">
        <v>0</v>
      </c>
      <c r="H96" s="77">
        <v>0</v>
      </c>
      <c r="I96" s="77">
        <v>0</v>
      </c>
      <c r="J96" s="77">
        <v>1</v>
      </c>
      <c r="K96" s="50">
        <v>0</v>
      </c>
      <c r="L96" s="77">
        <v>0</v>
      </c>
      <c r="M96" s="77">
        <v>0</v>
      </c>
      <c r="N96" s="77">
        <v>0</v>
      </c>
      <c r="O96" s="77">
        <v>0</v>
      </c>
      <c r="P96" s="77">
        <v>0</v>
      </c>
      <c r="Q96" s="77">
        <v>1</v>
      </c>
      <c r="R96" s="77">
        <v>0</v>
      </c>
      <c r="S96" s="77">
        <v>0</v>
      </c>
      <c r="T96" s="77">
        <v>0</v>
      </c>
      <c r="U96" s="77">
        <v>0</v>
      </c>
      <c r="V96" s="50">
        <v>1</v>
      </c>
      <c r="W96" s="41" t="s">
        <v>1555</v>
      </c>
    </row>
    <row r="97" spans="1:23" ht="16.5" customHeight="1" x14ac:dyDescent="0.25">
      <c r="A97" s="255" t="s">
        <v>1654</v>
      </c>
      <c r="B97" s="255" t="s">
        <v>743</v>
      </c>
      <c r="C97" s="255" t="s">
        <v>830</v>
      </c>
      <c r="D97" s="255" t="s">
        <v>1224</v>
      </c>
      <c r="E97" s="255" t="s">
        <v>287</v>
      </c>
      <c r="F97" s="11" t="s">
        <v>817</v>
      </c>
      <c r="G97" s="51">
        <v>0</v>
      </c>
      <c r="H97" s="78">
        <v>0</v>
      </c>
      <c r="I97" s="78">
        <v>0</v>
      </c>
      <c r="J97" s="78">
        <v>1</v>
      </c>
      <c r="K97" s="52">
        <v>0</v>
      </c>
      <c r="L97" s="78">
        <v>0</v>
      </c>
      <c r="M97" s="78">
        <v>0</v>
      </c>
      <c r="N97" s="78">
        <v>0</v>
      </c>
      <c r="O97" s="78">
        <v>0</v>
      </c>
      <c r="P97" s="78">
        <v>0</v>
      </c>
      <c r="Q97" s="78">
        <v>1</v>
      </c>
      <c r="R97" s="78">
        <v>0</v>
      </c>
      <c r="S97" s="78">
        <v>0</v>
      </c>
      <c r="T97" s="78">
        <v>0</v>
      </c>
      <c r="U97" s="78">
        <v>0</v>
      </c>
      <c r="V97" s="52">
        <v>1</v>
      </c>
      <c r="W97" t="s">
        <v>1554</v>
      </c>
    </row>
    <row r="98" spans="1:23" s="43" customFormat="1" ht="16.5" customHeight="1" x14ac:dyDescent="0.25">
      <c r="A98" s="255" t="s">
        <v>1654</v>
      </c>
      <c r="B98" s="255" t="s">
        <v>744</v>
      </c>
      <c r="C98" s="255" t="s">
        <v>1090</v>
      </c>
      <c r="D98" s="255" t="s">
        <v>1225</v>
      </c>
      <c r="E98" s="255" t="s">
        <v>1112</v>
      </c>
      <c r="F98" s="42" t="s">
        <v>827</v>
      </c>
      <c r="G98" s="47">
        <v>0</v>
      </c>
      <c r="H98" s="76">
        <v>1</v>
      </c>
      <c r="I98" s="76">
        <v>0</v>
      </c>
      <c r="J98" s="76">
        <v>0</v>
      </c>
      <c r="K98" s="48">
        <v>0</v>
      </c>
      <c r="L98" s="76">
        <v>0</v>
      </c>
      <c r="M98" s="76">
        <v>0</v>
      </c>
      <c r="N98" s="76">
        <v>1</v>
      </c>
      <c r="O98" s="76">
        <v>0</v>
      </c>
      <c r="P98" s="76">
        <v>0</v>
      </c>
      <c r="Q98" s="76">
        <v>0</v>
      </c>
      <c r="R98" s="76">
        <v>0</v>
      </c>
      <c r="S98" s="76">
        <v>0</v>
      </c>
      <c r="T98" s="76">
        <v>0</v>
      </c>
      <c r="U98" s="76">
        <v>0</v>
      </c>
      <c r="V98" s="48">
        <v>1</v>
      </c>
      <c r="W98" s="43" t="s">
        <v>1556</v>
      </c>
    </row>
    <row r="99" spans="1:23" s="41" customFormat="1" ht="16.5" customHeight="1" x14ac:dyDescent="0.25">
      <c r="A99" s="255" t="s">
        <v>1654</v>
      </c>
      <c r="B99" s="255" t="s">
        <v>744</v>
      </c>
      <c r="C99" s="255" t="s">
        <v>1090</v>
      </c>
      <c r="D99" s="255" t="s">
        <v>1226</v>
      </c>
      <c r="E99" s="255" t="s">
        <v>1112</v>
      </c>
      <c r="F99" s="40" t="s">
        <v>816</v>
      </c>
      <c r="G99" s="49">
        <v>0</v>
      </c>
      <c r="H99" s="77">
        <v>0</v>
      </c>
      <c r="I99" s="77">
        <v>0</v>
      </c>
      <c r="J99" s="77">
        <v>1</v>
      </c>
      <c r="K99" s="50">
        <v>0</v>
      </c>
      <c r="L99" s="77">
        <v>0</v>
      </c>
      <c r="M99" s="77">
        <v>0</v>
      </c>
      <c r="N99" s="77">
        <v>1</v>
      </c>
      <c r="O99" s="77">
        <v>0</v>
      </c>
      <c r="P99" s="77">
        <v>0</v>
      </c>
      <c r="Q99" s="77">
        <v>0</v>
      </c>
      <c r="R99" s="77">
        <v>0</v>
      </c>
      <c r="S99" s="77">
        <v>0</v>
      </c>
      <c r="T99" s="77">
        <v>0</v>
      </c>
      <c r="U99" s="77">
        <v>0</v>
      </c>
      <c r="V99" s="50">
        <v>1</v>
      </c>
      <c r="W99" s="41" t="s">
        <v>1522</v>
      </c>
    </row>
    <row r="100" spans="1:23" ht="16.5" customHeight="1" x14ac:dyDescent="0.25">
      <c r="A100" s="255" t="s">
        <v>1654</v>
      </c>
      <c r="B100" s="255" t="s">
        <v>744</v>
      </c>
      <c r="C100" s="255" t="s">
        <v>1090</v>
      </c>
      <c r="D100" s="255" t="s">
        <v>1227</v>
      </c>
      <c r="E100" s="255" t="s">
        <v>284</v>
      </c>
      <c r="F100" s="11" t="s">
        <v>817</v>
      </c>
      <c r="G100" s="51">
        <v>0</v>
      </c>
      <c r="H100" s="78">
        <v>0</v>
      </c>
      <c r="I100" s="78">
        <v>0</v>
      </c>
      <c r="J100" s="78">
        <v>0</v>
      </c>
      <c r="K100" s="52">
        <v>0</v>
      </c>
      <c r="L100" s="78">
        <v>0</v>
      </c>
      <c r="M100" s="78">
        <v>0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52">
        <v>0</v>
      </c>
      <c r="W100" t="s">
        <v>1454</v>
      </c>
    </row>
    <row r="101" spans="1:23" s="43" customFormat="1" ht="16.5" customHeight="1" x14ac:dyDescent="0.25">
      <c r="A101" s="255" t="s">
        <v>1654</v>
      </c>
      <c r="B101" s="255" t="s">
        <v>745</v>
      </c>
      <c r="C101" s="255"/>
      <c r="D101" s="255" t="s">
        <v>129</v>
      </c>
      <c r="E101" s="255" t="s">
        <v>1115</v>
      </c>
      <c r="F101" s="42" t="s">
        <v>815</v>
      </c>
      <c r="G101" s="47">
        <v>0</v>
      </c>
      <c r="H101" s="76">
        <v>0</v>
      </c>
      <c r="I101" s="76">
        <v>1</v>
      </c>
      <c r="J101" s="76">
        <v>0</v>
      </c>
      <c r="K101" s="48">
        <v>0</v>
      </c>
      <c r="L101" s="76">
        <v>0</v>
      </c>
      <c r="M101" s="76">
        <v>0</v>
      </c>
      <c r="N101" s="76">
        <v>0</v>
      </c>
      <c r="O101" s="76">
        <v>0</v>
      </c>
      <c r="P101" s="76">
        <v>0</v>
      </c>
      <c r="Q101" s="76">
        <v>0</v>
      </c>
      <c r="R101" s="76">
        <v>1</v>
      </c>
      <c r="S101" s="76">
        <v>0</v>
      </c>
      <c r="T101" s="76">
        <v>0</v>
      </c>
      <c r="U101" s="76">
        <v>0</v>
      </c>
      <c r="V101" s="48">
        <v>1</v>
      </c>
      <c r="W101" s="43" t="s">
        <v>1557</v>
      </c>
    </row>
    <row r="102" spans="1:23" s="41" customFormat="1" ht="16.5" customHeight="1" x14ac:dyDescent="0.25">
      <c r="A102" s="255" t="s">
        <v>1654</v>
      </c>
      <c r="B102" s="255" t="s">
        <v>745</v>
      </c>
      <c r="C102" s="255"/>
      <c r="D102" s="255" t="s">
        <v>1228</v>
      </c>
      <c r="E102" s="255" t="s">
        <v>290</v>
      </c>
      <c r="F102" s="40" t="s">
        <v>816</v>
      </c>
      <c r="G102" s="49">
        <v>0</v>
      </c>
      <c r="H102" s="77">
        <v>0</v>
      </c>
      <c r="I102" s="77">
        <v>1</v>
      </c>
      <c r="J102" s="77">
        <v>2</v>
      </c>
      <c r="K102" s="50">
        <v>1</v>
      </c>
      <c r="L102" s="77">
        <v>2</v>
      </c>
      <c r="M102" s="77">
        <v>0</v>
      </c>
      <c r="N102" s="77">
        <v>0</v>
      </c>
      <c r="O102" s="77">
        <v>0</v>
      </c>
      <c r="P102" s="77">
        <v>0</v>
      </c>
      <c r="Q102" s="77">
        <v>0</v>
      </c>
      <c r="R102" s="77">
        <v>1</v>
      </c>
      <c r="S102" s="77">
        <v>0</v>
      </c>
      <c r="T102" s="77">
        <v>0</v>
      </c>
      <c r="U102" s="77">
        <v>1</v>
      </c>
      <c r="V102" s="50">
        <v>4</v>
      </c>
      <c r="W102" s="41" t="s">
        <v>1558</v>
      </c>
    </row>
    <row r="103" spans="1:23" ht="16.5" customHeight="1" x14ac:dyDescent="0.25">
      <c r="A103" s="255" t="s">
        <v>1654</v>
      </c>
      <c r="B103" s="255" t="s">
        <v>745</v>
      </c>
      <c r="C103" s="255"/>
      <c r="D103" s="255" t="s">
        <v>129</v>
      </c>
      <c r="E103" s="255" t="s">
        <v>1117</v>
      </c>
      <c r="F103" s="11" t="s">
        <v>817</v>
      </c>
      <c r="G103" s="51">
        <v>0</v>
      </c>
      <c r="H103" s="78">
        <v>0</v>
      </c>
      <c r="I103" s="78">
        <v>0</v>
      </c>
      <c r="J103" s="78">
        <v>0</v>
      </c>
      <c r="K103" s="52">
        <v>0</v>
      </c>
      <c r="L103" s="78">
        <v>0</v>
      </c>
      <c r="M103" s="78">
        <v>0</v>
      </c>
      <c r="N103" s="78">
        <v>0</v>
      </c>
      <c r="O103" s="78">
        <v>0</v>
      </c>
      <c r="P103" s="78">
        <v>0</v>
      </c>
      <c r="Q103" s="78">
        <v>0</v>
      </c>
      <c r="R103" s="78">
        <v>0</v>
      </c>
      <c r="S103" s="78">
        <v>0</v>
      </c>
      <c r="T103" s="78">
        <v>0</v>
      </c>
      <c r="U103" s="78">
        <v>0</v>
      </c>
      <c r="V103" s="52">
        <v>0</v>
      </c>
      <c r="W103" t="s">
        <v>1454</v>
      </c>
    </row>
    <row r="104" spans="1:23" s="43" customFormat="1" ht="16.5" customHeight="1" x14ac:dyDescent="0.25">
      <c r="A104" s="255" t="s">
        <v>1654</v>
      </c>
      <c r="B104" s="255" t="s">
        <v>746</v>
      </c>
      <c r="C104" s="255"/>
      <c r="D104" s="255" t="s">
        <v>130</v>
      </c>
      <c r="E104" s="255" t="s">
        <v>1112</v>
      </c>
      <c r="F104" s="42" t="s">
        <v>815</v>
      </c>
      <c r="G104" s="47">
        <v>0</v>
      </c>
      <c r="H104" s="76">
        <v>1</v>
      </c>
      <c r="I104" s="76">
        <v>0</v>
      </c>
      <c r="J104" s="76">
        <v>0</v>
      </c>
      <c r="K104" s="48">
        <v>0</v>
      </c>
      <c r="L104" s="76">
        <v>0</v>
      </c>
      <c r="M104" s="76">
        <v>0</v>
      </c>
      <c r="N104" s="76">
        <v>1</v>
      </c>
      <c r="O104" s="76">
        <v>0</v>
      </c>
      <c r="P104" s="76">
        <v>0</v>
      </c>
      <c r="Q104" s="76">
        <v>0</v>
      </c>
      <c r="R104" s="76">
        <v>0</v>
      </c>
      <c r="S104" s="76">
        <v>0</v>
      </c>
      <c r="T104" s="76">
        <v>0</v>
      </c>
      <c r="U104" s="76">
        <v>0</v>
      </c>
      <c r="V104" s="48">
        <v>1</v>
      </c>
      <c r="W104" s="43" t="s">
        <v>1559</v>
      </c>
    </row>
    <row r="105" spans="1:23" s="41" customFormat="1" ht="16.5" customHeight="1" x14ac:dyDescent="0.25">
      <c r="A105" s="255" t="s">
        <v>1654</v>
      </c>
      <c r="B105" s="255" t="s">
        <v>746</v>
      </c>
      <c r="C105" s="255"/>
      <c r="D105" s="255" t="s">
        <v>1229</v>
      </c>
      <c r="E105" s="255" t="s">
        <v>284</v>
      </c>
      <c r="F105" s="40" t="s">
        <v>816</v>
      </c>
      <c r="G105" s="49">
        <v>0</v>
      </c>
      <c r="H105" s="77">
        <v>5</v>
      </c>
      <c r="I105" s="77">
        <v>4</v>
      </c>
      <c r="J105" s="77">
        <v>2</v>
      </c>
      <c r="K105" s="50">
        <v>0</v>
      </c>
      <c r="L105" s="77">
        <v>1</v>
      </c>
      <c r="M105" s="77">
        <v>0</v>
      </c>
      <c r="N105" s="77">
        <v>1</v>
      </c>
      <c r="O105" s="77">
        <v>2</v>
      </c>
      <c r="P105" s="77">
        <v>0</v>
      </c>
      <c r="Q105" s="77">
        <v>4</v>
      </c>
      <c r="R105" s="77">
        <v>0</v>
      </c>
      <c r="S105" s="77">
        <v>1</v>
      </c>
      <c r="T105" s="77">
        <v>1</v>
      </c>
      <c r="U105" s="77">
        <v>1</v>
      </c>
      <c r="V105" s="50">
        <v>11</v>
      </c>
      <c r="W105" s="41" t="s">
        <v>1522</v>
      </c>
    </row>
    <row r="106" spans="1:23" ht="16.5" customHeight="1" x14ac:dyDescent="0.25">
      <c r="A106" s="255" t="s">
        <v>1654</v>
      </c>
      <c r="B106" s="255" t="s">
        <v>746</v>
      </c>
      <c r="C106" s="255"/>
      <c r="D106" s="255" t="s">
        <v>130</v>
      </c>
      <c r="E106" s="255" t="s">
        <v>284</v>
      </c>
      <c r="F106" s="11" t="s">
        <v>817</v>
      </c>
      <c r="G106" s="51">
        <v>0</v>
      </c>
      <c r="H106" s="78">
        <v>3</v>
      </c>
      <c r="I106" s="78">
        <v>3</v>
      </c>
      <c r="J106" s="78">
        <v>1</v>
      </c>
      <c r="K106" s="52">
        <v>0</v>
      </c>
      <c r="L106" s="78">
        <v>0</v>
      </c>
      <c r="M106" s="78">
        <v>0</v>
      </c>
      <c r="N106" s="78">
        <v>1</v>
      </c>
      <c r="O106" s="78">
        <v>1</v>
      </c>
      <c r="P106" s="78">
        <v>0</v>
      </c>
      <c r="Q106" s="78">
        <v>2</v>
      </c>
      <c r="R106" s="78">
        <v>2</v>
      </c>
      <c r="S106" s="78">
        <v>1</v>
      </c>
      <c r="T106" s="78">
        <v>0</v>
      </c>
      <c r="U106" s="78">
        <v>0</v>
      </c>
      <c r="V106" s="52">
        <v>7</v>
      </c>
      <c r="W106" t="s">
        <v>1560</v>
      </c>
    </row>
    <row r="107" spans="1:23" s="43" customFormat="1" ht="16.5" customHeight="1" x14ac:dyDescent="0.25">
      <c r="A107" s="255" t="s">
        <v>1654</v>
      </c>
      <c r="B107" s="255" t="s">
        <v>747</v>
      </c>
      <c r="C107" s="255" t="s">
        <v>831</v>
      </c>
      <c r="D107" s="255" t="s">
        <v>1230</v>
      </c>
      <c r="E107" s="255" t="s">
        <v>284</v>
      </c>
      <c r="F107" s="42" t="s">
        <v>815</v>
      </c>
      <c r="G107" s="47">
        <v>0</v>
      </c>
      <c r="H107" s="76">
        <v>1</v>
      </c>
      <c r="I107" s="76">
        <v>0</v>
      </c>
      <c r="J107" s="76">
        <v>0</v>
      </c>
      <c r="K107" s="48">
        <v>0</v>
      </c>
      <c r="L107" s="76">
        <v>0</v>
      </c>
      <c r="M107" s="76">
        <v>0</v>
      </c>
      <c r="N107" s="76">
        <v>1</v>
      </c>
      <c r="O107" s="76">
        <v>0</v>
      </c>
      <c r="P107" s="76">
        <v>0</v>
      </c>
      <c r="Q107" s="76">
        <v>0</v>
      </c>
      <c r="R107" s="76">
        <v>0</v>
      </c>
      <c r="S107" s="76">
        <v>0</v>
      </c>
      <c r="T107" s="76">
        <v>0</v>
      </c>
      <c r="U107" s="76">
        <v>0</v>
      </c>
      <c r="V107" s="48">
        <v>1</v>
      </c>
      <c r="W107" s="43" t="s">
        <v>1522</v>
      </c>
    </row>
    <row r="108" spans="1:23" s="41" customFormat="1" ht="16.5" customHeight="1" x14ac:dyDescent="0.25">
      <c r="A108" s="255" t="s">
        <v>1654</v>
      </c>
      <c r="B108" s="255" t="s">
        <v>747</v>
      </c>
      <c r="C108" s="255" t="s">
        <v>831</v>
      </c>
      <c r="D108" s="255" t="s">
        <v>1231</v>
      </c>
      <c r="E108" s="255" t="s">
        <v>1113</v>
      </c>
      <c r="F108" s="40" t="s">
        <v>816</v>
      </c>
      <c r="G108" s="49">
        <v>0</v>
      </c>
      <c r="H108" s="77">
        <v>1</v>
      </c>
      <c r="I108" s="77">
        <v>0</v>
      </c>
      <c r="J108" s="77">
        <v>0</v>
      </c>
      <c r="K108" s="50">
        <v>0</v>
      </c>
      <c r="L108" s="77">
        <v>0</v>
      </c>
      <c r="M108" s="77">
        <v>0</v>
      </c>
      <c r="N108" s="77">
        <v>1</v>
      </c>
      <c r="O108" s="77">
        <v>0</v>
      </c>
      <c r="P108" s="77">
        <v>0</v>
      </c>
      <c r="Q108" s="77">
        <v>0</v>
      </c>
      <c r="R108" s="77">
        <v>0</v>
      </c>
      <c r="S108" s="77">
        <v>0</v>
      </c>
      <c r="T108" s="77">
        <v>0</v>
      </c>
      <c r="U108" s="77">
        <v>0</v>
      </c>
      <c r="V108" s="50">
        <v>1</v>
      </c>
      <c r="W108" s="41" t="s">
        <v>1561</v>
      </c>
    </row>
    <row r="109" spans="1:23" ht="16.5" customHeight="1" x14ac:dyDescent="0.25">
      <c r="A109" s="255" t="s">
        <v>1654</v>
      </c>
      <c r="B109" s="255" t="s">
        <v>747</v>
      </c>
      <c r="C109" s="255" t="s">
        <v>831</v>
      </c>
      <c r="D109" s="255" t="s">
        <v>1231</v>
      </c>
      <c r="E109" s="255" t="s">
        <v>1113</v>
      </c>
      <c r="F109" s="11" t="s">
        <v>817</v>
      </c>
      <c r="G109" s="51">
        <v>0</v>
      </c>
      <c r="H109" s="78">
        <v>0</v>
      </c>
      <c r="I109" s="78">
        <v>0</v>
      </c>
      <c r="J109" s="78">
        <v>0</v>
      </c>
      <c r="K109" s="52">
        <v>0</v>
      </c>
      <c r="L109" s="78">
        <v>0</v>
      </c>
      <c r="M109" s="78">
        <v>0</v>
      </c>
      <c r="N109" s="78">
        <v>0</v>
      </c>
      <c r="O109" s="78">
        <v>0</v>
      </c>
      <c r="P109" s="78">
        <v>0</v>
      </c>
      <c r="Q109" s="78">
        <v>0</v>
      </c>
      <c r="R109" s="78">
        <v>0</v>
      </c>
      <c r="S109" s="78">
        <v>0</v>
      </c>
      <c r="T109" s="78">
        <v>0</v>
      </c>
      <c r="U109" s="78">
        <v>0</v>
      </c>
      <c r="V109" s="52">
        <v>0</v>
      </c>
      <c r="W109" t="s">
        <v>1454</v>
      </c>
    </row>
    <row r="110" spans="1:23" s="43" customFormat="1" ht="16.5" customHeight="1" x14ac:dyDescent="0.25">
      <c r="A110" s="255" t="s">
        <v>1654</v>
      </c>
      <c r="B110" s="255" t="s">
        <v>748</v>
      </c>
      <c r="C110" s="255" t="s">
        <v>824</v>
      </c>
      <c r="D110" s="255" t="s">
        <v>1232</v>
      </c>
      <c r="E110" s="255" t="s">
        <v>283</v>
      </c>
      <c r="F110" s="42" t="s">
        <v>815</v>
      </c>
      <c r="G110" s="47">
        <v>0</v>
      </c>
      <c r="H110" s="76">
        <v>1</v>
      </c>
      <c r="I110" s="76">
        <v>0</v>
      </c>
      <c r="J110" s="76">
        <v>0</v>
      </c>
      <c r="K110" s="48">
        <v>0</v>
      </c>
      <c r="L110" s="76">
        <v>0</v>
      </c>
      <c r="M110" s="76">
        <v>1</v>
      </c>
      <c r="N110" s="76">
        <v>0</v>
      </c>
      <c r="O110" s="76">
        <v>0</v>
      </c>
      <c r="P110" s="76">
        <v>0</v>
      </c>
      <c r="Q110" s="76">
        <v>0</v>
      </c>
      <c r="R110" s="76">
        <v>0</v>
      </c>
      <c r="S110" s="76">
        <v>0</v>
      </c>
      <c r="T110" s="76">
        <v>0</v>
      </c>
      <c r="U110" s="76">
        <v>0</v>
      </c>
      <c r="V110" s="48">
        <v>1</v>
      </c>
      <c r="W110" s="43" t="s">
        <v>1519</v>
      </c>
    </row>
    <row r="111" spans="1:23" s="41" customFormat="1" ht="16.5" customHeight="1" x14ac:dyDescent="0.25">
      <c r="A111" s="255" t="s">
        <v>1654</v>
      </c>
      <c r="B111" s="255" t="s">
        <v>748</v>
      </c>
      <c r="C111" s="255" t="s">
        <v>824</v>
      </c>
      <c r="D111" s="255" t="s">
        <v>1232</v>
      </c>
      <c r="E111" s="255" t="s">
        <v>1124</v>
      </c>
      <c r="F111" s="40" t="s">
        <v>816</v>
      </c>
      <c r="G111" s="49">
        <v>0</v>
      </c>
      <c r="H111" s="77">
        <v>1</v>
      </c>
      <c r="I111" s="77">
        <v>0</v>
      </c>
      <c r="J111" s="77">
        <v>0</v>
      </c>
      <c r="K111" s="50">
        <v>0</v>
      </c>
      <c r="L111" s="77">
        <v>0</v>
      </c>
      <c r="M111" s="77">
        <v>1</v>
      </c>
      <c r="N111" s="77">
        <v>0</v>
      </c>
      <c r="O111" s="77">
        <v>0</v>
      </c>
      <c r="P111" s="77">
        <v>0</v>
      </c>
      <c r="Q111" s="77">
        <v>0</v>
      </c>
      <c r="R111" s="77">
        <v>0</v>
      </c>
      <c r="S111" s="77">
        <v>0</v>
      </c>
      <c r="T111" s="77">
        <v>0</v>
      </c>
      <c r="U111" s="77">
        <v>0</v>
      </c>
      <c r="V111" s="50">
        <v>1</v>
      </c>
      <c r="W111" s="41" t="s">
        <v>1562</v>
      </c>
    </row>
    <row r="112" spans="1:23" ht="16.5" customHeight="1" x14ac:dyDescent="0.25">
      <c r="A112" s="255" t="s">
        <v>1654</v>
      </c>
      <c r="B112" s="255" t="s">
        <v>748</v>
      </c>
      <c r="C112" s="255" t="s">
        <v>824</v>
      </c>
      <c r="D112" s="255" t="s">
        <v>132</v>
      </c>
      <c r="E112" s="255" t="s">
        <v>283</v>
      </c>
      <c r="F112" s="11" t="s">
        <v>817</v>
      </c>
      <c r="G112" s="51">
        <v>0</v>
      </c>
      <c r="H112" s="78">
        <v>0</v>
      </c>
      <c r="I112" s="78">
        <v>0</v>
      </c>
      <c r="J112" s="78">
        <v>0</v>
      </c>
      <c r="K112" s="52">
        <v>0</v>
      </c>
      <c r="L112" s="78">
        <v>0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78">
        <v>0</v>
      </c>
      <c r="T112" s="78">
        <v>0</v>
      </c>
      <c r="U112" s="78">
        <v>0</v>
      </c>
      <c r="V112" s="52">
        <v>0</v>
      </c>
      <c r="W112" t="s">
        <v>1454</v>
      </c>
    </row>
    <row r="113" spans="1:23" s="43" customFormat="1" ht="16.5" customHeight="1" x14ac:dyDescent="0.25">
      <c r="A113" s="255" t="s">
        <v>1654</v>
      </c>
      <c r="B113" s="255" t="s">
        <v>749</v>
      </c>
      <c r="C113" s="255" t="s">
        <v>1085</v>
      </c>
      <c r="D113" s="255" t="s">
        <v>1233</v>
      </c>
      <c r="E113" s="255" t="s">
        <v>287</v>
      </c>
      <c r="F113" s="42" t="s">
        <v>815</v>
      </c>
      <c r="G113" s="47">
        <v>0</v>
      </c>
      <c r="H113" s="76">
        <v>0</v>
      </c>
      <c r="I113" s="76">
        <v>1</v>
      </c>
      <c r="J113" s="76">
        <v>0</v>
      </c>
      <c r="K113" s="48">
        <v>0</v>
      </c>
      <c r="L113" s="76">
        <v>0</v>
      </c>
      <c r="M113" s="76">
        <v>0</v>
      </c>
      <c r="N113" s="76">
        <v>0</v>
      </c>
      <c r="O113" s="76">
        <v>0</v>
      </c>
      <c r="P113" s="76">
        <v>0</v>
      </c>
      <c r="Q113" s="76">
        <v>1</v>
      </c>
      <c r="R113" s="76">
        <v>0</v>
      </c>
      <c r="S113" s="76">
        <v>0</v>
      </c>
      <c r="T113" s="76">
        <v>0</v>
      </c>
      <c r="U113" s="76">
        <v>0</v>
      </c>
      <c r="V113" s="48">
        <v>1</v>
      </c>
      <c r="W113" s="43" t="s">
        <v>1563</v>
      </c>
    </row>
    <row r="114" spans="1:23" s="41" customFormat="1" ht="16.5" customHeight="1" x14ac:dyDescent="0.25">
      <c r="A114" s="255" t="s">
        <v>1654</v>
      </c>
      <c r="B114" s="255" t="s">
        <v>749</v>
      </c>
      <c r="C114" s="255" t="s">
        <v>1085</v>
      </c>
      <c r="D114" s="255" t="s">
        <v>133</v>
      </c>
      <c r="E114" s="255" t="s">
        <v>287</v>
      </c>
      <c r="F114" s="40" t="s">
        <v>816</v>
      </c>
      <c r="G114" s="49">
        <v>0</v>
      </c>
      <c r="H114" s="77">
        <v>4</v>
      </c>
      <c r="I114" s="77">
        <v>3</v>
      </c>
      <c r="J114" s="77">
        <v>0</v>
      </c>
      <c r="K114" s="50">
        <v>0</v>
      </c>
      <c r="L114" s="77">
        <v>1</v>
      </c>
      <c r="M114" s="77">
        <v>0</v>
      </c>
      <c r="N114" s="77">
        <v>2</v>
      </c>
      <c r="O114" s="77">
        <v>0</v>
      </c>
      <c r="P114" s="77">
        <v>0</v>
      </c>
      <c r="Q114" s="77">
        <v>2</v>
      </c>
      <c r="R114" s="77">
        <v>0</v>
      </c>
      <c r="S114" s="77">
        <v>1</v>
      </c>
      <c r="T114" s="77">
        <v>1</v>
      </c>
      <c r="U114" s="77">
        <v>0</v>
      </c>
      <c r="V114" s="50">
        <v>7</v>
      </c>
      <c r="W114" s="41" t="s">
        <v>1555</v>
      </c>
    </row>
    <row r="115" spans="1:23" ht="16.5" customHeight="1" x14ac:dyDescent="0.25">
      <c r="A115" s="255" t="s">
        <v>1654</v>
      </c>
      <c r="B115" s="255" t="s">
        <v>749</v>
      </c>
      <c r="C115" s="255" t="s">
        <v>1085</v>
      </c>
      <c r="D115" s="255" t="s">
        <v>1233</v>
      </c>
      <c r="E115" s="255" t="s">
        <v>287</v>
      </c>
      <c r="F115" s="11" t="s">
        <v>826</v>
      </c>
      <c r="G115" s="51">
        <v>0</v>
      </c>
      <c r="H115" s="78">
        <v>1</v>
      </c>
      <c r="I115" s="78">
        <v>3</v>
      </c>
      <c r="J115" s="78">
        <v>0</v>
      </c>
      <c r="K115" s="52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2</v>
      </c>
      <c r="R115" s="78">
        <v>0</v>
      </c>
      <c r="S115" s="78">
        <v>2</v>
      </c>
      <c r="T115" s="78">
        <v>0</v>
      </c>
      <c r="U115" s="78">
        <v>0</v>
      </c>
      <c r="V115" s="52">
        <v>4</v>
      </c>
      <c r="W115" t="s">
        <v>1564</v>
      </c>
    </row>
    <row r="116" spans="1:23" s="43" customFormat="1" ht="16.5" customHeight="1" x14ac:dyDescent="0.25">
      <c r="A116" s="255" t="s">
        <v>1654</v>
      </c>
      <c r="B116" s="255" t="s">
        <v>750</v>
      </c>
      <c r="C116" s="255" t="s">
        <v>822</v>
      </c>
      <c r="D116" s="255" t="s">
        <v>1234</v>
      </c>
      <c r="E116" s="255" t="s">
        <v>286</v>
      </c>
      <c r="F116" s="42" t="s">
        <v>827</v>
      </c>
      <c r="G116" s="47">
        <v>0</v>
      </c>
      <c r="H116" s="76">
        <v>0</v>
      </c>
      <c r="I116" s="76">
        <v>0</v>
      </c>
      <c r="J116" s="76">
        <v>1</v>
      </c>
      <c r="K116" s="48">
        <v>0</v>
      </c>
      <c r="L116" s="76">
        <v>0</v>
      </c>
      <c r="M116" s="76">
        <v>0</v>
      </c>
      <c r="N116" s="76">
        <v>0</v>
      </c>
      <c r="O116" s="76">
        <v>0</v>
      </c>
      <c r="P116" s="76">
        <v>1</v>
      </c>
      <c r="Q116" s="76">
        <v>0</v>
      </c>
      <c r="R116" s="76">
        <v>0</v>
      </c>
      <c r="S116" s="76">
        <v>0</v>
      </c>
      <c r="T116" s="76">
        <v>0</v>
      </c>
      <c r="U116" s="76">
        <v>0</v>
      </c>
      <c r="V116" s="48">
        <v>1</v>
      </c>
      <c r="W116" s="43" t="s">
        <v>1565</v>
      </c>
    </row>
    <row r="117" spans="1:23" s="41" customFormat="1" ht="16.5" customHeight="1" x14ac:dyDescent="0.25">
      <c r="A117" s="255" t="s">
        <v>1654</v>
      </c>
      <c r="B117" s="255" t="s">
        <v>750</v>
      </c>
      <c r="C117" s="255" t="s">
        <v>822</v>
      </c>
      <c r="D117" s="255" t="s">
        <v>1235</v>
      </c>
      <c r="E117" s="255" t="s">
        <v>1106</v>
      </c>
      <c r="F117" s="40" t="s">
        <v>816</v>
      </c>
      <c r="G117" s="49">
        <v>0</v>
      </c>
      <c r="H117" s="77">
        <v>0</v>
      </c>
      <c r="I117" s="77">
        <v>1</v>
      </c>
      <c r="J117" s="77">
        <v>0</v>
      </c>
      <c r="K117" s="50">
        <v>1</v>
      </c>
      <c r="L117" s="77">
        <v>1</v>
      </c>
      <c r="M117" s="77">
        <v>0</v>
      </c>
      <c r="N117" s="77">
        <v>0</v>
      </c>
      <c r="O117" s="77">
        <v>0</v>
      </c>
      <c r="P117" s="77">
        <v>1</v>
      </c>
      <c r="Q117" s="77">
        <v>0</v>
      </c>
      <c r="R117" s="77">
        <v>0</v>
      </c>
      <c r="S117" s="77">
        <v>0</v>
      </c>
      <c r="T117" s="77">
        <v>0</v>
      </c>
      <c r="U117" s="77">
        <v>0</v>
      </c>
      <c r="V117" s="50">
        <v>2</v>
      </c>
      <c r="W117" s="41" t="s">
        <v>1477</v>
      </c>
    </row>
    <row r="118" spans="1:23" ht="16.5" customHeight="1" x14ac:dyDescent="0.25">
      <c r="A118" s="255" t="s">
        <v>1654</v>
      </c>
      <c r="B118" s="255" t="s">
        <v>750</v>
      </c>
      <c r="C118" s="255" t="s">
        <v>822</v>
      </c>
      <c r="D118" s="255" t="s">
        <v>1235</v>
      </c>
      <c r="E118" s="255" t="s">
        <v>1103</v>
      </c>
      <c r="F118" s="11" t="s">
        <v>817</v>
      </c>
      <c r="G118" s="51">
        <v>0</v>
      </c>
      <c r="H118" s="78">
        <v>0</v>
      </c>
      <c r="I118" s="78">
        <v>0</v>
      </c>
      <c r="J118" s="78">
        <v>0</v>
      </c>
      <c r="K118" s="52">
        <v>0</v>
      </c>
      <c r="L118" s="78">
        <v>0</v>
      </c>
      <c r="M118" s="78">
        <v>0</v>
      </c>
      <c r="N118" s="78">
        <v>0</v>
      </c>
      <c r="O118" s="78">
        <v>0</v>
      </c>
      <c r="P118" s="78">
        <v>0</v>
      </c>
      <c r="Q118" s="78">
        <v>0</v>
      </c>
      <c r="R118" s="78">
        <v>0</v>
      </c>
      <c r="S118" s="78">
        <v>0</v>
      </c>
      <c r="T118" s="78">
        <v>0</v>
      </c>
      <c r="U118" s="78">
        <v>0</v>
      </c>
      <c r="V118" s="52">
        <v>0</v>
      </c>
      <c r="W118" t="s">
        <v>1454</v>
      </c>
    </row>
    <row r="119" spans="1:23" s="43" customFormat="1" ht="16.5" customHeight="1" x14ac:dyDescent="0.25">
      <c r="A119" s="255" t="s">
        <v>1654</v>
      </c>
      <c r="B119" s="255" t="s">
        <v>751</v>
      </c>
      <c r="C119" s="255"/>
      <c r="D119" s="255" t="s">
        <v>163</v>
      </c>
      <c r="E119" s="255" t="s">
        <v>286</v>
      </c>
      <c r="F119" s="42" t="s">
        <v>815</v>
      </c>
      <c r="G119" s="47">
        <v>0</v>
      </c>
      <c r="H119" s="76">
        <v>1</v>
      </c>
      <c r="I119" s="76">
        <v>0</v>
      </c>
      <c r="J119" s="76">
        <v>0</v>
      </c>
      <c r="K119" s="48">
        <v>0</v>
      </c>
      <c r="L119" s="76">
        <v>0</v>
      </c>
      <c r="M119" s="76">
        <v>0</v>
      </c>
      <c r="N119" s="76">
        <v>0</v>
      </c>
      <c r="O119" s="76">
        <v>0</v>
      </c>
      <c r="P119" s="76">
        <v>1</v>
      </c>
      <c r="Q119" s="76">
        <v>0</v>
      </c>
      <c r="R119" s="76">
        <v>0</v>
      </c>
      <c r="S119" s="76">
        <v>0</v>
      </c>
      <c r="T119" s="76">
        <v>0</v>
      </c>
      <c r="U119" s="76">
        <v>0</v>
      </c>
      <c r="V119" s="48">
        <v>1</v>
      </c>
      <c r="W119" s="43" t="s">
        <v>1566</v>
      </c>
    </row>
    <row r="120" spans="1:23" s="41" customFormat="1" ht="16.5" customHeight="1" x14ac:dyDescent="0.25">
      <c r="A120" s="255" t="s">
        <v>1654</v>
      </c>
      <c r="B120" s="255" t="s">
        <v>751</v>
      </c>
      <c r="C120" s="255"/>
      <c r="D120" s="255" t="s">
        <v>1236</v>
      </c>
      <c r="E120" s="255" t="s">
        <v>286</v>
      </c>
      <c r="F120" s="40" t="s">
        <v>816</v>
      </c>
      <c r="G120" s="49">
        <v>0</v>
      </c>
      <c r="H120" s="77">
        <v>0</v>
      </c>
      <c r="I120" s="77">
        <v>1</v>
      </c>
      <c r="J120" s="77">
        <v>1</v>
      </c>
      <c r="K120" s="50">
        <v>0</v>
      </c>
      <c r="L120" s="77">
        <v>0</v>
      </c>
      <c r="M120" s="77">
        <v>0</v>
      </c>
      <c r="N120" s="77">
        <v>0</v>
      </c>
      <c r="O120" s="77">
        <v>0</v>
      </c>
      <c r="P120" s="77">
        <v>2</v>
      </c>
      <c r="Q120" s="77">
        <v>0</v>
      </c>
      <c r="R120" s="77">
        <v>0</v>
      </c>
      <c r="S120" s="77">
        <v>0</v>
      </c>
      <c r="T120" s="77">
        <v>0</v>
      </c>
      <c r="U120" s="77">
        <v>0</v>
      </c>
      <c r="V120" s="50">
        <v>2</v>
      </c>
      <c r="W120" s="41" t="s">
        <v>1500</v>
      </c>
    </row>
    <row r="121" spans="1:23" ht="16.5" customHeight="1" x14ac:dyDescent="0.25">
      <c r="A121" s="255" t="s">
        <v>1654</v>
      </c>
      <c r="B121" s="255" t="s">
        <v>751</v>
      </c>
      <c r="C121" s="255"/>
      <c r="D121" s="255" t="s">
        <v>163</v>
      </c>
      <c r="E121" s="255" t="s">
        <v>1107</v>
      </c>
      <c r="F121" s="11" t="s">
        <v>817</v>
      </c>
      <c r="G121" s="51">
        <v>0</v>
      </c>
      <c r="H121" s="78">
        <v>0</v>
      </c>
      <c r="I121" s="78">
        <v>0</v>
      </c>
      <c r="J121" s="78">
        <v>0</v>
      </c>
      <c r="K121" s="52">
        <v>0</v>
      </c>
      <c r="L121" s="78">
        <v>0</v>
      </c>
      <c r="M121" s="78">
        <v>0</v>
      </c>
      <c r="N121" s="78">
        <v>0</v>
      </c>
      <c r="O121" s="78">
        <v>0</v>
      </c>
      <c r="P121" s="78">
        <v>0</v>
      </c>
      <c r="Q121" s="78">
        <v>0</v>
      </c>
      <c r="R121" s="78">
        <v>0</v>
      </c>
      <c r="S121" s="78">
        <v>0</v>
      </c>
      <c r="T121" s="78">
        <v>0</v>
      </c>
      <c r="U121" s="78">
        <v>0</v>
      </c>
      <c r="V121" s="52">
        <v>0</v>
      </c>
      <c r="W121" t="s">
        <v>1454</v>
      </c>
    </row>
    <row r="122" spans="1:23" s="43" customFormat="1" ht="16.5" customHeight="1" x14ac:dyDescent="0.25">
      <c r="A122" s="255" t="s">
        <v>1654</v>
      </c>
      <c r="B122" s="255" t="s">
        <v>752</v>
      </c>
      <c r="C122" s="255" t="s">
        <v>832</v>
      </c>
      <c r="D122" s="255" t="s">
        <v>1237</v>
      </c>
      <c r="E122" s="255" t="s">
        <v>286</v>
      </c>
      <c r="F122" s="42" t="s">
        <v>827</v>
      </c>
      <c r="G122" s="47">
        <v>0</v>
      </c>
      <c r="H122" s="76">
        <v>0</v>
      </c>
      <c r="I122" s="76">
        <v>1</v>
      </c>
      <c r="J122" s="76">
        <v>0</v>
      </c>
      <c r="K122" s="48">
        <v>0</v>
      </c>
      <c r="L122" s="76">
        <v>0</v>
      </c>
      <c r="M122" s="76">
        <v>0</v>
      </c>
      <c r="N122" s="76">
        <v>0</v>
      </c>
      <c r="O122" s="76">
        <v>0</v>
      </c>
      <c r="P122" s="76">
        <v>1</v>
      </c>
      <c r="Q122" s="76">
        <v>0</v>
      </c>
      <c r="R122" s="76">
        <v>0</v>
      </c>
      <c r="S122" s="76">
        <v>0</v>
      </c>
      <c r="T122" s="76">
        <v>0</v>
      </c>
      <c r="U122" s="76">
        <v>0</v>
      </c>
      <c r="V122" s="48">
        <v>1</v>
      </c>
      <c r="W122" s="43" t="s">
        <v>1567</v>
      </c>
    </row>
    <row r="123" spans="1:23" s="41" customFormat="1" ht="16.5" customHeight="1" x14ac:dyDescent="0.25">
      <c r="A123" s="255" t="s">
        <v>1654</v>
      </c>
      <c r="B123" s="255" t="s">
        <v>752</v>
      </c>
      <c r="C123" s="255" t="s">
        <v>832</v>
      </c>
      <c r="D123" s="255" t="s">
        <v>1238</v>
      </c>
      <c r="E123" s="255" t="s">
        <v>1107</v>
      </c>
      <c r="F123" s="40" t="s">
        <v>828</v>
      </c>
      <c r="G123" s="49">
        <v>0</v>
      </c>
      <c r="H123" s="77">
        <v>0</v>
      </c>
      <c r="I123" s="77">
        <v>1</v>
      </c>
      <c r="J123" s="77">
        <v>3</v>
      </c>
      <c r="K123" s="50">
        <v>1</v>
      </c>
      <c r="L123" s="77">
        <v>2</v>
      </c>
      <c r="M123" s="77">
        <v>1</v>
      </c>
      <c r="N123" s="77">
        <v>0</v>
      </c>
      <c r="O123" s="77">
        <v>0</v>
      </c>
      <c r="P123" s="77">
        <v>0</v>
      </c>
      <c r="Q123" s="77">
        <v>0</v>
      </c>
      <c r="R123" s="77">
        <v>1</v>
      </c>
      <c r="S123" s="77">
        <v>0</v>
      </c>
      <c r="T123" s="77">
        <v>1</v>
      </c>
      <c r="U123" s="77">
        <v>0</v>
      </c>
      <c r="V123" s="50">
        <v>5</v>
      </c>
      <c r="W123" s="41" t="s">
        <v>1568</v>
      </c>
    </row>
    <row r="124" spans="1:23" ht="16.5" customHeight="1" x14ac:dyDescent="0.25">
      <c r="A124" s="255" t="s">
        <v>1654</v>
      </c>
      <c r="B124" s="255" t="s">
        <v>752</v>
      </c>
      <c r="C124" s="255" t="s">
        <v>832</v>
      </c>
      <c r="D124" s="255" t="s">
        <v>1239</v>
      </c>
      <c r="E124" s="255" t="s">
        <v>1107</v>
      </c>
      <c r="F124" s="11" t="s">
        <v>817</v>
      </c>
      <c r="G124" s="51">
        <v>0</v>
      </c>
      <c r="H124" s="78">
        <v>0</v>
      </c>
      <c r="I124" s="78">
        <v>0</v>
      </c>
      <c r="J124" s="78">
        <v>0</v>
      </c>
      <c r="K124" s="52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78">
        <v>0</v>
      </c>
      <c r="T124" s="78">
        <v>0</v>
      </c>
      <c r="U124" s="78">
        <v>0</v>
      </c>
      <c r="V124" s="52">
        <v>0</v>
      </c>
      <c r="W124" t="s">
        <v>1454</v>
      </c>
    </row>
    <row r="125" spans="1:23" s="43" customFormat="1" ht="16.5" customHeight="1" x14ac:dyDescent="0.25">
      <c r="A125" s="255" t="s">
        <v>1654</v>
      </c>
      <c r="B125" s="255" t="s">
        <v>753</v>
      </c>
      <c r="C125" s="255" t="s">
        <v>1087</v>
      </c>
      <c r="D125" s="255" t="s">
        <v>136</v>
      </c>
      <c r="E125" s="255" t="s">
        <v>1124</v>
      </c>
      <c r="F125" s="42" t="s">
        <v>815</v>
      </c>
      <c r="G125" s="47">
        <v>0</v>
      </c>
      <c r="H125" s="76">
        <v>1</v>
      </c>
      <c r="I125" s="76">
        <v>0</v>
      </c>
      <c r="J125" s="76">
        <v>0</v>
      </c>
      <c r="K125" s="48">
        <v>0</v>
      </c>
      <c r="L125" s="76">
        <v>0</v>
      </c>
      <c r="M125" s="76">
        <v>1</v>
      </c>
      <c r="N125" s="76">
        <v>0</v>
      </c>
      <c r="O125" s="76">
        <v>0</v>
      </c>
      <c r="P125" s="76">
        <v>0</v>
      </c>
      <c r="Q125" s="76">
        <v>0</v>
      </c>
      <c r="R125" s="76">
        <v>0</v>
      </c>
      <c r="S125" s="76">
        <v>0</v>
      </c>
      <c r="T125" s="76">
        <v>0</v>
      </c>
      <c r="U125" s="76">
        <v>0</v>
      </c>
      <c r="V125" s="48">
        <v>1</v>
      </c>
      <c r="W125" s="43" t="s">
        <v>1569</v>
      </c>
    </row>
    <row r="126" spans="1:23" s="41" customFormat="1" ht="16.5" customHeight="1" x14ac:dyDescent="0.25">
      <c r="A126" s="255" t="s">
        <v>1654</v>
      </c>
      <c r="B126" s="255" t="s">
        <v>753</v>
      </c>
      <c r="C126" s="255" t="s">
        <v>1087</v>
      </c>
      <c r="D126" s="255" t="s">
        <v>136</v>
      </c>
      <c r="E126" s="255" t="s">
        <v>1125</v>
      </c>
      <c r="F126" s="40" t="s">
        <v>816</v>
      </c>
      <c r="G126" s="49">
        <v>1</v>
      </c>
      <c r="H126" s="77">
        <v>7</v>
      </c>
      <c r="I126" s="77">
        <v>1</v>
      </c>
      <c r="J126" s="77">
        <v>3</v>
      </c>
      <c r="K126" s="50">
        <v>1</v>
      </c>
      <c r="L126" s="77">
        <v>1</v>
      </c>
      <c r="M126" s="77">
        <v>4</v>
      </c>
      <c r="N126" s="77">
        <v>0</v>
      </c>
      <c r="O126" s="77">
        <v>0</v>
      </c>
      <c r="P126" s="77">
        <v>1</v>
      </c>
      <c r="Q126" s="77">
        <v>1</v>
      </c>
      <c r="R126" s="77">
        <v>1</v>
      </c>
      <c r="S126" s="77">
        <v>1</v>
      </c>
      <c r="T126" s="77">
        <v>3</v>
      </c>
      <c r="U126" s="77">
        <v>1</v>
      </c>
      <c r="V126" s="50">
        <v>13</v>
      </c>
      <c r="W126" s="41" t="s">
        <v>1570</v>
      </c>
    </row>
    <row r="127" spans="1:23" ht="16.5" customHeight="1" x14ac:dyDescent="0.25">
      <c r="A127" s="255" t="s">
        <v>1654</v>
      </c>
      <c r="B127" s="255" t="s">
        <v>753</v>
      </c>
      <c r="C127" s="255" t="s">
        <v>1087</v>
      </c>
      <c r="D127" s="255" t="s">
        <v>1240</v>
      </c>
      <c r="E127" s="255" t="s">
        <v>283</v>
      </c>
      <c r="F127" s="11" t="s">
        <v>826</v>
      </c>
      <c r="G127" s="51">
        <v>0</v>
      </c>
      <c r="H127" s="78">
        <v>3</v>
      </c>
      <c r="I127" s="78">
        <v>2</v>
      </c>
      <c r="J127" s="78">
        <v>2</v>
      </c>
      <c r="K127" s="52">
        <v>0</v>
      </c>
      <c r="L127" s="78">
        <v>1</v>
      </c>
      <c r="M127" s="78">
        <v>4</v>
      </c>
      <c r="N127" s="78">
        <v>0</v>
      </c>
      <c r="O127" s="78">
        <v>0</v>
      </c>
      <c r="P127" s="78">
        <v>0</v>
      </c>
      <c r="Q127" s="78">
        <v>0</v>
      </c>
      <c r="R127" s="78">
        <v>0</v>
      </c>
      <c r="S127" s="78">
        <v>0</v>
      </c>
      <c r="T127" s="78">
        <v>2</v>
      </c>
      <c r="U127" s="78">
        <v>0</v>
      </c>
      <c r="V127" s="52">
        <v>7</v>
      </c>
      <c r="W127" t="s">
        <v>1571</v>
      </c>
    </row>
    <row r="128" spans="1:23" s="43" customFormat="1" ht="16.5" customHeight="1" x14ac:dyDescent="0.25">
      <c r="A128" s="255" t="s">
        <v>1654</v>
      </c>
      <c r="B128" s="255" t="s">
        <v>754</v>
      </c>
      <c r="C128" s="255"/>
      <c r="D128" s="255" t="s">
        <v>1241</v>
      </c>
      <c r="E128" s="255" t="s">
        <v>1125</v>
      </c>
      <c r="F128" s="42" t="s">
        <v>815</v>
      </c>
      <c r="G128" s="47">
        <v>0</v>
      </c>
      <c r="H128" s="76">
        <v>1</v>
      </c>
      <c r="I128" s="76">
        <v>0</v>
      </c>
      <c r="J128" s="76">
        <v>0</v>
      </c>
      <c r="K128" s="48">
        <v>0</v>
      </c>
      <c r="L128" s="76">
        <v>0</v>
      </c>
      <c r="M128" s="76">
        <v>1</v>
      </c>
      <c r="N128" s="76">
        <v>0</v>
      </c>
      <c r="O128" s="76">
        <v>0</v>
      </c>
      <c r="P128" s="76">
        <v>0</v>
      </c>
      <c r="Q128" s="76">
        <v>0</v>
      </c>
      <c r="R128" s="76">
        <v>0</v>
      </c>
      <c r="S128" s="76">
        <v>0</v>
      </c>
      <c r="T128" s="76">
        <v>0</v>
      </c>
      <c r="U128" s="76">
        <v>0</v>
      </c>
      <c r="V128" s="48">
        <v>1</v>
      </c>
      <c r="W128" s="43" t="s">
        <v>1572</v>
      </c>
    </row>
    <row r="129" spans="1:23" s="41" customFormat="1" ht="16.5" customHeight="1" x14ac:dyDescent="0.25">
      <c r="A129" s="255" t="s">
        <v>1654</v>
      </c>
      <c r="B129" s="255" t="s">
        <v>754</v>
      </c>
      <c r="C129" s="255"/>
      <c r="D129" s="255" t="s">
        <v>1242</v>
      </c>
      <c r="E129" s="255" t="s">
        <v>283</v>
      </c>
      <c r="F129" s="40" t="s">
        <v>816</v>
      </c>
      <c r="G129" s="49">
        <v>0</v>
      </c>
      <c r="H129" s="77">
        <v>2</v>
      </c>
      <c r="I129" s="77">
        <v>1</v>
      </c>
      <c r="J129" s="77">
        <v>4</v>
      </c>
      <c r="K129" s="50">
        <v>0</v>
      </c>
      <c r="L129" s="77">
        <v>2</v>
      </c>
      <c r="M129" s="77">
        <v>2</v>
      </c>
      <c r="N129" s="77">
        <v>0</v>
      </c>
      <c r="O129" s="77">
        <v>0</v>
      </c>
      <c r="P129" s="77">
        <v>1</v>
      </c>
      <c r="Q129" s="77">
        <v>0</v>
      </c>
      <c r="R129" s="77">
        <v>0</v>
      </c>
      <c r="S129" s="77">
        <v>0</v>
      </c>
      <c r="T129" s="77">
        <v>2</v>
      </c>
      <c r="U129" s="77">
        <v>0</v>
      </c>
      <c r="V129" s="50">
        <v>7</v>
      </c>
      <c r="W129" s="41" t="s">
        <v>1570</v>
      </c>
    </row>
    <row r="130" spans="1:23" ht="16.5" customHeight="1" x14ac:dyDescent="0.25">
      <c r="A130" s="255" t="s">
        <v>1654</v>
      </c>
      <c r="B130" s="255" t="s">
        <v>754</v>
      </c>
      <c r="C130" s="255"/>
      <c r="D130" s="255" t="s">
        <v>137</v>
      </c>
      <c r="E130" s="255" t="s">
        <v>283</v>
      </c>
      <c r="F130" s="11" t="s">
        <v>826</v>
      </c>
      <c r="G130" s="51">
        <v>0</v>
      </c>
      <c r="H130" s="78">
        <v>3</v>
      </c>
      <c r="I130" s="78">
        <v>1</v>
      </c>
      <c r="J130" s="78">
        <v>3</v>
      </c>
      <c r="K130" s="52">
        <v>0</v>
      </c>
      <c r="L130" s="78">
        <v>0</v>
      </c>
      <c r="M130" s="78">
        <v>3</v>
      </c>
      <c r="N130" s="78">
        <v>0</v>
      </c>
      <c r="O130" s="78">
        <v>0</v>
      </c>
      <c r="P130" s="78">
        <v>1</v>
      </c>
      <c r="Q130" s="78">
        <v>0</v>
      </c>
      <c r="R130" s="78">
        <v>0</v>
      </c>
      <c r="S130" s="78">
        <v>0</v>
      </c>
      <c r="T130" s="78">
        <v>3</v>
      </c>
      <c r="U130" s="78">
        <v>0</v>
      </c>
      <c r="V130" s="52">
        <v>7</v>
      </c>
      <c r="W130" t="s">
        <v>1573</v>
      </c>
    </row>
    <row r="131" spans="1:23" s="43" customFormat="1" ht="16.5" customHeight="1" x14ac:dyDescent="0.25">
      <c r="A131" s="255" t="s">
        <v>1654</v>
      </c>
      <c r="B131" s="255" t="s">
        <v>755</v>
      </c>
      <c r="C131" s="255" t="s">
        <v>1086</v>
      </c>
      <c r="D131" s="255" t="s">
        <v>1243</v>
      </c>
      <c r="E131" s="255" t="s">
        <v>1111</v>
      </c>
      <c r="F131" s="42" t="s">
        <v>827</v>
      </c>
      <c r="G131" s="47">
        <v>0</v>
      </c>
      <c r="H131" s="76">
        <v>1</v>
      </c>
      <c r="I131" s="76">
        <v>0</v>
      </c>
      <c r="J131" s="76">
        <v>0</v>
      </c>
      <c r="K131" s="48">
        <v>0</v>
      </c>
      <c r="L131" s="76">
        <v>0</v>
      </c>
      <c r="M131" s="76">
        <v>0</v>
      </c>
      <c r="N131" s="76">
        <v>0</v>
      </c>
      <c r="O131" s="76">
        <v>0</v>
      </c>
      <c r="P131" s="76">
        <v>0</v>
      </c>
      <c r="Q131" s="76">
        <v>1</v>
      </c>
      <c r="R131" s="76">
        <v>0</v>
      </c>
      <c r="S131" s="76">
        <v>0</v>
      </c>
      <c r="T131" s="76">
        <v>0</v>
      </c>
      <c r="U131" s="76">
        <v>0</v>
      </c>
      <c r="V131" s="48">
        <v>1</v>
      </c>
      <c r="W131" s="43" t="s">
        <v>1574</v>
      </c>
    </row>
    <row r="132" spans="1:23" s="41" customFormat="1" ht="16.5" customHeight="1" x14ac:dyDescent="0.25">
      <c r="A132" s="255" t="s">
        <v>1654</v>
      </c>
      <c r="B132" s="255" t="s">
        <v>755</v>
      </c>
      <c r="C132" s="255" t="s">
        <v>1086</v>
      </c>
      <c r="D132" s="255" t="s">
        <v>1244</v>
      </c>
      <c r="E132" s="255" t="s">
        <v>1112</v>
      </c>
      <c r="F132" s="40" t="s">
        <v>816</v>
      </c>
      <c r="G132" s="49">
        <v>0</v>
      </c>
      <c r="H132" s="77">
        <v>1</v>
      </c>
      <c r="I132" s="77">
        <v>1</v>
      </c>
      <c r="J132" s="77">
        <v>1</v>
      </c>
      <c r="K132" s="50">
        <v>0</v>
      </c>
      <c r="L132" s="77">
        <v>1</v>
      </c>
      <c r="M132" s="77">
        <v>0</v>
      </c>
      <c r="N132" s="77">
        <v>1</v>
      </c>
      <c r="O132" s="77">
        <v>0</v>
      </c>
      <c r="P132" s="77">
        <v>0</v>
      </c>
      <c r="Q132" s="77">
        <v>1</v>
      </c>
      <c r="R132" s="77">
        <v>0</v>
      </c>
      <c r="S132" s="77">
        <v>0</v>
      </c>
      <c r="T132" s="77">
        <v>0</v>
      </c>
      <c r="U132" s="77">
        <v>0</v>
      </c>
      <c r="V132" s="50">
        <v>3</v>
      </c>
      <c r="W132" s="41" t="s">
        <v>1575</v>
      </c>
    </row>
    <row r="133" spans="1:23" ht="16.5" customHeight="1" x14ac:dyDescent="0.25">
      <c r="A133" s="255" t="s">
        <v>1654</v>
      </c>
      <c r="B133" s="255" t="s">
        <v>755</v>
      </c>
      <c r="C133" s="255" t="s">
        <v>1086</v>
      </c>
      <c r="D133" s="255" t="s">
        <v>138</v>
      </c>
      <c r="E133" s="255" t="s">
        <v>284</v>
      </c>
      <c r="F133" s="11" t="s">
        <v>817</v>
      </c>
      <c r="G133" s="51">
        <v>0</v>
      </c>
      <c r="H133" s="78">
        <v>0</v>
      </c>
      <c r="I133" s="78">
        <v>1</v>
      </c>
      <c r="J133" s="78">
        <v>1</v>
      </c>
      <c r="K133" s="52">
        <v>0</v>
      </c>
      <c r="L133" s="78">
        <v>0</v>
      </c>
      <c r="M133" s="78">
        <v>0</v>
      </c>
      <c r="N133" s="78">
        <v>0</v>
      </c>
      <c r="O133" s="78">
        <v>0</v>
      </c>
      <c r="P133" s="78">
        <v>0</v>
      </c>
      <c r="Q133" s="78">
        <v>2</v>
      </c>
      <c r="R133" s="78">
        <v>0</v>
      </c>
      <c r="S133" s="78">
        <v>0</v>
      </c>
      <c r="T133" s="78">
        <v>0</v>
      </c>
      <c r="U133" s="78">
        <v>0</v>
      </c>
      <c r="V133" s="52">
        <v>2</v>
      </c>
      <c r="W133" t="s">
        <v>1576</v>
      </c>
    </row>
    <row r="134" spans="1:23" s="43" customFormat="1" ht="16.5" customHeight="1" x14ac:dyDescent="0.25">
      <c r="A134" s="255" t="s">
        <v>1654</v>
      </c>
      <c r="B134" s="255" t="s">
        <v>756</v>
      </c>
      <c r="C134" s="255" t="s">
        <v>1090</v>
      </c>
      <c r="D134" s="255" t="s">
        <v>139</v>
      </c>
      <c r="E134" s="255" t="s">
        <v>1120</v>
      </c>
      <c r="F134" s="42" t="s">
        <v>815</v>
      </c>
      <c r="G134" s="47">
        <v>0</v>
      </c>
      <c r="H134" s="76">
        <v>0</v>
      </c>
      <c r="I134" s="76">
        <v>1</v>
      </c>
      <c r="J134" s="76">
        <v>0</v>
      </c>
      <c r="K134" s="48">
        <v>0</v>
      </c>
      <c r="L134" s="76">
        <v>0</v>
      </c>
      <c r="M134" s="76">
        <v>0</v>
      </c>
      <c r="N134" s="76">
        <v>0</v>
      </c>
      <c r="O134" s="76">
        <v>0</v>
      </c>
      <c r="P134" s="76">
        <v>0</v>
      </c>
      <c r="Q134" s="76">
        <v>1</v>
      </c>
      <c r="R134" s="76">
        <v>0</v>
      </c>
      <c r="S134" s="76">
        <v>0</v>
      </c>
      <c r="T134" s="76">
        <v>0</v>
      </c>
      <c r="U134" s="76">
        <v>0</v>
      </c>
      <c r="V134" s="48">
        <v>1</v>
      </c>
      <c r="W134" s="43" t="s">
        <v>1577</v>
      </c>
    </row>
    <row r="135" spans="1:23" s="41" customFormat="1" ht="16.5" customHeight="1" x14ac:dyDescent="0.25">
      <c r="A135" s="255" t="s">
        <v>1654</v>
      </c>
      <c r="B135" s="255" t="s">
        <v>756</v>
      </c>
      <c r="C135" s="255" t="s">
        <v>1090</v>
      </c>
      <c r="D135" s="255" t="s">
        <v>139</v>
      </c>
      <c r="E135" s="255" t="s">
        <v>1121</v>
      </c>
      <c r="F135" s="40" t="s">
        <v>816</v>
      </c>
      <c r="G135" s="49">
        <v>0</v>
      </c>
      <c r="H135" s="77">
        <v>4</v>
      </c>
      <c r="I135" s="77">
        <v>2</v>
      </c>
      <c r="J135" s="77">
        <v>1</v>
      </c>
      <c r="K135" s="50">
        <v>0</v>
      </c>
      <c r="L135" s="77">
        <v>0</v>
      </c>
      <c r="M135" s="77">
        <v>0</v>
      </c>
      <c r="N135" s="77">
        <v>3</v>
      </c>
      <c r="O135" s="77">
        <v>0</v>
      </c>
      <c r="P135" s="77">
        <v>0</v>
      </c>
      <c r="Q135" s="77">
        <v>3</v>
      </c>
      <c r="R135" s="77">
        <v>0</v>
      </c>
      <c r="S135" s="77">
        <v>1</v>
      </c>
      <c r="T135" s="77">
        <v>0</v>
      </c>
      <c r="U135" s="77">
        <v>0</v>
      </c>
      <c r="V135" s="50">
        <v>7</v>
      </c>
      <c r="W135" s="41" t="s">
        <v>1555</v>
      </c>
    </row>
    <row r="136" spans="1:23" ht="16.5" customHeight="1" x14ac:dyDescent="0.25">
      <c r="A136" s="255" t="s">
        <v>1654</v>
      </c>
      <c r="B136" s="255" t="s">
        <v>756</v>
      </c>
      <c r="C136" s="255" t="s">
        <v>1090</v>
      </c>
      <c r="D136" s="255" t="s">
        <v>1245</v>
      </c>
      <c r="E136" s="255" t="s">
        <v>1122</v>
      </c>
      <c r="F136" s="11" t="s">
        <v>817</v>
      </c>
      <c r="G136" s="51">
        <v>0</v>
      </c>
      <c r="H136" s="78">
        <v>0</v>
      </c>
      <c r="I136" s="78">
        <v>2</v>
      </c>
      <c r="J136" s="78">
        <v>1</v>
      </c>
      <c r="K136" s="52">
        <v>0</v>
      </c>
      <c r="L136" s="78">
        <v>0</v>
      </c>
      <c r="M136" s="78">
        <v>0</v>
      </c>
      <c r="N136" s="78">
        <v>1</v>
      </c>
      <c r="O136" s="78">
        <v>0</v>
      </c>
      <c r="P136" s="78">
        <v>0</v>
      </c>
      <c r="Q136" s="78">
        <v>1</v>
      </c>
      <c r="R136" s="78">
        <v>0</v>
      </c>
      <c r="S136" s="78">
        <v>0</v>
      </c>
      <c r="T136" s="78">
        <v>1</v>
      </c>
      <c r="U136" s="78">
        <v>0</v>
      </c>
      <c r="V136" s="52">
        <v>3</v>
      </c>
      <c r="W136" t="s">
        <v>1578</v>
      </c>
    </row>
    <row r="137" spans="1:23" s="43" customFormat="1" ht="16.5" customHeight="1" x14ac:dyDescent="0.25">
      <c r="A137" s="255" t="s">
        <v>1654</v>
      </c>
      <c r="B137" s="255" t="s">
        <v>757</v>
      </c>
      <c r="C137" s="255" t="s">
        <v>833</v>
      </c>
      <c r="D137" s="255" t="s">
        <v>140</v>
      </c>
      <c r="E137" s="255" t="s">
        <v>287</v>
      </c>
      <c r="F137" s="42" t="s">
        <v>827</v>
      </c>
      <c r="G137" s="47">
        <v>0</v>
      </c>
      <c r="H137" s="76">
        <v>1</v>
      </c>
      <c r="I137" s="76">
        <v>0</v>
      </c>
      <c r="J137" s="76">
        <v>0</v>
      </c>
      <c r="K137" s="48">
        <v>0</v>
      </c>
      <c r="L137" s="76">
        <v>0</v>
      </c>
      <c r="M137" s="76">
        <v>0</v>
      </c>
      <c r="N137" s="76">
        <v>0</v>
      </c>
      <c r="O137" s="76">
        <v>0</v>
      </c>
      <c r="P137" s="76">
        <v>0</v>
      </c>
      <c r="Q137" s="76">
        <v>1</v>
      </c>
      <c r="R137" s="76">
        <v>0</v>
      </c>
      <c r="S137" s="76">
        <v>0</v>
      </c>
      <c r="T137" s="76">
        <v>0</v>
      </c>
      <c r="U137" s="76">
        <v>0</v>
      </c>
      <c r="V137" s="48">
        <v>1</v>
      </c>
      <c r="W137" s="43" t="s">
        <v>1579</v>
      </c>
    </row>
    <row r="138" spans="1:23" s="41" customFormat="1" ht="16.5" customHeight="1" x14ac:dyDescent="0.25">
      <c r="A138" s="255" t="s">
        <v>1654</v>
      </c>
      <c r="B138" s="255" t="s">
        <v>757</v>
      </c>
      <c r="C138" s="255" t="s">
        <v>833</v>
      </c>
      <c r="D138" s="255" t="s">
        <v>140</v>
      </c>
      <c r="E138" s="255" t="s">
        <v>1121</v>
      </c>
      <c r="F138" s="40" t="s">
        <v>816</v>
      </c>
      <c r="G138" s="49">
        <v>0</v>
      </c>
      <c r="H138" s="77">
        <v>6</v>
      </c>
      <c r="I138" s="77">
        <v>1</v>
      </c>
      <c r="J138" s="77">
        <v>1</v>
      </c>
      <c r="K138" s="50">
        <v>0</v>
      </c>
      <c r="L138" s="77">
        <v>0</v>
      </c>
      <c r="M138" s="77">
        <v>0</v>
      </c>
      <c r="N138" s="77">
        <v>2</v>
      </c>
      <c r="O138" s="77">
        <v>1</v>
      </c>
      <c r="P138" s="77">
        <v>0</v>
      </c>
      <c r="Q138" s="77">
        <v>2</v>
      </c>
      <c r="R138" s="77">
        <v>0</v>
      </c>
      <c r="S138" s="77">
        <v>2</v>
      </c>
      <c r="T138" s="77">
        <v>1</v>
      </c>
      <c r="U138" s="77">
        <v>0</v>
      </c>
      <c r="V138" s="50">
        <v>8</v>
      </c>
      <c r="W138" s="41" t="s">
        <v>1575</v>
      </c>
    </row>
    <row r="139" spans="1:23" ht="16.5" customHeight="1" x14ac:dyDescent="0.25">
      <c r="A139" s="255" t="s">
        <v>1654</v>
      </c>
      <c r="B139" s="255" t="s">
        <v>757</v>
      </c>
      <c r="C139" s="255" t="s">
        <v>833</v>
      </c>
      <c r="D139" s="255" t="s">
        <v>1246</v>
      </c>
      <c r="E139" s="255" t="s">
        <v>1122</v>
      </c>
      <c r="F139" s="11" t="s">
        <v>817</v>
      </c>
      <c r="G139" s="51">
        <v>0</v>
      </c>
      <c r="H139" s="78">
        <v>1</v>
      </c>
      <c r="I139" s="78">
        <v>1</v>
      </c>
      <c r="J139" s="78">
        <v>1</v>
      </c>
      <c r="K139" s="52">
        <v>0</v>
      </c>
      <c r="L139" s="78">
        <v>0</v>
      </c>
      <c r="M139" s="78">
        <v>0</v>
      </c>
      <c r="N139" s="78">
        <v>1</v>
      </c>
      <c r="O139" s="78">
        <v>0</v>
      </c>
      <c r="P139" s="78">
        <v>0</v>
      </c>
      <c r="Q139" s="78">
        <v>1</v>
      </c>
      <c r="R139" s="78">
        <v>0</v>
      </c>
      <c r="S139" s="78">
        <v>0</v>
      </c>
      <c r="T139" s="78">
        <v>1</v>
      </c>
      <c r="U139" s="78">
        <v>0</v>
      </c>
      <c r="V139" s="52">
        <v>3</v>
      </c>
      <c r="W139" t="s">
        <v>1580</v>
      </c>
    </row>
    <row r="140" spans="1:23" s="43" customFormat="1" ht="16.5" customHeight="1" x14ac:dyDescent="0.25">
      <c r="A140" s="255" t="s">
        <v>1654</v>
      </c>
      <c r="B140" s="255" t="s">
        <v>758</v>
      </c>
      <c r="C140" s="255" t="s">
        <v>820</v>
      </c>
      <c r="D140" s="255" t="s">
        <v>1247</v>
      </c>
      <c r="E140" s="255" t="s">
        <v>289</v>
      </c>
      <c r="F140" s="42" t="s">
        <v>815</v>
      </c>
      <c r="G140" s="47">
        <v>0</v>
      </c>
      <c r="H140" s="76">
        <v>1</v>
      </c>
      <c r="I140" s="76">
        <v>0</v>
      </c>
      <c r="J140" s="76">
        <v>0</v>
      </c>
      <c r="K140" s="48">
        <v>0</v>
      </c>
      <c r="L140" s="76">
        <v>0</v>
      </c>
      <c r="M140" s="76">
        <v>0</v>
      </c>
      <c r="N140" s="76">
        <v>0</v>
      </c>
      <c r="O140" s="76">
        <v>0</v>
      </c>
      <c r="P140" s="76">
        <v>0</v>
      </c>
      <c r="Q140" s="76">
        <v>0</v>
      </c>
      <c r="R140" s="76">
        <v>0</v>
      </c>
      <c r="S140" s="76">
        <v>1</v>
      </c>
      <c r="T140" s="76">
        <v>0</v>
      </c>
      <c r="U140" s="76">
        <v>0</v>
      </c>
      <c r="V140" s="48">
        <v>1</v>
      </c>
      <c r="W140" s="43" t="s">
        <v>1581</v>
      </c>
    </row>
    <row r="141" spans="1:23" s="41" customFormat="1" ht="16.5" customHeight="1" x14ac:dyDescent="0.25">
      <c r="A141" s="255" t="s">
        <v>1654</v>
      </c>
      <c r="B141" s="255" t="s">
        <v>758</v>
      </c>
      <c r="C141" s="255" t="s">
        <v>820</v>
      </c>
      <c r="D141" s="255" t="s">
        <v>141</v>
      </c>
      <c r="E141" s="255" t="s">
        <v>289</v>
      </c>
      <c r="F141" s="40" t="s">
        <v>816</v>
      </c>
      <c r="G141" s="49">
        <v>0</v>
      </c>
      <c r="H141" s="77">
        <v>13</v>
      </c>
      <c r="I141" s="77">
        <v>3</v>
      </c>
      <c r="J141" s="77">
        <v>5</v>
      </c>
      <c r="K141" s="50">
        <v>1</v>
      </c>
      <c r="L141" s="77">
        <v>3</v>
      </c>
      <c r="M141" s="77">
        <v>1</v>
      </c>
      <c r="N141" s="77">
        <v>2</v>
      </c>
      <c r="O141" s="77">
        <v>2</v>
      </c>
      <c r="P141" s="77">
        <v>1</v>
      </c>
      <c r="Q141" s="77">
        <v>3</v>
      </c>
      <c r="R141" s="77">
        <v>0</v>
      </c>
      <c r="S141" s="77">
        <v>5</v>
      </c>
      <c r="T141" s="77">
        <v>3</v>
      </c>
      <c r="U141" s="77">
        <v>2</v>
      </c>
      <c r="V141" s="50">
        <v>22</v>
      </c>
      <c r="W141" s="41" t="s">
        <v>1582</v>
      </c>
    </row>
    <row r="142" spans="1:23" ht="16.5" customHeight="1" x14ac:dyDescent="0.25">
      <c r="A142" s="255" t="s">
        <v>1654</v>
      </c>
      <c r="B142" s="255" t="s">
        <v>758</v>
      </c>
      <c r="C142" s="255" t="s">
        <v>820</v>
      </c>
      <c r="D142" s="255" t="s">
        <v>1247</v>
      </c>
      <c r="E142" s="255" t="s">
        <v>1110</v>
      </c>
      <c r="F142" s="11" t="s">
        <v>817</v>
      </c>
      <c r="G142" s="51">
        <v>1</v>
      </c>
      <c r="H142" s="78">
        <v>8</v>
      </c>
      <c r="I142" s="78">
        <v>6</v>
      </c>
      <c r="J142" s="78">
        <v>8</v>
      </c>
      <c r="K142" s="52">
        <v>0</v>
      </c>
      <c r="L142" s="78">
        <v>2</v>
      </c>
      <c r="M142" s="78">
        <v>0</v>
      </c>
      <c r="N142" s="78">
        <v>2</v>
      </c>
      <c r="O142" s="78">
        <v>3</v>
      </c>
      <c r="P142" s="78">
        <v>3</v>
      </c>
      <c r="Q142" s="78">
        <v>3</v>
      </c>
      <c r="R142" s="78">
        <v>1</v>
      </c>
      <c r="S142" s="78">
        <v>4</v>
      </c>
      <c r="T142" s="78">
        <v>3</v>
      </c>
      <c r="U142" s="78">
        <v>2</v>
      </c>
      <c r="V142" s="52">
        <v>23</v>
      </c>
      <c r="W142" t="s">
        <v>1583</v>
      </c>
    </row>
    <row r="143" spans="1:23" s="43" customFormat="1" ht="16.5" customHeight="1" x14ac:dyDescent="0.25">
      <c r="A143" s="255" t="s">
        <v>1654</v>
      </c>
      <c r="B143" s="255" t="s">
        <v>759</v>
      </c>
      <c r="C143" s="255" t="s">
        <v>832</v>
      </c>
      <c r="D143" s="255" t="s">
        <v>1248</v>
      </c>
      <c r="E143" s="255" t="s">
        <v>1109</v>
      </c>
      <c r="F143" s="42" t="s">
        <v>815</v>
      </c>
      <c r="G143" s="47">
        <v>0</v>
      </c>
      <c r="H143" s="76">
        <v>1</v>
      </c>
      <c r="I143" s="76">
        <v>0</v>
      </c>
      <c r="J143" s="76">
        <v>0</v>
      </c>
      <c r="K143" s="48">
        <v>0</v>
      </c>
      <c r="L143" s="76">
        <v>0</v>
      </c>
      <c r="M143" s="76">
        <v>0</v>
      </c>
      <c r="N143" s="76">
        <v>0</v>
      </c>
      <c r="O143" s="76">
        <v>0</v>
      </c>
      <c r="P143" s="76">
        <v>0</v>
      </c>
      <c r="Q143" s="76">
        <v>0</v>
      </c>
      <c r="R143" s="76">
        <v>0</v>
      </c>
      <c r="S143" s="76">
        <v>1</v>
      </c>
      <c r="T143" s="76">
        <v>0</v>
      </c>
      <c r="U143" s="76">
        <v>0</v>
      </c>
      <c r="V143" s="48">
        <v>1</v>
      </c>
      <c r="W143" s="43" t="s">
        <v>1584</v>
      </c>
    </row>
    <row r="144" spans="1:23" s="41" customFormat="1" ht="16.5" customHeight="1" x14ac:dyDescent="0.25">
      <c r="A144" s="255" t="s">
        <v>1654</v>
      </c>
      <c r="B144" s="255" t="s">
        <v>759</v>
      </c>
      <c r="C144" s="255" t="s">
        <v>832</v>
      </c>
      <c r="D144" s="255" t="s">
        <v>1248</v>
      </c>
      <c r="E144" s="255" t="s">
        <v>289</v>
      </c>
      <c r="F144" s="40" t="s">
        <v>816</v>
      </c>
      <c r="G144" s="49">
        <v>0</v>
      </c>
      <c r="H144" s="77">
        <v>2</v>
      </c>
      <c r="I144" s="77">
        <v>4</v>
      </c>
      <c r="J144" s="77">
        <v>3</v>
      </c>
      <c r="K144" s="50">
        <v>1</v>
      </c>
      <c r="L144" s="77">
        <v>4</v>
      </c>
      <c r="M144" s="77">
        <v>0</v>
      </c>
      <c r="N144" s="77">
        <v>0</v>
      </c>
      <c r="O144" s="77">
        <v>0</v>
      </c>
      <c r="P144" s="77">
        <v>1</v>
      </c>
      <c r="Q144" s="77">
        <v>0</v>
      </c>
      <c r="R144" s="77">
        <v>1</v>
      </c>
      <c r="S144" s="77">
        <v>4</v>
      </c>
      <c r="T144" s="77">
        <v>0</v>
      </c>
      <c r="U144" s="77">
        <v>0</v>
      </c>
      <c r="V144" s="50">
        <v>10</v>
      </c>
      <c r="W144" s="41" t="s">
        <v>1582</v>
      </c>
    </row>
    <row r="145" spans="1:23" ht="16.5" customHeight="1" x14ac:dyDescent="0.25">
      <c r="A145" s="255" t="s">
        <v>1654</v>
      </c>
      <c r="B145" s="255" t="s">
        <v>759</v>
      </c>
      <c r="C145" s="255" t="s">
        <v>832</v>
      </c>
      <c r="D145" s="255" t="s">
        <v>142</v>
      </c>
      <c r="E145" s="255" t="s">
        <v>289</v>
      </c>
      <c r="F145" s="11" t="s">
        <v>817</v>
      </c>
      <c r="G145" s="51">
        <v>0</v>
      </c>
      <c r="H145" s="78">
        <v>3</v>
      </c>
      <c r="I145" s="78">
        <v>1</v>
      </c>
      <c r="J145" s="78">
        <v>1</v>
      </c>
      <c r="K145" s="52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5</v>
      </c>
      <c r="T145" s="78">
        <v>0</v>
      </c>
      <c r="U145" s="78">
        <v>0</v>
      </c>
      <c r="V145" s="52">
        <v>5</v>
      </c>
      <c r="W145" t="s">
        <v>1585</v>
      </c>
    </row>
    <row r="146" spans="1:23" s="43" customFormat="1" ht="16.5" customHeight="1" x14ac:dyDescent="0.25">
      <c r="A146" s="255" t="s">
        <v>1654</v>
      </c>
      <c r="B146" s="255" t="s">
        <v>760</v>
      </c>
      <c r="C146" s="255" t="s">
        <v>825</v>
      </c>
      <c r="D146" s="255" t="s">
        <v>1249</v>
      </c>
      <c r="E146" s="255" t="s">
        <v>284</v>
      </c>
      <c r="F146" s="42" t="s">
        <v>815</v>
      </c>
      <c r="G146" s="47">
        <v>0</v>
      </c>
      <c r="H146" s="76">
        <v>1</v>
      </c>
      <c r="I146" s="76">
        <v>0</v>
      </c>
      <c r="J146" s="76">
        <v>0</v>
      </c>
      <c r="K146" s="48">
        <v>0</v>
      </c>
      <c r="L146" s="76">
        <v>0</v>
      </c>
      <c r="M146" s="76">
        <v>0</v>
      </c>
      <c r="N146" s="76">
        <v>1</v>
      </c>
      <c r="O146" s="76">
        <v>0</v>
      </c>
      <c r="P146" s="76">
        <v>0</v>
      </c>
      <c r="Q146" s="76">
        <v>0</v>
      </c>
      <c r="R146" s="76">
        <v>0</v>
      </c>
      <c r="S146" s="76">
        <v>0</v>
      </c>
      <c r="T146" s="76">
        <v>0</v>
      </c>
      <c r="U146" s="76">
        <v>0</v>
      </c>
      <c r="V146" s="48">
        <v>1</v>
      </c>
      <c r="W146" s="43" t="s">
        <v>1556</v>
      </c>
    </row>
    <row r="147" spans="1:23" s="41" customFormat="1" ht="16.5" customHeight="1" x14ac:dyDescent="0.25">
      <c r="A147" s="255" t="s">
        <v>1654</v>
      </c>
      <c r="B147" s="255" t="s">
        <v>760</v>
      </c>
      <c r="C147" s="255" t="s">
        <v>825</v>
      </c>
      <c r="D147" s="255" t="s">
        <v>1249</v>
      </c>
      <c r="E147" s="255" t="s">
        <v>1112</v>
      </c>
      <c r="F147" s="40" t="s">
        <v>816</v>
      </c>
      <c r="G147" s="49">
        <v>0</v>
      </c>
      <c r="H147" s="77">
        <v>0</v>
      </c>
      <c r="I147" s="77">
        <v>0</v>
      </c>
      <c r="J147" s="77">
        <v>1</v>
      </c>
      <c r="K147" s="50">
        <v>0</v>
      </c>
      <c r="L147" s="77">
        <v>0</v>
      </c>
      <c r="M147" s="77">
        <v>0</v>
      </c>
      <c r="N147" s="77">
        <v>1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50">
        <v>1</v>
      </c>
      <c r="W147" s="41" t="s">
        <v>1522</v>
      </c>
    </row>
    <row r="148" spans="1:23" ht="16.5" customHeight="1" x14ac:dyDescent="0.25">
      <c r="A148" s="255" t="s">
        <v>1654</v>
      </c>
      <c r="B148" s="255" t="s">
        <v>760</v>
      </c>
      <c r="C148" s="255" t="s">
        <v>825</v>
      </c>
      <c r="D148" s="255" t="s">
        <v>1250</v>
      </c>
      <c r="E148" s="255" t="s">
        <v>1113</v>
      </c>
      <c r="F148" s="11" t="s">
        <v>817</v>
      </c>
      <c r="G148" s="51">
        <v>0</v>
      </c>
      <c r="H148" s="78">
        <v>0</v>
      </c>
      <c r="I148" s="78">
        <v>0</v>
      </c>
      <c r="J148" s="78">
        <v>1</v>
      </c>
      <c r="K148" s="52">
        <v>0</v>
      </c>
      <c r="L148" s="78">
        <v>0</v>
      </c>
      <c r="M148" s="78">
        <v>0</v>
      </c>
      <c r="N148" s="78">
        <v>1</v>
      </c>
      <c r="O148" s="78">
        <v>0</v>
      </c>
      <c r="P148" s="78">
        <v>0</v>
      </c>
      <c r="Q148" s="78">
        <v>0</v>
      </c>
      <c r="R148" s="78">
        <v>0</v>
      </c>
      <c r="S148" s="78">
        <v>0</v>
      </c>
      <c r="T148" s="78">
        <v>0</v>
      </c>
      <c r="U148" s="78">
        <v>0</v>
      </c>
      <c r="V148" s="52">
        <v>1</v>
      </c>
      <c r="W148" t="s">
        <v>1556</v>
      </c>
    </row>
    <row r="149" spans="1:23" s="43" customFormat="1" ht="16.5" customHeight="1" x14ac:dyDescent="0.25">
      <c r="A149" s="255" t="s">
        <v>1654</v>
      </c>
      <c r="B149" s="255" t="s">
        <v>761</v>
      </c>
      <c r="C149" s="255" t="s">
        <v>822</v>
      </c>
      <c r="D149" s="255" t="s">
        <v>1251</v>
      </c>
      <c r="E149" s="255" t="s">
        <v>284</v>
      </c>
      <c r="F149" s="42" t="s">
        <v>827</v>
      </c>
      <c r="G149" s="47">
        <v>0</v>
      </c>
      <c r="H149" s="76">
        <v>0</v>
      </c>
      <c r="I149" s="76">
        <v>0</v>
      </c>
      <c r="J149" s="76">
        <v>1</v>
      </c>
      <c r="K149" s="48">
        <v>0</v>
      </c>
      <c r="L149" s="76">
        <v>0</v>
      </c>
      <c r="M149" s="76">
        <v>0</v>
      </c>
      <c r="N149" s="76">
        <v>1</v>
      </c>
      <c r="O149" s="76">
        <v>0</v>
      </c>
      <c r="P149" s="76">
        <v>0</v>
      </c>
      <c r="Q149" s="76">
        <v>0</v>
      </c>
      <c r="R149" s="76">
        <v>0</v>
      </c>
      <c r="S149" s="76">
        <v>0</v>
      </c>
      <c r="T149" s="76">
        <v>0</v>
      </c>
      <c r="U149" s="76">
        <v>0</v>
      </c>
      <c r="V149" s="48">
        <v>1</v>
      </c>
      <c r="W149" s="43" t="s">
        <v>1543</v>
      </c>
    </row>
    <row r="150" spans="1:23" s="41" customFormat="1" ht="16.5" customHeight="1" x14ac:dyDescent="0.25">
      <c r="A150" s="255" t="s">
        <v>1654</v>
      </c>
      <c r="B150" s="255" t="s">
        <v>761</v>
      </c>
      <c r="C150" s="255" t="s">
        <v>822</v>
      </c>
      <c r="D150" s="255" t="s">
        <v>1252</v>
      </c>
      <c r="E150" s="255" t="s">
        <v>284</v>
      </c>
      <c r="F150" s="40" t="s">
        <v>816</v>
      </c>
      <c r="G150" s="49">
        <v>0</v>
      </c>
      <c r="H150" s="77">
        <v>1</v>
      </c>
      <c r="I150" s="77">
        <v>0</v>
      </c>
      <c r="J150" s="77">
        <v>1</v>
      </c>
      <c r="K150" s="50">
        <v>0</v>
      </c>
      <c r="L150" s="77">
        <v>1</v>
      </c>
      <c r="M150" s="77">
        <v>0</v>
      </c>
      <c r="N150" s="77">
        <v>0</v>
      </c>
      <c r="O150" s="77">
        <v>0</v>
      </c>
      <c r="P150" s="77">
        <v>0</v>
      </c>
      <c r="Q150" s="77">
        <v>0</v>
      </c>
      <c r="R150" s="77">
        <v>0</v>
      </c>
      <c r="S150" s="77">
        <v>1</v>
      </c>
      <c r="T150" s="77">
        <v>0</v>
      </c>
      <c r="U150" s="77">
        <v>0</v>
      </c>
      <c r="V150" s="50">
        <v>2</v>
      </c>
      <c r="W150" s="41" t="s">
        <v>1556</v>
      </c>
    </row>
    <row r="151" spans="1:23" ht="16.5" customHeight="1" x14ac:dyDescent="0.25">
      <c r="A151" s="255" t="s">
        <v>1654</v>
      </c>
      <c r="B151" s="255" t="s">
        <v>761</v>
      </c>
      <c r="C151" s="255" t="s">
        <v>822</v>
      </c>
      <c r="D151" s="255" t="s">
        <v>144</v>
      </c>
      <c r="E151" s="255" t="s">
        <v>1112</v>
      </c>
      <c r="F151" s="11" t="s">
        <v>817</v>
      </c>
      <c r="G151" s="51">
        <v>0</v>
      </c>
      <c r="H151" s="78">
        <v>0</v>
      </c>
      <c r="I151" s="78">
        <v>0</v>
      </c>
      <c r="J151" s="78">
        <v>1</v>
      </c>
      <c r="K151" s="52">
        <v>0</v>
      </c>
      <c r="L151" s="78">
        <v>1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52">
        <v>1</v>
      </c>
      <c r="W151" t="s">
        <v>1479</v>
      </c>
    </row>
    <row r="152" spans="1:23" s="43" customFormat="1" ht="16.5" customHeight="1" x14ac:dyDescent="0.25">
      <c r="A152" s="255" t="s">
        <v>1654</v>
      </c>
      <c r="B152" s="255" t="s">
        <v>762</v>
      </c>
      <c r="C152" s="255" t="s">
        <v>820</v>
      </c>
      <c r="D152" s="255" t="s">
        <v>145</v>
      </c>
      <c r="E152" s="255" t="s">
        <v>1100</v>
      </c>
      <c r="F152" s="42" t="s">
        <v>815</v>
      </c>
      <c r="G152" s="47">
        <v>1</v>
      </c>
      <c r="H152" s="76">
        <v>0</v>
      </c>
      <c r="I152" s="76">
        <v>0</v>
      </c>
      <c r="J152" s="76">
        <v>0</v>
      </c>
      <c r="K152" s="48">
        <v>0</v>
      </c>
      <c r="L152" s="76">
        <v>0</v>
      </c>
      <c r="M152" s="76">
        <v>0</v>
      </c>
      <c r="N152" s="76">
        <v>0</v>
      </c>
      <c r="O152" s="76">
        <v>0</v>
      </c>
      <c r="P152" s="76">
        <v>0</v>
      </c>
      <c r="Q152" s="76">
        <v>0</v>
      </c>
      <c r="R152" s="76">
        <v>0</v>
      </c>
      <c r="S152" s="76">
        <v>0</v>
      </c>
      <c r="T152" s="76">
        <v>0</v>
      </c>
      <c r="U152" s="76">
        <v>1</v>
      </c>
      <c r="V152" s="48">
        <v>1</v>
      </c>
      <c r="W152" s="43" t="s">
        <v>1586</v>
      </c>
    </row>
    <row r="153" spans="1:23" s="41" customFormat="1" ht="16.5" customHeight="1" x14ac:dyDescent="0.25">
      <c r="A153" s="255" t="s">
        <v>1654</v>
      </c>
      <c r="B153" s="255" t="s">
        <v>762</v>
      </c>
      <c r="C153" s="255" t="s">
        <v>820</v>
      </c>
      <c r="D153" s="255" t="s">
        <v>1253</v>
      </c>
      <c r="E153" s="255" t="s">
        <v>1102</v>
      </c>
      <c r="F153" s="40" t="s">
        <v>816</v>
      </c>
      <c r="G153" s="49">
        <v>0</v>
      </c>
      <c r="H153" s="77">
        <v>10</v>
      </c>
      <c r="I153" s="77">
        <v>5</v>
      </c>
      <c r="J153" s="77">
        <v>2</v>
      </c>
      <c r="K153" s="50">
        <v>0</v>
      </c>
      <c r="L153" s="77">
        <v>1</v>
      </c>
      <c r="M153" s="77">
        <v>1</v>
      </c>
      <c r="N153" s="77">
        <v>0</v>
      </c>
      <c r="O153" s="77">
        <v>0</v>
      </c>
      <c r="P153" s="77">
        <v>1</v>
      </c>
      <c r="Q153" s="77">
        <v>2</v>
      </c>
      <c r="R153" s="77">
        <v>2</v>
      </c>
      <c r="S153" s="77">
        <v>4</v>
      </c>
      <c r="T153" s="77">
        <v>3</v>
      </c>
      <c r="U153" s="77">
        <v>3</v>
      </c>
      <c r="V153" s="50">
        <v>17</v>
      </c>
      <c r="W153" s="41" t="s">
        <v>1587</v>
      </c>
    </row>
    <row r="154" spans="1:23" ht="16.5" customHeight="1" x14ac:dyDescent="0.25">
      <c r="A154" s="255" t="s">
        <v>1654</v>
      </c>
      <c r="B154" s="255" t="s">
        <v>762</v>
      </c>
      <c r="C154" s="255" t="s">
        <v>820</v>
      </c>
      <c r="D154" s="255" t="s">
        <v>1254</v>
      </c>
      <c r="E154" s="255" t="s">
        <v>292</v>
      </c>
      <c r="F154" s="11" t="s">
        <v>817</v>
      </c>
      <c r="G154" s="51">
        <v>0</v>
      </c>
      <c r="H154" s="78">
        <v>4</v>
      </c>
      <c r="I154" s="78">
        <v>5</v>
      </c>
      <c r="J154" s="78">
        <v>3</v>
      </c>
      <c r="K154" s="52">
        <v>0</v>
      </c>
      <c r="L154" s="78">
        <v>1</v>
      </c>
      <c r="M154" s="78">
        <v>1</v>
      </c>
      <c r="N154" s="78">
        <v>0</v>
      </c>
      <c r="O154" s="78">
        <v>0</v>
      </c>
      <c r="P154" s="78">
        <v>1</v>
      </c>
      <c r="Q154" s="78">
        <v>1</v>
      </c>
      <c r="R154" s="78">
        <v>3</v>
      </c>
      <c r="S154" s="78">
        <v>0</v>
      </c>
      <c r="T154" s="78">
        <v>3</v>
      </c>
      <c r="U154" s="78">
        <v>2</v>
      </c>
      <c r="V154" s="52">
        <v>12</v>
      </c>
      <c r="W154" t="s">
        <v>1588</v>
      </c>
    </row>
    <row r="155" spans="1:23" s="43" customFormat="1" ht="16.5" customHeight="1" x14ac:dyDescent="0.25">
      <c r="A155" s="255" t="s">
        <v>1654</v>
      </c>
      <c r="B155" s="255" t="s">
        <v>763</v>
      </c>
      <c r="C155" s="255" t="s">
        <v>834</v>
      </c>
      <c r="D155" s="255" t="s">
        <v>540</v>
      </c>
      <c r="E155" s="255" t="s">
        <v>287</v>
      </c>
      <c r="F155" s="42" t="s">
        <v>827</v>
      </c>
      <c r="G155" s="47">
        <v>0</v>
      </c>
      <c r="H155" s="76">
        <v>1</v>
      </c>
      <c r="I155" s="76">
        <v>0</v>
      </c>
      <c r="J155" s="76">
        <v>0</v>
      </c>
      <c r="K155" s="48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6">
        <v>1</v>
      </c>
      <c r="R155" s="76">
        <v>0</v>
      </c>
      <c r="S155" s="76">
        <v>0</v>
      </c>
      <c r="T155" s="76">
        <v>0</v>
      </c>
      <c r="U155" s="76">
        <v>0</v>
      </c>
      <c r="V155" s="48">
        <v>1</v>
      </c>
      <c r="W155" s="43" t="s">
        <v>1589</v>
      </c>
    </row>
    <row r="156" spans="1:23" s="41" customFormat="1" ht="16.5" customHeight="1" x14ac:dyDescent="0.25">
      <c r="A156" s="255" t="s">
        <v>1654</v>
      </c>
      <c r="B156" s="255" t="s">
        <v>763</v>
      </c>
      <c r="C156" s="255" t="s">
        <v>834</v>
      </c>
      <c r="D156" s="255" t="s">
        <v>1255</v>
      </c>
      <c r="E156" s="255" t="s">
        <v>1120</v>
      </c>
      <c r="F156" s="40" t="s">
        <v>816</v>
      </c>
      <c r="G156" s="49">
        <v>0</v>
      </c>
      <c r="H156" s="77">
        <v>0</v>
      </c>
      <c r="I156" s="77">
        <v>2</v>
      </c>
      <c r="J156" s="77">
        <v>0</v>
      </c>
      <c r="K156" s="50">
        <v>0</v>
      </c>
      <c r="L156" s="77">
        <v>0</v>
      </c>
      <c r="M156" s="77">
        <v>0</v>
      </c>
      <c r="N156" s="77">
        <v>0</v>
      </c>
      <c r="O156" s="77">
        <v>0</v>
      </c>
      <c r="P156" s="77">
        <v>0</v>
      </c>
      <c r="Q156" s="77">
        <v>2</v>
      </c>
      <c r="R156" s="77">
        <v>0</v>
      </c>
      <c r="S156" s="77">
        <v>0</v>
      </c>
      <c r="T156" s="77">
        <v>0</v>
      </c>
      <c r="U156" s="77">
        <v>0</v>
      </c>
      <c r="V156" s="50">
        <v>2</v>
      </c>
      <c r="W156" s="41" t="s">
        <v>1503</v>
      </c>
    </row>
    <row r="157" spans="1:23" ht="16.5" customHeight="1" x14ac:dyDescent="0.25">
      <c r="A157" s="255" t="s">
        <v>1654</v>
      </c>
      <c r="B157" s="255" t="s">
        <v>763</v>
      </c>
      <c r="C157" s="255" t="s">
        <v>834</v>
      </c>
      <c r="D157" s="255" t="s">
        <v>540</v>
      </c>
      <c r="E157" s="255" t="s">
        <v>1122</v>
      </c>
      <c r="F157" s="11" t="s">
        <v>826</v>
      </c>
      <c r="G157" s="51">
        <v>0</v>
      </c>
      <c r="H157" s="78">
        <v>0</v>
      </c>
      <c r="I157" s="78">
        <v>1</v>
      </c>
      <c r="J157" s="78">
        <v>0</v>
      </c>
      <c r="K157" s="52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1</v>
      </c>
      <c r="R157" s="78">
        <v>0</v>
      </c>
      <c r="S157" s="78">
        <v>0</v>
      </c>
      <c r="T157" s="78">
        <v>0</v>
      </c>
      <c r="U157" s="78">
        <v>0</v>
      </c>
      <c r="V157" s="52">
        <v>1</v>
      </c>
      <c r="W157" t="s">
        <v>1482</v>
      </c>
    </row>
    <row r="158" spans="1:23" s="43" customFormat="1" ht="16.5" customHeight="1" x14ac:dyDescent="0.25">
      <c r="A158" s="255" t="s">
        <v>1654</v>
      </c>
      <c r="B158" s="255" t="s">
        <v>764</v>
      </c>
      <c r="C158" s="255" t="s">
        <v>1087</v>
      </c>
      <c r="D158" s="255" t="s">
        <v>1256</v>
      </c>
      <c r="E158" s="255" t="s">
        <v>1103</v>
      </c>
      <c r="F158" s="42" t="s">
        <v>815</v>
      </c>
      <c r="G158" s="47">
        <v>0</v>
      </c>
      <c r="H158" s="76">
        <v>0</v>
      </c>
      <c r="I158" s="76">
        <v>1</v>
      </c>
      <c r="J158" s="76">
        <v>0</v>
      </c>
      <c r="K158" s="48">
        <v>0</v>
      </c>
      <c r="L158" s="76">
        <v>0</v>
      </c>
      <c r="M158" s="76">
        <v>0</v>
      </c>
      <c r="N158" s="76">
        <v>0</v>
      </c>
      <c r="O158" s="76">
        <v>0</v>
      </c>
      <c r="P158" s="76">
        <v>1</v>
      </c>
      <c r="Q158" s="76">
        <v>0</v>
      </c>
      <c r="R158" s="76">
        <v>0</v>
      </c>
      <c r="S158" s="76">
        <v>0</v>
      </c>
      <c r="T158" s="76">
        <v>0</v>
      </c>
      <c r="U158" s="76">
        <v>0</v>
      </c>
      <c r="V158" s="48">
        <v>1</v>
      </c>
      <c r="W158" s="43" t="s">
        <v>1477</v>
      </c>
    </row>
    <row r="159" spans="1:23" s="41" customFormat="1" ht="16.5" customHeight="1" x14ac:dyDescent="0.25">
      <c r="A159" s="255" t="s">
        <v>1654</v>
      </c>
      <c r="B159" s="255" t="s">
        <v>764</v>
      </c>
      <c r="C159" s="255" t="s">
        <v>1087</v>
      </c>
      <c r="D159" s="255" t="s">
        <v>1256</v>
      </c>
      <c r="E159" s="255" t="s">
        <v>286</v>
      </c>
      <c r="F159" s="40" t="s">
        <v>816</v>
      </c>
      <c r="G159" s="49">
        <v>0</v>
      </c>
      <c r="H159" s="77">
        <v>0</v>
      </c>
      <c r="I159" s="77">
        <v>0</v>
      </c>
      <c r="J159" s="77">
        <v>1</v>
      </c>
      <c r="K159" s="50">
        <v>0</v>
      </c>
      <c r="L159" s="77">
        <v>0</v>
      </c>
      <c r="M159" s="77">
        <v>0</v>
      </c>
      <c r="N159" s="77">
        <v>0</v>
      </c>
      <c r="O159" s="77">
        <v>0</v>
      </c>
      <c r="P159" s="77">
        <v>1</v>
      </c>
      <c r="Q159" s="77">
        <v>0</v>
      </c>
      <c r="R159" s="77">
        <v>0</v>
      </c>
      <c r="S159" s="77">
        <v>0</v>
      </c>
      <c r="T159" s="77">
        <v>0</v>
      </c>
      <c r="U159" s="77">
        <v>0</v>
      </c>
      <c r="V159" s="50">
        <v>1</v>
      </c>
      <c r="W159" s="41" t="s">
        <v>1568</v>
      </c>
    </row>
    <row r="160" spans="1:23" ht="16.5" customHeight="1" x14ac:dyDescent="0.25">
      <c r="A160" s="255" t="s">
        <v>1654</v>
      </c>
      <c r="B160" s="255" t="s">
        <v>764</v>
      </c>
      <c r="C160" s="255" t="s">
        <v>1087</v>
      </c>
      <c r="D160" s="255" t="s">
        <v>1257</v>
      </c>
      <c r="E160" s="255" t="s">
        <v>1103</v>
      </c>
      <c r="F160" s="11" t="s">
        <v>817</v>
      </c>
      <c r="G160" s="51">
        <v>0</v>
      </c>
      <c r="H160" s="78">
        <v>0</v>
      </c>
      <c r="I160" s="78">
        <v>0</v>
      </c>
      <c r="J160" s="78">
        <v>1</v>
      </c>
      <c r="K160" s="52">
        <v>0</v>
      </c>
      <c r="L160" s="78">
        <v>0</v>
      </c>
      <c r="M160" s="78">
        <v>0</v>
      </c>
      <c r="N160" s="78">
        <v>0</v>
      </c>
      <c r="O160" s="78">
        <v>0</v>
      </c>
      <c r="P160" s="78">
        <v>1</v>
      </c>
      <c r="Q160" s="78">
        <v>0</v>
      </c>
      <c r="R160" s="78">
        <v>0</v>
      </c>
      <c r="S160" s="78">
        <v>0</v>
      </c>
      <c r="T160" s="78">
        <v>0</v>
      </c>
      <c r="U160" s="78">
        <v>0</v>
      </c>
      <c r="V160" s="52">
        <v>1</v>
      </c>
      <c r="W160" t="s">
        <v>1477</v>
      </c>
    </row>
    <row r="161" spans="1:23" s="43" customFormat="1" ht="16.5" customHeight="1" x14ac:dyDescent="0.25">
      <c r="A161" s="255" t="s">
        <v>1657</v>
      </c>
      <c r="B161" s="255" t="s">
        <v>1658</v>
      </c>
      <c r="C161" s="255"/>
      <c r="D161" s="255" t="s">
        <v>1258</v>
      </c>
      <c r="E161" s="255" t="s">
        <v>274</v>
      </c>
      <c r="F161" s="42" t="s">
        <v>815</v>
      </c>
      <c r="G161" s="47">
        <v>0</v>
      </c>
      <c r="H161" s="76">
        <v>0</v>
      </c>
      <c r="I161" s="76">
        <v>0</v>
      </c>
      <c r="J161" s="76">
        <v>0</v>
      </c>
      <c r="K161" s="48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6">
        <v>0</v>
      </c>
      <c r="R161" s="76">
        <v>0</v>
      </c>
      <c r="S161" s="76">
        <v>0</v>
      </c>
      <c r="T161" s="76">
        <v>0</v>
      </c>
      <c r="U161" s="76">
        <v>0</v>
      </c>
      <c r="V161" s="48">
        <v>0</v>
      </c>
      <c r="W161" s="43" t="s">
        <v>1461</v>
      </c>
    </row>
    <row r="162" spans="1:23" s="41" customFormat="1" ht="16.5" customHeight="1" x14ac:dyDescent="0.25">
      <c r="A162" s="255" t="s">
        <v>1657</v>
      </c>
      <c r="B162" s="255" t="s">
        <v>1658</v>
      </c>
      <c r="C162" s="255"/>
      <c r="D162" s="255" t="s">
        <v>1259</v>
      </c>
      <c r="E162" s="255" t="s">
        <v>1128</v>
      </c>
      <c r="F162" s="40" t="s">
        <v>828</v>
      </c>
      <c r="G162" s="49">
        <v>2</v>
      </c>
      <c r="H162" s="77">
        <v>3</v>
      </c>
      <c r="I162" s="77">
        <v>0</v>
      </c>
      <c r="J162" s="77">
        <v>0</v>
      </c>
      <c r="K162" s="50">
        <v>1</v>
      </c>
      <c r="L162" s="77">
        <v>2</v>
      </c>
      <c r="M162" s="77">
        <v>1</v>
      </c>
      <c r="N162" s="77">
        <v>0</v>
      </c>
      <c r="O162" s="77">
        <v>1</v>
      </c>
      <c r="P162" s="77">
        <v>0</v>
      </c>
      <c r="Q162" s="77">
        <v>0</v>
      </c>
      <c r="R162" s="77">
        <v>0</v>
      </c>
      <c r="S162" s="77">
        <v>0</v>
      </c>
      <c r="T162" s="77">
        <v>1</v>
      </c>
      <c r="U162" s="77">
        <v>1</v>
      </c>
      <c r="V162" s="50">
        <v>6</v>
      </c>
      <c r="W162" s="41" t="s">
        <v>1454</v>
      </c>
    </row>
    <row r="163" spans="1:23" ht="16.5" customHeight="1" x14ac:dyDescent="0.25">
      <c r="A163" s="255" t="s">
        <v>1657</v>
      </c>
      <c r="B163" s="255" t="s">
        <v>1658</v>
      </c>
      <c r="C163" s="255"/>
      <c r="D163" s="255" t="s">
        <v>1260</v>
      </c>
      <c r="E163" s="255" t="s">
        <v>274</v>
      </c>
      <c r="F163" s="11" t="s">
        <v>817</v>
      </c>
      <c r="G163" s="51">
        <v>0</v>
      </c>
      <c r="H163" s="78">
        <v>0</v>
      </c>
      <c r="I163" s="78">
        <v>0</v>
      </c>
      <c r="J163" s="78">
        <v>0</v>
      </c>
      <c r="K163" s="52">
        <v>0</v>
      </c>
      <c r="L163" s="78">
        <v>0</v>
      </c>
      <c r="M163" s="78">
        <v>0</v>
      </c>
      <c r="N163" s="78">
        <v>0</v>
      </c>
      <c r="O163" s="78">
        <v>0</v>
      </c>
      <c r="P163" s="78">
        <v>0</v>
      </c>
      <c r="Q163" s="78">
        <v>0</v>
      </c>
      <c r="R163" s="78">
        <v>0</v>
      </c>
      <c r="S163" s="78">
        <v>0</v>
      </c>
      <c r="T163" s="78">
        <v>0</v>
      </c>
      <c r="U163" s="78">
        <v>0</v>
      </c>
      <c r="V163" s="52">
        <v>0</v>
      </c>
      <c r="W163" t="s">
        <v>1454</v>
      </c>
    </row>
    <row r="164" spans="1:23" s="43" customFormat="1" ht="16.5" customHeight="1" x14ac:dyDescent="0.25">
      <c r="A164" s="255" t="s">
        <v>1657</v>
      </c>
      <c r="B164" s="255" t="s">
        <v>1659</v>
      </c>
      <c r="C164" s="255" t="s">
        <v>824</v>
      </c>
      <c r="D164" s="255" t="s">
        <v>1261</v>
      </c>
      <c r="E164" s="255" t="s">
        <v>274</v>
      </c>
      <c r="F164" s="42" t="s">
        <v>827</v>
      </c>
      <c r="G164" s="47">
        <v>0</v>
      </c>
      <c r="H164" s="76">
        <v>0</v>
      </c>
      <c r="I164" s="76">
        <v>0</v>
      </c>
      <c r="J164" s="76">
        <v>0</v>
      </c>
      <c r="K164" s="48">
        <v>0</v>
      </c>
      <c r="L164" s="76">
        <v>0</v>
      </c>
      <c r="M164" s="76">
        <v>0</v>
      </c>
      <c r="N164" s="76">
        <v>0</v>
      </c>
      <c r="O164" s="76">
        <v>0</v>
      </c>
      <c r="P164" s="76">
        <v>0</v>
      </c>
      <c r="Q164" s="76">
        <v>0</v>
      </c>
      <c r="R164" s="76">
        <v>0</v>
      </c>
      <c r="S164" s="76">
        <v>0</v>
      </c>
      <c r="T164" s="76">
        <v>0</v>
      </c>
      <c r="U164" s="76">
        <v>0</v>
      </c>
      <c r="V164" s="48">
        <v>0</v>
      </c>
      <c r="W164" s="43" t="s">
        <v>1590</v>
      </c>
    </row>
    <row r="165" spans="1:23" s="41" customFormat="1" ht="16.5" customHeight="1" x14ac:dyDescent="0.25">
      <c r="A165" s="255" t="s">
        <v>1657</v>
      </c>
      <c r="B165" s="255" t="s">
        <v>1659</v>
      </c>
      <c r="C165" s="255" t="s">
        <v>824</v>
      </c>
      <c r="D165" s="255" t="s">
        <v>1261</v>
      </c>
      <c r="E165" s="255" t="s">
        <v>274</v>
      </c>
      <c r="F165" s="40" t="s">
        <v>828</v>
      </c>
      <c r="G165" s="49">
        <v>2</v>
      </c>
      <c r="H165" s="77">
        <v>2</v>
      </c>
      <c r="I165" s="77">
        <v>0</v>
      </c>
      <c r="J165" s="77">
        <v>0</v>
      </c>
      <c r="K165" s="50">
        <v>1</v>
      </c>
      <c r="L165" s="77">
        <v>2</v>
      </c>
      <c r="M165" s="77">
        <v>0</v>
      </c>
      <c r="N165" s="77">
        <v>0</v>
      </c>
      <c r="O165" s="77">
        <v>1</v>
      </c>
      <c r="P165" s="77">
        <v>0</v>
      </c>
      <c r="Q165" s="77">
        <v>0</v>
      </c>
      <c r="R165" s="77">
        <v>0</v>
      </c>
      <c r="S165" s="77">
        <v>0</v>
      </c>
      <c r="T165" s="77">
        <v>1</v>
      </c>
      <c r="U165" s="77">
        <v>1</v>
      </c>
      <c r="V165" s="50">
        <v>5</v>
      </c>
      <c r="W165" s="41" t="s">
        <v>1454</v>
      </c>
    </row>
    <row r="166" spans="1:23" ht="16.5" customHeight="1" x14ac:dyDescent="0.25">
      <c r="A166" s="255" t="s">
        <v>1657</v>
      </c>
      <c r="B166" s="255" t="s">
        <v>1659</v>
      </c>
      <c r="C166" s="255" t="s">
        <v>824</v>
      </c>
      <c r="D166" s="255" t="s">
        <v>181</v>
      </c>
      <c r="E166" s="255" t="s">
        <v>1130</v>
      </c>
      <c r="F166" s="11" t="s">
        <v>817</v>
      </c>
      <c r="G166" s="51">
        <v>0</v>
      </c>
      <c r="H166" s="78">
        <v>0</v>
      </c>
      <c r="I166" s="78">
        <v>0</v>
      </c>
      <c r="J166" s="78">
        <v>0</v>
      </c>
      <c r="K166" s="52">
        <v>0</v>
      </c>
      <c r="L166" s="78">
        <v>0</v>
      </c>
      <c r="M166" s="78">
        <v>0</v>
      </c>
      <c r="N166" s="78">
        <v>0</v>
      </c>
      <c r="O166" s="78">
        <v>0</v>
      </c>
      <c r="P166" s="78">
        <v>0</v>
      </c>
      <c r="Q166" s="78">
        <v>0</v>
      </c>
      <c r="R166" s="78">
        <v>0</v>
      </c>
      <c r="S166" s="78">
        <v>0</v>
      </c>
      <c r="T166" s="78">
        <v>0</v>
      </c>
      <c r="U166" s="78">
        <v>0</v>
      </c>
      <c r="V166" s="52">
        <v>0</v>
      </c>
      <c r="W166" t="s">
        <v>1454</v>
      </c>
    </row>
    <row r="167" spans="1:23" s="43" customFormat="1" ht="16.5" customHeight="1" x14ac:dyDescent="0.25">
      <c r="A167" s="255" t="s">
        <v>1660</v>
      </c>
      <c r="B167" s="255" t="s">
        <v>1661</v>
      </c>
      <c r="C167" s="255" t="s">
        <v>1091</v>
      </c>
      <c r="D167" s="255" t="s">
        <v>1262</v>
      </c>
      <c r="E167" s="255" t="s">
        <v>290</v>
      </c>
      <c r="F167" s="42" t="s">
        <v>827</v>
      </c>
      <c r="G167" s="47">
        <v>0</v>
      </c>
      <c r="H167" s="76">
        <v>1</v>
      </c>
      <c r="I167" s="76">
        <v>0</v>
      </c>
      <c r="J167" s="76">
        <v>0</v>
      </c>
      <c r="K167" s="48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6">
        <v>0</v>
      </c>
      <c r="R167" s="76">
        <v>0</v>
      </c>
      <c r="S167" s="76">
        <v>0</v>
      </c>
      <c r="T167" s="76">
        <v>1</v>
      </c>
      <c r="U167" s="76">
        <v>0</v>
      </c>
      <c r="V167" s="48">
        <v>1</v>
      </c>
      <c r="W167" s="43" t="s">
        <v>1454</v>
      </c>
    </row>
    <row r="168" spans="1:23" s="41" customFormat="1" ht="16.5" customHeight="1" x14ac:dyDescent="0.25">
      <c r="A168" s="255" t="s">
        <v>1660</v>
      </c>
      <c r="B168" s="255" t="s">
        <v>1661</v>
      </c>
      <c r="C168" s="255" t="s">
        <v>1091</v>
      </c>
      <c r="D168" s="255" t="s">
        <v>1263</v>
      </c>
      <c r="E168" s="255" t="s">
        <v>1115</v>
      </c>
      <c r="F168" s="40" t="s">
        <v>828</v>
      </c>
      <c r="G168" s="49">
        <v>0</v>
      </c>
      <c r="H168" s="77">
        <v>0</v>
      </c>
      <c r="I168" s="77">
        <v>0</v>
      </c>
      <c r="J168" s="77">
        <v>0</v>
      </c>
      <c r="K168" s="50">
        <v>0</v>
      </c>
      <c r="L168" s="77">
        <v>0</v>
      </c>
      <c r="M168" s="77">
        <v>0</v>
      </c>
      <c r="N168" s="77">
        <v>0</v>
      </c>
      <c r="O168" s="77">
        <v>0</v>
      </c>
      <c r="P168" s="77">
        <v>0</v>
      </c>
      <c r="Q168" s="77">
        <v>0</v>
      </c>
      <c r="R168" s="77">
        <v>0</v>
      </c>
      <c r="S168" s="77">
        <v>0</v>
      </c>
      <c r="T168" s="77">
        <v>0</v>
      </c>
      <c r="U168" s="77">
        <v>0</v>
      </c>
      <c r="V168" s="50">
        <v>0</v>
      </c>
      <c r="W168" s="41" t="s">
        <v>1463</v>
      </c>
    </row>
    <row r="169" spans="1:23" ht="16.5" customHeight="1" x14ac:dyDescent="0.25">
      <c r="A169" s="255" t="s">
        <v>1660</v>
      </c>
      <c r="B169" s="255" t="s">
        <v>1661</v>
      </c>
      <c r="C169" s="255" t="s">
        <v>1091</v>
      </c>
      <c r="D169" s="255" t="s">
        <v>1264</v>
      </c>
      <c r="E169" s="255" t="s">
        <v>290</v>
      </c>
      <c r="F169" s="11" t="s">
        <v>817</v>
      </c>
      <c r="G169" s="51">
        <v>0</v>
      </c>
      <c r="H169" s="78">
        <v>0</v>
      </c>
      <c r="I169" s="78">
        <v>0</v>
      </c>
      <c r="J169" s="78">
        <v>0</v>
      </c>
      <c r="K169" s="52">
        <v>0</v>
      </c>
      <c r="L169" s="78">
        <v>0</v>
      </c>
      <c r="M169" s="78">
        <v>0</v>
      </c>
      <c r="N169" s="78">
        <v>0</v>
      </c>
      <c r="O169" s="78">
        <v>0</v>
      </c>
      <c r="P169" s="7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52">
        <v>0</v>
      </c>
      <c r="W169" t="s">
        <v>1454</v>
      </c>
    </row>
    <row r="170" spans="1:23" s="43" customFormat="1" ht="16.5" customHeight="1" x14ac:dyDescent="0.25">
      <c r="A170" s="255" t="s">
        <v>1660</v>
      </c>
      <c r="B170" s="255" t="s">
        <v>1662</v>
      </c>
      <c r="C170" s="255" t="s">
        <v>824</v>
      </c>
      <c r="D170" s="255" t="s">
        <v>725</v>
      </c>
      <c r="E170" s="255" t="s">
        <v>1116</v>
      </c>
      <c r="F170" s="42" t="s">
        <v>815</v>
      </c>
      <c r="G170" s="47">
        <v>0</v>
      </c>
      <c r="H170" s="76">
        <v>1</v>
      </c>
      <c r="I170" s="76">
        <v>0</v>
      </c>
      <c r="J170" s="76">
        <v>0</v>
      </c>
      <c r="K170" s="48">
        <v>0</v>
      </c>
      <c r="L170" s="76">
        <v>0</v>
      </c>
      <c r="M170" s="76">
        <v>0</v>
      </c>
      <c r="N170" s="76">
        <v>0</v>
      </c>
      <c r="O170" s="76">
        <v>0</v>
      </c>
      <c r="P170" s="76">
        <v>0</v>
      </c>
      <c r="Q170" s="76">
        <v>0</v>
      </c>
      <c r="R170" s="76">
        <v>0</v>
      </c>
      <c r="S170" s="76">
        <v>0</v>
      </c>
      <c r="T170" s="76">
        <v>1</v>
      </c>
      <c r="U170" s="76">
        <v>0</v>
      </c>
      <c r="V170" s="48">
        <v>1</v>
      </c>
      <c r="W170" s="43" t="s">
        <v>1454</v>
      </c>
    </row>
    <row r="171" spans="1:23" s="41" customFormat="1" ht="16.5" customHeight="1" x14ac:dyDescent="0.25">
      <c r="A171" s="255" t="s">
        <v>1660</v>
      </c>
      <c r="B171" s="255" t="s">
        <v>1662</v>
      </c>
      <c r="C171" s="255" t="s">
        <v>824</v>
      </c>
      <c r="D171" s="255" t="s">
        <v>1265</v>
      </c>
      <c r="E171" s="255" t="s">
        <v>1115</v>
      </c>
      <c r="F171" s="40" t="s">
        <v>816</v>
      </c>
      <c r="G171" s="49">
        <v>0</v>
      </c>
      <c r="H171" s="77">
        <v>0</v>
      </c>
      <c r="I171" s="77">
        <v>0</v>
      </c>
      <c r="J171" s="77">
        <v>0</v>
      </c>
      <c r="K171" s="50">
        <v>0</v>
      </c>
      <c r="L171" s="77">
        <v>0</v>
      </c>
      <c r="M171" s="77">
        <v>0</v>
      </c>
      <c r="N171" s="77">
        <v>0</v>
      </c>
      <c r="O171" s="77">
        <v>0</v>
      </c>
      <c r="P171" s="77">
        <v>0</v>
      </c>
      <c r="Q171" s="77">
        <v>0</v>
      </c>
      <c r="R171" s="77">
        <v>0</v>
      </c>
      <c r="S171" s="77">
        <v>0</v>
      </c>
      <c r="T171" s="77">
        <v>0</v>
      </c>
      <c r="U171" s="77">
        <v>0</v>
      </c>
      <c r="V171" s="50">
        <v>0</v>
      </c>
      <c r="W171" s="41" t="s">
        <v>1463</v>
      </c>
    </row>
    <row r="172" spans="1:23" ht="16.5" customHeight="1" x14ac:dyDescent="0.25">
      <c r="A172" s="255" t="s">
        <v>1660</v>
      </c>
      <c r="B172" s="255" t="s">
        <v>1662</v>
      </c>
      <c r="C172" s="255" t="s">
        <v>824</v>
      </c>
      <c r="D172" s="255" t="s">
        <v>1265</v>
      </c>
      <c r="E172" s="255" t="s">
        <v>1117</v>
      </c>
      <c r="F172" s="11" t="s">
        <v>817</v>
      </c>
      <c r="G172" s="51">
        <v>0</v>
      </c>
      <c r="H172" s="78">
        <v>0</v>
      </c>
      <c r="I172" s="78">
        <v>0</v>
      </c>
      <c r="J172" s="78">
        <v>0</v>
      </c>
      <c r="K172" s="52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8">
        <v>0</v>
      </c>
      <c r="V172" s="52">
        <v>0</v>
      </c>
      <c r="W172" t="s">
        <v>1454</v>
      </c>
    </row>
    <row r="173" spans="1:23" s="43" customFormat="1" ht="16.5" customHeight="1" x14ac:dyDescent="0.25">
      <c r="A173" s="255" t="s">
        <v>1660</v>
      </c>
      <c r="B173" s="255" t="s">
        <v>1663</v>
      </c>
      <c r="C173" s="255" t="s">
        <v>1087</v>
      </c>
      <c r="D173" s="255" t="s">
        <v>578</v>
      </c>
      <c r="E173" s="255" t="s">
        <v>290</v>
      </c>
      <c r="F173" s="42" t="s">
        <v>815</v>
      </c>
      <c r="G173" s="47">
        <v>0</v>
      </c>
      <c r="H173" s="76">
        <v>1</v>
      </c>
      <c r="I173" s="76">
        <v>0</v>
      </c>
      <c r="J173" s="76">
        <v>0</v>
      </c>
      <c r="K173" s="48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6">
        <v>0</v>
      </c>
      <c r="R173" s="76">
        <v>0</v>
      </c>
      <c r="S173" s="76">
        <v>0</v>
      </c>
      <c r="T173" s="76">
        <v>1</v>
      </c>
      <c r="U173" s="76">
        <v>0</v>
      </c>
      <c r="V173" s="48">
        <v>1</v>
      </c>
      <c r="W173" s="43" t="s">
        <v>1454</v>
      </c>
    </row>
    <row r="174" spans="1:23" s="41" customFormat="1" ht="16.5" customHeight="1" x14ac:dyDescent="0.25">
      <c r="A174" s="255" t="s">
        <v>1660</v>
      </c>
      <c r="B174" s="255" t="s">
        <v>1663</v>
      </c>
      <c r="C174" s="255" t="s">
        <v>1087</v>
      </c>
      <c r="D174" s="255" t="s">
        <v>1266</v>
      </c>
      <c r="E174" s="255" t="s">
        <v>1114</v>
      </c>
      <c r="F174" s="40" t="s">
        <v>816</v>
      </c>
      <c r="G174" s="49">
        <v>0</v>
      </c>
      <c r="H174" s="77">
        <v>0</v>
      </c>
      <c r="I174" s="77">
        <v>0</v>
      </c>
      <c r="J174" s="77">
        <v>0</v>
      </c>
      <c r="K174" s="50">
        <v>0</v>
      </c>
      <c r="L174" s="77">
        <v>0</v>
      </c>
      <c r="M174" s="77">
        <v>0</v>
      </c>
      <c r="N174" s="77">
        <v>0</v>
      </c>
      <c r="O174" s="77">
        <v>0</v>
      </c>
      <c r="P174" s="77">
        <v>0</v>
      </c>
      <c r="Q174" s="77">
        <v>0</v>
      </c>
      <c r="R174" s="77">
        <v>0</v>
      </c>
      <c r="S174" s="77">
        <v>0</v>
      </c>
      <c r="T174" s="77">
        <v>0</v>
      </c>
      <c r="U174" s="77">
        <v>0</v>
      </c>
      <c r="V174" s="50">
        <v>0</v>
      </c>
      <c r="W174" s="41" t="s">
        <v>1463</v>
      </c>
    </row>
    <row r="175" spans="1:23" ht="16.5" customHeight="1" x14ac:dyDescent="0.25">
      <c r="A175" s="255" t="s">
        <v>1660</v>
      </c>
      <c r="B175" s="255" t="s">
        <v>1663</v>
      </c>
      <c r="C175" s="255" t="s">
        <v>1087</v>
      </c>
      <c r="D175" s="255" t="s">
        <v>578</v>
      </c>
      <c r="E175" s="255" t="s">
        <v>290</v>
      </c>
      <c r="F175" s="11" t="s">
        <v>817</v>
      </c>
      <c r="G175" s="51">
        <v>0</v>
      </c>
      <c r="H175" s="78">
        <v>0</v>
      </c>
      <c r="I175" s="78">
        <v>0</v>
      </c>
      <c r="J175" s="78">
        <v>0</v>
      </c>
      <c r="K175" s="52">
        <v>0</v>
      </c>
      <c r="L175" s="78">
        <v>0</v>
      </c>
      <c r="M175" s="78">
        <v>0</v>
      </c>
      <c r="N175" s="78">
        <v>0</v>
      </c>
      <c r="O175" s="78">
        <v>0</v>
      </c>
      <c r="P175" s="78">
        <v>0</v>
      </c>
      <c r="Q175" s="78">
        <v>0</v>
      </c>
      <c r="R175" s="78">
        <v>0</v>
      </c>
      <c r="S175" s="78">
        <v>0</v>
      </c>
      <c r="T175" s="78">
        <v>0</v>
      </c>
      <c r="U175" s="78">
        <v>0</v>
      </c>
      <c r="V175" s="52">
        <v>0</v>
      </c>
      <c r="W175" t="s">
        <v>1454</v>
      </c>
    </row>
    <row r="176" spans="1:23" s="43" customFormat="1" ht="16.5" customHeight="1" x14ac:dyDescent="0.25">
      <c r="A176" s="255" t="s">
        <v>1660</v>
      </c>
      <c r="B176" s="255" t="s">
        <v>1664</v>
      </c>
      <c r="C176" s="255"/>
      <c r="D176" s="255" t="s">
        <v>1307</v>
      </c>
      <c r="E176" s="255" t="s">
        <v>290</v>
      </c>
      <c r="F176" s="42" t="s">
        <v>815</v>
      </c>
      <c r="G176" s="47">
        <v>0</v>
      </c>
      <c r="H176" s="76">
        <v>1</v>
      </c>
      <c r="I176" s="76">
        <v>0</v>
      </c>
      <c r="J176" s="76">
        <v>0</v>
      </c>
      <c r="K176" s="48">
        <v>0</v>
      </c>
      <c r="L176" s="76">
        <v>0</v>
      </c>
      <c r="M176" s="76">
        <v>0</v>
      </c>
      <c r="N176" s="76">
        <v>0</v>
      </c>
      <c r="O176" s="76">
        <v>0</v>
      </c>
      <c r="P176" s="76">
        <v>0</v>
      </c>
      <c r="Q176" s="76">
        <v>0</v>
      </c>
      <c r="R176" s="76">
        <v>0</v>
      </c>
      <c r="S176" s="76">
        <v>0</v>
      </c>
      <c r="T176" s="76">
        <v>1</v>
      </c>
      <c r="U176" s="76">
        <v>0</v>
      </c>
      <c r="V176" s="48">
        <v>1</v>
      </c>
      <c r="W176" s="43" t="s">
        <v>1550</v>
      </c>
    </row>
    <row r="177" spans="1:23" s="41" customFormat="1" ht="16.5" customHeight="1" x14ac:dyDescent="0.25">
      <c r="A177" s="255" t="s">
        <v>1660</v>
      </c>
      <c r="B177" s="255" t="s">
        <v>1664</v>
      </c>
      <c r="C177" s="255"/>
      <c r="D177" s="255" t="s">
        <v>1307</v>
      </c>
      <c r="E177" s="255" t="s">
        <v>290</v>
      </c>
      <c r="F177" s="40" t="s">
        <v>828</v>
      </c>
      <c r="G177" s="49">
        <v>0</v>
      </c>
      <c r="H177" s="77">
        <v>0</v>
      </c>
      <c r="I177" s="77">
        <v>1</v>
      </c>
      <c r="J177" s="77">
        <v>0</v>
      </c>
      <c r="K177" s="50">
        <v>0</v>
      </c>
      <c r="L177" s="77">
        <v>1</v>
      </c>
      <c r="M177" s="77">
        <v>0</v>
      </c>
      <c r="N177" s="77">
        <v>0</v>
      </c>
      <c r="O177" s="77">
        <v>0</v>
      </c>
      <c r="P177" s="77">
        <v>0</v>
      </c>
      <c r="Q177" s="77">
        <v>0</v>
      </c>
      <c r="R177" s="77">
        <v>0</v>
      </c>
      <c r="S177" s="77">
        <v>0</v>
      </c>
      <c r="T177" s="77">
        <v>0</v>
      </c>
      <c r="U177" s="77">
        <v>0</v>
      </c>
      <c r="V177" s="50">
        <v>1</v>
      </c>
      <c r="W177" s="41" t="s">
        <v>1463</v>
      </c>
    </row>
    <row r="178" spans="1:23" ht="16.5" customHeight="1" x14ac:dyDescent="0.25">
      <c r="A178" s="255" t="s">
        <v>1660</v>
      </c>
      <c r="B178" s="255" t="s">
        <v>1664</v>
      </c>
      <c r="C178" s="255"/>
      <c r="D178" s="255" t="s">
        <v>1307</v>
      </c>
      <c r="E178" s="255" t="s">
        <v>290</v>
      </c>
      <c r="F178" s="11" t="s">
        <v>826</v>
      </c>
      <c r="G178" s="51">
        <v>0</v>
      </c>
      <c r="H178" s="78">
        <v>0</v>
      </c>
      <c r="I178" s="78">
        <v>0</v>
      </c>
      <c r="J178" s="78">
        <v>0</v>
      </c>
      <c r="K178" s="52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78">
        <v>0</v>
      </c>
      <c r="V178" s="52">
        <v>0</v>
      </c>
      <c r="W178" t="s">
        <v>1454</v>
      </c>
    </row>
    <row r="179" spans="1:23" s="43" customFormat="1" ht="16.5" customHeight="1" x14ac:dyDescent="0.25">
      <c r="A179" s="255" t="s">
        <v>1665</v>
      </c>
      <c r="B179" s="255" t="s">
        <v>1666</v>
      </c>
      <c r="C179" s="255" t="s">
        <v>1087</v>
      </c>
      <c r="D179" s="255" t="s">
        <v>1267</v>
      </c>
      <c r="E179" s="255" t="s">
        <v>274</v>
      </c>
      <c r="F179" s="42" t="s">
        <v>827</v>
      </c>
      <c r="G179" s="47">
        <v>2</v>
      </c>
      <c r="H179" s="76">
        <v>11</v>
      </c>
      <c r="I179" s="76">
        <v>5</v>
      </c>
      <c r="J179" s="76">
        <v>3</v>
      </c>
      <c r="K179" s="48">
        <v>0</v>
      </c>
      <c r="L179" s="76">
        <v>3</v>
      </c>
      <c r="M179" s="76">
        <v>2</v>
      </c>
      <c r="N179" s="76">
        <v>5</v>
      </c>
      <c r="O179" s="76">
        <v>2</v>
      </c>
      <c r="P179" s="76">
        <v>3</v>
      </c>
      <c r="Q179" s="76">
        <v>3</v>
      </c>
      <c r="R179" s="76">
        <v>1</v>
      </c>
      <c r="S179" s="76">
        <v>1</v>
      </c>
      <c r="T179" s="76">
        <v>0</v>
      </c>
      <c r="U179" s="76">
        <v>1</v>
      </c>
      <c r="V179" s="48">
        <v>21</v>
      </c>
      <c r="W179" s="43" t="s">
        <v>1458</v>
      </c>
    </row>
    <row r="180" spans="1:23" s="41" customFormat="1" ht="16.5" customHeight="1" x14ac:dyDescent="0.25">
      <c r="A180" s="255" t="s">
        <v>1660</v>
      </c>
      <c r="B180" s="255" t="s">
        <v>1664</v>
      </c>
      <c r="C180" s="255" t="s">
        <v>1087</v>
      </c>
      <c r="D180" s="255" t="s">
        <v>726</v>
      </c>
      <c r="E180" s="255" t="s">
        <v>274</v>
      </c>
      <c r="F180" s="40" t="s">
        <v>816</v>
      </c>
      <c r="G180" s="49">
        <v>0</v>
      </c>
      <c r="H180" s="77">
        <v>0</v>
      </c>
      <c r="I180" s="77">
        <v>1</v>
      </c>
      <c r="J180" s="77">
        <v>0</v>
      </c>
      <c r="K180" s="50">
        <v>0</v>
      </c>
      <c r="L180" s="77">
        <v>1</v>
      </c>
      <c r="M180" s="77">
        <v>0</v>
      </c>
      <c r="N180" s="77">
        <v>0</v>
      </c>
      <c r="O180" s="77">
        <v>0</v>
      </c>
      <c r="P180" s="77">
        <v>0</v>
      </c>
      <c r="Q180" s="77">
        <v>0</v>
      </c>
      <c r="R180" s="77">
        <v>0</v>
      </c>
      <c r="S180" s="77">
        <v>0</v>
      </c>
      <c r="T180" s="77">
        <v>0</v>
      </c>
      <c r="U180" s="77">
        <v>0</v>
      </c>
      <c r="V180" s="50">
        <v>1</v>
      </c>
      <c r="W180" s="41" t="s">
        <v>1550</v>
      </c>
    </row>
    <row r="181" spans="1:23" ht="16.5" customHeight="1" x14ac:dyDescent="0.25">
      <c r="A181" s="255" t="s">
        <v>1660</v>
      </c>
      <c r="B181" s="255" t="s">
        <v>1664</v>
      </c>
      <c r="C181" s="255" t="s">
        <v>1087</v>
      </c>
      <c r="D181" s="255" t="s">
        <v>1268</v>
      </c>
      <c r="E181" s="255" t="s">
        <v>1128</v>
      </c>
      <c r="F181" s="11" t="s">
        <v>817</v>
      </c>
      <c r="G181" s="51">
        <v>0</v>
      </c>
      <c r="H181" s="78">
        <v>0</v>
      </c>
      <c r="I181" s="78">
        <v>0</v>
      </c>
      <c r="J181" s="78">
        <v>0</v>
      </c>
      <c r="K181" s="52">
        <v>0</v>
      </c>
      <c r="L181" s="78">
        <v>0</v>
      </c>
      <c r="M181" s="78">
        <v>0</v>
      </c>
      <c r="N181" s="78">
        <v>0</v>
      </c>
      <c r="O181" s="78">
        <v>0</v>
      </c>
      <c r="P181" s="78">
        <v>0</v>
      </c>
      <c r="Q181" s="78">
        <v>0</v>
      </c>
      <c r="R181" s="78">
        <v>0</v>
      </c>
      <c r="S181" s="78">
        <v>0</v>
      </c>
      <c r="T181" s="78">
        <v>0</v>
      </c>
      <c r="U181" s="78">
        <v>0</v>
      </c>
      <c r="V181" s="52">
        <v>0</v>
      </c>
      <c r="W181" t="s">
        <v>1550</v>
      </c>
    </row>
    <row r="182" spans="1:23" s="43" customFormat="1" ht="16.5" customHeight="1" x14ac:dyDescent="0.25">
      <c r="A182" s="255" t="s">
        <v>1665</v>
      </c>
      <c r="B182" s="255" t="s">
        <v>808</v>
      </c>
      <c r="C182" s="255" t="s">
        <v>1087</v>
      </c>
      <c r="D182" s="255" t="s">
        <v>147</v>
      </c>
      <c r="E182" s="255" t="s">
        <v>274</v>
      </c>
      <c r="F182" s="42" t="s">
        <v>815</v>
      </c>
      <c r="G182" s="47">
        <v>0</v>
      </c>
      <c r="H182" s="76">
        <v>0</v>
      </c>
      <c r="I182" s="76">
        <v>0</v>
      </c>
      <c r="J182" s="76">
        <v>0</v>
      </c>
      <c r="K182" s="48">
        <v>0</v>
      </c>
      <c r="L182" s="76">
        <v>0</v>
      </c>
      <c r="M182" s="76">
        <v>0</v>
      </c>
      <c r="N182" s="76">
        <v>0</v>
      </c>
      <c r="O182" s="76">
        <v>0</v>
      </c>
      <c r="P182" s="76">
        <v>0</v>
      </c>
      <c r="Q182" s="76">
        <v>0</v>
      </c>
      <c r="R182" s="76">
        <v>0</v>
      </c>
      <c r="S182" s="76">
        <v>0</v>
      </c>
      <c r="T182" s="76">
        <v>0</v>
      </c>
      <c r="U182" s="76">
        <v>0</v>
      </c>
      <c r="V182" s="48">
        <v>0</v>
      </c>
      <c r="W182" s="43" t="s">
        <v>1461</v>
      </c>
    </row>
    <row r="183" spans="1:23" s="41" customFormat="1" ht="16.5" customHeight="1" x14ac:dyDescent="0.25">
      <c r="A183" s="255" t="s">
        <v>1665</v>
      </c>
      <c r="B183" s="255" t="s">
        <v>808</v>
      </c>
      <c r="C183" s="255" t="s">
        <v>1087</v>
      </c>
      <c r="D183" s="255" t="s">
        <v>1269</v>
      </c>
      <c r="E183" s="255" t="s">
        <v>1128</v>
      </c>
      <c r="F183" s="40" t="s">
        <v>828</v>
      </c>
      <c r="G183" s="49">
        <v>2</v>
      </c>
      <c r="H183" s="77">
        <v>3</v>
      </c>
      <c r="I183" s="77">
        <v>0</v>
      </c>
      <c r="J183" s="77">
        <v>0</v>
      </c>
      <c r="K183" s="50">
        <v>1</v>
      </c>
      <c r="L183" s="77">
        <v>2</v>
      </c>
      <c r="M183" s="77">
        <v>1</v>
      </c>
      <c r="N183" s="77">
        <v>0</v>
      </c>
      <c r="O183" s="77">
        <v>1</v>
      </c>
      <c r="P183" s="77">
        <v>0</v>
      </c>
      <c r="Q183" s="77">
        <v>0</v>
      </c>
      <c r="R183" s="77">
        <v>0</v>
      </c>
      <c r="S183" s="77">
        <v>0</v>
      </c>
      <c r="T183" s="77">
        <v>1</v>
      </c>
      <c r="U183" s="77">
        <v>1</v>
      </c>
      <c r="V183" s="50">
        <v>6</v>
      </c>
      <c r="W183" s="41" t="s">
        <v>1454</v>
      </c>
    </row>
    <row r="184" spans="1:23" ht="16.5" customHeight="1" x14ac:dyDescent="0.25">
      <c r="A184" s="255" t="s">
        <v>1665</v>
      </c>
      <c r="B184" s="255" t="s">
        <v>808</v>
      </c>
      <c r="C184" s="255" t="s">
        <v>1087</v>
      </c>
      <c r="D184" s="255" t="s">
        <v>147</v>
      </c>
      <c r="E184" s="255" t="s">
        <v>274</v>
      </c>
      <c r="F184" s="11" t="s">
        <v>826</v>
      </c>
      <c r="G184" s="51">
        <v>0</v>
      </c>
      <c r="H184" s="78">
        <v>0</v>
      </c>
      <c r="I184" s="78">
        <v>0</v>
      </c>
      <c r="J184" s="78">
        <v>0</v>
      </c>
      <c r="K184" s="52">
        <v>0</v>
      </c>
      <c r="L184" s="78">
        <v>0</v>
      </c>
      <c r="M184" s="78">
        <v>0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52">
        <v>0</v>
      </c>
      <c r="W184" t="s">
        <v>1454</v>
      </c>
    </row>
    <row r="185" spans="1:23" s="43" customFormat="1" ht="16.5" customHeight="1" x14ac:dyDescent="0.25">
      <c r="A185" s="255" t="s">
        <v>1665</v>
      </c>
      <c r="B185" s="255" t="s">
        <v>809</v>
      </c>
      <c r="C185" s="255" t="s">
        <v>1087</v>
      </c>
      <c r="D185" s="255" t="s">
        <v>1270</v>
      </c>
      <c r="E185" s="255" t="s">
        <v>1115</v>
      </c>
      <c r="F185" s="42" t="s">
        <v>827</v>
      </c>
      <c r="G185" s="47">
        <v>0</v>
      </c>
      <c r="H185" s="76">
        <v>1</v>
      </c>
      <c r="I185" s="76">
        <v>0</v>
      </c>
      <c r="J185" s="76">
        <v>0</v>
      </c>
      <c r="K185" s="48">
        <v>0</v>
      </c>
      <c r="L185" s="76">
        <v>0</v>
      </c>
      <c r="M185" s="76">
        <v>0</v>
      </c>
      <c r="N185" s="76">
        <v>0</v>
      </c>
      <c r="O185" s="76">
        <v>0</v>
      </c>
      <c r="P185" s="76">
        <v>0</v>
      </c>
      <c r="Q185" s="76">
        <v>0</v>
      </c>
      <c r="R185" s="76">
        <v>0</v>
      </c>
      <c r="S185" s="76">
        <v>0</v>
      </c>
      <c r="T185" s="76">
        <v>1</v>
      </c>
      <c r="U185" s="76">
        <v>0</v>
      </c>
      <c r="V185" s="48">
        <v>1</v>
      </c>
      <c r="W185" s="43" t="s">
        <v>1462</v>
      </c>
    </row>
    <row r="186" spans="1:23" s="41" customFormat="1" ht="16.5" customHeight="1" x14ac:dyDescent="0.25">
      <c r="A186" s="255" t="s">
        <v>1665</v>
      </c>
      <c r="B186" s="255" t="s">
        <v>809</v>
      </c>
      <c r="C186" s="255" t="s">
        <v>1087</v>
      </c>
      <c r="D186" s="255" t="s">
        <v>159</v>
      </c>
      <c r="E186" s="255" t="s">
        <v>290</v>
      </c>
      <c r="F186" s="40" t="s">
        <v>816</v>
      </c>
      <c r="G186" s="49">
        <v>0</v>
      </c>
      <c r="H186" s="77">
        <v>1</v>
      </c>
      <c r="I186" s="77">
        <v>2</v>
      </c>
      <c r="J186" s="77">
        <v>1</v>
      </c>
      <c r="K186" s="50">
        <v>1</v>
      </c>
      <c r="L186" s="77">
        <v>2</v>
      </c>
      <c r="M186" s="77">
        <v>0</v>
      </c>
      <c r="N186" s="77">
        <v>0</v>
      </c>
      <c r="O186" s="77">
        <v>0</v>
      </c>
      <c r="P186" s="77">
        <v>0</v>
      </c>
      <c r="Q186" s="77">
        <v>0</v>
      </c>
      <c r="R186" s="77">
        <v>0</v>
      </c>
      <c r="S186" s="77">
        <v>1</v>
      </c>
      <c r="T186" s="77">
        <v>2</v>
      </c>
      <c r="U186" s="77">
        <v>0</v>
      </c>
      <c r="V186" s="50">
        <v>5</v>
      </c>
      <c r="W186" s="41" t="s">
        <v>1463</v>
      </c>
    </row>
    <row r="187" spans="1:23" ht="16.5" customHeight="1" x14ac:dyDescent="0.25">
      <c r="A187" s="255" t="s">
        <v>1665</v>
      </c>
      <c r="B187" s="255" t="s">
        <v>809</v>
      </c>
      <c r="C187" s="255" t="s">
        <v>1087</v>
      </c>
      <c r="D187" s="255" t="s">
        <v>1271</v>
      </c>
      <c r="E187" s="255" t="s">
        <v>290</v>
      </c>
      <c r="F187" s="11" t="s">
        <v>817</v>
      </c>
      <c r="G187" s="51">
        <v>0</v>
      </c>
      <c r="H187" s="78">
        <v>0</v>
      </c>
      <c r="I187" s="78">
        <v>0</v>
      </c>
      <c r="J187" s="78">
        <v>1</v>
      </c>
      <c r="K187" s="52">
        <v>0</v>
      </c>
      <c r="L187" s="78">
        <v>0</v>
      </c>
      <c r="M187" s="78">
        <v>0</v>
      </c>
      <c r="N187" s="78">
        <v>0</v>
      </c>
      <c r="O187" s="78">
        <v>0</v>
      </c>
      <c r="P187" s="78">
        <v>0</v>
      </c>
      <c r="Q187" s="78">
        <v>0</v>
      </c>
      <c r="R187" s="78">
        <v>0</v>
      </c>
      <c r="S187" s="78">
        <v>0</v>
      </c>
      <c r="T187" s="78">
        <v>1</v>
      </c>
      <c r="U187" s="78">
        <v>0</v>
      </c>
      <c r="V187" s="52">
        <v>1</v>
      </c>
      <c r="W187" t="s">
        <v>1464</v>
      </c>
    </row>
    <row r="188" spans="1:23" s="43" customFormat="1" ht="16.5" customHeight="1" x14ac:dyDescent="0.25">
      <c r="A188" s="255" t="s">
        <v>1665</v>
      </c>
      <c r="B188" s="255" t="s">
        <v>810</v>
      </c>
      <c r="C188" s="255"/>
      <c r="D188" s="255" t="s">
        <v>1272</v>
      </c>
      <c r="E188" s="255" t="s">
        <v>274</v>
      </c>
      <c r="F188" s="42" t="s">
        <v>815</v>
      </c>
      <c r="G188" s="47">
        <v>0</v>
      </c>
      <c r="H188" s="76">
        <v>0</v>
      </c>
      <c r="I188" s="76">
        <v>0</v>
      </c>
      <c r="J188" s="76">
        <v>0</v>
      </c>
      <c r="K188" s="48">
        <v>0</v>
      </c>
      <c r="L188" s="76">
        <v>0</v>
      </c>
      <c r="M188" s="76">
        <v>0</v>
      </c>
      <c r="N188" s="76">
        <v>0</v>
      </c>
      <c r="O188" s="76">
        <v>0</v>
      </c>
      <c r="P188" s="76">
        <v>0</v>
      </c>
      <c r="Q188" s="76">
        <v>0</v>
      </c>
      <c r="R188" s="76">
        <v>0</v>
      </c>
      <c r="S188" s="76">
        <v>0</v>
      </c>
      <c r="T188" s="76">
        <v>0</v>
      </c>
      <c r="U188" s="76">
        <v>0</v>
      </c>
      <c r="V188" s="48">
        <v>0</v>
      </c>
      <c r="W188" s="43" t="s">
        <v>1465</v>
      </c>
    </row>
    <row r="189" spans="1:23" s="41" customFormat="1" ht="16.5" customHeight="1" x14ac:dyDescent="0.25">
      <c r="A189" s="255" t="s">
        <v>1665</v>
      </c>
      <c r="B189" s="255" t="s">
        <v>810</v>
      </c>
      <c r="C189" s="255"/>
      <c r="D189" s="255" t="s">
        <v>1272</v>
      </c>
      <c r="E189" s="255" t="s">
        <v>1131</v>
      </c>
      <c r="F189" s="40" t="s">
        <v>828</v>
      </c>
      <c r="G189" s="49">
        <v>2</v>
      </c>
      <c r="H189" s="77">
        <v>24</v>
      </c>
      <c r="I189" s="77">
        <v>8</v>
      </c>
      <c r="J189" s="77">
        <v>6</v>
      </c>
      <c r="K189" s="50">
        <v>0</v>
      </c>
      <c r="L189" s="77">
        <v>6</v>
      </c>
      <c r="M189" s="77">
        <v>4</v>
      </c>
      <c r="N189" s="77">
        <v>5</v>
      </c>
      <c r="O189" s="77">
        <v>3</v>
      </c>
      <c r="P189" s="77">
        <v>2</v>
      </c>
      <c r="Q189" s="77">
        <v>5</v>
      </c>
      <c r="R189" s="77">
        <v>3</v>
      </c>
      <c r="S189" s="77">
        <v>5</v>
      </c>
      <c r="T189" s="77">
        <v>3</v>
      </c>
      <c r="U189" s="77">
        <v>4</v>
      </c>
      <c r="V189" s="50">
        <v>40</v>
      </c>
      <c r="W189" s="41" t="s">
        <v>1454</v>
      </c>
    </row>
    <row r="190" spans="1:23" ht="16.5" customHeight="1" x14ac:dyDescent="0.25">
      <c r="A190" s="255" t="s">
        <v>1665</v>
      </c>
      <c r="B190" s="255" t="s">
        <v>810</v>
      </c>
      <c r="C190" s="255"/>
      <c r="D190" s="255" t="s">
        <v>149</v>
      </c>
      <c r="E190" s="255" t="s">
        <v>274</v>
      </c>
      <c r="F190" s="11" t="s">
        <v>817</v>
      </c>
      <c r="G190" s="51">
        <v>0</v>
      </c>
      <c r="H190" s="78">
        <v>0</v>
      </c>
      <c r="I190" s="78">
        <v>3</v>
      </c>
      <c r="J190" s="78">
        <v>0</v>
      </c>
      <c r="K190" s="52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78">
        <v>3</v>
      </c>
      <c r="R190" s="78">
        <v>0</v>
      </c>
      <c r="S190" s="78">
        <v>0</v>
      </c>
      <c r="T190" s="78">
        <v>0</v>
      </c>
      <c r="U190" s="78">
        <v>0</v>
      </c>
      <c r="V190" s="52">
        <v>3</v>
      </c>
      <c r="W190" t="s">
        <v>1466</v>
      </c>
    </row>
    <row r="191" spans="1:23" s="43" customFormat="1" ht="16.5" customHeight="1" x14ac:dyDescent="0.25">
      <c r="A191" s="255" t="s">
        <v>1665</v>
      </c>
      <c r="B191" s="255" t="s">
        <v>811</v>
      </c>
      <c r="C191" s="255"/>
      <c r="D191" s="255" t="s">
        <v>1273</v>
      </c>
      <c r="E191" s="255" t="s">
        <v>1128</v>
      </c>
      <c r="F191" s="42" t="s">
        <v>815</v>
      </c>
      <c r="G191" s="47">
        <v>0</v>
      </c>
      <c r="H191" s="76">
        <v>0</v>
      </c>
      <c r="I191" s="76">
        <v>0</v>
      </c>
      <c r="J191" s="76">
        <v>1</v>
      </c>
      <c r="K191" s="48">
        <v>0</v>
      </c>
      <c r="L191" s="76">
        <v>0</v>
      </c>
      <c r="M191" s="76">
        <v>0</v>
      </c>
      <c r="N191" s="76">
        <v>0</v>
      </c>
      <c r="O191" s="76">
        <v>0</v>
      </c>
      <c r="P191" s="76">
        <v>0</v>
      </c>
      <c r="Q191" s="76">
        <v>0</v>
      </c>
      <c r="R191" s="76">
        <v>0</v>
      </c>
      <c r="S191" s="76">
        <v>0</v>
      </c>
      <c r="T191" s="76">
        <v>1</v>
      </c>
      <c r="U191" s="76">
        <v>0</v>
      </c>
      <c r="V191" s="48">
        <v>1</v>
      </c>
      <c r="W191" s="43" t="s">
        <v>1467</v>
      </c>
    </row>
    <row r="192" spans="1:23" s="41" customFormat="1" ht="16.5" customHeight="1" x14ac:dyDescent="0.25">
      <c r="A192" s="255" t="s">
        <v>1665</v>
      </c>
      <c r="B192" s="255" t="s">
        <v>811</v>
      </c>
      <c r="C192" s="255"/>
      <c r="D192" s="255" t="s">
        <v>150</v>
      </c>
      <c r="E192" s="255" t="s">
        <v>274</v>
      </c>
      <c r="F192" s="40" t="s">
        <v>816</v>
      </c>
      <c r="G192" s="49">
        <v>2</v>
      </c>
      <c r="H192" s="77">
        <v>24</v>
      </c>
      <c r="I192" s="77">
        <v>10</v>
      </c>
      <c r="J192" s="77">
        <v>10</v>
      </c>
      <c r="K192" s="50">
        <v>1</v>
      </c>
      <c r="L192" s="77">
        <v>7</v>
      </c>
      <c r="M192" s="77">
        <v>5</v>
      </c>
      <c r="N192" s="77">
        <v>6</v>
      </c>
      <c r="O192" s="77">
        <v>4</v>
      </c>
      <c r="P192" s="77">
        <v>3</v>
      </c>
      <c r="Q192" s="77">
        <v>6</v>
      </c>
      <c r="R192" s="77">
        <v>3</v>
      </c>
      <c r="S192" s="77">
        <v>6</v>
      </c>
      <c r="T192" s="77">
        <v>3</v>
      </c>
      <c r="U192" s="77">
        <v>4</v>
      </c>
      <c r="V192" s="50">
        <v>47</v>
      </c>
      <c r="W192" s="41" t="s">
        <v>1464</v>
      </c>
    </row>
    <row r="193" spans="1:23" ht="16.5" customHeight="1" x14ac:dyDescent="0.25">
      <c r="A193" s="255" t="s">
        <v>1665</v>
      </c>
      <c r="B193" s="255" t="s">
        <v>811</v>
      </c>
      <c r="C193" s="255"/>
      <c r="D193" s="255" t="s">
        <v>150</v>
      </c>
      <c r="E193" s="255" t="s">
        <v>274</v>
      </c>
      <c r="F193" s="11" t="s">
        <v>817</v>
      </c>
      <c r="G193" s="51">
        <v>0</v>
      </c>
      <c r="H193" s="78">
        <v>1</v>
      </c>
      <c r="I193" s="78">
        <v>6</v>
      </c>
      <c r="J193" s="78">
        <v>0</v>
      </c>
      <c r="K193" s="52">
        <v>1</v>
      </c>
      <c r="L193" s="78">
        <v>3</v>
      </c>
      <c r="M193" s="78">
        <v>0</v>
      </c>
      <c r="N193" s="78">
        <v>0</v>
      </c>
      <c r="O193" s="78">
        <v>0</v>
      </c>
      <c r="P193" s="78">
        <v>0</v>
      </c>
      <c r="Q193" s="78">
        <v>2</v>
      </c>
      <c r="R193" s="78">
        <v>1</v>
      </c>
      <c r="S193" s="78">
        <v>0</v>
      </c>
      <c r="T193" s="78">
        <v>2</v>
      </c>
      <c r="U193" s="78">
        <v>0</v>
      </c>
      <c r="V193" s="52">
        <v>8</v>
      </c>
      <c r="W193" t="s">
        <v>1468</v>
      </c>
    </row>
    <row r="194" spans="1:23" s="43" customFormat="1" ht="16.5" customHeight="1" x14ac:dyDescent="0.25">
      <c r="A194" s="255" t="s">
        <v>1665</v>
      </c>
      <c r="B194" s="255" t="s">
        <v>812</v>
      </c>
      <c r="C194" s="255" t="s">
        <v>834</v>
      </c>
      <c r="D194" s="255" t="s">
        <v>151</v>
      </c>
      <c r="E194" s="255" t="s">
        <v>274</v>
      </c>
      <c r="F194" s="42" t="s">
        <v>815</v>
      </c>
      <c r="G194" s="47">
        <v>1</v>
      </c>
      <c r="H194" s="76">
        <v>0</v>
      </c>
      <c r="I194" s="76">
        <v>0</v>
      </c>
      <c r="J194" s="76">
        <v>0</v>
      </c>
      <c r="K194" s="48">
        <v>0</v>
      </c>
      <c r="L194" s="76">
        <v>1</v>
      </c>
      <c r="M194" s="76">
        <v>0</v>
      </c>
      <c r="N194" s="76">
        <v>0</v>
      </c>
      <c r="O194" s="76">
        <v>0</v>
      </c>
      <c r="P194" s="76">
        <v>0</v>
      </c>
      <c r="Q194" s="76">
        <v>0</v>
      </c>
      <c r="R194" s="76">
        <v>0</v>
      </c>
      <c r="S194" s="76">
        <v>0</v>
      </c>
      <c r="T194" s="76">
        <v>0</v>
      </c>
      <c r="U194" s="76">
        <v>0</v>
      </c>
      <c r="V194" s="48">
        <v>1</v>
      </c>
      <c r="W194" s="43" t="s">
        <v>1469</v>
      </c>
    </row>
    <row r="195" spans="1:23" s="41" customFormat="1" ht="16.5" customHeight="1" x14ac:dyDescent="0.25">
      <c r="A195" s="255" t="s">
        <v>1665</v>
      </c>
      <c r="B195" s="255" t="s">
        <v>812</v>
      </c>
      <c r="C195" s="255" t="s">
        <v>834</v>
      </c>
      <c r="D195" s="255" t="s">
        <v>1274</v>
      </c>
      <c r="E195" s="255" t="s">
        <v>274</v>
      </c>
      <c r="F195" s="40" t="s">
        <v>816</v>
      </c>
      <c r="G195" s="49">
        <v>1</v>
      </c>
      <c r="H195" s="77">
        <v>12</v>
      </c>
      <c r="I195" s="77">
        <v>0</v>
      </c>
      <c r="J195" s="77">
        <v>0</v>
      </c>
      <c r="K195" s="50">
        <v>1</v>
      </c>
      <c r="L195" s="77">
        <v>2</v>
      </c>
      <c r="M195" s="77">
        <v>3</v>
      </c>
      <c r="N195" s="77">
        <v>1</v>
      </c>
      <c r="O195" s="77">
        <v>1</v>
      </c>
      <c r="P195" s="77">
        <v>1</v>
      </c>
      <c r="Q195" s="77">
        <v>1</v>
      </c>
      <c r="R195" s="77">
        <v>1</v>
      </c>
      <c r="S195" s="77">
        <v>1</v>
      </c>
      <c r="T195" s="77">
        <v>1</v>
      </c>
      <c r="U195" s="77">
        <v>2</v>
      </c>
      <c r="V195" s="50">
        <v>14</v>
      </c>
      <c r="W195" s="41" t="s">
        <v>1470</v>
      </c>
    </row>
    <row r="196" spans="1:23" ht="16.5" customHeight="1" x14ac:dyDescent="0.25">
      <c r="A196" s="255" t="s">
        <v>1665</v>
      </c>
      <c r="B196" s="255" t="s">
        <v>812</v>
      </c>
      <c r="C196" s="255" t="s">
        <v>834</v>
      </c>
      <c r="D196" s="255" t="s">
        <v>151</v>
      </c>
      <c r="E196" s="255" t="s">
        <v>274</v>
      </c>
      <c r="F196" s="11" t="s">
        <v>817</v>
      </c>
      <c r="G196" s="51">
        <v>0</v>
      </c>
      <c r="H196" s="78">
        <v>0</v>
      </c>
      <c r="I196" s="78">
        <v>0</v>
      </c>
      <c r="J196" s="78">
        <v>0</v>
      </c>
      <c r="K196" s="52">
        <v>0</v>
      </c>
      <c r="L196" s="78">
        <v>0</v>
      </c>
      <c r="M196" s="78">
        <v>0</v>
      </c>
      <c r="N196" s="78">
        <v>0</v>
      </c>
      <c r="O196" s="78">
        <v>0</v>
      </c>
      <c r="P196" s="78">
        <v>0</v>
      </c>
      <c r="Q196" s="78">
        <v>0</v>
      </c>
      <c r="R196" s="78">
        <v>0</v>
      </c>
      <c r="S196" s="78">
        <v>0</v>
      </c>
      <c r="T196" s="78">
        <v>0</v>
      </c>
      <c r="U196" s="78">
        <v>0</v>
      </c>
      <c r="V196" s="52">
        <v>0</v>
      </c>
      <c r="W196" t="s">
        <v>1454</v>
      </c>
    </row>
    <row r="197" spans="1:23" s="43" customFormat="1" ht="16.5" customHeight="1" x14ac:dyDescent="0.25">
      <c r="A197" s="255" t="s">
        <v>1665</v>
      </c>
      <c r="B197" s="255" t="s">
        <v>813</v>
      </c>
      <c r="C197" s="255" t="s">
        <v>1089</v>
      </c>
      <c r="D197" s="255" t="s">
        <v>153</v>
      </c>
      <c r="E197" s="255" t="s">
        <v>274</v>
      </c>
      <c r="F197" s="42" t="s">
        <v>815</v>
      </c>
      <c r="G197" s="47">
        <v>0</v>
      </c>
      <c r="H197" s="76">
        <v>0</v>
      </c>
      <c r="I197" s="76">
        <v>1</v>
      </c>
      <c r="J197" s="76">
        <v>0</v>
      </c>
      <c r="K197" s="48">
        <v>0</v>
      </c>
      <c r="L197" s="76">
        <v>1</v>
      </c>
      <c r="M197" s="76">
        <v>0</v>
      </c>
      <c r="N197" s="76">
        <v>0</v>
      </c>
      <c r="O197" s="76">
        <v>0</v>
      </c>
      <c r="P197" s="76">
        <v>0</v>
      </c>
      <c r="Q197" s="76">
        <v>0</v>
      </c>
      <c r="R197" s="76">
        <v>0</v>
      </c>
      <c r="S197" s="76">
        <v>0</v>
      </c>
      <c r="T197" s="76">
        <v>0</v>
      </c>
      <c r="U197" s="76">
        <v>0</v>
      </c>
      <c r="V197" s="48">
        <v>1</v>
      </c>
      <c r="W197" s="43" t="s">
        <v>1471</v>
      </c>
    </row>
    <row r="198" spans="1:23" s="41" customFormat="1" ht="16.5" customHeight="1" x14ac:dyDescent="0.25">
      <c r="A198" s="255" t="s">
        <v>1665</v>
      </c>
      <c r="B198" s="255" t="s">
        <v>813</v>
      </c>
      <c r="C198" s="255" t="s">
        <v>1089</v>
      </c>
      <c r="D198" s="255" t="s">
        <v>153</v>
      </c>
      <c r="E198" s="255" t="s">
        <v>1130</v>
      </c>
      <c r="F198" s="40" t="s">
        <v>816</v>
      </c>
      <c r="G198" s="49">
        <v>0</v>
      </c>
      <c r="H198" s="77">
        <v>0</v>
      </c>
      <c r="I198" s="77">
        <v>1</v>
      </c>
      <c r="J198" s="77">
        <v>1</v>
      </c>
      <c r="K198" s="50">
        <v>0</v>
      </c>
      <c r="L198" s="77">
        <v>1</v>
      </c>
      <c r="M198" s="77">
        <v>0</v>
      </c>
      <c r="N198" s="77">
        <v>0</v>
      </c>
      <c r="O198" s="77">
        <v>0</v>
      </c>
      <c r="P198" s="77">
        <v>1</v>
      </c>
      <c r="Q198" s="77">
        <v>0</v>
      </c>
      <c r="R198" s="77">
        <v>0</v>
      </c>
      <c r="S198" s="77">
        <v>0</v>
      </c>
      <c r="T198" s="77">
        <v>0</v>
      </c>
      <c r="U198" s="77">
        <v>0</v>
      </c>
      <c r="V198" s="50">
        <v>2</v>
      </c>
      <c r="W198" s="41" t="s">
        <v>1472</v>
      </c>
    </row>
    <row r="199" spans="1:23" ht="16.5" customHeight="1" x14ac:dyDescent="0.25">
      <c r="A199" s="255" t="s">
        <v>1665</v>
      </c>
      <c r="B199" s="255" t="s">
        <v>813</v>
      </c>
      <c r="C199" s="255" t="s">
        <v>1089</v>
      </c>
      <c r="D199" s="255" t="s">
        <v>1275</v>
      </c>
      <c r="E199" s="255" t="s">
        <v>1130</v>
      </c>
      <c r="F199" s="11" t="s">
        <v>817</v>
      </c>
      <c r="G199" s="51">
        <v>0</v>
      </c>
      <c r="H199" s="78">
        <v>0</v>
      </c>
      <c r="I199" s="78">
        <v>0</v>
      </c>
      <c r="J199" s="78">
        <v>0</v>
      </c>
      <c r="K199" s="52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78">
        <v>0</v>
      </c>
      <c r="T199" s="78">
        <v>0</v>
      </c>
      <c r="U199" s="78">
        <v>0</v>
      </c>
      <c r="V199" s="52">
        <v>0</v>
      </c>
      <c r="W199" t="s">
        <v>1454</v>
      </c>
    </row>
    <row r="200" spans="1:23" s="43" customFormat="1" ht="16.5" customHeight="1" x14ac:dyDescent="0.25">
      <c r="A200" s="255" t="s">
        <v>1665</v>
      </c>
      <c r="B200" s="255" t="s">
        <v>814</v>
      </c>
      <c r="C200" s="255" t="s">
        <v>1088</v>
      </c>
      <c r="D200" s="255" t="s">
        <v>1276</v>
      </c>
      <c r="E200" s="255" t="s">
        <v>1128</v>
      </c>
      <c r="F200" s="42" t="s">
        <v>815</v>
      </c>
      <c r="G200" s="47">
        <v>1</v>
      </c>
      <c r="H200" s="76">
        <v>4</v>
      </c>
      <c r="I200" s="76">
        <v>8</v>
      </c>
      <c r="J200" s="76">
        <v>11</v>
      </c>
      <c r="K200" s="48">
        <v>0</v>
      </c>
      <c r="L200" s="76">
        <v>2</v>
      </c>
      <c r="M200" s="76">
        <v>2</v>
      </c>
      <c r="N200" s="76">
        <v>3</v>
      </c>
      <c r="O200" s="76">
        <v>1</v>
      </c>
      <c r="P200" s="76">
        <v>2</v>
      </c>
      <c r="Q200" s="76">
        <v>4</v>
      </c>
      <c r="R200" s="76">
        <v>1</v>
      </c>
      <c r="S200" s="76">
        <v>3</v>
      </c>
      <c r="T200" s="76">
        <v>3</v>
      </c>
      <c r="U200" s="76">
        <v>3</v>
      </c>
      <c r="V200" s="48">
        <v>24</v>
      </c>
      <c r="W200" s="43" t="s">
        <v>1473</v>
      </c>
    </row>
    <row r="201" spans="1:23" s="41" customFormat="1" ht="16.5" customHeight="1" x14ac:dyDescent="0.25">
      <c r="A201" s="255" t="s">
        <v>1665</v>
      </c>
      <c r="B201" s="255" t="s">
        <v>814</v>
      </c>
      <c r="C201" s="255" t="s">
        <v>1088</v>
      </c>
      <c r="D201" s="255" t="s">
        <v>155</v>
      </c>
      <c r="E201" s="255" t="s">
        <v>1129</v>
      </c>
      <c r="F201" s="40" t="s">
        <v>816</v>
      </c>
      <c r="G201" s="49">
        <v>0</v>
      </c>
      <c r="H201" s="77">
        <v>0</v>
      </c>
      <c r="I201" s="77">
        <v>0</v>
      </c>
      <c r="J201" s="77">
        <v>1</v>
      </c>
      <c r="K201" s="50">
        <v>0</v>
      </c>
      <c r="L201" s="77">
        <v>1</v>
      </c>
      <c r="M201" s="77">
        <v>0</v>
      </c>
      <c r="N201" s="77">
        <v>0</v>
      </c>
      <c r="O201" s="77">
        <v>0</v>
      </c>
      <c r="P201" s="77">
        <v>0</v>
      </c>
      <c r="Q201" s="77">
        <v>0</v>
      </c>
      <c r="R201" s="77">
        <v>0</v>
      </c>
      <c r="S201" s="77">
        <v>0</v>
      </c>
      <c r="T201" s="77">
        <v>0</v>
      </c>
      <c r="U201" s="77">
        <v>0</v>
      </c>
      <c r="V201" s="50">
        <v>1</v>
      </c>
      <c r="W201" s="41" t="s">
        <v>1474</v>
      </c>
    </row>
    <row r="202" spans="1:23" ht="16.5" customHeight="1" x14ac:dyDescent="0.25">
      <c r="A202" s="255" t="s">
        <v>1665</v>
      </c>
      <c r="B202" s="255" t="s">
        <v>814</v>
      </c>
      <c r="C202" s="255" t="s">
        <v>1088</v>
      </c>
      <c r="D202" s="255" t="s">
        <v>1277</v>
      </c>
      <c r="E202" s="255" t="s">
        <v>1128</v>
      </c>
      <c r="F202" s="11" t="s">
        <v>817</v>
      </c>
      <c r="G202" s="51">
        <v>0</v>
      </c>
      <c r="H202" s="78">
        <v>0</v>
      </c>
      <c r="I202" s="78">
        <v>0</v>
      </c>
      <c r="J202" s="78">
        <v>0</v>
      </c>
      <c r="K202" s="52">
        <v>0</v>
      </c>
      <c r="L202" s="78">
        <v>0</v>
      </c>
      <c r="M202" s="78">
        <v>0</v>
      </c>
      <c r="N202" s="78">
        <v>0</v>
      </c>
      <c r="O202" s="78">
        <v>0</v>
      </c>
      <c r="P202" s="78">
        <v>0</v>
      </c>
      <c r="Q202" s="78">
        <v>0</v>
      </c>
      <c r="R202" s="78">
        <v>0</v>
      </c>
      <c r="S202" s="78">
        <v>0</v>
      </c>
      <c r="T202" s="78">
        <v>0</v>
      </c>
      <c r="U202" s="78">
        <v>0</v>
      </c>
      <c r="V202" s="52">
        <v>0</v>
      </c>
      <c r="W202" t="s">
        <v>1454</v>
      </c>
    </row>
    <row r="203" spans="1:23" s="43" customFormat="1" ht="16.5" customHeight="1" x14ac:dyDescent="0.25">
      <c r="A203" s="255" t="s">
        <v>1665</v>
      </c>
      <c r="B203" s="255" t="s">
        <v>765</v>
      </c>
      <c r="C203" s="255" t="s">
        <v>1088</v>
      </c>
      <c r="D203" s="255" t="s">
        <v>1278</v>
      </c>
      <c r="E203" s="255" t="s">
        <v>274</v>
      </c>
      <c r="F203" s="42" t="s">
        <v>815</v>
      </c>
      <c r="G203" s="47">
        <v>0</v>
      </c>
      <c r="H203" s="76">
        <v>0</v>
      </c>
      <c r="I203" s="76">
        <v>0</v>
      </c>
      <c r="J203" s="76">
        <v>1</v>
      </c>
      <c r="K203" s="48">
        <v>0</v>
      </c>
      <c r="L203" s="76">
        <v>1</v>
      </c>
      <c r="M203" s="76">
        <v>0</v>
      </c>
      <c r="N203" s="76">
        <v>0</v>
      </c>
      <c r="O203" s="76">
        <v>0</v>
      </c>
      <c r="P203" s="76">
        <v>0</v>
      </c>
      <c r="Q203" s="76">
        <v>0</v>
      </c>
      <c r="R203" s="76">
        <v>0</v>
      </c>
      <c r="S203" s="76">
        <v>0</v>
      </c>
      <c r="T203" s="76">
        <v>0</v>
      </c>
      <c r="U203" s="76">
        <v>0</v>
      </c>
      <c r="V203" s="48">
        <v>1</v>
      </c>
      <c r="W203" s="43" t="s">
        <v>1475</v>
      </c>
    </row>
    <row r="204" spans="1:23" s="41" customFormat="1" ht="16.5" customHeight="1" x14ac:dyDescent="0.25">
      <c r="A204" s="255" t="s">
        <v>1665</v>
      </c>
      <c r="B204" s="255" t="s">
        <v>765</v>
      </c>
      <c r="C204" s="255" t="s">
        <v>1088</v>
      </c>
      <c r="D204" s="255" t="s">
        <v>152</v>
      </c>
      <c r="E204" s="255" t="s">
        <v>274</v>
      </c>
      <c r="F204" s="40" t="s">
        <v>816</v>
      </c>
      <c r="G204" s="49">
        <v>0</v>
      </c>
      <c r="H204" s="77">
        <v>0</v>
      </c>
      <c r="I204" s="77">
        <v>1</v>
      </c>
      <c r="J204" s="77">
        <v>2</v>
      </c>
      <c r="K204" s="50">
        <v>0</v>
      </c>
      <c r="L204" s="77">
        <v>1</v>
      </c>
      <c r="M204" s="77">
        <v>0</v>
      </c>
      <c r="N204" s="77">
        <v>0</v>
      </c>
      <c r="O204" s="77">
        <v>0</v>
      </c>
      <c r="P204" s="77">
        <v>1</v>
      </c>
      <c r="Q204" s="77">
        <v>0</v>
      </c>
      <c r="R204" s="77">
        <v>0</v>
      </c>
      <c r="S204" s="77">
        <v>0</v>
      </c>
      <c r="T204" s="77">
        <v>1</v>
      </c>
      <c r="U204" s="77">
        <v>0</v>
      </c>
      <c r="V204" s="50">
        <v>3</v>
      </c>
      <c r="W204" s="41" t="s">
        <v>1473</v>
      </c>
    </row>
    <row r="205" spans="1:23" ht="16.5" customHeight="1" x14ac:dyDescent="0.25">
      <c r="A205" s="255" t="s">
        <v>1665</v>
      </c>
      <c r="B205" s="255" t="s">
        <v>765</v>
      </c>
      <c r="C205" s="255" t="s">
        <v>1088</v>
      </c>
      <c r="D205" s="255" t="s">
        <v>1278</v>
      </c>
      <c r="E205" s="255" t="s">
        <v>274</v>
      </c>
      <c r="F205" s="11" t="s">
        <v>817</v>
      </c>
      <c r="G205" s="51">
        <v>0</v>
      </c>
      <c r="H205" s="78">
        <v>0</v>
      </c>
      <c r="I205" s="78">
        <v>0</v>
      </c>
      <c r="J205" s="78">
        <v>0</v>
      </c>
      <c r="K205" s="52">
        <v>0</v>
      </c>
      <c r="L205" s="78">
        <v>0</v>
      </c>
      <c r="M205" s="78">
        <v>0</v>
      </c>
      <c r="N205" s="78">
        <v>0</v>
      </c>
      <c r="O205" s="78">
        <v>0</v>
      </c>
      <c r="P205" s="78">
        <v>0</v>
      </c>
      <c r="Q205" s="78">
        <v>0</v>
      </c>
      <c r="R205" s="78">
        <v>0</v>
      </c>
      <c r="S205" s="78">
        <v>0</v>
      </c>
      <c r="T205" s="78">
        <v>0</v>
      </c>
      <c r="U205" s="78">
        <v>0</v>
      </c>
      <c r="V205" s="52">
        <v>0</v>
      </c>
      <c r="W205" t="s">
        <v>1454</v>
      </c>
    </row>
    <row r="206" spans="1:23" s="43" customFormat="1" ht="16.5" customHeight="1" x14ac:dyDescent="0.25">
      <c r="A206" s="255" t="s">
        <v>1665</v>
      </c>
      <c r="B206" s="255" t="s">
        <v>766</v>
      </c>
      <c r="C206" s="255" t="s">
        <v>1089</v>
      </c>
      <c r="D206" s="255" t="s">
        <v>1279</v>
      </c>
      <c r="E206" s="255" t="s">
        <v>283</v>
      </c>
      <c r="F206" s="42" t="s">
        <v>815</v>
      </c>
      <c r="G206" s="47">
        <v>0</v>
      </c>
      <c r="H206" s="76">
        <v>0</v>
      </c>
      <c r="I206" s="76">
        <v>0</v>
      </c>
      <c r="J206" s="76">
        <v>1</v>
      </c>
      <c r="K206" s="48">
        <v>0</v>
      </c>
      <c r="L206" s="76">
        <v>0</v>
      </c>
      <c r="M206" s="76">
        <v>0</v>
      </c>
      <c r="N206" s="76">
        <v>0</v>
      </c>
      <c r="O206" s="76">
        <v>0</v>
      </c>
      <c r="P206" s="76">
        <v>1</v>
      </c>
      <c r="Q206" s="76">
        <v>0</v>
      </c>
      <c r="R206" s="76">
        <v>0</v>
      </c>
      <c r="S206" s="76">
        <v>0</v>
      </c>
      <c r="T206" s="76">
        <v>0</v>
      </c>
      <c r="U206" s="76">
        <v>0</v>
      </c>
      <c r="V206" s="48">
        <v>1</v>
      </c>
      <c r="W206" s="43" t="s">
        <v>1476</v>
      </c>
    </row>
    <row r="207" spans="1:23" s="41" customFormat="1" ht="16.5" customHeight="1" x14ac:dyDescent="0.25">
      <c r="A207" s="255" t="s">
        <v>1665</v>
      </c>
      <c r="B207" s="255" t="s">
        <v>766</v>
      </c>
      <c r="C207" s="255" t="s">
        <v>1089</v>
      </c>
      <c r="D207" s="255" t="s">
        <v>1279</v>
      </c>
      <c r="E207" s="255" t="s">
        <v>1126</v>
      </c>
      <c r="F207" s="40" t="s">
        <v>816</v>
      </c>
      <c r="G207" s="49">
        <v>0</v>
      </c>
      <c r="H207" s="77">
        <v>0</v>
      </c>
      <c r="I207" s="77">
        <v>0</v>
      </c>
      <c r="J207" s="77">
        <v>1</v>
      </c>
      <c r="K207" s="50">
        <v>0</v>
      </c>
      <c r="L207" s="77">
        <v>0</v>
      </c>
      <c r="M207" s="77">
        <v>1</v>
      </c>
      <c r="N207" s="77">
        <v>0</v>
      </c>
      <c r="O207" s="77">
        <v>0</v>
      </c>
      <c r="P207" s="77">
        <v>0</v>
      </c>
      <c r="Q207" s="77">
        <v>0</v>
      </c>
      <c r="R207" s="77">
        <v>0</v>
      </c>
      <c r="S207" s="77">
        <v>0</v>
      </c>
      <c r="T207" s="77">
        <v>0</v>
      </c>
      <c r="U207" s="77">
        <v>0</v>
      </c>
      <c r="V207" s="50">
        <v>1</v>
      </c>
      <c r="W207" s="41" t="s">
        <v>1477</v>
      </c>
    </row>
    <row r="208" spans="1:23" ht="16.5" customHeight="1" x14ac:dyDescent="0.25">
      <c r="A208" s="255" t="s">
        <v>1665</v>
      </c>
      <c r="B208" s="255" t="s">
        <v>766</v>
      </c>
      <c r="C208" s="255" t="s">
        <v>1089</v>
      </c>
      <c r="D208" s="255" t="s">
        <v>1280</v>
      </c>
      <c r="E208" s="255" t="s">
        <v>283</v>
      </c>
      <c r="F208" s="11" t="s">
        <v>826</v>
      </c>
      <c r="G208" s="51">
        <v>0</v>
      </c>
      <c r="H208" s="78">
        <v>0</v>
      </c>
      <c r="I208" s="78">
        <v>0</v>
      </c>
      <c r="J208" s="78">
        <v>0</v>
      </c>
      <c r="K208" s="52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52">
        <v>0</v>
      </c>
      <c r="W208" t="s">
        <v>1454</v>
      </c>
    </row>
    <row r="209" spans="1:23" s="43" customFormat="1" ht="16.5" customHeight="1" x14ac:dyDescent="0.25">
      <c r="A209" s="255" t="s">
        <v>1665</v>
      </c>
      <c r="B209" s="255" t="s">
        <v>767</v>
      </c>
      <c r="C209" s="255" t="s">
        <v>1089</v>
      </c>
      <c r="D209" s="255" t="s">
        <v>1281</v>
      </c>
      <c r="E209" s="255" t="s">
        <v>283</v>
      </c>
      <c r="F209" s="42" t="s">
        <v>815</v>
      </c>
      <c r="G209" s="47">
        <v>0</v>
      </c>
      <c r="H209" s="76">
        <v>0</v>
      </c>
      <c r="I209" s="76">
        <v>0</v>
      </c>
      <c r="J209" s="76">
        <v>1</v>
      </c>
      <c r="K209" s="48">
        <v>0</v>
      </c>
      <c r="L209" s="76">
        <v>0</v>
      </c>
      <c r="M209" s="76">
        <v>1</v>
      </c>
      <c r="N209" s="76">
        <v>0</v>
      </c>
      <c r="O209" s="76">
        <v>0</v>
      </c>
      <c r="P209" s="76">
        <v>0</v>
      </c>
      <c r="Q209" s="76">
        <v>0</v>
      </c>
      <c r="R209" s="76">
        <v>0</v>
      </c>
      <c r="S209" s="76">
        <v>0</v>
      </c>
      <c r="T209" s="76">
        <v>0</v>
      </c>
      <c r="U209" s="76">
        <v>0</v>
      </c>
      <c r="V209" s="48">
        <v>1</v>
      </c>
      <c r="W209" s="43" t="s">
        <v>649</v>
      </c>
    </row>
    <row r="210" spans="1:23" s="41" customFormat="1" ht="16.5" customHeight="1" x14ac:dyDescent="0.25">
      <c r="A210" s="255" t="s">
        <v>1665</v>
      </c>
      <c r="B210" s="255" t="s">
        <v>767</v>
      </c>
      <c r="C210" s="255" t="s">
        <v>1089</v>
      </c>
      <c r="D210" s="255" t="s">
        <v>1282</v>
      </c>
      <c r="E210" s="255" t="s">
        <v>1124</v>
      </c>
      <c r="F210" s="40" t="s">
        <v>816</v>
      </c>
      <c r="G210" s="49">
        <v>0</v>
      </c>
      <c r="H210" s="77">
        <v>0</v>
      </c>
      <c r="I210" s="77">
        <v>0</v>
      </c>
      <c r="J210" s="77">
        <v>0</v>
      </c>
      <c r="K210" s="50">
        <v>1</v>
      </c>
      <c r="L210" s="77">
        <v>1</v>
      </c>
      <c r="M210" s="77">
        <v>0</v>
      </c>
      <c r="N210" s="77">
        <v>0</v>
      </c>
      <c r="O210" s="77">
        <v>0</v>
      </c>
      <c r="P210" s="77">
        <v>0</v>
      </c>
      <c r="Q210" s="77">
        <v>0</v>
      </c>
      <c r="R210" s="77">
        <v>0</v>
      </c>
      <c r="S210" s="77">
        <v>0</v>
      </c>
      <c r="T210" s="77">
        <v>0</v>
      </c>
      <c r="U210" s="77">
        <v>0</v>
      </c>
      <c r="V210" s="50">
        <v>1</v>
      </c>
      <c r="W210" s="41" t="s">
        <v>1476</v>
      </c>
    </row>
    <row r="211" spans="1:23" ht="16.5" customHeight="1" x14ac:dyDescent="0.25">
      <c r="A211" s="255" t="s">
        <v>1665</v>
      </c>
      <c r="B211" s="255" t="s">
        <v>767</v>
      </c>
      <c r="C211" s="255" t="s">
        <v>1089</v>
      </c>
      <c r="D211" s="255" t="s">
        <v>1283</v>
      </c>
      <c r="E211" s="255" t="s">
        <v>1124</v>
      </c>
      <c r="F211" s="11" t="s">
        <v>817</v>
      </c>
      <c r="G211" s="51">
        <v>0</v>
      </c>
      <c r="H211" s="78">
        <v>0</v>
      </c>
      <c r="I211" s="78">
        <v>0</v>
      </c>
      <c r="J211" s="78">
        <v>0</v>
      </c>
      <c r="K211" s="52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78">
        <v>0</v>
      </c>
      <c r="R211" s="78">
        <v>0</v>
      </c>
      <c r="S211" s="78">
        <v>0</v>
      </c>
      <c r="T211" s="78">
        <v>0</v>
      </c>
      <c r="U211" s="78">
        <v>0</v>
      </c>
      <c r="V211" s="52">
        <v>0</v>
      </c>
      <c r="W211" t="s">
        <v>1454</v>
      </c>
    </row>
    <row r="212" spans="1:23" s="43" customFormat="1" ht="16.5" customHeight="1" x14ac:dyDescent="0.25">
      <c r="A212" s="255" t="s">
        <v>1665</v>
      </c>
      <c r="B212" s="255" t="s">
        <v>768</v>
      </c>
      <c r="C212" s="255" t="s">
        <v>1089</v>
      </c>
      <c r="D212" s="255" t="s">
        <v>1284</v>
      </c>
      <c r="E212" s="255" t="s">
        <v>1130</v>
      </c>
      <c r="F212" s="42" t="s">
        <v>815</v>
      </c>
      <c r="G212" s="47">
        <v>0</v>
      </c>
      <c r="H212" s="76">
        <v>0</v>
      </c>
      <c r="I212" s="76">
        <v>0</v>
      </c>
      <c r="J212" s="76">
        <v>0</v>
      </c>
      <c r="K212" s="48">
        <v>0</v>
      </c>
      <c r="L212" s="76">
        <v>0</v>
      </c>
      <c r="M212" s="76">
        <v>0</v>
      </c>
      <c r="N212" s="76">
        <v>0</v>
      </c>
      <c r="O212" s="76">
        <v>0</v>
      </c>
      <c r="P212" s="76">
        <v>0</v>
      </c>
      <c r="Q212" s="76">
        <v>0</v>
      </c>
      <c r="R212" s="76">
        <v>0</v>
      </c>
      <c r="S212" s="76">
        <v>0</v>
      </c>
      <c r="T212" s="76">
        <v>0</v>
      </c>
      <c r="U212" s="76">
        <v>0</v>
      </c>
      <c r="V212" s="48">
        <v>0</v>
      </c>
      <c r="W212" s="43" t="s">
        <v>1454</v>
      </c>
    </row>
    <row r="213" spans="1:23" s="41" customFormat="1" ht="16.5" customHeight="1" x14ac:dyDescent="0.25">
      <c r="A213" s="255" t="s">
        <v>1665</v>
      </c>
      <c r="B213" s="255" t="s">
        <v>768</v>
      </c>
      <c r="C213" s="255" t="s">
        <v>1089</v>
      </c>
      <c r="D213" s="255" t="s">
        <v>1285</v>
      </c>
      <c r="E213" s="255" t="s">
        <v>1128</v>
      </c>
      <c r="F213" s="40" t="s">
        <v>816</v>
      </c>
      <c r="G213" s="49">
        <v>0</v>
      </c>
      <c r="H213" s="77">
        <v>0</v>
      </c>
      <c r="I213" s="77">
        <v>0</v>
      </c>
      <c r="J213" s="77">
        <v>0</v>
      </c>
      <c r="K213" s="50">
        <v>0</v>
      </c>
      <c r="L213" s="77">
        <v>0</v>
      </c>
      <c r="M213" s="77">
        <v>0</v>
      </c>
      <c r="N213" s="77">
        <v>0</v>
      </c>
      <c r="O213" s="77">
        <v>0</v>
      </c>
      <c r="P213" s="77">
        <v>0</v>
      </c>
      <c r="Q213" s="77">
        <v>0</v>
      </c>
      <c r="R213" s="77">
        <v>0</v>
      </c>
      <c r="S213" s="77">
        <v>0</v>
      </c>
      <c r="T213" s="77">
        <v>0</v>
      </c>
      <c r="U213" s="77">
        <v>0</v>
      </c>
      <c r="V213" s="50">
        <v>0</v>
      </c>
      <c r="W213" s="41" t="s">
        <v>1454</v>
      </c>
    </row>
    <row r="214" spans="1:23" ht="16.5" customHeight="1" x14ac:dyDescent="0.25">
      <c r="A214" s="255" t="s">
        <v>1665</v>
      </c>
      <c r="B214" s="255" t="s">
        <v>768</v>
      </c>
      <c r="C214" s="255" t="s">
        <v>1089</v>
      </c>
      <c r="D214" s="255" t="s">
        <v>160</v>
      </c>
      <c r="E214" s="255" t="s">
        <v>274</v>
      </c>
      <c r="F214" s="11" t="s">
        <v>817</v>
      </c>
      <c r="G214" s="51">
        <v>0</v>
      </c>
      <c r="H214" s="78">
        <v>0</v>
      </c>
      <c r="I214" s="78">
        <v>0</v>
      </c>
      <c r="J214" s="78">
        <v>0</v>
      </c>
      <c r="K214" s="52">
        <v>1</v>
      </c>
      <c r="L214" s="78">
        <v>1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52">
        <v>1</v>
      </c>
      <c r="W214" t="s">
        <v>649</v>
      </c>
    </row>
    <row r="215" spans="1:23" s="43" customFormat="1" ht="16.5" customHeight="1" x14ac:dyDescent="0.25">
      <c r="A215" s="255" t="s">
        <v>1665</v>
      </c>
      <c r="B215" s="255" t="s">
        <v>769</v>
      </c>
      <c r="C215" s="255" t="s">
        <v>825</v>
      </c>
      <c r="D215" s="255" t="s">
        <v>154</v>
      </c>
      <c r="E215" s="255" t="s">
        <v>274</v>
      </c>
      <c r="F215" s="42" t="s">
        <v>827</v>
      </c>
      <c r="G215" s="47">
        <v>0</v>
      </c>
      <c r="H215" s="76">
        <v>0</v>
      </c>
      <c r="I215" s="76">
        <v>1</v>
      </c>
      <c r="J215" s="76">
        <v>0</v>
      </c>
      <c r="K215" s="48">
        <v>0</v>
      </c>
      <c r="L215" s="76">
        <v>1</v>
      </c>
      <c r="M215" s="76">
        <v>0</v>
      </c>
      <c r="N215" s="76">
        <v>0</v>
      </c>
      <c r="O215" s="76">
        <v>0</v>
      </c>
      <c r="P215" s="76">
        <v>0</v>
      </c>
      <c r="Q215" s="76">
        <v>0</v>
      </c>
      <c r="R215" s="76">
        <v>0</v>
      </c>
      <c r="S215" s="76">
        <v>0</v>
      </c>
      <c r="T215" s="76">
        <v>0</v>
      </c>
      <c r="U215" s="76">
        <v>0</v>
      </c>
      <c r="V215" s="48">
        <v>1</v>
      </c>
      <c r="W215" s="43" t="s">
        <v>1478</v>
      </c>
    </row>
    <row r="216" spans="1:23" s="41" customFormat="1" ht="16.5" customHeight="1" x14ac:dyDescent="0.25">
      <c r="A216" s="255" t="s">
        <v>1665</v>
      </c>
      <c r="B216" s="255" t="s">
        <v>769</v>
      </c>
      <c r="C216" s="255" t="s">
        <v>825</v>
      </c>
      <c r="D216" s="255" t="s">
        <v>1286</v>
      </c>
      <c r="E216" s="255" t="s">
        <v>274</v>
      </c>
      <c r="F216" s="40" t="s">
        <v>816</v>
      </c>
      <c r="G216" s="49">
        <v>0</v>
      </c>
      <c r="H216" s="77">
        <v>0</v>
      </c>
      <c r="I216" s="77">
        <v>0</v>
      </c>
      <c r="J216" s="77">
        <v>10</v>
      </c>
      <c r="K216" s="50">
        <v>0</v>
      </c>
      <c r="L216" s="77">
        <v>0</v>
      </c>
      <c r="M216" s="77">
        <v>2</v>
      </c>
      <c r="N216" s="77">
        <v>1</v>
      </c>
      <c r="O216" s="77">
        <v>1</v>
      </c>
      <c r="P216" s="77">
        <v>1</v>
      </c>
      <c r="Q216" s="77">
        <v>1</v>
      </c>
      <c r="R216" s="77">
        <v>1</v>
      </c>
      <c r="S216" s="77">
        <v>1</v>
      </c>
      <c r="T216" s="77">
        <v>1</v>
      </c>
      <c r="U216" s="77">
        <v>1</v>
      </c>
      <c r="V216" s="50">
        <v>10</v>
      </c>
      <c r="W216" s="41" t="s">
        <v>1472</v>
      </c>
    </row>
    <row r="217" spans="1:23" ht="16.5" customHeight="1" x14ac:dyDescent="0.25">
      <c r="A217" s="255" t="s">
        <v>1665</v>
      </c>
      <c r="B217" s="255" t="s">
        <v>769</v>
      </c>
      <c r="C217" s="255" t="s">
        <v>825</v>
      </c>
      <c r="D217" s="255" t="s">
        <v>1286</v>
      </c>
      <c r="E217" s="255" t="s">
        <v>1128</v>
      </c>
      <c r="F217" s="11" t="s">
        <v>817</v>
      </c>
      <c r="G217" s="51">
        <v>0</v>
      </c>
      <c r="H217" s="78">
        <v>0</v>
      </c>
      <c r="I217" s="78">
        <v>0</v>
      </c>
      <c r="J217" s="78">
        <v>0</v>
      </c>
      <c r="K217" s="52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78">
        <v>0</v>
      </c>
      <c r="T217" s="78">
        <v>0</v>
      </c>
      <c r="U217" s="78">
        <v>0</v>
      </c>
      <c r="V217" s="52">
        <v>0</v>
      </c>
      <c r="W217" t="s">
        <v>1454</v>
      </c>
    </row>
    <row r="218" spans="1:23" s="43" customFormat="1" ht="16.5" customHeight="1" x14ac:dyDescent="0.25">
      <c r="A218" s="255" t="s">
        <v>1665</v>
      </c>
      <c r="B218" s="255" t="s">
        <v>770</v>
      </c>
      <c r="C218" s="255"/>
      <c r="D218" s="255" t="s">
        <v>1287</v>
      </c>
      <c r="E218" s="255" t="s">
        <v>283</v>
      </c>
      <c r="F218" s="42" t="s">
        <v>815</v>
      </c>
      <c r="G218" s="47">
        <v>0</v>
      </c>
      <c r="H218" s="76">
        <v>0</v>
      </c>
      <c r="I218" s="76">
        <v>0</v>
      </c>
      <c r="J218" s="76">
        <v>10</v>
      </c>
      <c r="K218" s="48">
        <v>0</v>
      </c>
      <c r="L218" s="76">
        <v>0</v>
      </c>
      <c r="M218" s="76">
        <v>2</v>
      </c>
      <c r="N218" s="76">
        <v>1</v>
      </c>
      <c r="O218" s="76">
        <v>1</v>
      </c>
      <c r="P218" s="76">
        <v>1</v>
      </c>
      <c r="Q218" s="76">
        <v>1</v>
      </c>
      <c r="R218" s="76">
        <v>1</v>
      </c>
      <c r="S218" s="76">
        <v>1</v>
      </c>
      <c r="T218" s="76">
        <v>1</v>
      </c>
      <c r="U218" s="76">
        <v>1</v>
      </c>
      <c r="V218" s="48">
        <v>10</v>
      </c>
      <c r="W218" s="43" t="s">
        <v>1479</v>
      </c>
    </row>
    <row r="219" spans="1:23" s="41" customFormat="1" ht="16.5" customHeight="1" x14ac:dyDescent="0.25">
      <c r="A219" s="255" t="s">
        <v>1665</v>
      </c>
      <c r="B219" s="255" t="s">
        <v>770</v>
      </c>
      <c r="C219" s="255"/>
      <c r="D219" s="255" t="s">
        <v>1288</v>
      </c>
      <c r="E219" s="255" t="s">
        <v>1127</v>
      </c>
      <c r="F219" s="40" t="s">
        <v>828</v>
      </c>
      <c r="G219" s="49">
        <v>0</v>
      </c>
      <c r="H219" s="77">
        <v>0</v>
      </c>
      <c r="I219" s="77">
        <v>0</v>
      </c>
      <c r="J219" s="77">
        <v>1</v>
      </c>
      <c r="K219" s="50">
        <v>0</v>
      </c>
      <c r="L219" s="77">
        <v>1</v>
      </c>
      <c r="M219" s="77">
        <v>0</v>
      </c>
      <c r="N219" s="77">
        <v>0</v>
      </c>
      <c r="O219" s="77">
        <v>0</v>
      </c>
      <c r="P219" s="77">
        <v>0</v>
      </c>
      <c r="Q219" s="77">
        <v>0</v>
      </c>
      <c r="R219" s="77">
        <v>0</v>
      </c>
      <c r="S219" s="77">
        <v>0</v>
      </c>
      <c r="T219" s="77">
        <v>0</v>
      </c>
      <c r="U219" s="77">
        <v>0</v>
      </c>
      <c r="V219" s="50">
        <v>1</v>
      </c>
      <c r="W219" s="41" t="s">
        <v>1478</v>
      </c>
    </row>
    <row r="220" spans="1:23" ht="16.5" customHeight="1" x14ac:dyDescent="0.25">
      <c r="A220" s="255" t="s">
        <v>1665</v>
      </c>
      <c r="B220" s="255" t="s">
        <v>770</v>
      </c>
      <c r="C220" s="255"/>
      <c r="D220" s="255" t="s">
        <v>1289</v>
      </c>
      <c r="E220" s="255" t="s">
        <v>1125</v>
      </c>
      <c r="F220" s="11" t="s">
        <v>817</v>
      </c>
      <c r="G220" s="51">
        <v>0</v>
      </c>
      <c r="H220" s="78">
        <v>0</v>
      </c>
      <c r="I220" s="78">
        <v>0</v>
      </c>
      <c r="J220" s="78">
        <v>0</v>
      </c>
      <c r="K220" s="52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52">
        <v>0</v>
      </c>
      <c r="W220" t="s">
        <v>1454</v>
      </c>
    </row>
    <row r="221" spans="1:23" s="43" customFormat="1" ht="16.5" customHeight="1" x14ac:dyDescent="0.25">
      <c r="A221" s="255" t="s">
        <v>1665</v>
      </c>
      <c r="B221" s="255" t="s">
        <v>771</v>
      </c>
      <c r="C221" s="255" t="s">
        <v>832</v>
      </c>
      <c r="D221" s="255" t="s">
        <v>1290</v>
      </c>
      <c r="E221" s="255" t="s">
        <v>1128</v>
      </c>
      <c r="F221" s="42" t="s">
        <v>815</v>
      </c>
      <c r="G221" s="47">
        <v>0</v>
      </c>
      <c r="H221" s="76">
        <v>0</v>
      </c>
      <c r="I221" s="76">
        <v>0</v>
      </c>
      <c r="J221" s="76">
        <v>1</v>
      </c>
      <c r="K221" s="48">
        <v>0</v>
      </c>
      <c r="L221" s="76">
        <v>1</v>
      </c>
      <c r="M221" s="76">
        <v>0</v>
      </c>
      <c r="N221" s="76">
        <v>0</v>
      </c>
      <c r="O221" s="76">
        <v>0</v>
      </c>
      <c r="P221" s="76">
        <v>0</v>
      </c>
      <c r="Q221" s="76">
        <v>0</v>
      </c>
      <c r="R221" s="76">
        <v>0</v>
      </c>
      <c r="S221" s="76">
        <v>0</v>
      </c>
      <c r="T221" s="76">
        <v>0</v>
      </c>
      <c r="U221" s="76">
        <v>0</v>
      </c>
      <c r="V221" s="48">
        <v>1</v>
      </c>
      <c r="W221" s="43" t="s">
        <v>1480</v>
      </c>
    </row>
    <row r="222" spans="1:23" s="41" customFormat="1" ht="16.5" customHeight="1" x14ac:dyDescent="0.25">
      <c r="A222" s="255" t="s">
        <v>1665</v>
      </c>
      <c r="B222" s="255" t="s">
        <v>771</v>
      </c>
      <c r="C222" s="255" t="s">
        <v>832</v>
      </c>
      <c r="D222" s="255" t="s">
        <v>1291</v>
      </c>
      <c r="E222" s="255" t="s">
        <v>274</v>
      </c>
      <c r="F222" s="40" t="s">
        <v>816</v>
      </c>
      <c r="G222" s="49">
        <v>0</v>
      </c>
      <c r="H222" s="77">
        <v>0</v>
      </c>
      <c r="I222" s="77">
        <v>2</v>
      </c>
      <c r="J222" s="77">
        <v>2</v>
      </c>
      <c r="K222" s="50">
        <v>0</v>
      </c>
      <c r="L222" s="77">
        <v>1</v>
      </c>
      <c r="M222" s="77">
        <v>0</v>
      </c>
      <c r="N222" s="77">
        <v>0</v>
      </c>
      <c r="O222" s="77">
        <v>0</v>
      </c>
      <c r="P222" s="77">
        <v>0</v>
      </c>
      <c r="Q222" s="77">
        <v>1</v>
      </c>
      <c r="R222" s="77">
        <v>1</v>
      </c>
      <c r="S222" s="77">
        <v>1</v>
      </c>
      <c r="T222" s="77">
        <v>0</v>
      </c>
      <c r="U222" s="77">
        <v>0</v>
      </c>
      <c r="V222" s="50">
        <v>4</v>
      </c>
      <c r="W222" s="41" t="s">
        <v>1479</v>
      </c>
    </row>
    <row r="223" spans="1:23" ht="16.5" customHeight="1" x14ac:dyDescent="0.25">
      <c r="A223" s="255" t="s">
        <v>1665</v>
      </c>
      <c r="B223" s="255" t="s">
        <v>771</v>
      </c>
      <c r="C223" s="255" t="s">
        <v>832</v>
      </c>
      <c r="D223" s="255" t="s">
        <v>157</v>
      </c>
      <c r="E223" s="255" t="s">
        <v>1128</v>
      </c>
      <c r="F223" s="11" t="s">
        <v>826</v>
      </c>
      <c r="G223" s="51">
        <v>0</v>
      </c>
      <c r="H223" s="78">
        <v>0</v>
      </c>
      <c r="I223" s="78">
        <v>0</v>
      </c>
      <c r="J223" s="78">
        <v>0</v>
      </c>
      <c r="K223" s="52">
        <v>0</v>
      </c>
      <c r="L223" s="78">
        <v>0</v>
      </c>
      <c r="M223" s="78">
        <v>0</v>
      </c>
      <c r="N223" s="78">
        <v>0</v>
      </c>
      <c r="O223" s="78">
        <v>0</v>
      </c>
      <c r="P223" s="78">
        <v>0</v>
      </c>
      <c r="Q223" s="78">
        <v>0</v>
      </c>
      <c r="R223" s="78">
        <v>0</v>
      </c>
      <c r="S223" s="78">
        <v>0</v>
      </c>
      <c r="T223" s="78">
        <v>0</v>
      </c>
      <c r="U223" s="78">
        <v>0</v>
      </c>
      <c r="V223" s="52">
        <v>0</v>
      </c>
      <c r="W223" t="s">
        <v>1454</v>
      </c>
    </row>
    <row r="224" spans="1:23" s="43" customFormat="1" ht="16.5" customHeight="1" x14ac:dyDescent="0.25">
      <c r="A224" s="255" t="s">
        <v>1665</v>
      </c>
      <c r="B224" s="255" t="s">
        <v>772</v>
      </c>
      <c r="C224" s="255" t="s">
        <v>832</v>
      </c>
      <c r="D224" s="255" t="s">
        <v>1292</v>
      </c>
      <c r="E224" s="255" t="s">
        <v>1128</v>
      </c>
      <c r="F224" s="42" t="s">
        <v>815</v>
      </c>
      <c r="G224" s="47">
        <v>0</v>
      </c>
      <c r="H224" s="76">
        <v>0</v>
      </c>
      <c r="I224" s="76">
        <v>0</v>
      </c>
      <c r="J224" s="76">
        <v>0</v>
      </c>
      <c r="K224" s="48">
        <v>0</v>
      </c>
      <c r="L224" s="76">
        <v>0</v>
      </c>
      <c r="M224" s="76">
        <v>0</v>
      </c>
      <c r="N224" s="76">
        <v>0</v>
      </c>
      <c r="O224" s="76">
        <v>0</v>
      </c>
      <c r="P224" s="76">
        <v>0</v>
      </c>
      <c r="Q224" s="76">
        <v>0</v>
      </c>
      <c r="R224" s="76">
        <v>0</v>
      </c>
      <c r="S224" s="76">
        <v>0</v>
      </c>
      <c r="T224" s="76">
        <v>0</v>
      </c>
      <c r="U224" s="76">
        <v>0</v>
      </c>
      <c r="V224" s="48">
        <v>0</v>
      </c>
      <c r="W224" s="43" t="s">
        <v>1454</v>
      </c>
    </row>
    <row r="225" spans="1:23" s="41" customFormat="1" ht="16.5" customHeight="1" x14ac:dyDescent="0.25">
      <c r="A225" s="255" t="s">
        <v>1665</v>
      </c>
      <c r="B225" s="255" t="s">
        <v>772</v>
      </c>
      <c r="C225" s="255" t="s">
        <v>832</v>
      </c>
      <c r="D225" s="255" t="s">
        <v>1292</v>
      </c>
      <c r="E225" s="255" t="s">
        <v>1131</v>
      </c>
      <c r="F225" s="40" t="s">
        <v>816</v>
      </c>
      <c r="G225" s="49">
        <v>0</v>
      </c>
      <c r="H225" s="77">
        <v>0</v>
      </c>
      <c r="I225" s="77">
        <v>0</v>
      </c>
      <c r="J225" s="77">
        <v>0</v>
      </c>
      <c r="K225" s="50">
        <v>0</v>
      </c>
      <c r="L225" s="77">
        <v>0</v>
      </c>
      <c r="M225" s="77">
        <v>0</v>
      </c>
      <c r="N225" s="77">
        <v>0</v>
      </c>
      <c r="O225" s="77">
        <v>0</v>
      </c>
      <c r="P225" s="77">
        <v>0</v>
      </c>
      <c r="Q225" s="77">
        <v>0</v>
      </c>
      <c r="R225" s="77">
        <v>0</v>
      </c>
      <c r="S225" s="77">
        <v>0</v>
      </c>
      <c r="T225" s="77">
        <v>0</v>
      </c>
      <c r="U225" s="77">
        <v>0</v>
      </c>
      <c r="V225" s="50">
        <v>0</v>
      </c>
      <c r="W225" s="41" t="s">
        <v>1454</v>
      </c>
    </row>
    <row r="226" spans="1:23" ht="16.5" customHeight="1" x14ac:dyDescent="0.25">
      <c r="A226" s="255" t="s">
        <v>1665</v>
      </c>
      <c r="B226" s="255" t="s">
        <v>772</v>
      </c>
      <c r="C226" s="255" t="s">
        <v>832</v>
      </c>
      <c r="D226" s="255" t="s">
        <v>161</v>
      </c>
      <c r="E226" s="255" t="s">
        <v>1130</v>
      </c>
      <c r="F226" s="11" t="s">
        <v>826</v>
      </c>
      <c r="G226" s="51">
        <v>0</v>
      </c>
      <c r="H226" s="78">
        <v>0</v>
      </c>
      <c r="I226" s="78">
        <v>0</v>
      </c>
      <c r="J226" s="78">
        <v>0</v>
      </c>
      <c r="K226" s="52">
        <v>1</v>
      </c>
      <c r="L226" s="78">
        <v>1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52">
        <v>1</v>
      </c>
      <c r="W226" t="s">
        <v>649</v>
      </c>
    </row>
    <row r="227" spans="1:23" s="43" customFormat="1" ht="16.5" customHeight="1" x14ac:dyDescent="0.25">
      <c r="A227" s="255" t="s">
        <v>1665</v>
      </c>
      <c r="B227" s="255" t="s">
        <v>773</v>
      </c>
      <c r="C227" s="255"/>
      <c r="D227" s="255" t="s">
        <v>1293</v>
      </c>
      <c r="E227" s="255" t="s">
        <v>1119</v>
      </c>
      <c r="F227" s="42" t="s">
        <v>827</v>
      </c>
      <c r="G227" s="47">
        <v>0</v>
      </c>
      <c r="H227" s="76">
        <v>0</v>
      </c>
      <c r="I227" s="76">
        <v>1</v>
      </c>
      <c r="J227" s="76">
        <v>0</v>
      </c>
      <c r="K227" s="48">
        <v>0</v>
      </c>
      <c r="L227" s="76">
        <v>0</v>
      </c>
      <c r="M227" s="76">
        <v>0</v>
      </c>
      <c r="N227" s="76">
        <v>0</v>
      </c>
      <c r="O227" s="76">
        <v>0</v>
      </c>
      <c r="P227" s="76">
        <v>0</v>
      </c>
      <c r="Q227" s="76">
        <v>1</v>
      </c>
      <c r="R227" s="76">
        <v>0</v>
      </c>
      <c r="S227" s="76">
        <v>0</v>
      </c>
      <c r="T227" s="76">
        <v>0</v>
      </c>
      <c r="U227" s="76">
        <v>0</v>
      </c>
      <c r="V227" s="48">
        <v>1</v>
      </c>
      <c r="W227" s="43" t="s">
        <v>1481</v>
      </c>
    </row>
    <row r="228" spans="1:23" s="41" customFormat="1" ht="16.5" customHeight="1" x14ac:dyDescent="0.25">
      <c r="A228" s="255" t="s">
        <v>1665</v>
      </c>
      <c r="B228" s="255" t="s">
        <v>773</v>
      </c>
      <c r="C228" s="255"/>
      <c r="D228" s="255" t="s">
        <v>165</v>
      </c>
      <c r="E228" s="255" t="s">
        <v>1123</v>
      </c>
      <c r="F228" s="40" t="s">
        <v>816</v>
      </c>
      <c r="G228" s="49">
        <v>0</v>
      </c>
      <c r="H228" s="77">
        <v>0</v>
      </c>
      <c r="I228" s="77">
        <v>1</v>
      </c>
      <c r="J228" s="77">
        <v>0</v>
      </c>
      <c r="K228" s="50">
        <v>0</v>
      </c>
      <c r="L228" s="77">
        <v>0</v>
      </c>
      <c r="M228" s="77">
        <v>0</v>
      </c>
      <c r="N228" s="77">
        <v>0</v>
      </c>
      <c r="O228" s="77">
        <v>0</v>
      </c>
      <c r="P228" s="77">
        <v>0</v>
      </c>
      <c r="Q228" s="77">
        <v>1</v>
      </c>
      <c r="R228" s="77">
        <v>0</v>
      </c>
      <c r="S228" s="77">
        <v>0</v>
      </c>
      <c r="T228" s="77">
        <v>0</v>
      </c>
      <c r="U228" s="77">
        <v>0</v>
      </c>
      <c r="V228" s="50">
        <v>1</v>
      </c>
      <c r="W228" s="41" t="s">
        <v>1482</v>
      </c>
    </row>
    <row r="229" spans="1:23" ht="16.5" customHeight="1" x14ac:dyDescent="0.25">
      <c r="A229" s="255" t="s">
        <v>1665</v>
      </c>
      <c r="B229" s="255" t="s">
        <v>773</v>
      </c>
      <c r="C229" s="255"/>
      <c r="D229" s="255" t="s">
        <v>1293</v>
      </c>
      <c r="E229" s="255" t="s">
        <v>287</v>
      </c>
      <c r="F229" s="11" t="s">
        <v>817</v>
      </c>
      <c r="G229" s="51">
        <v>0</v>
      </c>
      <c r="H229" s="78">
        <v>0</v>
      </c>
      <c r="I229" s="78">
        <v>0</v>
      </c>
      <c r="J229" s="78">
        <v>0</v>
      </c>
      <c r="K229" s="52">
        <v>0</v>
      </c>
      <c r="L229" s="78">
        <v>0</v>
      </c>
      <c r="M229" s="78">
        <v>0</v>
      </c>
      <c r="N229" s="78">
        <v>0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78">
        <v>0</v>
      </c>
      <c r="V229" s="52">
        <v>0</v>
      </c>
      <c r="W229" t="s">
        <v>1454</v>
      </c>
    </row>
    <row r="230" spans="1:23" s="43" customFormat="1" ht="16.5" customHeight="1" x14ac:dyDescent="0.25">
      <c r="A230" s="255" t="s">
        <v>1665</v>
      </c>
      <c r="B230" s="255" t="s">
        <v>774</v>
      </c>
      <c r="C230" s="255" t="s">
        <v>833</v>
      </c>
      <c r="D230" s="255" t="s">
        <v>1294</v>
      </c>
      <c r="E230" s="255" t="s">
        <v>1095</v>
      </c>
      <c r="F230" s="42" t="s">
        <v>815</v>
      </c>
      <c r="G230" s="47">
        <v>0</v>
      </c>
      <c r="H230" s="76">
        <v>1</v>
      </c>
      <c r="I230" s="76">
        <v>0</v>
      </c>
      <c r="J230" s="76">
        <v>0</v>
      </c>
      <c r="K230" s="48">
        <v>0</v>
      </c>
      <c r="L230" s="76">
        <v>0</v>
      </c>
      <c r="M230" s="76">
        <v>0</v>
      </c>
      <c r="N230" s="76">
        <v>0</v>
      </c>
      <c r="O230" s="76">
        <v>1</v>
      </c>
      <c r="P230" s="76">
        <v>0</v>
      </c>
      <c r="Q230" s="76">
        <v>0</v>
      </c>
      <c r="R230" s="76">
        <v>0</v>
      </c>
      <c r="S230" s="76">
        <v>0</v>
      </c>
      <c r="T230" s="76">
        <v>0</v>
      </c>
      <c r="U230" s="76">
        <v>0</v>
      </c>
      <c r="V230" s="48">
        <v>1</v>
      </c>
      <c r="W230" s="43" t="s">
        <v>1483</v>
      </c>
    </row>
    <row r="231" spans="1:23" s="41" customFormat="1" ht="16.5" customHeight="1" x14ac:dyDescent="0.25">
      <c r="A231" s="255" t="s">
        <v>1665</v>
      </c>
      <c r="B231" s="255" t="s">
        <v>774</v>
      </c>
      <c r="C231" s="255" t="s">
        <v>833</v>
      </c>
      <c r="D231" s="255" t="s">
        <v>1294</v>
      </c>
      <c r="E231" s="255" t="s">
        <v>285</v>
      </c>
      <c r="F231" s="40" t="s">
        <v>816</v>
      </c>
      <c r="G231" s="49">
        <v>0</v>
      </c>
      <c r="H231" s="77">
        <v>0</v>
      </c>
      <c r="I231" s="77">
        <v>0</v>
      </c>
      <c r="J231" s="77">
        <v>1</v>
      </c>
      <c r="K231" s="50">
        <v>0</v>
      </c>
      <c r="L231" s="77">
        <v>0</v>
      </c>
      <c r="M231" s="77">
        <v>0</v>
      </c>
      <c r="N231" s="77">
        <v>0</v>
      </c>
      <c r="O231" s="77">
        <v>1</v>
      </c>
      <c r="P231" s="77">
        <v>0</v>
      </c>
      <c r="Q231" s="77">
        <v>0</v>
      </c>
      <c r="R231" s="77">
        <v>0</v>
      </c>
      <c r="S231" s="77">
        <v>0</v>
      </c>
      <c r="T231" s="77">
        <v>0</v>
      </c>
      <c r="U231" s="77">
        <v>0</v>
      </c>
      <c r="V231" s="50">
        <v>1</v>
      </c>
      <c r="W231" s="41" t="s">
        <v>1484</v>
      </c>
    </row>
    <row r="232" spans="1:23" ht="16.5" customHeight="1" x14ac:dyDescent="0.25">
      <c r="A232" s="255" t="s">
        <v>1665</v>
      </c>
      <c r="B232" s="255" t="s">
        <v>774</v>
      </c>
      <c r="C232" s="255" t="s">
        <v>833</v>
      </c>
      <c r="D232" s="255" t="s">
        <v>162</v>
      </c>
      <c r="E232" s="255" t="s">
        <v>1099</v>
      </c>
      <c r="F232" s="11" t="s">
        <v>817</v>
      </c>
      <c r="G232" s="51">
        <v>0</v>
      </c>
      <c r="H232" s="78">
        <v>0</v>
      </c>
      <c r="I232" s="78">
        <v>0</v>
      </c>
      <c r="J232" s="78">
        <v>0</v>
      </c>
      <c r="K232" s="52">
        <v>0</v>
      </c>
      <c r="L232" s="78">
        <v>0</v>
      </c>
      <c r="M232" s="78">
        <v>0</v>
      </c>
      <c r="N232" s="78">
        <v>0</v>
      </c>
      <c r="O232" s="78">
        <v>0</v>
      </c>
      <c r="P232" s="78">
        <v>0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52">
        <v>0</v>
      </c>
      <c r="W232" t="s">
        <v>1454</v>
      </c>
    </row>
    <row r="233" spans="1:23" s="43" customFormat="1" ht="16.5" customHeight="1" x14ac:dyDescent="0.25">
      <c r="A233" s="255" t="s">
        <v>1665</v>
      </c>
      <c r="B233" s="255" t="s">
        <v>775</v>
      </c>
      <c r="C233" s="255"/>
      <c r="D233" s="255" t="s">
        <v>1295</v>
      </c>
      <c r="E233" s="255" t="s">
        <v>1114</v>
      </c>
      <c r="F233" s="42" t="s">
        <v>815</v>
      </c>
      <c r="G233" s="47">
        <v>0</v>
      </c>
      <c r="H233" s="76">
        <v>0</v>
      </c>
      <c r="I233" s="76">
        <v>1</v>
      </c>
      <c r="J233" s="76">
        <v>0</v>
      </c>
      <c r="K233" s="48">
        <v>0</v>
      </c>
      <c r="L233" s="76">
        <v>0</v>
      </c>
      <c r="M233" s="76">
        <v>0</v>
      </c>
      <c r="N233" s="76">
        <v>0</v>
      </c>
      <c r="O233" s="76">
        <v>0</v>
      </c>
      <c r="P233" s="76">
        <v>0</v>
      </c>
      <c r="Q233" s="76">
        <v>0</v>
      </c>
      <c r="R233" s="76">
        <v>0</v>
      </c>
      <c r="S233" s="76">
        <v>0</v>
      </c>
      <c r="T233" s="76">
        <v>1</v>
      </c>
      <c r="U233" s="76">
        <v>0</v>
      </c>
      <c r="V233" s="48">
        <v>1</v>
      </c>
      <c r="W233" s="43" t="s">
        <v>1485</v>
      </c>
    </row>
    <row r="234" spans="1:23" s="41" customFormat="1" ht="16.5" customHeight="1" x14ac:dyDescent="0.25">
      <c r="A234" s="255" t="s">
        <v>1665</v>
      </c>
      <c r="B234" s="255" t="s">
        <v>775</v>
      </c>
      <c r="C234" s="255"/>
      <c r="D234" s="255" t="s">
        <v>1295</v>
      </c>
      <c r="E234" s="255" t="s">
        <v>1114</v>
      </c>
      <c r="F234" s="40" t="s">
        <v>816</v>
      </c>
      <c r="G234" s="49">
        <v>2</v>
      </c>
      <c r="H234" s="77">
        <v>5</v>
      </c>
      <c r="I234" s="77">
        <v>0</v>
      </c>
      <c r="J234" s="77">
        <v>3</v>
      </c>
      <c r="K234" s="50">
        <v>1</v>
      </c>
      <c r="L234" s="77">
        <v>3</v>
      </c>
      <c r="M234" s="77">
        <v>1</v>
      </c>
      <c r="N234" s="77">
        <v>1</v>
      </c>
      <c r="O234" s="77">
        <v>1</v>
      </c>
      <c r="P234" s="77">
        <v>0</v>
      </c>
      <c r="Q234" s="77">
        <v>1</v>
      </c>
      <c r="R234" s="77">
        <v>0</v>
      </c>
      <c r="S234" s="77">
        <v>1</v>
      </c>
      <c r="T234" s="77">
        <v>1</v>
      </c>
      <c r="U234" s="77">
        <v>2</v>
      </c>
      <c r="V234" s="50">
        <v>11</v>
      </c>
      <c r="W234" s="41" t="s">
        <v>1486</v>
      </c>
    </row>
    <row r="235" spans="1:23" ht="16.5" customHeight="1" x14ac:dyDescent="0.25">
      <c r="A235" s="255" t="s">
        <v>1665</v>
      </c>
      <c r="B235" s="255" t="s">
        <v>775</v>
      </c>
      <c r="C235" s="255"/>
      <c r="D235" s="255" t="s">
        <v>148</v>
      </c>
      <c r="E235" s="255" t="s">
        <v>1118</v>
      </c>
      <c r="F235" s="11" t="s">
        <v>817</v>
      </c>
      <c r="G235" s="51">
        <v>0</v>
      </c>
      <c r="H235" s="78">
        <v>0</v>
      </c>
      <c r="I235" s="78">
        <v>0</v>
      </c>
      <c r="J235" s="78">
        <v>0</v>
      </c>
      <c r="K235" s="52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52">
        <v>0</v>
      </c>
      <c r="W235" t="s">
        <v>1454</v>
      </c>
    </row>
    <row r="236" spans="1:23" s="43" customFormat="1" ht="16.5" customHeight="1" x14ac:dyDescent="0.25">
      <c r="A236" s="255" t="s">
        <v>1665</v>
      </c>
      <c r="B236" s="255" t="s">
        <v>776</v>
      </c>
      <c r="C236" s="255" t="s">
        <v>823</v>
      </c>
      <c r="D236" s="255" t="s">
        <v>166</v>
      </c>
      <c r="E236" s="255" t="s">
        <v>290</v>
      </c>
      <c r="F236" s="42" t="s">
        <v>815</v>
      </c>
      <c r="G236" s="47">
        <v>0</v>
      </c>
      <c r="H236" s="76">
        <v>1</v>
      </c>
      <c r="I236" s="76">
        <v>0</v>
      </c>
      <c r="J236" s="76">
        <v>0</v>
      </c>
      <c r="K236" s="48">
        <v>0</v>
      </c>
      <c r="L236" s="76">
        <v>0</v>
      </c>
      <c r="M236" s="76">
        <v>0</v>
      </c>
      <c r="N236" s="76">
        <v>0</v>
      </c>
      <c r="O236" s="76">
        <v>0</v>
      </c>
      <c r="P236" s="76">
        <v>0</v>
      </c>
      <c r="Q236" s="76">
        <v>0</v>
      </c>
      <c r="R236" s="76">
        <v>0</v>
      </c>
      <c r="S236" s="76">
        <v>0</v>
      </c>
      <c r="T236" s="76">
        <v>1</v>
      </c>
      <c r="U236" s="76">
        <v>0</v>
      </c>
      <c r="V236" s="48">
        <v>1</v>
      </c>
      <c r="W236" s="43" t="s">
        <v>1454</v>
      </c>
    </row>
    <row r="237" spans="1:23" s="41" customFormat="1" ht="16.5" customHeight="1" x14ac:dyDescent="0.25">
      <c r="A237" s="255" t="s">
        <v>1665</v>
      </c>
      <c r="B237" s="255" t="s">
        <v>776</v>
      </c>
      <c r="C237" s="255" t="s">
        <v>823</v>
      </c>
      <c r="D237" s="255" t="s">
        <v>1296</v>
      </c>
      <c r="E237" s="255" t="s">
        <v>1115</v>
      </c>
      <c r="F237" s="40" t="s">
        <v>816</v>
      </c>
      <c r="G237" s="49">
        <v>0</v>
      </c>
      <c r="H237" s="77">
        <v>0</v>
      </c>
      <c r="I237" s="77">
        <v>0</v>
      </c>
      <c r="J237" s="77">
        <v>0</v>
      </c>
      <c r="K237" s="50">
        <v>0</v>
      </c>
      <c r="L237" s="77">
        <v>0</v>
      </c>
      <c r="M237" s="77">
        <v>0</v>
      </c>
      <c r="N237" s="77">
        <v>0</v>
      </c>
      <c r="O237" s="77">
        <v>0</v>
      </c>
      <c r="P237" s="77">
        <v>0</v>
      </c>
      <c r="Q237" s="77">
        <v>0</v>
      </c>
      <c r="R237" s="77">
        <v>0</v>
      </c>
      <c r="S237" s="77">
        <v>0</v>
      </c>
      <c r="T237" s="77">
        <v>0</v>
      </c>
      <c r="U237" s="77">
        <v>0</v>
      </c>
      <c r="V237" s="50">
        <v>0</v>
      </c>
      <c r="W237" s="41" t="s">
        <v>1463</v>
      </c>
    </row>
    <row r="238" spans="1:23" ht="16.5" customHeight="1" x14ac:dyDescent="0.25">
      <c r="A238" s="255" t="s">
        <v>1665</v>
      </c>
      <c r="B238" s="255" t="s">
        <v>776</v>
      </c>
      <c r="C238" s="255" t="s">
        <v>823</v>
      </c>
      <c r="D238" s="255" t="s">
        <v>1297</v>
      </c>
      <c r="E238" s="255" t="s">
        <v>290</v>
      </c>
      <c r="F238" s="11" t="s">
        <v>817</v>
      </c>
      <c r="G238" s="51">
        <v>0</v>
      </c>
      <c r="H238" s="78">
        <v>0</v>
      </c>
      <c r="I238" s="78">
        <v>0</v>
      </c>
      <c r="J238" s="78">
        <v>0</v>
      </c>
      <c r="K238" s="52">
        <v>0</v>
      </c>
      <c r="L238" s="78">
        <v>0</v>
      </c>
      <c r="M238" s="78">
        <v>0</v>
      </c>
      <c r="N238" s="78">
        <v>0</v>
      </c>
      <c r="O238" s="78">
        <v>0</v>
      </c>
      <c r="P238" s="78">
        <v>0</v>
      </c>
      <c r="Q238" s="78">
        <v>0</v>
      </c>
      <c r="R238" s="78">
        <v>0</v>
      </c>
      <c r="S238" s="78">
        <v>0</v>
      </c>
      <c r="T238" s="78">
        <v>0</v>
      </c>
      <c r="U238" s="78">
        <v>0</v>
      </c>
      <c r="V238" s="52">
        <v>0</v>
      </c>
      <c r="W238" t="s">
        <v>1454</v>
      </c>
    </row>
    <row r="239" spans="1:23" s="43" customFormat="1" ht="16.5" customHeight="1" x14ac:dyDescent="0.25">
      <c r="A239" s="255" t="s">
        <v>1665</v>
      </c>
      <c r="B239" s="255" t="s">
        <v>777</v>
      </c>
      <c r="C239" s="255" t="s">
        <v>823</v>
      </c>
      <c r="D239" s="255" t="s">
        <v>1298</v>
      </c>
      <c r="E239" s="255" t="s">
        <v>290</v>
      </c>
      <c r="F239" s="42" t="s">
        <v>815</v>
      </c>
      <c r="G239" s="47">
        <v>0</v>
      </c>
      <c r="H239" s="76">
        <v>1</v>
      </c>
      <c r="I239" s="76">
        <v>0</v>
      </c>
      <c r="J239" s="76">
        <v>0</v>
      </c>
      <c r="K239" s="48">
        <v>0</v>
      </c>
      <c r="L239" s="76">
        <v>0</v>
      </c>
      <c r="M239" s="76">
        <v>0</v>
      </c>
      <c r="N239" s="76">
        <v>0</v>
      </c>
      <c r="O239" s="76">
        <v>0</v>
      </c>
      <c r="P239" s="76">
        <v>0</v>
      </c>
      <c r="Q239" s="76">
        <v>0</v>
      </c>
      <c r="R239" s="76">
        <v>0</v>
      </c>
      <c r="S239" s="76">
        <v>0</v>
      </c>
      <c r="T239" s="76">
        <v>1</v>
      </c>
      <c r="U239" s="76">
        <v>0</v>
      </c>
      <c r="V239" s="48">
        <v>1</v>
      </c>
      <c r="W239" s="43" t="s">
        <v>1454</v>
      </c>
    </row>
    <row r="240" spans="1:23" s="41" customFormat="1" ht="16.5" customHeight="1" x14ac:dyDescent="0.25">
      <c r="A240" s="255" t="s">
        <v>1665</v>
      </c>
      <c r="B240" s="255" t="s">
        <v>777</v>
      </c>
      <c r="C240" s="255" t="s">
        <v>823</v>
      </c>
      <c r="D240" s="255" t="s">
        <v>1299</v>
      </c>
      <c r="E240" s="255" t="s">
        <v>290</v>
      </c>
      <c r="F240" s="40" t="s">
        <v>816</v>
      </c>
      <c r="G240" s="49">
        <v>0</v>
      </c>
      <c r="H240" s="77">
        <v>0</v>
      </c>
      <c r="I240" s="77">
        <v>0</v>
      </c>
      <c r="J240" s="77">
        <v>0</v>
      </c>
      <c r="K240" s="50">
        <v>0</v>
      </c>
      <c r="L240" s="77">
        <v>0</v>
      </c>
      <c r="M240" s="77">
        <v>0</v>
      </c>
      <c r="N240" s="77">
        <v>0</v>
      </c>
      <c r="O240" s="77">
        <v>0</v>
      </c>
      <c r="P240" s="77">
        <v>0</v>
      </c>
      <c r="Q240" s="77">
        <v>0</v>
      </c>
      <c r="R240" s="77">
        <v>0</v>
      </c>
      <c r="S240" s="77">
        <v>0</v>
      </c>
      <c r="T240" s="77">
        <v>0</v>
      </c>
      <c r="U240" s="77">
        <v>0</v>
      </c>
      <c r="V240" s="50">
        <v>0</v>
      </c>
      <c r="W240" s="41" t="s">
        <v>1463</v>
      </c>
    </row>
    <row r="241" spans="1:23" ht="16.5" customHeight="1" x14ac:dyDescent="0.25">
      <c r="A241" s="255" t="s">
        <v>1665</v>
      </c>
      <c r="B241" s="255" t="s">
        <v>777</v>
      </c>
      <c r="C241" s="255" t="s">
        <v>823</v>
      </c>
      <c r="D241" s="255" t="s">
        <v>1298</v>
      </c>
      <c r="E241" s="255" t="s">
        <v>1115</v>
      </c>
      <c r="F241" s="11" t="s">
        <v>826</v>
      </c>
      <c r="G241" s="51">
        <v>0</v>
      </c>
      <c r="H241" s="78">
        <v>0</v>
      </c>
      <c r="I241" s="78">
        <v>0</v>
      </c>
      <c r="J241" s="78">
        <v>0</v>
      </c>
      <c r="K241" s="52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52">
        <v>0</v>
      </c>
      <c r="W241" t="s">
        <v>1454</v>
      </c>
    </row>
    <row r="242" spans="1:23" s="43" customFormat="1" ht="16.5" customHeight="1" x14ac:dyDescent="0.25">
      <c r="A242" s="255" t="s">
        <v>1665</v>
      </c>
      <c r="B242" s="255" t="s">
        <v>778</v>
      </c>
      <c r="C242" s="255" t="s">
        <v>824</v>
      </c>
      <c r="D242" s="255" t="s">
        <v>1300</v>
      </c>
      <c r="E242" s="255" t="s">
        <v>1115</v>
      </c>
      <c r="F242" s="42" t="s">
        <v>815</v>
      </c>
      <c r="G242" s="47">
        <v>0</v>
      </c>
      <c r="H242" s="76">
        <v>0</v>
      </c>
      <c r="I242" s="76">
        <v>0</v>
      </c>
      <c r="J242" s="76">
        <v>0</v>
      </c>
      <c r="K242" s="48">
        <v>0</v>
      </c>
      <c r="L242" s="76">
        <v>0</v>
      </c>
      <c r="M242" s="76">
        <v>0</v>
      </c>
      <c r="N242" s="76">
        <v>0</v>
      </c>
      <c r="O242" s="76">
        <v>0</v>
      </c>
      <c r="P242" s="76">
        <v>0</v>
      </c>
      <c r="Q242" s="76">
        <v>0</v>
      </c>
      <c r="R242" s="76">
        <v>0</v>
      </c>
      <c r="S242" s="76">
        <v>0</v>
      </c>
      <c r="T242" s="76">
        <v>0</v>
      </c>
      <c r="U242" s="76">
        <v>0</v>
      </c>
      <c r="V242" s="48">
        <v>0</v>
      </c>
      <c r="W242" s="43" t="s">
        <v>1486</v>
      </c>
    </row>
    <row r="243" spans="1:23" s="41" customFormat="1" ht="16.5" customHeight="1" x14ac:dyDescent="0.25">
      <c r="A243" s="255" t="s">
        <v>1665</v>
      </c>
      <c r="B243" s="255" t="s">
        <v>778</v>
      </c>
      <c r="C243" s="255" t="s">
        <v>824</v>
      </c>
      <c r="D243" s="255" t="s">
        <v>1301</v>
      </c>
      <c r="E243" s="255" t="s">
        <v>290</v>
      </c>
      <c r="F243" s="40" t="s">
        <v>816</v>
      </c>
      <c r="G243" s="49">
        <v>0</v>
      </c>
      <c r="H243" s="77">
        <v>0</v>
      </c>
      <c r="I243" s="77">
        <v>1</v>
      </c>
      <c r="J243" s="77">
        <v>0</v>
      </c>
      <c r="K243" s="50">
        <v>0</v>
      </c>
      <c r="L243" s="77">
        <v>0</v>
      </c>
      <c r="M243" s="77">
        <v>0</v>
      </c>
      <c r="N243" s="77">
        <v>0</v>
      </c>
      <c r="O243" s="77">
        <v>0</v>
      </c>
      <c r="P243" s="77">
        <v>0</v>
      </c>
      <c r="Q243" s="77">
        <v>0</v>
      </c>
      <c r="R243" s="77">
        <v>0</v>
      </c>
      <c r="S243" s="77">
        <v>0</v>
      </c>
      <c r="T243" s="77">
        <v>1</v>
      </c>
      <c r="U243" s="77">
        <v>0</v>
      </c>
      <c r="V243" s="50">
        <v>1</v>
      </c>
      <c r="W243" s="41" t="s">
        <v>1454</v>
      </c>
    </row>
    <row r="244" spans="1:23" ht="16.5" customHeight="1" x14ac:dyDescent="0.25">
      <c r="A244" s="255" t="s">
        <v>1665</v>
      </c>
      <c r="B244" s="255" t="s">
        <v>778</v>
      </c>
      <c r="C244" s="255" t="s">
        <v>824</v>
      </c>
      <c r="D244" s="255" t="s">
        <v>1301</v>
      </c>
      <c r="E244" s="255" t="s">
        <v>1118</v>
      </c>
      <c r="F244" s="11" t="s">
        <v>817</v>
      </c>
      <c r="G244" s="51">
        <v>0</v>
      </c>
      <c r="H244" s="78">
        <v>0</v>
      </c>
      <c r="I244" s="78">
        <v>0</v>
      </c>
      <c r="J244" s="78">
        <v>0</v>
      </c>
      <c r="K244" s="52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52">
        <v>0</v>
      </c>
      <c r="W244" t="s">
        <v>1454</v>
      </c>
    </row>
    <row r="245" spans="1:23" s="43" customFormat="1" ht="16.5" customHeight="1" x14ac:dyDescent="0.25">
      <c r="A245" s="255" t="s">
        <v>1665</v>
      </c>
      <c r="B245" s="255" t="s">
        <v>779</v>
      </c>
      <c r="C245" s="255"/>
      <c r="D245" s="255" t="s">
        <v>1302</v>
      </c>
      <c r="E245" s="255" t="s">
        <v>1116</v>
      </c>
      <c r="F245" s="42" t="s">
        <v>815</v>
      </c>
      <c r="G245" s="47">
        <v>0</v>
      </c>
      <c r="H245" s="76">
        <v>0</v>
      </c>
      <c r="I245" s="76">
        <v>1</v>
      </c>
      <c r="J245" s="76">
        <v>0</v>
      </c>
      <c r="K245" s="48">
        <v>0</v>
      </c>
      <c r="L245" s="76">
        <v>0</v>
      </c>
      <c r="M245" s="76">
        <v>0</v>
      </c>
      <c r="N245" s="76">
        <v>0</v>
      </c>
      <c r="O245" s="76">
        <v>0</v>
      </c>
      <c r="P245" s="76">
        <v>0</v>
      </c>
      <c r="Q245" s="76">
        <v>0</v>
      </c>
      <c r="R245" s="76">
        <v>0</v>
      </c>
      <c r="S245" s="76">
        <v>0</v>
      </c>
      <c r="T245" s="76">
        <v>1</v>
      </c>
      <c r="U245" s="76">
        <v>0</v>
      </c>
      <c r="V245" s="48">
        <v>1</v>
      </c>
      <c r="W245" s="43" t="s">
        <v>1454</v>
      </c>
    </row>
    <row r="246" spans="1:23" s="41" customFormat="1" ht="16.5" customHeight="1" x14ac:dyDescent="0.25">
      <c r="A246" s="255" t="s">
        <v>1665</v>
      </c>
      <c r="B246" s="255" t="s">
        <v>779</v>
      </c>
      <c r="C246" s="255"/>
      <c r="D246" s="255" t="s">
        <v>169</v>
      </c>
      <c r="E246" s="255" t="s">
        <v>290</v>
      </c>
      <c r="F246" s="40" t="s">
        <v>816</v>
      </c>
      <c r="G246" s="49">
        <v>0</v>
      </c>
      <c r="H246" s="77">
        <v>0</v>
      </c>
      <c r="I246" s="77">
        <v>0</v>
      </c>
      <c r="J246" s="77">
        <v>0</v>
      </c>
      <c r="K246" s="50">
        <v>0</v>
      </c>
      <c r="L246" s="77">
        <v>0</v>
      </c>
      <c r="M246" s="77">
        <v>0</v>
      </c>
      <c r="N246" s="77">
        <v>0</v>
      </c>
      <c r="O246" s="77">
        <v>0</v>
      </c>
      <c r="P246" s="77">
        <v>0</v>
      </c>
      <c r="Q246" s="77">
        <v>0</v>
      </c>
      <c r="R246" s="77">
        <v>0</v>
      </c>
      <c r="S246" s="77">
        <v>0</v>
      </c>
      <c r="T246" s="77">
        <v>0</v>
      </c>
      <c r="U246" s="77">
        <v>0</v>
      </c>
      <c r="V246" s="50">
        <v>0</v>
      </c>
      <c r="W246" s="41" t="s">
        <v>1486</v>
      </c>
    </row>
    <row r="247" spans="1:23" ht="16.5" customHeight="1" x14ac:dyDescent="0.25">
      <c r="A247" s="255" t="s">
        <v>1665</v>
      </c>
      <c r="B247" s="255" t="s">
        <v>779</v>
      </c>
      <c r="C247" s="255"/>
      <c r="D247" s="255" t="s">
        <v>1303</v>
      </c>
      <c r="E247" s="255" t="s">
        <v>1117</v>
      </c>
      <c r="F247" s="11" t="s">
        <v>817</v>
      </c>
      <c r="G247" s="51">
        <v>0</v>
      </c>
      <c r="H247" s="78">
        <v>0</v>
      </c>
      <c r="I247" s="78">
        <v>0</v>
      </c>
      <c r="J247" s="78">
        <v>0</v>
      </c>
      <c r="K247" s="52">
        <v>0</v>
      </c>
      <c r="L247" s="78">
        <v>0</v>
      </c>
      <c r="M247" s="78">
        <v>0</v>
      </c>
      <c r="N247" s="78">
        <v>0</v>
      </c>
      <c r="O247" s="78">
        <v>0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52">
        <v>0</v>
      </c>
      <c r="W247" t="s">
        <v>1454</v>
      </c>
    </row>
    <row r="248" spans="1:23" s="43" customFormat="1" ht="16.5" customHeight="1" x14ac:dyDescent="0.25">
      <c r="A248" s="255" t="s">
        <v>1665</v>
      </c>
      <c r="B248" s="255" t="s">
        <v>780</v>
      </c>
      <c r="C248" s="255"/>
      <c r="D248" s="255" t="s">
        <v>1304</v>
      </c>
      <c r="E248" s="255" t="s">
        <v>1114</v>
      </c>
      <c r="F248" s="42" t="s">
        <v>815</v>
      </c>
      <c r="G248" s="47">
        <v>0</v>
      </c>
      <c r="H248" s="76">
        <v>0</v>
      </c>
      <c r="I248" s="76">
        <v>0</v>
      </c>
      <c r="J248" s="76">
        <v>1</v>
      </c>
      <c r="K248" s="48">
        <v>0</v>
      </c>
      <c r="L248" s="76">
        <v>0</v>
      </c>
      <c r="M248" s="76">
        <v>0</v>
      </c>
      <c r="N248" s="76">
        <v>0</v>
      </c>
      <c r="O248" s="76">
        <v>0</v>
      </c>
      <c r="P248" s="76">
        <v>0</v>
      </c>
      <c r="Q248" s="76">
        <v>0</v>
      </c>
      <c r="R248" s="76">
        <v>0</v>
      </c>
      <c r="S248" s="76">
        <v>0</v>
      </c>
      <c r="T248" s="76">
        <v>1</v>
      </c>
      <c r="U248" s="76">
        <v>0</v>
      </c>
      <c r="V248" s="48">
        <v>1</v>
      </c>
      <c r="W248" s="43" t="s">
        <v>1454</v>
      </c>
    </row>
    <row r="249" spans="1:23" s="41" customFormat="1" ht="16.5" customHeight="1" x14ac:dyDescent="0.25">
      <c r="A249" s="255" t="s">
        <v>1665</v>
      </c>
      <c r="B249" s="255" t="s">
        <v>780</v>
      </c>
      <c r="C249" s="255"/>
      <c r="D249" s="255" t="s">
        <v>1305</v>
      </c>
      <c r="E249" s="255" t="s">
        <v>290</v>
      </c>
      <c r="F249" s="40" t="s">
        <v>816</v>
      </c>
      <c r="G249" s="49">
        <v>0</v>
      </c>
      <c r="H249" s="77">
        <v>0</v>
      </c>
      <c r="I249" s="77">
        <v>0</v>
      </c>
      <c r="J249" s="77">
        <v>0</v>
      </c>
      <c r="K249" s="50">
        <v>0</v>
      </c>
      <c r="L249" s="77">
        <v>0</v>
      </c>
      <c r="M249" s="77">
        <v>0</v>
      </c>
      <c r="N249" s="77">
        <v>0</v>
      </c>
      <c r="O249" s="77">
        <v>0</v>
      </c>
      <c r="P249" s="77">
        <v>0</v>
      </c>
      <c r="Q249" s="77">
        <v>0</v>
      </c>
      <c r="R249" s="77">
        <v>0</v>
      </c>
      <c r="S249" s="77">
        <v>0</v>
      </c>
      <c r="T249" s="77">
        <v>0</v>
      </c>
      <c r="U249" s="77">
        <v>0</v>
      </c>
      <c r="V249" s="50">
        <v>0</v>
      </c>
      <c r="W249" s="41" t="s">
        <v>1464</v>
      </c>
    </row>
    <row r="250" spans="1:23" ht="16.5" customHeight="1" x14ac:dyDescent="0.25">
      <c r="A250" s="255" t="s">
        <v>1665</v>
      </c>
      <c r="B250" s="255" t="s">
        <v>780</v>
      </c>
      <c r="C250" s="255"/>
      <c r="D250" s="255" t="s">
        <v>170</v>
      </c>
      <c r="E250" s="255" t="s">
        <v>1115</v>
      </c>
      <c r="F250" s="11" t="s">
        <v>817</v>
      </c>
      <c r="G250" s="51">
        <v>0</v>
      </c>
      <c r="H250" s="78">
        <v>0</v>
      </c>
      <c r="I250" s="78">
        <v>0</v>
      </c>
      <c r="J250" s="78">
        <v>0</v>
      </c>
      <c r="K250" s="52">
        <v>0</v>
      </c>
      <c r="L250" s="78">
        <v>0</v>
      </c>
      <c r="M250" s="78">
        <v>0</v>
      </c>
      <c r="N250" s="78">
        <v>0</v>
      </c>
      <c r="O250" s="78">
        <v>0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52">
        <v>0</v>
      </c>
      <c r="W250" t="s">
        <v>1454</v>
      </c>
    </row>
    <row r="251" spans="1:23" s="43" customFormat="1" ht="16.5" customHeight="1" x14ac:dyDescent="0.25">
      <c r="A251" s="255" t="s">
        <v>1665</v>
      </c>
      <c r="B251" s="255" t="s">
        <v>781</v>
      </c>
      <c r="C251" s="255"/>
      <c r="D251" s="255" t="s">
        <v>1306</v>
      </c>
      <c r="E251" s="255" t="s">
        <v>274</v>
      </c>
      <c r="F251" s="42" t="s">
        <v>827</v>
      </c>
      <c r="G251" s="47">
        <v>0</v>
      </c>
      <c r="H251" s="76">
        <v>0</v>
      </c>
      <c r="I251" s="76">
        <v>0</v>
      </c>
      <c r="J251" s="76">
        <v>0</v>
      </c>
      <c r="K251" s="48">
        <v>0</v>
      </c>
      <c r="L251" s="76">
        <v>0</v>
      </c>
      <c r="M251" s="76">
        <v>0</v>
      </c>
      <c r="N251" s="76">
        <v>0</v>
      </c>
      <c r="O251" s="76">
        <v>0</v>
      </c>
      <c r="P251" s="76">
        <v>0</v>
      </c>
      <c r="Q251" s="76">
        <v>0</v>
      </c>
      <c r="R251" s="76">
        <v>0</v>
      </c>
      <c r="S251" s="76">
        <v>0</v>
      </c>
      <c r="T251" s="76">
        <v>0</v>
      </c>
      <c r="U251" s="76">
        <v>0</v>
      </c>
      <c r="V251" s="48">
        <v>0</v>
      </c>
      <c r="W251" s="43" t="s">
        <v>1487</v>
      </c>
    </row>
    <row r="252" spans="1:23" s="41" customFormat="1" ht="16.5" customHeight="1" x14ac:dyDescent="0.25">
      <c r="A252" s="255" t="s">
        <v>1665</v>
      </c>
      <c r="B252" s="255" t="s">
        <v>781</v>
      </c>
      <c r="C252" s="255"/>
      <c r="D252" s="255" t="s">
        <v>601</v>
      </c>
      <c r="E252" s="255" t="s">
        <v>1128</v>
      </c>
      <c r="F252" s="40" t="s">
        <v>816</v>
      </c>
      <c r="G252" s="49">
        <v>0</v>
      </c>
      <c r="H252" s="77">
        <v>1</v>
      </c>
      <c r="I252" s="77">
        <v>0</v>
      </c>
      <c r="J252" s="77">
        <v>0</v>
      </c>
      <c r="K252" s="50">
        <v>0</v>
      </c>
      <c r="L252" s="77">
        <v>1</v>
      </c>
      <c r="M252" s="77">
        <v>0</v>
      </c>
      <c r="N252" s="77">
        <v>0</v>
      </c>
      <c r="O252" s="77">
        <v>0</v>
      </c>
      <c r="P252" s="77">
        <v>0</v>
      </c>
      <c r="Q252" s="77">
        <v>0</v>
      </c>
      <c r="R252" s="77">
        <v>0</v>
      </c>
      <c r="S252" s="77">
        <v>0</v>
      </c>
      <c r="T252" s="77">
        <v>0</v>
      </c>
      <c r="U252" s="77">
        <v>0</v>
      </c>
      <c r="V252" s="50">
        <v>1</v>
      </c>
      <c r="W252" s="41" t="s">
        <v>1454</v>
      </c>
    </row>
    <row r="253" spans="1:23" ht="16.5" customHeight="1" x14ac:dyDescent="0.25">
      <c r="A253" s="255" t="s">
        <v>1665</v>
      </c>
      <c r="B253" s="255" t="s">
        <v>781</v>
      </c>
      <c r="C253" s="255"/>
      <c r="D253" s="255" t="s">
        <v>601</v>
      </c>
      <c r="E253" s="255" t="s">
        <v>1128</v>
      </c>
      <c r="F253" s="11" t="s">
        <v>817</v>
      </c>
      <c r="G253" s="51">
        <v>0</v>
      </c>
      <c r="H253" s="78">
        <v>0</v>
      </c>
      <c r="I253" s="78">
        <v>0</v>
      </c>
      <c r="J253" s="78">
        <v>0</v>
      </c>
      <c r="K253" s="52">
        <v>0</v>
      </c>
      <c r="L253" s="78">
        <v>0</v>
      </c>
      <c r="M253" s="78">
        <v>0</v>
      </c>
      <c r="N253" s="78">
        <v>0</v>
      </c>
      <c r="O253" s="78">
        <v>0</v>
      </c>
      <c r="P253" s="78">
        <v>0</v>
      </c>
      <c r="Q253" s="78">
        <v>0</v>
      </c>
      <c r="R253" s="78">
        <v>0</v>
      </c>
      <c r="S253" s="78">
        <v>0</v>
      </c>
      <c r="T253" s="78">
        <v>0</v>
      </c>
      <c r="U253" s="78">
        <v>0</v>
      </c>
      <c r="V253" s="52">
        <v>0</v>
      </c>
      <c r="W253" t="s">
        <v>1454</v>
      </c>
    </row>
    <row r="254" spans="1:23" ht="16.5" customHeight="1" x14ac:dyDescent="0.25">
      <c r="B254" s="26"/>
      <c r="D254" s="26"/>
      <c r="F254" s="11"/>
    </row>
  </sheetData>
  <autoFilter ref="A1:E253"/>
  <mergeCells count="420">
    <mergeCell ref="A242:A244"/>
    <mergeCell ref="A245:A247"/>
    <mergeCell ref="A248:A250"/>
    <mergeCell ref="A251:A253"/>
    <mergeCell ref="A209:A211"/>
    <mergeCell ref="A212:A214"/>
    <mergeCell ref="A215:A217"/>
    <mergeCell ref="A218:A220"/>
    <mergeCell ref="A221:A223"/>
    <mergeCell ref="A224:A226"/>
    <mergeCell ref="A227:A229"/>
    <mergeCell ref="A230:A232"/>
    <mergeCell ref="A191:A193"/>
    <mergeCell ref="A194:A196"/>
    <mergeCell ref="A197:A199"/>
    <mergeCell ref="A200:A202"/>
    <mergeCell ref="A203:A205"/>
    <mergeCell ref="A206:A208"/>
    <mergeCell ref="A233:A235"/>
    <mergeCell ref="A236:A238"/>
    <mergeCell ref="A239:A241"/>
    <mergeCell ref="A164:A166"/>
    <mergeCell ref="A167:A169"/>
    <mergeCell ref="A170:A172"/>
    <mergeCell ref="A173:A175"/>
    <mergeCell ref="A176:A178"/>
    <mergeCell ref="A179:A181"/>
    <mergeCell ref="A182:A184"/>
    <mergeCell ref="A185:A187"/>
    <mergeCell ref="A188:A190"/>
    <mergeCell ref="A137:A139"/>
    <mergeCell ref="A140:A142"/>
    <mergeCell ref="A143:A145"/>
    <mergeCell ref="A146:A148"/>
    <mergeCell ref="A149:A151"/>
    <mergeCell ref="A152:A154"/>
    <mergeCell ref="A155:A157"/>
    <mergeCell ref="A158:A160"/>
    <mergeCell ref="A161:A163"/>
    <mergeCell ref="A110:A112"/>
    <mergeCell ref="A113:A115"/>
    <mergeCell ref="A116:A118"/>
    <mergeCell ref="A119:A121"/>
    <mergeCell ref="A122:A124"/>
    <mergeCell ref="A125:A127"/>
    <mergeCell ref="A128:A130"/>
    <mergeCell ref="A131:A133"/>
    <mergeCell ref="A134:A136"/>
    <mergeCell ref="A83:A85"/>
    <mergeCell ref="A86:A88"/>
    <mergeCell ref="A89:A91"/>
    <mergeCell ref="A92:A94"/>
    <mergeCell ref="A95:A97"/>
    <mergeCell ref="A98:A100"/>
    <mergeCell ref="A101:A103"/>
    <mergeCell ref="A104:A106"/>
    <mergeCell ref="A107:A109"/>
    <mergeCell ref="A56:A58"/>
    <mergeCell ref="A59:A61"/>
    <mergeCell ref="A62:A64"/>
    <mergeCell ref="A65:A67"/>
    <mergeCell ref="A68:A70"/>
    <mergeCell ref="A71:A73"/>
    <mergeCell ref="A74:A76"/>
    <mergeCell ref="A77:A79"/>
    <mergeCell ref="A80:A82"/>
    <mergeCell ref="A29:A31"/>
    <mergeCell ref="A32:A34"/>
    <mergeCell ref="A35:A37"/>
    <mergeCell ref="A38:A40"/>
    <mergeCell ref="A41:A43"/>
    <mergeCell ref="A44:A46"/>
    <mergeCell ref="A47:A49"/>
    <mergeCell ref="A50:A52"/>
    <mergeCell ref="A53:A55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C176:C178"/>
    <mergeCell ref="C179:C181"/>
    <mergeCell ref="C182:C184"/>
    <mergeCell ref="C185:C187"/>
    <mergeCell ref="C188:C190"/>
    <mergeCell ref="C191:C193"/>
    <mergeCell ref="C194:C196"/>
    <mergeCell ref="C197:C199"/>
    <mergeCell ref="C200:C202"/>
    <mergeCell ref="C149:C151"/>
    <mergeCell ref="C152:C154"/>
    <mergeCell ref="C155:C157"/>
    <mergeCell ref="C158:C160"/>
    <mergeCell ref="C161:C163"/>
    <mergeCell ref="C164:C166"/>
    <mergeCell ref="C167:C169"/>
    <mergeCell ref="C170:C172"/>
    <mergeCell ref="C173:C175"/>
    <mergeCell ref="C122:C124"/>
    <mergeCell ref="C125:C127"/>
    <mergeCell ref="C128:C130"/>
    <mergeCell ref="C131:C133"/>
    <mergeCell ref="C134:C136"/>
    <mergeCell ref="C137:C139"/>
    <mergeCell ref="C140:C142"/>
    <mergeCell ref="C143:C145"/>
    <mergeCell ref="C146:C148"/>
    <mergeCell ref="C95:C97"/>
    <mergeCell ref="C98:C100"/>
    <mergeCell ref="C101:C103"/>
    <mergeCell ref="C104:C106"/>
    <mergeCell ref="C107:C109"/>
    <mergeCell ref="C110:C112"/>
    <mergeCell ref="C113:C115"/>
    <mergeCell ref="C116:C118"/>
    <mergeCell ref="C119:C121"/>
    <mergeCell ref="C68:C70"/>
    <mergeCell ref="C71:C73"/>
    <mergeCell ref="C74:C76"/>
    <mergeCell ref="C77:C79"/>
    <mergeCell ref="C80:C82"/>
    <mergeCell ref="C83:C85"/>
    <mergeCell ref="C86:C88"/>
    <mergeCell ref="C89:C91"/>
    <mergeCell ref="C92:C94"/>
    <mergeCell ref="B251:B253"/>
    <mergeCell ref="C2:C4"/>
    <mergeCell ref="C5:C7"/>
    <mergeCell ref="C8:C10"/>
    <mergeCell ref="C11:C13"/>
    <mergeCell ref="C14:C1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  <mergeCell ref="C65:C67"/>
    <mergeCell ref="B224:B226"/>
    <mergeCell ref="B242:B244"/>
    <mergeCell ref="B245:B247"/>
    <mergeCell ref="B248:B250"/>
    <mergeCell ref="B197:B199"/>
    <mergeCell ref="B200:B202"/>
    <mergeCell ref="B203:B205"/>
    <mergeCell ref="B206:B208"/>
    <mergeCell ref="B209:B211"/>
    <mergeCell ref="B212:B214"/>
    <mergeCell ref="B215:B217"/>
    <mergeCell ref="B218:B220"/>
    <mergeCell ref="B221:B223"/>
    <mergeCell ref="B185:B187"/>
    <mergeCell ref="B188:B190"/>
    <mergeCell ref="B191:B193"/>
    <mergeCell ref="B194:B196"/>
    <mergeCell ref="B227:B229"/>
    <mergeCell ref="B230:B232"/>
    <mergeCell ref="B233:B235"/>
    <mergeCell ref="B236:B238"/>
    <mergeCell ref="B239:B241"/>
    <mergeCell ref="B158:B160"/>
    <mergeCell ref="B161:B163"/>
    <mergeCell ref="B164:B166"/>
    <mergeCell ref="B167:B169"/>
    <mergeCell ref="B170:B172"/>
    <mergeCell ref="B173:B175"/>
    <mergeCell ref="B176:B178"/>
    <mergeCell ref="B179:B181"/>
    <mergeCell ref="B182:B184"/>
    <mergeCell ref="B131:B133"/>
    <mergeCell ref="B134:B136"/>
    <mergeCell ref="B137:B139"/>
    <mergeCell ref="B140:B142"/>
    <mergeCell ref="B143:B145"/>
    <mergeCell ref="B146:B148"/>
    <mergeCell ref="B149:B151"/>
    <mergeCell ref="B152:B154"/>
    <mergeCell ref="B155:B157"/>
    <mergeCell ref="B104:B106"/>
    <mergeCell ref="B107:B109"/>
    <mergeCell ref="B110:B112"/>
    <mergeCell ref="B113:B115"/>
    <mergeCell ref="B116:B118"/>
    <mergeCell ref="B119:B121"/>
    <mergeCell ref="B122:B124"/>
    <mergeCell ref="B125:B127"/>
    <mergeCell ref="B128:B130"/>
    <mergeCell ref="B77:B79"/>
    <mergeCell ref="B80:B82"/>
    <mergeCell ref="B83:B85"/>
    <mergeCell ref="B86:B88"/>
    <mergeCell ref="B89:B91"/>
    <mergeCell ref="B92:B94"/>
    <mergeCell ref="B95:B97"/>
    <mergeCell ref="B98:B100"/>
    <mergeCell ref="B101:B103"/>
    <mergeCell ref="B50:B52"/>
    <mergeCell ref="B53:B55"/>
    <mergeCell ref="B56:B58"/>
    <mergeCell ref="B59:B61"/>
    <mergeCell ref="B62:B64"/>
    <mergeCell ref="B65:B67"/>
    <mergeCell ref="B68:B70"/>
    <mergeCell ref="B71:B73"/>
    <mergeCell ref="B74:B76"/>
    <mergeCell ref="C230:C232"/>
    <mergeCell ref="C233:C235"/>
    <mergeCell ref="C236:C238"/>
    <mergeCell ref="C239:C241"/>
    <mergeCell ref="C242:C244"/>
    <mergeCell ref="C245:C247"/>
    <mergeCell ref="C248:C250"/>
    <mergeCell ref="C251:C253"/>
    <mergeCell ref="B2:B4"/>
    <mergeCell ref="B5:B7"/>
    <mergeCell ref="B8:B10"/>
    <mergeCell ref="B11:B13"/>
    <mergeCell ref="B14:B16"/>
    <mergeCell ref="B17:B19"/>
    <mergeCell ref="B20:B22"/>
    <mergeCell ref="B23:B25"/>
    <mergeCell ref="B26:B28"/>
    <mergeCell ref="B29:B31"/>
    <mergeCell ref="B32:B34"/>
    <mergeCell ref="B35:B37"/>
    <mergeCell ref="B38:B40"/>
    <mergeCell ref="B41:B43"/>
    <mergeCell ref="B44:B46"/>
    <mergeCell ref="B47:B49"/>
    <mergeCell ref="C203:C205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D29:D31"/>
    <mergeCell ref="D32:D34"/>
    <mergeCell ref="D35:D37"/>
    <mergeCell ref="D38:D40"/>
    <mergeCell ref="D41:D43"/>
    <mergeCell ref="D179:D181"/>
    <mergeCell ref="D182:D184"/>
    <mergeCell ref="D185:D187"/>
    <mergeCell ref="D2:D4"/>
    <mergeCell ref="D5:D7"/>
    <mergeCell ref="D8:D10"/>
    <mergeCell ref="D11:D13"/>
    <mergeCell ref="D14:D16"/>
    <mergeCell ref="D17:D19"/>
    <mergeCell ref="D20:D22"/>
    <mergeCell ref="D23:D25"/>
    <mergeCell ref="D26:D28"/>
    <mergeCell ref="D59:D61"/>
    <mergeCell ref="D62:D64"/>
    <mergeCell ref="D65:D67"/>
    <mergeCell ref="D68:D70"/>
    <mergeCell ref="D71:D73"/>
    <mergeCell ref="D44:D46"/>
    <mergeCell ref="D47:D49"/>
    <mergeCell ref="D50:D52"/>
    <mergeCell ref="D53:D55"/>
    <mergeCell ref="D56:D58"/>
    <mergeCell ref="D89:D91"/>
    <mergeCell ref="D92:D94"/>
    <mergeCell ref="D95:D97"/>
    <mergeCell ref="D98:D100"/>
    <mergeCell ref="D101:D103"/>
    <mergeCell ref="D74:D76"/>
    <mergeCell ref="D77:D79"/>
    <mergeCell ref="D80:D82"/>
    <mergeCell ref="D83:D85"/>
    <mergeCell ref="D86:D88"/>
    <mergeCell ref="D119:D121"/>
    <mergeCell ref="D122:D124"/>
    <mergeCell ref="D125:D127"/>
    <mergeCell ref="D128:D130"/>
    <mergeCell ref="D131:D133"/>
    <mergeCell ref="D104:D106"/>
    <mergeCell ref="D107:D109"/>
    <mergeCell ref="D110:D112"/>
    <mergeCell ref="D113:D115"/>
    <mergeCell ref="D116:D118"/>
    <mergeCell ref="D149:D151"/>
    <mergeCell ref="D152:D154"/>
    <mergeCell ref="D155:D157"/>
    <mergeCell ref="D158:D160"/>
    <mergeCell ref="D161:D163"/>
    <mergeCell ref="D134:D136"/>
    <mergeCell ref="D137:D139"/>
    <mergeCell ref="D140:D142"/>
    <mergeCell ref="D143:D145"/>
    <mergeCell ref="D146:D148"/>
    <mergeCell ref="D188:D190"/>
    <mergeCell ref="D191:D193"/>
    <mergeCell ref="D194:D196"/>
    <mergeCell ref="D197:D199"/>
    <mergeCell ref="D200:D202"/>
    <mergeCell ref="D164:D166"/>
    <mergeCell ref="D167:D169"/>
    <mergeCell ref="D170:D172"/>
    <mergeCell ref="D173:D175"/>
    <mergeCell ref="D176:D178"/>
    <mergeCell ref="D248:D250"/>
    <mergeCell ref="D251:D253"/>
    <mergeCell ref="D233:D235"/>
    <mergeCell ref="D236:D238"/>
    <mergeCell ref="D239:D241"/>
    <mergeCell ref="D242:D244"/>
    <mergeCell ref="D245:D247"/>
    <mergeCell ref="D212:D214"/>
    <mergeCell ref="D215:D217"/>
    <mergeCell ref="D218:D220"/>
    <mergeCell ref="D221:D223"/>
    <mergeCell ref="D224:D226"/>
    <mergeCell ref="D227:D229"/>
    <mergeCell ref="D230:D232"/>
    <mergeCell ref="D203:D205"/>
    <mergeCell ref="D206:D208"/>
    <mergeCell ref="D209:D211"/>
    <mergeCell ref="E17:E19"/>
    <mergeCell ref="E20:E22"/>
    <mergeCell ref="E23:E25"/>
    <mergeCell ref="E26:E28"/>
    <mergeCell ref="E29:E31"/>
    <mergeCell ref="E59:E61"/>
    <mergeCell ref="E77:E79"/>
    <mergeCell ref="E80:E82"/>
    <mergeCell ref="E83:E85"/>
    <mergeCell ref="E86:E88"/>
    <mergeCell ref="E89:E91"/>
    <mergeCell ref="E62:E64"/>
    <mergeCell ref="E65:E67"/>
    <mergeCell ref="E68:E70"/>
    <mergeCell ref="E71:E73"/>
    <mergeCell ref="E74:E76"/>
    <mergeCell ref="E92:E94"/>
    <mergeCell ref="E95:E97"/>
    <mergeCell ref="E98:E100"/>
    <mergeCell ref="E101:E103"/>
    <mergeCell ref="E104:E106"/>
    <mergeCell ref="E2:E4"/>
    <mergeCell ref="E5:E7"/>
    <mergeCell ref="E8:E10"/>
    <mergeCell ref="E11:E13"/>
    <mergeCell ref="E14:E16"/>
    <mergeCell ref="E47:E49"/>
    <mergeCell ref="E50:E52"/>
    <mergeCell ref="E53:E55"/>
    <mergeCell ref="E56:E58"/>
    <mergeCell ref="E32:E34"/>
    <mergeCell ref="E35:E37"/>
    <mergeCell ref="E38:E40"/>
    <mergeCell ref="E41:E43"/>
    <mergeCell ref="E44:E46"/>
    <mergeCell ref="E122:E124"/>
    <mergeCell ref="E125:E127"/>
    <mergeCell ref="E128:E130"/>
    <mergeCell ref="E131:E133"/>
    <mergeCell ref="E134:E136"/>
    <mergeCell ref="E107:E109"/>
    <mergeCell ref="E110:E112"/>
    <mergeCell ref="E113:E115"/>
    <mergeCell ref="E116:E118"/>
    <mergeCell ref="E119:E121"/>
    <mergeCell ref="E152:E154"/>
    <mergeCell ref="E155:E157"/>
    <mergeCell ref="E158:E160"/>
    <mergeCell ref="E161:E163"/>
    <mergeCell ref="E164:E166"/>
    <mergeCell ref="E137:E139"/>
    <mergeCell ref="E140:E142"/>
    <mergeCell ref="E143:E145"/>
    <mergeCell ref="E146:E148"/>
    <mergeCell ref="E149:E151"/>
    <mergeCell ref="E194:E196"/>
    <mergeCell ref="E182:E184"/>
    <mergeCell ref="E185:E187"/>
    <mergeCell ref="E188:E190"/>
    <mergeCell ref="E191:E193"/>
    <mergeCell ref="E167:E169"/>
    <mergeCell ref="E170:E172"/>
    <mergeCell ref="E173:E175"/>
    <mergeCell ref="E176:E178"/>
    <mergeCell ref="E179:E181"/>
    <mergeCell ref="E212:E214"/>
    <mergeCell ref="E215:E217"/>
    <mergeCell ref="E218:E220"/>
    <mergeCell ref="E221:E223"/>
    <mergeCell ref="E224:E226"/>
    <mergeCell ref="E197:E199"/>
    <mergeCell ref="E200:E202"/>
    <mergeCell ref="E203:E205"/>
    <mergeCell ref="E206:E208"/>
    <mergeCell ref="E209:E211"/>
    <mergeCell ref="E242:E244"/>
    <mergeCell ref="E245:E247"/>
    <mergeCell ref="E248:E250"/>
    <mergeCell ref="E251:E253"/>
    <mergeCell ref="E227:E229"/>
    <mergeCell ref="E230:E232"/>
    <mergeCell ref="E233:E235"/>
    <mergeCell ref="E236:E238"/>
    <mergeCell ref="E239:E241"/>
  </mergeCells>
  <phoneticPr fontId="3" type="noConversion"/>
  <dataValidations count="2">
    <dataValidation type="list" allowBlank="1" showInputMessage="1" showErrorMessage="1" sqref="F254:F1048576 E1:E1048576">
      <formula1>i01_清單知識領域</formula1>
    </dataValidation>
    <dataValidation type="list" allowBlank="1" showInputMessage="1" showErrorMessage="1" sqref="B254:C1048576 B1">
      <formula1>i01_清單投入與產出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AR143"/>
  <sheetViews>
    <sheetView zoomScale="85" zoomScaleNormal="85" workbookViewId="0">
      <pane xSplit="11" ySplit="1" topLeftCell="L2" activePane="bottomRight" state="frozen"/>
      <selection activeCell="B4" sqref="B4:B87"/>
      <selection pane="topRight" activeCell="B4" sqref="B4:B87"/>
      <selection pane="bottomLeft" activeCell="B4" sqref="B4:B87"/>
      <selection pane="bottomRight" activeCell="B4" sqref="B4:B87"/>
    </sheetView>
  </sheetViews>
  <sheetFormatPr defaultRowHeight="16.5" x14ac:dyDescent="0.25"/>
  <cols>
    <col min="1" max="2" width="5.625" style="38" customWidth="1"/>
    <col min="3" max="3" width="10.625" style="53" customWidth="1"/>
    <col min="4" max="4" width="10.625" style="54" customWidth="1"/>
    <col min="5" max="6" width="5.625" customWidth="1"/>
    <col min="7" max="7" width="5.625" style="51" hidden="1" customWidth="1"/>
    <col min="8" max="11" width="5.625" style="78" hidden="1" customWidth="1"/>
    <col min="12" max="12" width="5.625" style="51" customWidth="1"/>
    <col min="13" max="20" width="5.625" style="78" customWidth="1"/>
    <col min="21" max="21" width="5.625" style="52" customWidth="1"/>
    <col min="22" max="22" width="5.625" style="11" customWidth="1"/>
    <col min="24" max="24" width="9.875" bestFit="1" customWidth="1"/>
    <col min="28" max="28" width="9.875" hidden="1" customWidth="1"/>
    <col min="29" max="44" width="0" hidden="1" customWidth="1"/>
  </cols>
  <sheetData>
    <row r="1" spans="1:44" x14ac:dyDescent="0.25">
      <c r="A1" s="38" t="s">
        <v>64</v>
      </c>
      <c r="C1" s="53" t="s">
        <v>589</v>
      </c>
      <c r="D1" s="54" t="s">
        <v>593</v>
      </c>
      <c r="E1" s="38" t="s">
        <v>729</v>
      </c>
      <c r="F1" t="s">
        <v>377</v>
      </c>
      <c r="G1" s="56" t="s">
        <v>2</v>
      </c>
      <c r="H1" s="57" t="s">
        <v>3</v>
      </c>
      <c r="I1" s="57" t="s">
        <v>4</v>
      </c>
      <c r="J1" s="57" t="s">
        <v>296</v>
      </c>
      <c r="K1" s="57" t="s">
        <v>6</v>
      </c>
      <c r="L1" s="56" t="s">
        <v>273</v>
      </c>
      <c r="M1" s="57" t="s">
        <v>275</v>
      </c>
      <c r="N1" s="57" t="s">
        <v>276</v>
      </c>
      <c r="O1" s="57" t="s">
        <v>277</v>
      </c>
      <c r="P1" s="57" t="s">
        <v>278</v>
      </c>
      <c r="Q1" s="57" t="s">
        <v>279</v>
      </c>
      <c r="R1" s="57" t="s">
        <v>280</v>
      </c>
      <c r="S1" s="57" t="s">
        <v>281</v>
      </c>
      <c r="T1" s="57" t="s">
        <v>282</v>
      </c>
      <c r="U1" s="58" t="s">
        <v>291</v>
      </c>
      <c r="V1" s="11" t="s">
        <v>718</v>
      </c>
      <c r="W1" t="s">
        <v>728</v>
      </c>
      <c r="Y1" s="154"/>
      <c r="AB1" t="s">
        <v>1898</v>
      </c>
      <c r="AD1" t="s">
        <v>2</v>
      </c>
      <c r="AE1" t="s">
        <v>3</v>
      </c>
      <c r="AF1" t="s">
        <v>4</v>
      </c>
      <c r="AG1" t="s">
        <v>296</v>
      </c>
      <c r="AH1" t="s">
        <v>6</v>
      </c>
      <c r="AI1" t="s">
        <v>273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291</v>
      </c>
    </row>
    <row r="2" spans="1:44" x14ac:dyDescent="0.25">
      <c r="A2" s="38" t="s">
        <v>868</v>
      </c>
      <c r="C2" s="38" t="s">
        <v>702</v>
      </c>
      <c r="D2" s="54" t="s">
        <v>507</v>
      </c>
      <c r="G2" s="51">
        <v>0</v>
      </c>
      <c r="H2" s="78">
        <v>3</v>
      </c>
      <c r="I2" s="78">
        <v>0</v>
      </c>
      <c r="J2" s="78">
        <v>0</v>
      </c>
      <c r="K2" s="78">
        <v>0</v>
      </c>
      <c r="L2" s="51">
        <v>0</v>
      </c>
      <c r="M2" s="78">
        <v>1</v>
      </c>
      <c r="N2" s="78">
        <v>0</v>
      </c>
      <c r="O2" s="78">
        <v>0</v>
      </c>
      <c r="P2" s="78">
        <v>1</v>
      </c>
      <c r="Q2" s="78">
        <v>0</v>
      </c>
      <c r="R2" s="78">
        <v>0</v>
      </c>
      <c r="S2" s="78">
        <v>0</v>
      </c>
      <c r="T2" s="78">
        <v>0</v>
      </c>
      <c r="U2" s="52">
        <v>1</v>
      </c>
      <c r="V2" s="11">
        <v>3</v>
      </c>
      <c r="W2" t="s">
        <v>1614</v>
      </c>
      <c r="AB2" t="str">
        <f t="array" aca="1" ref="AB2" ca="1">OFFSET($D$1,SMALL(IF(G$2:G$142,ROW($D$2:$D$142)-1,999),ROW(1:1)),)</f>
        <v>腦力激盪</v>
      </c>
      <c r="AD2">
        <f t="array" ref="AD2">G$2:G$142</f>
        <v>0</v>
      </c>
      <c r="AE2">
        <f t="array" ref="AE2">H$2:H$142</f>
        <v>3</v>
      </c>
      <c r="AF2">
        <f t="array" ref="AF2">I$2:I$142</f>
        <v>0</v>
      </c>
      <c r="AG2">
        <f t="array" ref="AG2">J$2:J$142</f>
        <v>0</v>
      </c>
      <c r="AH2">
        <f t="array" ref="AH2">K$2:K$142</f>
        <v>0</v>
      </c>
      <c r="AI2">
        <f t="array" ref="AI2">L$2:L$142</f>
        <v>0</v>
      </c>
      <c r="AJ2">
        <f t="array" ref="AJ2">M$2:M$142</f>
        <v>1</v>
      </c>
      <c r="AK2">
        <f t="array" ref="AK2">N$2:N$142</f>
        <v>0</v>
      </c>
      <c r="AL2">
        <f t="array" ref="AL2">O$2:O$142</f>
        <v>0</v>
      </c>
      <c r="AM2">
        <f t="array" ref="AM2">P$2:P$142</f>
        <v>1</v>
      </c>
      <c r="AN2">
        <f t="array" ref="AN2">Q$2:Q$142</f>
        <v>0</v>
      </c>
      <c r="AO2">
        <f t="array" ref="AO2">R$2:R$142</f>
        <v>0</v>
      </c>
      <c r="AP2">
        <f t="array" ref="AP2">S$2:S$142</f>
        <v>0</v>
      </c>
      <c r="AQ2">
        <f t="array" ref="AQ2">T$2:T$142</f>
        <v>0</v>
      </c>
      <c r="AR2">
        <f t="array" ref="AR2">U$2:U$142</f>
        <v>1</v>
      </c>
    </row>
    <row r="3" spans="1:44" x14ac:dyDescent="0.25">
      <c r="A3" s="38" t="s">
        <v>1667</v>
      </c>
      <c r="C3" s="38" t="s">
        <v>702</v>
      </c>
      <c r="D3" s="54" t="s">
        <v>394</v>
      </c>
      <c r="G3" s="51">
        <v>2</v>
      </c>
      <c r="H3" s="78">
        <v>4</v>
      </c>
      <c r="I3" s="78">
        <v>0</v>
      </c>
      <c r="J3" s="78">
        <v>0</v>
      </c>
      <c r="K3" s="78">
        <v>0</v>
      </c>
      <c r="L3" s="51">
        <v>2</v>
      </c>
      <c r="M3" s="78">
        <v>1</v>
      </c>
      <c r="N3" s="78">
        <v>0</v>
      </c>
      <c r="O3" s="78">
        <v>0</v>
      </c>
      <c r="P3" s="78">
        <v>1</v>
      </c>
      <c r="Q3" s="78">
        <v>0</v>
      </c>
      <c r="R3" s="78">
        <v>0</v>
      </c>
      <c r="S3" s="78">
        <v>1</v>
      </c>
      <c r="T3" s="78">
        <v>0</v>
      </c>
      <c r="U3" s="52">
        <v>1</v>
      </c>
      <c r="V3" s="66">
        <v>6</v>
      </c>
      <c r="W3" t="s">
        <v>1615</v>
      </c>
      <c r="AB3" t="str">
        <f t="array" aca="1" ref="AB3" ca="1">OFFSET($D$1,SMALL(IF(G$2:G$142,ROW($D$2:$D$142)-1,999),ROW(2:2)),)</f>
        <v>焦點團體</v>
      </c>
    </row>
    <row r="4" spans="1:44" x14ac:dyDescent="0.25">
      <c r="A4" s="38" t="s">
        <v>1375</v>
      </c>
      <c r="C4" s="38" t="s">
        <v>702</v>
      </c>
      <c r="D4" s="54" t="s">
        <v>508</v>
      </c>
      <c r="G4" s="51">
        <v>0</v>
      </c>
      <c r="H4" s="78">
        <v>0</v>
      </c>
      <c r="I4" s="78">
        <v>0</v>
      </c>
      <c r="J4" s="78">
        <v>1</v>
      </c>
      <c r="K4" s="78">
        <v>0</v>
      </c>
      <c r="L4" s="51">
        <v>0</v>
      </c>
      <c r="M4" s="78">
        <v>0</v>
      </c>
      <c r="N4" s="78">
        <v>0</v>
      </c>
      <c r="O4" s="78">
        <v>0</v>
      </c>
      <c r="P4" s="78">
        <v>1</v>
      </c>
      <c r="Q4" s="78">
        <v>0</v>
      </c>
      <c r="R4" s="78">
        <v>0</v>
      </c>
      <c r="S4" s="78">
        <v>0</v>
      </c>
      <c r="T4" s="78">
        <v>0</v>
      </c>
      <c r="U4" s="52">
        <v>0</v>
      </c>
      <c r="V4" s="66">
        <v>1</v>
      </c>
      <c r="W4" t="s">
        <v>1477</v>
      </c>
      <c r="AB4" t="str">
        <f t="array" aca="1" ref="AB4" ca="1">OFFSET($D$1,SMALL(IF(G$2:G$142,ROW($D$2:$D$142)-1,999),ROW(3:3)),)</f>
        <v>訪談</v>
      </c>
    </row>
    <row r="5" spans="1:44" x14ac:dyDescent="0.25">
      <c r="A5" s="38" t="s">
        <v>1376</v>
      </c>
      <c r="C5" s="38" t="s">
        <v>702</v>
      </c>
      <c r="D5" s="54" t="s">
        <v>509</v>
      </c>
      <c r="G5" s="51">
        <v>0</v>
      </c>
      <c r="H5" s="78">
        <v>2</v>
      </c>
      <c r="I5" s="78">
        <v>1</v>
      </c>
      <c r="J5" s="78">
        <v>1</v>
      </c>
      <c r="K5" s="78">
        <v>0</v>
      </c>
      <c r="L5" s="51">
        <v>1</v>
      </c>
      <c r="M5" s="78">
        <v>0</v>
      </c>
      <c r="N5" s="78">
        <v>0</v>
      </c>
      <c r="O5" s="78">
        <v>0</v>
      </c>
      <c r="P5" s="78">
        <v>2</v>
      </c>
      <c r="Q5" s="78">
        <v>0</v>
      </c>
      <c r="R5" s="78">
        <v>0</v>
      </c>
      <c r="S5" s="78">
        <v>1</v>
      </c>
      <c r="T5" s="78">
        <v>0</v>
      </c>
      <c r="U5" s="52">
        <v>0</v>
      </c>
      <c r="V5" s="66">
        <v>4</v>
      </c>
      <c r="W5" t="s">
        <v>1616</v>
      </c>
      <c r="AB5" t="str">
        <f t="array" aca="1" ref="AB5" ca="1">OFFSET($D$1,SMALL(IF(G$2:G$142,ROW($D$2:$D$142)-1,999),ROW(4:4)),)</f>
        <v>問卷調查</v>
      </c>
    </row>
    <row r="6" spans="1:44" x14ac:dyDescent="0.25">
      <c r="A6" s="38" t="s">
        <v>1377</v>
      </c>
      <c r="C6" s="38" t="s">
        <v>702</v>
      </c>
      <c r="D6" s="54" t="s">
        <v>510</v>
      </c>
      <c r="G6" s="51">
        <v>1</v>
      </c>
      <c r="H6" s="78">
        <v>2</v>
      </c>
      <c r="I6" s="78">
        <v>0</v>
      </c>
      <c r="J6" s="78">
        <v>0</v>
      </c>
      <c r="K6" s="78">
        <v>0</v>
      </c>
      <c r="L6" s="51">
        <v>2</v>
      </c>
      <c r="M6" s="78">
        <v>1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52">
        <v>0</v>
      </c>
      <c r="V6" s="66">
        <v>3</v>
      </c>
      <c r="W6" t="s">
        <v>1617</v>
      </c>
      <c r="AB6" t="str">
        <f t="array" aca="1" ref="AB6" ca="1">OFFSET($D$1,SMALL(IF(G$2:G$142,ROW($D$2:$D$142)-1,999),ROW(5:5)),)</f>
        <v>文件分析</v>
      </c>
    </row>
    <row r="7" spans="1:44" x14ac:dyDescent="0.25">
      <c r="A7" s="38" t="s">
        <v>1378</v>
      </c>
      <c r="C7" s="38" t="s">
        <v>702</v>
      </c>
      <c r="D7" s="54" t="s">
        <v>511</v>
      </c>
      <c r="G7" s="51">
        <v>1</v>
      </c>
      <c r="H7" s="78">
        <v>7</v>
      </c>
      <c r="I7" s="78">
        <v>0</v>
      </c>
      <c r="J7" s="78">
        <v>0</v>
      </c>
      <c r="K7" s="78">
        <v>0</v>
      </c>
      <c r="L7" s="51">
        <v>2</v>
      </c>
      <c r="M7" s="78">
        <v>1</v>
      </c>
      <c r="N7" s="78">
        <v>0</v>
      </c>
      <c r="O7" s="78">
        <v>0</v>
      </c>
      <c r="P7" s="78">
        <v>1</v>
      </c>
      <c r="Q7" s="78">
        <v>0</v>
      </c>
      <c r="R7" s="78">
        <v>0</v>
      </c>
      <c r="S7" s="78">
        <v>4</v>
      </c>
      <c r="T7" s="78">
        <v>0</v>
      </c>
      <c r="U7" s="52">
        <v>0</v>
      </c>
      <c r="V7" s="66">
        <v>8</v>
      </c>
      <c r="W7" t="s">
        <v>1618</v>
      </c>
      <c r="AB7" t="str">
        <f t="array" aca="1" ref="AB7" ca="1">OFFSET($D$1,SMALL(IF(G$2:G$142,ROW($D$2:$D$142)-1,999),ROW(6:6)),)</f>
        <v>利害關係人分析</v>
      </c>
    </row>
    <row r="8" spans="1:44" x14ac:dyDescent="0.25">
      <c r="A8" s="38" t="s">
        <v>1379</v>
      </c>
      <c r="B8" s="38" t="s">
        <v>905</v>
      </c>
      <c r="C8" s="38" t="s">
        <v>702</v>
      </c>
      <c r="D8" s="54" t="s">
        <v>512</v>
      </c>
      <c r="G8" s="51">
        <v>0</v>
      </c>
      <c r="H8" s="78">
        <v>1</v>
      </c>
      <c r="I8" s="78">
        <v>0</v>
      </c>
      <c r="J8" s="78">
        <v>0</v>
      </c>
      <c r="K8" s="78">
        <v>0</v>
      </c>
      <c r="L8" s="51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1</v>
      </c>
      <c r="U8" s="52">
        <v>0</v>
      </c>
      <c r="V8" s="66">
        <v>1</v>
      </c>
      <c r="W8" t="s">
        <v>1463</v>
      </c>
      <c r="AB8" t="str">
        <f t="array" aca="1" ref="AB8" ca="1">OFFSET($D$1,SMALL(IF(G$2:G$142,ROW($D$2:$D$142)-1,999),ROW(7:7)),)</f>
        <v>利害關係人對應/呈現</v>
      </c>
    </row>
    <row r="9" spans="1:44" x14ac:dyDescent="0.25">
      <c r="A9" s="38" t="s">
        <v>1380</v>
      </c>
      <c r="B9" s="38" t="s">
        <v>905</v>
      </c>
      <c r="C9" s="38" t="s">
        <v>702</v>
      </c>
      <c r="D9" s="54" t="s">
        <v>563</v>
      </c>
      <c r="G9" s="51">
        <v>1</v>
      </c>
      <c r="H9" s="78">
        <v>1</v>
      </c>
      <c r="I9" s="78">
        <v>0</v>
      </c>
      <c r="J9" s="78">
        <v>1</v>
      </c>
      <c r="K9" s="78">
        <v>0</v>
      </c>
      <c r="L9" s="51">
        <v>0</v>
      </c>
      <c r="M9" s="78">
        <v>1</v>
      </c>
      <c r="N9" s="78">
        <v>0</v>
      </c>
      <c r="O9" s="78">
        <v>0</v>
      </c>
      <c r="P9" s="78">
        <v>1</v>
      </c>
      <c r="Q9" s="78">
        <v>0</v>
      </c>
      <c r="R9" s="78">
        <v>0</v>
      </c>
      <c r="S9" s="78">
        <v>0</v>
      </c>
      <c r="T9" s="78">
        <v>0</v>
      </c>
      <c r="U9" s="52">
        <v>1</v>
      </c>
      <c r="V9" s="66">
        <v>3</v>
      </c>
      <c r="W9" t="s">
        <v>1619</v>
      </c>
      <c r="AB9" t="str">
        <f t="array" aca="1" ref="AB9" ca="1">OFFSET($D$1,SMALL(IF(G$2:G$142,ROW($D$2:$D$142)-1,999),ROW(8:8)),)</f>
        <v>衝突管理</v>
      </c>
    </row>
    <row r="10" spans="1:44" x14ac:dyDescent="0.25">
      <c r="A10" s="38" t="s">
        <v>1381</v>
      </c>
      <c r="C10" s="38" t="s">
        <v>702</v>
      </c>
      <c r="D10" s="54" t="s">
        <v>513</v>
      </c>
      <c r="G10" s="51">
        <v>0</v>
      </c>
      <c r="H10" s="78">
        <v>0</v>
      </c>
      <c r="I10" s="78">
        <v>0</v>
      </c>
      <c r="J10" s="78">
        <v>1</v>
      </c>
      <c r="K10" s="78">
        <v>0</v>
      </c>
      <c r="L10" s="51">
        <v>0</v>
      </c>
      <c r="M10" s="78">
        <v>0</v>
      </c>
      <c r="N10" s="78">
        <v>0</v>
      </c>
      <c r="O10" s="78">
        <v>0</v>
      </c>
      <c r="P10" s="78">
        <v>1</v>
      </c>
      <c r="Q10" s="78">
        <v>0</v>
      </c>
      <c r="R10" s="78">
        <v>0</v>
      </c>
      <c r="S10" s="78">
        <v>0</v>
      </c>
      <c r="T10" s="78">
        <v>0</v>
      </c>
      <c r="U10" s="52">
        <v>0</v>
      </c>
      <c r="V10" s="66">
        <v>1</v>
      </c>
      <c r="W10" t="s">
        <v>1477</v>
      </c>
      <c r="AB10" t="str">
        <f t="array" aca="1" ref="AB10" ca="1">OFFSET($D$1,SMALL(IF(G$2:G$142,ROW($D$2:$D$142)-1,999),ROW(9:9)),)</f>
        <v>促進</v>
      </c>
    </row>
    <row r="11" spans="1:44" x14ac:dyDescent="0.25">
      <c r="A11" s="38" t="s">
        <v>869</v>
      </c>
      <c r="B11" s="38" t="s">
        <v>906</v>
      </c>
      <c r="C11" s="38" t="s">
        <v>703</v>
      </c>
      <c r="D11" s="54" t="s">
        <v>514</v>
      </c>
      <c r="G11" s="51">
        <v>0</v>
      </c>
      <c r="H11" s="78">
        <v>6</v>
      </c>
      <c r="I11" s="78">
        <v>1</v>
      </c>
      <c r="J11" s="78">
        <v>4</v>
      </c>
      <c r="K11" s="78">
        <v>0</v>
      </c>
      <c r="L11" s="51">
        <v>2</v>
      </c>
      <c r="M11" s="78">
        <v>2</v>
      </c>
      <c r="N11" s="78">
        <v>1</v>
      </c>
      <c r="O11" s="78">
        <v>1</v>
      </c>
      <c r="P11" s="78">
        <v>1</v>
      </c>
      <c r="Q11" s="78">
        <v>2</v>
      </c>
      <c r="R11" s="78">
        <v>0</v>
      </c>
      <c r="S11" s="78">
        <v>1</v>
      </c>
      <c r="T11" s="78">
        <v>0</v>
      </c>
      <c r="U11" s="52">
        <v>1</v>
      </c>
      <c r="V11" s="66">
        <v>11</v>
      </c>
      <c r="W11" t="s">
        <v>1620</v>
      </c>
      <c r="AB11" t="str">
        <f t="array" aca="1" ref="AB11" ca="1">OFFSET($D$1,SMALL(IF(G$2:G$142,ROW($D$2:$D$142)-1,999),ROW(10:10)),)</f>
        <v>會議管理</v>
      </c>
    </row>
    <row r="12" spans="1:44" x14ac:dyDescent="0.25">
      <c r="A12" s="38" t="s">
        <v>870</v>
      </c>
      <c r="B12" s="38" t="s">
        <v>907</v>
      </c>
      <c r="C12" s="38" t="s">
        <v>703</v>
      </c>
      <c r="D12" s="54" t="s">
        <v>515</v>
      </c>
      <c r="E12" t="s">
        <v>281</v>
      </c>
      <c r="G12" s="51">
        <v>0</v>
      </c>
      <c r="H12" s="78">
        <v>1</v>
      </c>
      <c r="I12" s="78">
        <v>0</v>
      </c>
      <c r="J12" s="78">
        <v>0</v>
      </c>
      <c r="K12" s="78">
        <v>0</v>
      </c>
      <c r="L12" s="51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1</v>
      </c>
      <c r="T12" s="78">
        <v>0</v>
      </c>
      <c r="U12" s="52">
        <v>0</v>
      </c>
      <c r="V12" s="66">
        <v>1</v>
      </c>
      <c r="W12" t="s">
        <v>1611</v>
      </c>
      <c r="AB12" t="str">
        <f t="array" aca="1" ref="AB12" ca="1">OFFSET($D$1,SMALL(IF(G$2:G$142,ROW($D$2:$D$142)-1,999),ROW(11:11)),)</f>
        <v>資料蒐集工具</v>
      </c>
    </row>
    <row r="13" spans="1:44" x14ac:dyDescent="0.25">
      <c r="A13" s="38" t="s">
        <v>871</v>
      </c>
      <c r="B13" s="38" t="s">
        <v>906</v>
      </c>
      <c r="C13" s="38" t="s">
        <v>703</v>
      </c>
      <c r="D13" s="54" t="s">
        <v>516</v>
      </c>
      <c r="G13" s="51">
        <v>0</v>
      </c>
      <c r="H13" s="78">
        <v>2</v>
      </c>
      <c r="I13" s="78">
        <v>0</v>
      </c>
      <c r="J13" s="78">
        <v>0</v>
      </c>
      <c r="K13" s="78">
        <v>0</v>
      </c>
      <c r="L13" s="51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1</v>
      </c>
      <c r="T13" s="78">
        <v>0</v>
      </c>
      <c r="U13" s="52">
        <v>1</v>
      </c>
      <c r="V13" s="66">
        <v>2</v>
      </c>
      <c r="W13" t="s">
        <v>1621</v>
      </c>
      <c r="AB13" t="str">
        <f t="array" aca="1" ref="AB13" ca="1">OFFSET($D$1,SMALL(IF(G$2:G$142,ROW($D$2:$D$142)-1,999),ROW(12:12)),)</f>
        <v>資料分析工具</v>
      </c>
    </row>
    <row r="14" spans="1:44" x14ac:dyDescent="0.25">
      <c r="A14" s="38" t="s">
        <v>872</v>
      </c>
      <c r="C14" s="38" t="s">
        <v>703</v>
      </c>
      <c r="D14" s="54" t="s">
        <v>517</v>
      </c>
      <c r="E14" t="s">
        <v>278</v>
      </c>
      <c r="G14" s="51">
        <v>0</v>
      </c>
      <c r="H14" s="78">
        <v>2</v>
      </c>
      <c r="I14" s="78">
        <v>0</v>
      </c>
      <c r="J14" s="78">
        <v>0</v>
      </c>
      <c r="K14" s="78">
        <v>0</v>
      </c>
      <c r="L14" s="51">
        <v>0</v>
      </c>
      <c r="M14" s="78">
        <v>0</v>
      </c>
      <c r="N14" s="78">
        <v>0</v>
      </c>
      <c r="O14" s="78">
        <v>1</v>
      </c>
      <c r="P14" s="78">
        <v>1</v>
      </c>
      <c r="Q14" s="78">
        <v>0</v>
      </c>
      <c r="R14" s="78">
        <v>0</v>
      </c>
      <c r="S14" s="78">
        <v>0</v>
      </c>
      <c r="T14" s="78">
        <v>0</v>
      </c>
      <c r="U14" s="52">
        <v>0</v>
      </c>
      <c r="V14" s="66">
        <v>2</v>
      </c>
      <c r="W14" t="s">
        <v>1622</v>
      </c>
      <c r="AB14" t="str">
        <f t="array" aca="1" ref="AB14" ca="1">OFFSET($D$1,SMALL(IF(G$2:G$142,ROW($D$2:$D$142)-1,999),ROW(13:13)),)</f>
        <v>資料呈現工具</v>
      </c>
    </row>
    <row r="15" spans="1:44" x14ac:dyDescent="0.25">
      <c r="A15" s="38" t="s">
        <v>873</v>
      </c>
      <c r="B15" s="38" t="s">
        <v>906</v>
      </c>
      <c r="C15" s="38" t="s">
        <v>703</v>
      </c>
      <c r="D15" s="54" t="s">
        <v>518</v>
      </c>
      <c r="G15" s="51">
        <v>0</v>
      </c>
      <c r="H15" s="78">
        <v>2</v>
      </c>
      <c r="I15" s="78">
        <v>0</v>
      </c>
      <c r="J15" s="78">
        <v>3</v>
      </c>
      <c r="K15" s="78">
        <v>0</v>
      </c>
      <c r="L15" s="51">
        <v>2</v>
      </c>
      <c r="M15" s="78">
        <v>0</v>
      </c>
      <c r="N15" s="78">
        <v>0</v>
      </c>
      <c r="O15" s="78">
        <v>0</v>
      </c>
      <c r="P15" s="78">
        <v>1</v>
      </c>
      <c r="Q15" s="78">
        <v>1</v>
      </c>
      <c r="R15" s="78">
        <v>0</v>
      </c>
      <c r="S15" s="78">
        <v>1</v>
      </c>
      <c r="T15" s="78">
        <v>0</v>
      </c>
      <c r="U15" s="52">
        <v>0</v>
      </c>
      <c r="V15" s="66">
        <v>5</v>
      </c>
      <c r="W15" t="s">
        <v>1623</v>
      </c>
      <c r="AB15" t="str">
        <f t="array" aca="1" ref="AB15" ca="1">OFFSET($D$1,SMALL(IF(G$2:G$142,ROW($D$2:$D$142)-1,999),ROW(14:14)),)</f>
        <v>人際關係與團隊技巧</v>
      </c>
    </row>
    <row r="16" spans="1:44" x14ac:dyDescent="0.25">
      <c r="A16" s="38" t="s">
        <v>874</v>
      </c>
      <c r="B16" s="38" t="s">
        <v>906</v>
      </c>
      <c r="C16" s="38" t="s">
        <v>703</v>
      </c>
      <c r="D16" s="54" t="s">
        <v>299</v>
      </c>
      <c r="G16" s="51">
        <v>0</v>
      </c>
      <c r="H16" s="78">
        <v>1</v>
      </c>
      <c r="I16" s="78">
        <v>0</v>
      </c>
      <c r="J16" s="78">
        <v>0</v>
      </c>
      <c r="K16" s="78">
        <v>0</v>
      </c>
      <c r="L16" s="51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1</v>
      </c>
      <c r="T16" s="78">
        <v>0</v>
      </c>
      <c r="U16" s="52">
        <v>0</v>
      </c>
      <c r="V16" s="66">
        <v>1</v>
      </c>
      <c r="W16" t="s">
        <v>1610</v>
      </c>
      <c r="AB16" t="str">
        <f t="array" aca="1" ref="AB16" ca="1">OFFSET($D$1,SMALL(IF(G$2:G$142,ROW($D$2:$D$142)-1,999),ROW(15:15)),)</f>
        <v>專家判斷</v>
      </c>
    </row>
    <row r="17" spans="1:28" x14ac:dyDescent="0.25">
      <c r="A17" s="38" t="s">
        <v>875</v>
      </c>
      <c r="B17" s="38" t="s">
        <v>906</v>
      </c>
      <c r="C17" s="38" t="s">
        <v>703</v>
      </c>
      <c r="D17" s="54" t="s">
        <v>519</v>
      </c>
      <c r="G17" s="51">
        <v>1</v>
      </c>
      <c r="H17" s="78">
        <v>2</v>
      </c>
      <c r="I17" s="78">
        <v>1</v>
      </c>
      <c r="J17" s="78">
        <v>0</v>
      </c>
      <c r="K17" s="78">
        <v>1</v>
      </c>
      <c r="L17" s="51">
        <v>1</v>
      </c>
      <c r="M17" s="78">
        <v>1</v>
      </c>
      <c r="N17" s="78">
        <v>0</v>
      </c>
      <c r="O17" s="78">
        <v>0</v>
      </c>
      <c r="P17" s="78">
        <v>1</v>
      </c>
      <c r="Q17" s="78">
        <v>0</v>
      </c>
      <c r="R17" s="78">
        <v>0</v>
      </c>
      <c r="S17" s="78">
        <v>1</v>
      </c>
      <c r="T17" s="78">
        <v>0</v>
      </c>
      <c r="U17" s="52">
        <v>1</v>
      </c>
      <c r="V17" s="66">
        <v>5</v>
      </c>
      <c r="W17" t="s">
        <v>1624</v>
      </c>
      <c r="AB17" t="str">
        <f t="array" aca="1" ref="AB17" ca="1">OFFSET($D$1,SMALL(IF(G$2:G$142,ROW($D$2:$D$142)-1,999),ROW(16:16)),)</f>
        <v>會議</v>
      </c>
    </row>
    <row r="18" spans="1:28" x14ac:dyDescent="0.25">
      <c r="A18" s="38" t="s">
        <v>876</v>
      </c>
      <c r="B18" s="38" t="s">
        <v>906</v>
      </c>
      <c r="C18" s="38" t="s">
        <v>703</v>
      </c>
      <c r="D18" s="54" t="s">
        <v>520</v>
      </c>
      <c r="G18" s="51">
        <v>0</v>
      </c>
      <c r="H18" s="78">
        <v>0</v>
      </c>
      <c r="I18" s="78">
        <v>0</v>
      </c>
      <c r="J18" s="78">
        <v>4</v>
      </c>
      <c r="K18" s="78">
        <v>0</v>
      </c>
      <c r="L18" s="51">
        <v>1</v>
      </c>
      <c r="M18" s="78">
        <v>0</v>
      </c>
      <c r="N18" s="78">
        <v>1</v>
      </c>
      <c r="O18" s="78">
        <v>1</v>
      </c>
      <c r="P18" s="78">
        <v>0</v>
      </c>
      <c r="Q18" s="78">
        <v>0</v>
      </c>
      <c r="R18" s="78">
        <v>0</v>
      </c>
      <c r="S18" s="78">
        <v>0</v>
      </c>
      <c r="T18" s="78">
        <v>1</v>
      </c>
      <c r="U18" s="52">
        <v>0</v>
      </c>
      <c r="V18" s="66">
        <v>4</v>
      </c>
      <c r="W18" t="s">
        <v>1625</v>
      </c>
      <c r="AB18">
        <f t="array" aca="1" ref="AB18" ca="1">OFFSET($D$1,SMALL(IF($G$2:$G$142*$L$2:$L$142,ROW($D$2:$D$142)-1,999),ROW(17:17)),)</f>
        <v>0</v>
      </c>
    </row>
    <row r="19" spans="1:28" x14ac:dyDescent="0.25">
      <c r="A19" s="38" t="s">
        <v>877</v>
      </c>
      <c r="B19" s="38" t="s">
        <v>831</v>
      </c>
      <c r="C19" s="38" t="s">
        <v>703</v>
      </c>
      <c r="D19" s="54" t="s">
        <v>521</v>
      </c>
      <c r="G19" s="51">
        <v>0</v>
      </c>
      <c r="H19" s="78">
        <v>1</v>
      </c>
      <c r="I19" s="78">
        <v>0</v>
      </c>
      <c r="J19" s="78">
        <v>0</v>
      </c>
      <c r="K19" s="78">
        <v>0</v>
      </c>
      <c r="L19" s="51">
        <v>0</v>
      </c>
      <c r="M19" s="78">
        <v>0</v>
      </c>
      <c r="N19" s="78">
        <v>0</v>
      </c>
      <c r="O19" s="78">
        <v>0</v>
      </c>
      <c r="P19" s="78">
        <v>0</v>
      </c>
      <c r="Q19" s="78">
        <v>0</v>
      </c>
      <c r="R19" s="78">
        <v>0</v>
      </c>
      <c r="S19" s="78">
        <v>1</v>
      </c>
      <c r="T19" s="78">
        <v>0</v>
      </c>
      <c r="U19" s="52">
        <v>0</v>
      </c>
      <c r="V19" s="66">
        <v>1</v>
      </c>
      <c r="W19" t="s">
        <v>1610</v>
      </c>
      <c r="AB19">
        <f t="array" aca="1" ref="AB19" ca="1">OFFSET($D$2,SMALL(IF($G$2:$G$142&gt;0,ROW($G$2:$G$142)-2,999),ROW(18:18)),)</f>
        <v>0</v>
      </c>
    </row>
    <row r="20" spans="1:28" x14ac:dyDescent="0.25">
      <c r="A20" s="38" t="s">
        <v>836</v>
      </c>
      <c r="B20" s="38" t="s">
        <v>831</v>
      </c>
      <c r="C20" s="38" t="s">
        <v>703</v>
      </c>
      <c r="D20" s="54" t="s">
        <v>522</v>
      </c>
      <c r="G20" s="51">
        <v>0</v>
      </c>
      <c r="H20" s="78">
        <v>0</v>
      </c>
      <c r="I20" s="78">
        <v>0</v>
      </c>
      <c r="J20" s="78">
        <v>1</v>
      </c>
      <c r="K20" s="78">
        <v>0</v>
      </c>
      <c r="L20" s="51">
        <v>0</v>
      </c>
      <c r="M20" s="78">
        <v>0</v>
      </c>
      <c r="N20" s="78">
        <v>1</v>
      </c>
      <c r="O20" s="78">
        <v>0</v>
      </c>
      <c r="P20" s="78">
        <v>0</v>
      </c>
      <c r="Q20" s="78">
        <v>0</v>
      </c>
      <c r="R20" s="78">
        <v>0</v>
      </c>
      <c r="S20" s="78">
        <v>0</v>
      </c>
      <c r="T20" s="78">
        <v>0</v>
      </c>
      <c r="U20" s="52">
        <v>0</v>
      </c>
      <c r="V20" s="66">
        <v>1</v>
      </c>
      <c r="W20" t="s">
        <v>1556</v>
      </c>
      <c r="AB20">
        <f t="array" aca="1" ref="AB20" ca="1">OFFSET($D$2,SMALL(IF($G$2:$G$142&gt;0,ROW($G$2:$G$142)-2,999),ROW(19:19)),)</f>
        <v>0</v>
      </c>
    </row>
    <row r="21" spans="1:28" x14ac:dyDescent="0.25">
      <c r="A21" s="38" t="s">
        <v>837</v>
      </c>
      <c r="B21" s="38" t="s">
        <v>906</v>
      </c>
      <c r="C21" s="38" t="s">
        <v>703</v>
      </c>
      <c r="D21" s="54" t="s">
        <v>523</v>
      </c>
      <c r="G21" s="51">
        <v>0</v>
      </c>
      <c r="H21" s="78">
        <v>1</v>
      </c>
      <c r="I21" s="78">
        <v>0</v>
      </c>
      <c r="J21" s="78">
        <v>0</v>
      </c>
      <c r="K21" s="78">
        <v>0</v>
      </c>
      <c r="L21" s="51">
        <v>0</v>
      </c>
      <c r="M21" s="78">
        <v>0</v>
      </c>
      <c r="N21" s="78">
        <v>0</v>
      </c>
      <c r="O21" s="78">
        <v>0</v>
      </c>
      <c r="P21" s="78">
        <v>0</v>
      </c>
      <c r="Q21" s="78">
        <v>0</v>
      </c>
      <c r="R21" s="78">
        <v>0</v>
      </c>
      <c r="S21" s="78">
        <v>0</v>
      </c>
      <c r="T21" s="78">
        <v>1</v>
      </c>
      <c r="U21" s="52">
        <v>0</v>
      </c>
      <c r="V21" s="66">
        <v>1</v>
      </c>
      <c r="W21" t="s">
        <v>1463</v>
      </c>
      <c r="AB21">
        <f t="array" aca="1" ref="AB21" ca="1">OFFSET($D$2,SMALL(IF($G$2:$G$142&gt;0,ROW($G$2:$G$142)-2,999),ROW(20:20)),)</f>
        <v>0</v>
      </c>
    </row>
    <row r="22" spans="1:28" x14ac:dyDescent="0.25">
      <c r="A22" s="38" t="s">
        <v>838</v>
      </c>
      <c r="C22" s="38" t="s">
        <v>703</v>
      </c>
      <c r="D22" s="55" t="s">
        <v>524</v>
      </c>
      <c r="G22" s="51">
        <v>0</v>
      </c>
      <c r="H22" s="78">
        <v>0</v>
      </c>
      <c r="I22" s="78">
        <v>0</v>
      </c>
      <c r="J22" s="78">
        <v>4</v>
      </c>
      <c r="K22" s="78">
        <v>0</v>
      </c>
      <c r="L22" s="51">
        <v>0</v>
      </c>
      <c r="M22" s="78">
        <v>0</v>
      </c>
      <c r="N22" s="78">
        <v>1</v>
      </c>
      <c r="O22" s="78">
        <v>0</v>
      </c>
      <c r="P22" s="78">
        <v>1</v>
      </c>
      <c r="Q22" s="78">
        <v>1</v>
      </c>
      <c r="R22" s="78">
        <v>0</v>
      </c>
      <c r="S22" s="78">
        <v>0</v>
      </c>
      <c r="T22" s="78">
        <v>1</v>
      </c>
      <c r="U22" s="52">
        <v>0</v>
      </c>
      <c r="V22" s="66">
        <v>4</v>
      </c>
      <c r="W22" t="s">
        <v>1626</v>
      </c>
      <c r="AB22">
        <f t="array" aca="1" ref="AB22" ca="1">OFFSET($D$2,SMALL(IF($G$2:$G$142&gt;0,ROW($G$2:$G$142)-2,999),ROW(21:21)),)</f>
        <v>0</v>
      </c>
    </row>
    <row r="23" spans="1:28" x14ac:dyDescent="0.25">
      <c r="A23" s="38" t="s">
        <v>839</v>
      </c>
      <c r="B23" s="38" t="s">
        <v>906</v>
      </c>
      <c r="C23" s="38" t="s">
        <v>703</v>
      </c>
      <c r="D23" s="54" t="s">
        <v>525</v>
      </c>
      <c r="G23" s="51">
        <v>0</v>
      </c>
      <c r="H23" s="78">
        <v>0</v>
      </c>
      <c r="I23" s="78">
        <v>1</v>
      </c>
      <c r="J23" s="78">
        <v>0</v>
      </c>
      <c r="K23" s="78">
        <v>0</v>
      </c>
      <c r="L23" s="51">
        <v>0</v>
      </c>
      <c r="M23" s="78">
        <v>0</v>
      </c>
      <c r="N23" s="78">
        <v>0</v>
      </c>
      <c r="O23" s="78">
        <v>0</v>
      </c>
      <c r="P23" s="78">
        <v>1</v>
      </c>
      <c r="Q23" s="78">
        <v>0</v>
      </c>
      <c r="R23" s="78">
        <v>0</v>
      </c>
      <c r="S23" s="78">
        <v>0</v>
      </c>
      <c r="T23" s="78">
        <v>0</v>
      </c>
      <c r="U23" s="52">
        <v>0</v>
      </c>
      <c r="V23" s="66">
        <v>1</v>
      </c>
      <c r="W23" t="s">
        <v>1568</v>
      </c>
      <c r="AB23">
        <f t="array" aca="1" ref="AB23" ca="1">OFFSET($D$2,SMALL(IF($G$2:$G$142&gt;0,ROW($G$2:$G$142)-2,999),ROW(22:22)),)</f>
        <v>0</v>
      </c>
    </row>
    <row r="24" spans="1:28" x14ac:dyDescent="0.25">
      <c r="A24" s="38" t="s">
        <v>840</v>
      </c>
      <c r="C24" s="38" t="s">
        <v>703</v>
      </c>
      <c r="D24" s="54" t="s">
        <v>526</v>
      </c>
      <c r="G24" s="51">
        <v>0</v>
      </c>
      <c r="H24" s="78">
        <v>0</v>
      </c>
      <c r="I24" s="78">
        <v>1</v>
      </c>
      <c r="J24" s="78">
        <v>0</v>
      </c>
      <c r="K24" s="78">
        <v>0</v>
      </c>
      <c r="L24" s="51">
        <v>0</v>
      </c>
      <c r="M24" s="78">
        <v>0</v>
      </c>
      <c r="N24" s="78">
        <v>0</v>
      </c>
      <c r="O24" s="78">
        <v>0</v>
      </c>
      <c r="P24" s="78">
        <v>0</v>
      </c>
      <c r="Q24" s="78">
        <v>0</v>
      </c>
      <c r="R24" s="78">
        <v>0</v>
      </c>
      <c r="S24" s="78">
        <v>0</v>
      </c>
      <c r="T24" s="78">
        <v>1</v>
      </c>
      <c r="U24" s="52">
        <v>0</v>
      </c>
      <c r="V24" s="66">
        <v>1</v>
      </c>
      <c r="W24" t="s">
        <v>1486</v>
      </c>
      <c r="AB24">
        <f t="array" aca="1" ref="AB24" ca="1">OFFSET($D$2,SMALL(IF($G$2:$G$142&gt;0,ROW($G$2:$G$142)-2,999),ROW(23:23)),)</f>
        <v>0</v>
      </c>
    </row>
    <row r="25" spans="1:28" x14ac:dyDescent="0.25">
      <c r="A25" s="38" t="s">
        <v>841</v>
      </c>
      <c r="B25" s="38" t="s">
        <v>906</v>
      </c>
      <c r="C25" s="38" t="s">
        <v>703</v>
      </c>
      <c r="D25" s="54" t="s">
        <v>527</v>
      </c>
      <c r="G25" s="51">
        <v>0</v>
      </c>
      <c r="H25" s="78">
        <v>0</v>
      </c>
      <c r="I25" s="78">
        <v>0</v>
      </c>
      <c r="J25" s="78">
        <v>0</v>
      </c>
      <c r="K25" s="78">
        <v>1</v>
      </c>
      <c r="L25" s="51">
        <v>1</v>
      </c>
      <c r="M25" s="78">
        <v>0</v>
      </c>
      <c r="N25" s="78">
        <v>0</v>
      </c>
      <c r="O25" s="78">
        <v>0</v>
      </c>
      <c r="P25" s="78">
        <v>0</v>
      </c>
      <c r="Q25" s="78">
        <v>0</v>
      </c>
      <c r="R25" s="78">
        <v>0</v>
      </c>
      <c r="S25" s="78">
        <v>0</v>
      </c>
      <c r="T25" s="78">
        <v>0</v>
      </c>
      <c r="U25" s="52">
        <v>0</v>
      </c>
      <c r="V25" s="66">
        <v>1</v>
      </c>
      <c r="W25" t="s">
        <v>649</v>
      </c>
      <c r="AB25">
        <f t="array" aca="1" ref="AB25" ca="1">OFFSET($D$2,SMALL(IF($G$2:$G$142&gt;0,ROW($G$2:$G$142)-2,999),ROW(24:24)),)</f>
        <v>0</v>
      </c>
    </row>
    <row r="26" spans="1:28" x14ac:dyDescent="0.25">
      <c r="A26" s="38" t="s">
        <v>842</v>
      </c>
      <c r="B26" s="38" t="s">
        <v>906</v>
      </c>
      <c r="C26" s="38" t="s">
        <v>703</v>
      </c>
      <c r="D26" s="54" t="s">
        <v>528</v>
      </c>
      <c r="G26" s="51">
        <v>0</v>
      </c>
      <c r="H26" s="78">
        <v>3</v>
      </c>
      <c r="I26" s="78">
        <v>0</v>
      </c>
      <c r="J26" s="78">
        <v>2</v>
      </c>
      <c r="K26" s="78">
        <v>0</v>
      </c>
      <c r="L26" s="51">
        <v>0</v>
      </c>
      <c r="M26" s="78">
        <v>0</v>
      </c>
      <c r="N26" s="78">
        <v>1</v>
      </c>
      <c r="O26" s="78">
        <v>3</v>
      </c>
      <c r="P26" s="78">
        <v>0</v>
      </c>
      <c r="Q26" s="78">
        <v>0</v>
      </c>
      <c r="R26" s="78">
        <v>0</v>
      </c>
      <c r="S26" s="78">
        <v>1</v>
      </c>
      <c r="T26" s="78">
        <v>0</v>
      </c>
      <c r="U26" s="52">
        <v>0</v>
      </c>
      <c r="V26" s="66">
        <v>5</v>
      </c>
      <c r="W26" t="s">
        <v>1627</v>
      </c>
      <c r="AB26">
        <f t="array" aca="1" ref="AB26" ca="1">OFFSET($D$2,SMALL(IF($G$2:$G$142&gt;0,ROW($G$2:$G$142)-2,999),ROW(25:25)),)</f>
        <v>0</v>
      </c>
    </row>
    <row r="27" spans="1:28" x14ac:dyDescent="0.25">
      <c r="A27" s="38" t="s">
        <v>843</v>
      </c>
      <c r="B27" s="38" t="s">
        <v>907</v>
      </c>
      <c r="C27" s="38" t="s">
        <v>703</v>
      </c>
      <c r="D27" s="54" t="s">
        <v>529</v>
      </c>
      <c r="E27" t="s">
        <v>281</v>
      </c>
      <c r="G27" s="51">
        <v>0</v>
      </c>
      <c r="H27" s="78">
        <v>1</v>
      </c>
      <c r="I27" s="78">
        <v>0</v>
      </c>
      <c r="J27" s="78">
        <v>0</v>
      </c>
      <c r="K27" s="78">
        <v>0</v>
      </c>
      <c r="L27" s="51">
        <v>0</v>
      </c>
      <c r="M27" s="78">
        <v>0</v>
      </c>
      <c r="N27" s="78">
        <v>0</v>
      </c>
      <c r="O27" s="78">
        <v>0</v>
      </c>
      <c r="P27" s="78">
        <v>0</v>
      </c>
      <c r="Q27" s="78">
        <v>0</v>
      </c>
      <c r="R27" s="78">
        <v>0</v>
      </c>
      <c r="S27" s="78">
        <v>1</v>
      </c>
      <c r="T27" s="78">
        <v>0</v>
      </c>
      <c r="U27" s="52">
        <v>0</v>
      </c>
      <c r="V27" s="66">
        <v>1</v>
      </c>
      <c r="W27" t="s">
        <v>1611</v>
      </c>
      <c r="AB27">
        <f t="array" aca="1" ref="AB27" ca="1">OFFSET($D$2,SMALL(IF($G$2:$G$142&gt;0,ROW($G$2:$G$142)-2,999),ROW(26:26)),)</f>
        <v>0</v>
      </c>
    </row>
    <row r="28" spans="1:28" x14ac:dyDescent="0.25">
      <c r="A28" s="38" t="s">
        <v>844</v>
      </c>
      <c r="B28" s="38" t="s">
        <v>907</v>
      </c>
      <c r="C28" s="38" t="s">
        <v>703</v>
      </c>
      <c r="D28" s="54" t="s">
        <v>530</v>
      </c>
      <c r="E28" t="s">
        <v>281</v>
      </c>
      <c r="G28" s="51">
        <v>0</v>
      </c>
      <c r="H28" s="78">
        <v>1</v>
      </c>
      <c r="I28" s="78">
        <v>0</v>
      </c>
      <c r="J28" s="78">
        <v>0</v>
      </c>
      <c r="K28" s="78">
        <v>0</v>
      </c>
      <c r="L28" s="51">
        <v>0</v>
      </c>
      <c r="M28" s="78">
        <v>0</v>
      </c>
      <c r="N28" s="78">
        <v>0</v>
      </c>
      <c r="O28" s="78">
        <v>0</v>
      </c>
      <c r="P28" s="78">
        <v>0</v>
      </c>
      <c r="Q28" s="78">
        <v>0</v>
      </c>
      <c r="R28" s="78">
        <v>0</v>
      </c>
      <c r="S28" s="78">
        <v>1</v>
      </c>
      <c r="T28" s="78">
        <v>0</v>
      </c>
      <c r="U28" s="52">
        <v>0</v>
      </c>
      <c r="V28" s="66">
        <v>1</v>
      </c>
      <c r="W28" t="s">
        <v>1611</v>
      </c>
      <c r="AB28">
        <f t="array" aca="1" ref="AB28" ca="1">OFFSET($D$2,SMALL(IF($G$2:$G$142&gt;0,ROW($G$2:$G$142)-2,999),ROW(27:27)),)</f>
        <v>0</v>
      </c>
    </row>
    <row r="29" spans="1:28" x14ac:dyDescent="0.25">
      <c r="A29" s="38" t="s">
        <v>845</v>
      </c>
      <c r="B29" s="38" t="s">
        <v>906</v>
      </c>
      <c r="C29" s="38" t="s">
        <v>703</v>
      </c>
      <c r="D29" s="54" t="s">
        <v>531</v>
      </c>
      <c r="E29" t="s">
        <v>281</v>
      </c>
      <c r="G29" s="51">
        <v>0</v>
      </c>
      <c r="H29" s="78">
        <v>2</v>
      </c>
      <c r="I29" s="78">
        <v>1</v>
      </c>
      <c r="J29" s="78">
        <v>3</v>
      </c>
      <c r="K29" s="78">
        <v>0</v>
      </c>
      <c r="L29" s="51">
        <v>1</v>
      </c>
      <c r="M29" s="78">
        <v>0</v>
      </c>
      <c r="N29" s="78">
        <v>0</v>
      </c>
      <c r="O29" s="78">
        <v>0</v>
      </c>
      <c r="P29" s="78">
        <v>2</v>
      </c>
      <c r="Q29" s="78">
        <v>0</v>
      </c>
      <c r="R29" s="78">
        <v>0</v>
      </c>
      <c r="S29" s="78">
        <v>1</v>
      </c>
      <c r="T29" s="78">
        <v>0</v>
      </c>
      <c r="U29" s="52">
        <v>2</v>
      </c>
      <c r="V29" s="66">
        <v>6</v>
      </c>
      <c r="W29" t="s">
        <v>1628</v>
      </c>
      <c r="AB29">
        <f t="array" aca="1" ref="AB29" ca="1">OFFSET($D$2,SMALL(IF($G$2:$G$142&gt;0,ROW($G$2:$G$142)-2,999),ROW(28:28)),)</f>
        <v>0</v>
      </c>
    </row>
    <row r="30" spans="1:28" x14ac:dyDescent="0.25">
      <c r="A30" s="38" t="s">
        <v>846</v>
      </c>
      <c r="B30" s="38" t="s">
        <v>906</v>
      </c>
      <c r="C30" s="38" t="s">
        <v>703</v>
      </c>
      <c r="D30" s="54" t="s">
        <v>532</v>
      </c>
      <c r="E30" t="s">
        <v>281</v>
      </c>
      <c r="G30" s="51">
        <v>0</v>
      </c>
      <c r="H30" s="78">
        <v>1</v>
      </c>
      <c r="I30" s="78">
        <v>0</v>
      </c>
      <c r="J30" s="78">
        <v>0</v>
      </c>
      <c r="K30" s="78">
        <v>0</v>
      </c>
      <c r="L30" s="51">
        <v>0</v>
      </c>
      <c r="M30" s="78">
        <v>0</v>
      </c>
      <c r="N30" s="78">
        <v>0</v>
      </c>
      <c r="O30" s="78">
        <v>0</v>
      </c>
      <c r="P30" s="78">
        <v>0</v>
      </c>
      <c r="Q30" s="78">
        <v>0</v>
      </c>
      <c r="R30" s="78">
        <v>0</v>
      </c>
      <c r="S30" s="78">
        <v>1</v>
      </c>
      <c r="T30" s="78">
        <v>0</v>
      </c>
      <c r="U30" s="52">
        <v>0</v>
      </c>
      <c r="V30" s="66">
        <v>1</v>
      </c>
      <c r="W30" t="s">
        <v>1610</v>
      </c>
      <c r="AB30">
        <f t="array" aca="1" ref="AB30" ca="1">OFFSET($D$2,SMALL(IF($G$2:$G$142&gt;0,ROW($G$2:$G$142)-2,999),ROW(29:29)),)</f>
        <v>0</v>
      </c>
    </row>
    <row r="31" spans="1:28" x14ac:dyDescent="0.25">
      <c r="A31" s="38" t="s">
        <v>847</v>
      </c>
      <c r="C31" s="38" t="s">
        <v>703</v>
      </c>
      <c r="D31" s="54" t="s">
        <v>533</v>
      </c>
      <c r="G31" s="51">
        <v>0</v>
      </c>
      <c r="H31" s="78">
        <v>2</v>
      </c>
      <c r="I31" s="78">
        <v>0</v>
      </c>
      <c r="J31" s="78">
        <v>0</v>
      </c>
      <c r="K31" s="78">
        <v>0</v>
      </c>
      <c r="L31" s="51">
        <v>0</v>
      </c>
      <c r="M31" s="78">
        <v>0</v>
      </c>
      <c r="N31" s="78">
        <v>1</v>
      </c>
      <c r="O31" s="78">
        <v>0</v>
      </c>
      <c r="P31" s="78">
        <v>0</v>
      </c>
      <c r="Q31" s="78">
        <v>0</v>
      </c>
      <c r="R31" s="78">
        <v>0</v>
      </c>
      <c r="S31" s="78">
        <v>1</v>
      </c>
      <c r="T31" s="78">
        <v>0</v>
      </c>
      <c r="U31" s="52">
        <v>0</v>
      </c>
      <c r="V31" s="66">
        <v>2</v>
      </c>
      <c r="W31" t="s">
        <v>1629</v>
      </c>
      <c r="AB31">
        <f t="array" aca="1" ref="AB31" ca="1">OFFSET($D$2,SMALL(IF($G$2:$G$142&gt;0,ROW($G$2:$G$142)-2,999),ROW(30:30)),)</f>
        <v>0</v>
      </c>
    </row>
    <row r="32" spans="1:28" x14ac:dyDescent="0.25">
      <c r="A32" s="38" t="s">
        <v>848</v>
      </c>
      <c r="B32" s="38" t="s">
        <v>906</v>
      </c>
      <c r="C32" s="38" t="s">
        <v>703</v>
      </c>
      <c r="D32" s="54" t="s">
        <v>534</v>
      </c>
      <c r="E32" t="s">
        <v>291</v>
      </c>
      <c r="G32" s="51">
        <v>1</v>
      </c>
      <c r="H32" s="78">
        <v>1</v>
      </c>
      <c r="I32" s="78">
        <v>0</v>
      </c>
      <c r="J32" s="78">
        <v>1</v>
      </c>
      <c r="K32" s="78">
        <v>0</v>
      </c>
      <c r="L32" s="51">
        <v>0</v>
      </c>
      <c r="M32" s="78">
        <v>0</v>
      </c>
      <c r="N32" s="78">
        <v>0</v>
      </c>
      <c r="O32" s="78">
        <v>0</v>
      </c>
      <c r="P32" s="78">
        <v>0</v>
      </c>
      <c r="Q32" s="78">
        <v>0</v>
      </c>
      <c r="R32" s="78">
        <v>0</v>
      </c>
      <c r="S32" s="78">
        <v>1</v>
      </c>
      <c r="T32" s="78">
        <v>0</v>
      </c>
      <c r="U32" s="52">
        <v>2</v>
      </c>
      <c r="V32" s="66">
        <v>3</v>
      </c>
      <c r="W32" t="s">
        <v>1630</v>
      </c>
      <c r="AB32">
        <f t="array" aca="1" ref="AB32" ca="1">OFFSET($D$2,SMALL(IF($G$2:$G$142&gt;0,ROW($G$2:$G$142)-2,999),ROW(31:31)),)</f>
        <v>0</v>
      </c>
    </row>
    <row r="33" spans="1:28" x14ac:dyDescent="0.25">
      <c r="A33" s="38" t="s">
        <v>849</v>
      </c>
      <c r="B33" s="38" t="s">
        <v>906</v>
      </c>
      <c r="C33" s="38" t="s">
        <v>703</v>
      </c>
      <c r="D33" s="54" t="s">
        <v>535</v>
      </c>
      <c r="E33" t="s">
        <v>281</v>
      </c>
      <c r="G33" s="51">
        <v>0</v>
      </c>
      <c r="H33" s="78">
        <v>1</v>
      </c>
      <c r="I33" s="78">
        <v>0</v>
      </c>
      <c r="J33" s="78">
        <v>0</v>
      </c>
      <c r="K33" s="78">
        <v>0</v>
      </c>
      <c r="L33" s="51">
        <v>0</v>
      </c>
      <c r="M33" s="78">
        <v>0</v>
      </c>
      <c r="N33" s="78">
        <v>0</v>
      </c>
      <c r="O33" s="78">
        <v>0</v>
      </c>
      <c r="P33" s="78">
        <v>0</v>
      </c>
      <c r="Q33" s="78">
        <v>0</v>
      </c>
      <c r="R33" s="78">
        <v>0</v>
      </c>
      <c r="S33" s="78">
        <v>1</v>
      </c>
      <c r="T33" s="78">
        <v>0</v>
      </c>
      <c r="U33" s="52">
        <v>0</v>
      </c>
      <c r="V33" s="66">
        <v>1</v>
      </c>
      <c r="W33" t="s">
        <v>1582</v>
      </c>
      <c r="AB33">
        <f t="array" aca="1" ref="AB33" ca="1">OFFSET($D$2,SMALL(IF($G$2:$G$142&gt;0,ROW($G$2:$G$142)-2,999),ROW(32:32)),)</f>
        <v>0</v>
      </c>
    </row>
    <row r="34" spans="1:28" x14ac:dyDescent="0.25">
      <c r="A34" s="38" t="s">
        <v>850</v>
      </c>
      <c r="B34" s="38" t="s">
        <v>906</v>
      </c>
      <c r="C34" s="38" t="s">
        <v>703</v>
      </c>
      <c r="D34" s="54" t="s">
        <v>536</v>
      </c>
      <c r="E34" t="s">
        <v>281</v>
      </c>
      <c r="G34" s="51">
        <v>0</v>
      </c>
      <c r="H34" s="78">
        <v>0</v>
      </c>
      <c r="I34" s="78">
        <v>0</v>
      </c>
      <c r="J34" s="78">
        <v>1</v>
      </c>
      <c r="K34" s="78">
        <v>0</v>
      </c>
      <c r="L34" s="51">
        <v>0</v>
      </c>
      <c r="M34" s="78">
        <v>0</v>
      </c>
      <c r="N34" s="78">
        <v>0</v>
      </c>
      <c r="O34" s="78">
        <v>0</v>
      </c>
      <c r="P34" s="78">
        <v>0</v>
      </c>
      <c r="Q34" s="78">
        <v>0</v>
      </c>
      <c r="R34" s="78">
        <v>0</v>
      </c>
      <c r="S34" s="78">
        <v>1</v>
      </c>
      <c r="T34" s="78">
        <v>0</v>
      </c>
      <c r="U34" s="52">
        <v>0</v>
      </c>
      <c r="V34" s="66">
        <v>1</v>
      </c>
      <c r="W34" t="s">
        <v>1631</v>
      </c>
      <c r="AB34">
        <f t="array" aca="1" ref="AB34" ca="1">OFFSET($D$2,SMALL(IF($G$2:$G$142&gt;0,ROW($G$2:$G$142)-2,999),ROW(33:33)),)</f>
        <v>0</v>
      </c>
    </row>
    <row r="35" spans="1:28" x14ac:dyDescent="0.25">
      <c r="A35" s="38" t="s">
        <v>851</v>
      </c>
      <c r="B35" s="38" t="s">
        <v>906</v>
      </c>
      <c r="C35" s="38" t="s">
        <v>703</v>
      </c>
      <c r="D35" s="54" t="s">
        <v>537</v>
      </c>
      <c r="G35" s="51">
        <v>0</v>
      </c>
      <c r="H35" s="78">
        <v>0</v>
      </c>
      <c r="I35" s="78">
        <v>0</v>
      </c>
      <c r="J35" s="78">
        <v>6</v>
      </c>
      <c r="K35" s="78">
        <v>1</v>
      </c>
      <c r="L35" s="51">
        <v>2</v>
      </c>
      <c r="M35" s="78">
        <v>1</v>
      </c>
      <c r="N35" s="78">
        <v>1</v>
      </c>
      <c r="O35" s="78">
        <v>1</v>
      </c>
      <c r="P35" s="78">
        <v>0</v>
      </c>
      <c r="Q35" s="78">
        <v>1</v>
      </c>
      <c r="R35" s="78">
        <v>0</v>
      </c>
      <c r="S35" s="78">
        <v>0</v>
      </c>
      <c r="T35" s="78">
        <v>1</v>
      </c>
      <c r="U35" s="52">
        <v>0</v>
      </c>
      <c r="V35" s="66">
        <v>7</v>
      </c>
      <c r="W35" t="s">
        <v>1632</v>
      </c>
      <c r="AB35">
        <f t="array" aca="1" ref="AB35" ca="1">OFFSET($D$2,SMALL(IF($G$2:$G$142&gt;0,ROW($G$2:$G$142)-2,999),ROW(34:34)),)</f>
        <v>0</v>
      </c>
    </row>
    <row r="36" spans="1:28" x14ac:dyDescent="0.25">
      <c r="A36" s="38" t="s">
        <v>852</v>
      </c>
      <c r="B36" s="38" t="s">
        <v>906</v>
      </c>
      <c r="C36" s="38" t="s">
        <v>703</v>
      </c>
      <c r="D36" s="54" t="s">
        <v>538</v>
      </c>
      <c r="G36" s="51">
        <v>0</v>
      </c>
      <c r="H36" s="78">
        <v>0</v>
      </c>
      <c r="I36" s="78">
        <v>0</v>
      </c>
      <c r="J36" s="78">
        <v>4</v>
      </c>
      <c r="K36" s="78">
        <v>1</v>
      </c>
      <c r="L36" s="51">
        <v>2</v>
      </c>
      <c r="M36" s="78">
        <v>1</v>
      </c>
      <c r="N36" s="78">
        <v>1</v>
      </c>
      <c r="O36" s="78">
        <v>1</v>
      </c>
      <c r="P36" s="78">
        <v>0</v>
      </c>
      <c r="Q36" s="78">
        <v>0</v>
      </c>
      <c r="R36" s="78">
        <v>0</v>
      </c>
      <c r="S36" s="78">
        <v>0</v>
      </c>
      <c r="T36" s="78">
        <v>0</v>
      </c>
      <c r="U36" s="52">
        <v>0</v>
      </c>
      <c r="V36" s="66">
        <v>5</v>
      </c>
      <c r="W36" t="s">
        <v>1633</v>
      </c>
      <c r="AB36">
        <f t="array" aca="1" ref="AB36" ca="1">OFFSET($D$2,SMALL(IF($G$2:$G$142&gt;0,ROW($G$2:$G$142)-2,999),ROW(35:35)),)</f>
        <v>0</v>
      </c>
    </row>
    <row r="37" spans="1:28" x14ac:dyDescent="0.25">
      <c r="A37" s="38" t="s">
        <v>853</v>
      </c>
      <c r="B37" s="38" t="s">
        <v>906</v>
      </c>
      <c r="C37" s="38" t="s">
        <v>703</v>
      </c>
      <c r="D37" s="54" t="s">
        <v>595</v>
      </c>
      <c r="E37" t="s">
        <v>276</v>
      </c>
      <c r="G37" s="51">
        <v>0</v>
      </c>
      <c r="H37" s="78">
        <v>1</v>
      </c>
      <c r="I37" s="78">
        <v>0</v>
      </c>
      <c r="J37" s="78">
        <v>1</v>
      </c>
      <c r="K37" s="78">
        <v>0</v>
      </c>
      <c r="L37" s="51">
        <v>0</v>
      </c>
      <c r="M37" s="78">
        <v>0</v>
      </c>
      <c r="N37" s="78">
        <v>2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8">
        <v>0</v>
      </c>
      <c r="U37" s="52">
        <v>0</v>
      </c>
      <c r="V37" s="66">
        <v>2</v>
      </c>
      <c r="W37" t="s">
        <v>1601</v>
      </c>
      <c r="AB37">
        <f t="array" aca="1" ref="AB37" ca="1">OFFSET($D$2,SMALL(IF($G$2:$G$142&gt;0,ROW($G$2:$G$142)-2,999),ROW(36:36)),)</f>
        <v>0</v>
      </c>
    </row>
    <row r="38" spans="1:28" x14ac:dyDescent="0.25">
      <c r="A38" s="38" t="s">
        <v>878</v>
      </c>
      <c r="B38" s="38" t="s">
        <v>831</v>
      </c>
      <c r="C38" s="38" t="s">
        <v>704</v>
      </c>
      <c r="D38" s="54" t="s">
        <v>301</v>
      </c>
      <c r="G38" s="51">
        <v>0</v>
      </c>
      <c r="H38" s="78">
        <v>1</v>
      </c>
      <c r="I38" s="78">
        <v>1</v>
      </c>
      <c r="J38" s="78">
        <v>0</v>
      </c>
      <c r="K38" s="78">
        <v>0</v>
      </c>
      <c r="L38" s="51">
        <v>0</v>
      </c>
      <c r="M38" s="78">
        <v>1</v>
      </c>
      <c r="N38" s="78">
        <v>0</v>
      </c>
      <c r="O38" s="78">
        <v>0</v>
      </c>
      <c r="P38" s="78">
        <v>1</v>
      </c>
      <c r="Q38" s="78">
        <v>0</v>
      </c>
      <c r="R38" s="78">
        <v>0</v>
      </c>
      <c r="S38" s="78">
        <v>0</v>
      </c>
      <c r="T38" s="78">
        <v>0</v>
      </c>
      <c r="U38" s="52">
        <v>0</v>
      </c>
      <c r="V38" s="66">
        <v>2</v>
      </c>
      <c r="W38" t="s">
        <v>1634</v>
      </c>
      <c r="AB38">
        <f t="array" aca="1" ref="AB38" ca="1">OFFSET($D$2,SMALL(IF($G$2:$G$142&gt;0,ROW($G$2:$G$142)-2,999),ROW(37:37)),)</f>
        <v>0</v>
      </c>
    </row>
    <row r="39" spans="1:28" x14ac:dyDescent="0.25">
      <c r="A39" s="38" t="s">
        <v>879</v>
      </c>
      <c r="B39" s="38" t="s">
        <v>831</v>
      </c>
      <c r="C39" s="38" t="s">
        <v>704</v>
      </c>
      <c r="D39" s="54" t="s">
        <v>303</v>
      </c>
      <c r="E39" t="s">
        <v>278</v>
      </c>
      <c r="G39" s="51">
        <v>0</v>
      </c>
      <c r="H39" s="78">
        <v>0</v>
      </c>
      <c r="I39" s="78">
        <v>1</v>
      </c>
      <c r="J39" s="78">
        <v>1</v>
      </c>
      <c r="K39" s="78">
        <v>0</v>
      </c>
      <c r="L39" s="51">
        <v>0</v>
      </c>
      <c r="M39" s="78">
        <v>0</v>
      </c>
      <c r="N39" s="78">
        <v>0</v>
      </c>
      <c r="O39" s="78">
        <v>0</v>
      </c>
      <c r="P39" s="78">
        <v>2</v>
      </c>
      <c r="Q39" s="78">
        <v>0</v>
      </c>
      <c r="R39" s="78">
        <v>0</v>
      </c>
      <c r="S39" s="78">
        <v>0</v>
      </c>
      <c r="T39" s="78">
        <v>0</v>
      </c>
      <c r="U39" s="52">
        <v>0</v>
      </c>
      <c r="V39" s="66">
        <v>2</v>
      </c>
      <c r="W39" t="s">
        <v>1566</v>
      </c>
      <c r="AB39">
        <f t="array" aca="1" ref="AB39" ca="1">OFFSET($D$2,SMALL(IF($G$2:$G$142&gt;0,ROW($G$2:$G$142)-2,999),ROW(38:38)),)</f>
        <v>0</v>
      </c>
    </row>
    <row r="40" spans="1:28" x14ac:dyDescent="0.25">
      <c r="A40" s="38" t="s">
        <v>880</v>
      </c>
      <c r="B40" s="38" t="s">
        <v>831</v>
      </c>
      <c r="C40" s="38" t="s">
        <v>704</v>
      </c>
      <c r="D40" s="54" t="s">
        <v>305</v>
      </c>
      <c r="E40" t="s">
        <v>278</v>
      </c>
      <c r="G40" s="51">
        <v>0</v>
      </c>
      <c r="H40" s="78">
        <v>0</v>
      </c>
      <c r="I40" s="78">
        <v>0</v>
      </c>
      <c r="J40" s="78">
        <v>1</v>
      </c>
      <c r="K40" s="78">
        <v>0</v>
      </c>
      <c r="L40" s="51">
        <v>0</v>
      </c>
      <c r="M40" s="78">
        <v>0</v>
      </c>
      <c r="N40" s="78">
        <v>0</v>
      </c>
      <c r="O40" s="78">
        <v>0</v>
      </c>
      <c r="P40" s="78">
        <v>1</v>
      </c>
      <c r="Q40" s="78">
        <v>0</v>
      </c>
      <c r="R40" s="78">
        <v>0</v>
      </c>
      <c r="S40" s="78">
        <v>0</v>
      </c>
      <c r="T40" s="78">
        <v>0</v>
      </c>
      <c r="U40" s="52">
        <v>0</v>
      </c>
      <c r="V40" s="66">
        <v>1</v>
      </c>
      <c r="W40" t="s">
        <v>1477</v>
      </c>
      <c r="AB40">
        <f t="array" aca="1" ref="AB40" ca="1">OFFSET($D$2,SMALL(IF($G$2:$G$142&gt;0,ROW($G$2:$G$142)-2,999),ROW(39:39)),)</f>
        <v>0</v>
      </c>
    </row>
    <row r="41" spans="1:28" x14ac:dyDescent="0.25">
      <c r="A41" s="38" t="s">
        <v>881</v>
      </c>
      <c r="B41" s="38" t="s">
        <v>831</v>
      </c>
      <c r="C41" s="38" t="s">
        <v>704</v>
      </c>
      <c r="D41" s="54" t="s">
        <v>596</v>
      </c>
      <c r="E41" t="s">
        <v>278</v>
      </c>
      <c r="G41" s="51">
        <v>0</v>
      </c>
      <c r="H41" s="78">
        <v>1</v>
      </c>
      <c r="I41" s="78">
        <v>1</v>
      </c>
      <c r="J41" s="78">
        <v>0</v>
      </c>
      <c r="K41" s="78">
        <v>0</v>
      </c>
      <c r="L41" s="51">
        <v>0</v>
      </c>
      <c r="M41" s="78">
        <v>0</v>
      </c>
      <c r="N41" s="78">
        <v>0</v>
      </c>
      <c r="O41" s="78">
        <v>0</v>
      </c>
      <c r="P41" s="78">
        <v>2</v>
      </c>
      <c r="Q41" s="78">
        <v>0</v>
      </c>
      <c r="R41" s="78">
        <v>0</v>
      </c>
      <c r="S41" s="78">
        <v>0</v>
      </c>
      <c r="T41" s="78">
        <v>0</v>
      </c>
      <c r="U41" s="52">
        <v>0</v>
      </c>
      <c r="V41" s="66">
        <v>2</v>
      </c>
      <c r="W41" t="s">
        <v>1635</v>
      </c>
      <c r="AB41">
        <f t="array" aca="1" ref="AB41" ca="1">OFFSET($D$2,SMALL(IF($G$2:$G$142&gt;0,ROW($G$2:$G$142)-2,999),ROW(40:40)),)</f>
        <v>0</v>
      </c>
    </row>
    <row r="42" spans="1:28" x14ac:dyDescent="0.25">
      <c r="A42" s="38" t="s">
        <v>882</v>
      </c>
      <c r="B42" s="38" t="s">
        <v>831</v>
      </c>
      <c r="C42" s="38" t="s">
        <v>704</v>
      </c>
      <c r="D42" s="54" t="s">
        <v>307</v>
      </c>
      <c r="G42" s="51">
        <v>0</v>
      </c>
      <c r="H42" s="78">
        <v>2</v>
      </c>
      <c r="I42" s="78">
        <v>0</v>
      </c>
      <c r="J42" s="78">
        <v>0</v>
      </c>
      <c r="K42" s="78">
        <v>0</v>
      </c>
      <c r="L42" s="51">
        <v>0</v>
      </c>
      <c r="M42" s="78">
        <v>0</v>
      </c>
      <c r="N42" s="78">
        <v>0</v>
      </c>
      <c r="O42" s="78">
        <v>0</v>
      </c>
      <c r="P42" s="78">
        <v>0</v>
      </c>
      <c r="Q42" s="78">
        <v>1</v>
      </c>
      <c r="R42" s="78">
        <v>0</v>
      </c>
      <c r="S42" s="78">
        <v>1</v>
      </c>
      <c r="T42" s="78">
        <v>0</v>
      </c>
      <c r="U42" s="52">
        <v>0</v>
      </c>
      <c r="V42" s="66">
        <v>2</v>
      </c>
      <c r="W42" t="s">
        <v>1636</v>
      </c>
      <c r="AB42">
        <f t="array" aca="1" ref="AB42" ca="1">OFFSET($D$2,SMALL(IF($G$2:$G$142&gt;0,ROW($G$2:$G$142)-2,999),ROW(41:41)),)</f>
        <v>0</v>
      </c>
    </row>
    <row r="43" spans="1:28" x14ac:dyDescent="0.25">
      <c r="A43" s="38" t="s">
        <v>883</v>
      </c>
      <c r="B43" s="38" t="s">
        <v>831</v>
      </c>
      <c r="C43" s="38" t="s">
        <v>704</v>
      </c>
      <c r="D43" s="54" t="s">
        <v>309</v>
      </c>
      <c r="E43" t="s">
        <v>278</v>
      </c>
      <c r="G43" s="51">
        <v>0</v>
      </c>
      <c r="H43" s="78">
        <v>0</v>
      </c>
      <c r="I43" s="78">
        <v>1</v>
      </c>
      <c r="J43" s="78">
        <v>1</v>
      </c>
      <c r="K43" s="78">
        <v>0</v>
      </c>
      <c r="L43" s="51">
        <v>0</v>
      </c>
      <c r="M43" s="78">
        <v>0</v>
      </c>
      <c r="N43" s="78">
        <v>0</v>
      </c>
      <c r="O43" s="78">
        <v>0</v>
      </c>
      <c r="P43" s="78">
        <v>2</v>
      </c>
      <c r="Q43" s="78">
        <v>0</v>
      </c>
      <c r="R43" s="78">
        <v>0</v>
      </c>
      <c r="S43" s="78">
        <v>0</v>
      </c>
      <c r="T43" s="78">
        <v>0</v>
      </c>
      <c r="U43" s="52">
        <v>0</v>
      </c>
      <c r="V43" s="66">
        <v>2</v>
      </c>
      <c r="W43" t="s">
        <v>1566</v>
      </c>
      <c r="AB43">
        <f t="array" aca="1" ref="AB43" ca="1">OFFSET($D$2,SMALL(IF($G$2:$G$142&gt;0,ROW($G$2:$G$142)-2,999),ROW(42:42)),)</f>
        <v>0</v>
      </c>
    </row>
    <row r="44" spans="1:28" x14ac:dyDescent="0.25">
      <c r="A44" s="38" t="s">
        <v>884</v>
      </c>
      <c r="C44" s="38" t="s">
        <v>704</v>
      </c>
      <c r="D44" s="54" t="s">
        <v>311</v>
      </c>
      <c r="E44" t="s">
        <v>278</v>
      </c>
      <c r="G44" s="51">
        <v>0</v>
      </c>
      <c r="H44" s="78">
        <v>1</v>
      </c>
      <c r="I44" s="78">
        <v>0</v>
      </c>
      <c r="J44" s="78">
        <v>0</v>
      </c>
      <c r="K44" s="78">
        <v>0</v>
      </c>
      <c r="L44" s="51">
        <v>0</v>
      </c>
      <c r="M44" s="78">
        <v>0</v>
      </c>
      <c r="N44" s="78">
        <v>0</v>
      </c>
      <c r="O44" s="78">
        <v>0</v>
      </c>
      <c r="P44" s="78">
        <v>1</v>
      </c>
      <c r="Q44" s="78">
        <v>0</v>
      </c>
      <c r="R44" s="78">
        <v>0</v>
      </c>
      <c r="S44" s="78">
        <v>0</v>
      </c>
      <c r="T44" s="78">
        <v>0</v>
      </c>
      <c r="U44" s="52">
        <v>0</v>
      </c>
      <c r="V44" s="66">
        <v>1</v>
      </c>
      <c r="W44" t="s">
        <v>1500</v>
      </c>
      <c r="AB44">
        <f t="array" aca="1" ref="AB44" ca="1">OFFSET($D$2,SMALL(IF($G$2:$G$142&gt;0,ROW($G$2:$G$142)-2,999),ROW(43:43)),)</f>
        <v>0</v>
      </c>
    </row>
    <row r="45" spans="1:28" x14ac:dyDescent="0.25">
      <c r="A45" s="38" t="s">
        <v>885</v>
      </c>
      <c r="B45" s="38" t="s">
        <v>831</v>
      </c>
      <c r="C45" s="38" t="s">
        <v>704</v>
      </c>
      <c r="D45" s="54" t="s">
        <v>312</v>
      </c>
      <c r="E45" t="s">
        <v>278</v>
      </c>
      <c r="G45" s="51">
        <v>0</v>
      </c>
      <c r="H45" s="78">
        <v>1</v>
      </c>
      <c r="I45" s="78">
        <v>1</v>
      </c>
      <c r="J45" s="78">
        <v>0</v>
      </c>
      <c r="K45" s="78">
        <v>0</v>
      </c>
      <c r="L45" s="51">
        <v>0</v>
      </c>
      <c r="M45" s="78">
        <v>0</v>
      </c>
      <c r="N45" s="78">
        <v>0</v>
      </c>
      <c r="O45" s="78">
        <v>0</v>
      </c>
      <c r="P45" s="78">
        <v>2</v>
      </c>
      <c r="Q45" s="78">
        <v>0</v>
      </c>
      <c r="R45" s="78">
        <v>0</v>
      </c>
      <c r="S45" s="78">
        <v>0</v>
      </c>
      <c r="T45" s="78">
        <v>0</v>
      </c>
      <c r="U45" s="52">
        <v>0</v>
      </c>
      <c r="V45" s="66">
        <v>2</v>
      </c>
      <c r="W45" t="s">
        <v>1635</v>
      </c>
      <c r="AB45">
        <f t="array" aca="1" ref="AB45" ca="1">OFFSET($D$2,SMALL(IF($G$2:$G$142&gt;0,ROW($G$2:$G$142)-2,999),ROW(44:44)),)</f>
        <v>0</v>
      </c>
    </row>
    <row r="46" spans="1:28" x14ac:dyDescent="0.25">
      <c r="A46" s="38" t="s">
        <v>886</v>
      </c>
      <c r="B46" s="38" t="s">
        <v>908</v>
      </c>
      <c r="C46" s="38" t="s">
        <v>704</v>
      </c>
      <c r="D46" s="54" t="s">
        <v>597</v>
      </c>
      <c r="G46" s="51">
        <v>0</v>
      </c>
      <c r="H46" s="78">
        <v>1</v>
      </c>
      <c r="I46" s="78">
        <v>0</v>
      </c>
      <c r="J46" s="78">
        <v>0</v>
      </c>
      <c r="K46" s="78">
        <v>0</v>
      </c>
      <c r="L46" s="51">
        <v>0</v>
      </c>
      <c r="M46" s="78">
        <v>0</v>
      </c>
      <c r="N46" s="78">
        <v>0</v>
      </c>
      <c r="O46" s="78">
        <v>0</v>
      </c>
      <c r="P46" s="78">
        <v>0</v>
      </c>
      <c r="Q46" s="78">
        <v>1</v>
      </c>
      <c r="R46" s="78">
        <v>0</v>
      </c>
      <c r="S46" s="78">
        <v>0</v>
      </c>
      <c r="T46" s="78">
        <v>0</v>
      </c>
      <c r="U46" s="52">
        <v>0</v>
      </c>
      <c r="V46" s="66">
        <v>1</v>
      </c>
      <c r="W46" t="s">
        <v>1503</v>
      </c>
      <c r="AB46">
        <f t="array" aca="1" ref="AB46" ca="1">OFFSET($D$2,SMALL(IF($G$2:$G$142&gt;0,ROW($G$2:$G$142)-2,999),ROW(45:45)),)</f>
        <v>0</v>
      </c>
    </row>
    <row r="47" spans="1:28" x14ac:dyDescent="0.25">
      <c r="A47" s="38" t="s">
        <v>854</v>
      </c>
      <c r="B47" s="38" t="s">
        <v>913</v>
      </c>
      <c r="C47" s="38" t="s">
        <v>704</v>
      </c>
      <c r="D47" s="54" t="s">
        <v>314</v>
      </c>
      <c r="G47" s="51">
        <v>0</v>
      </c>
      <c r="H47" s="78">
        <v>3</v>
      </c>
      <c r="I47" s="78">
        <v>0</v>
      </c>
      <c r="J47" s="78">
        <v>0</v>
      </c>
      <c r="K47" s="78">
        <v>0</v>
      </c>
      <c r="L47" s="51">
        <v>0</v>
      </c>
      <c r="M47" s="78">
        <v>1</v>
      </c>
      <c r="N47" s="78">
        <v>0</v>
      </c>
      <c r="O47" s="78">
        <v>0</v>
      </c>
      <c r="P47" s="78">
        <v>1</v>
      </c>
      <c r="Q47" s="78">
        <v>0</v>
      </c>
      <c r="R47" s="78">
        <v>0</v>
      </c>
      <c r="S47" s="78">
        <v>0</v>
      </c>
      <c r="T47" s="78">
        <v>0</v>
      </c>
      <c r="U47" s="52">
        <v>1</v>
      </c>
      <c r="V47" s="66">
        <v>3</v>
      </c>
      <c r="W47" t="s">
        <v>1614</v>
      </c>
      <c r="AB47">
        <f t="array" aca="1" ref="AB47" ca="1">OFFSET($D$2,SMALL(IF($G$2:$G$142&gt;0,ROW($G$2:$G$142)-2,999),ROW(46:46)),)</f>
        <v>0</v>
      </c>
    </row>
    <row r="48" spans="1:28" x14ac:dyDescent="0.25">
      <c r="A48" s="38" t="s">
        <v>855</v>
      </c>
      <c r="B48" s="38" t="s">
        <v>908</v>
      </c>
      <c r="C48" s="38" t="s">
        <v>704</v>
      </c>
      <c r="D48" s="55" t="s">
        <v>315</v>
      </c>
      <c r="E48" t="s">
        <v>281</v>
      </c>
      <c r="G48" s="51">
        <v>0</v>
      </c>
      <c r="H48" s="78">
        <v>1</v>
      </c>
      <c r="I48" s="78">
        <v>0</v>
      </c>
      <c r="J48" s="78">
        <v>0</v>
      </c>
      <c r="K48" s="78">
        <v>0</v>
      </c>
      <c r="L48" s="51">
        <v>0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1</v>
      </c>
      <c r="T48" s="78">
        <v>0</v>
      </c>
      <c r="U48" s="52">
        <v>0</v>
      </c>
      <c r="V48" s="66">
        <v>1</v>
      </c>
      <c r="W48" t="s">
        <v>1611</v>
      </c>
      <c r="AB48">
        <f t="array" aca="1" ref="AB48" ca="1">OFFSET($D$2,SMALL(IF($G$2:$G$142&gt;0,ROW($G$2:$G$142)-2,999),ROW(47:47)),)</f>
        <v>0</v>
      </c>
    </row>
    <row r="49" spans="1:28" x14ac:dyDescent="0.25">
      <c r="A49" s="38" t="s">
        <v>856</v>
      </c>
      <c r="B49" s="38" t="s">
        <v>831</v>
      </c>
      <c r="C49" s="38" t="s">
        <v>704</v>
      </c>
      <c r="D49" s="54" t="s">
        <v>317</v>
      </c>
      <c r="E49" t="s">
        <v>278</v>
      </c>
      <c r="G49" s="51">
        <v>0</v>
      </c>
      <c r="H49" s="78">
        <v>0</v>
      </c>
      <c r="I49" s="78">
        <v>1</v>
      </c>
      <c r="J49" s="78">
        <v>1</v>
      </c>
      <c r="K49" s="78">
        <v>0</v>
      </c>
      <c r="L49" s="51">
        <v>0</v>
      </c>
      <c r="M49" s="78">
        <v>0</v>
      </c>
      <c r="N49" s="78">
        <v>0</v>
      </c>
      <c r="O49" s="78">
        <v>0</v>
      </c>
      <c r="P49" s="78">
        <v>2</v>
      </c>
      <c r="Q49" s="78">
        <v>0</v>
      </c>
      <c r="R49" s="78">
        <v>0</v>
      </c>
      <c r="S49" s="78">
        <v>0</v>
      </c>
      <c r="T49" s="78">
        <v>0</v>
      </c>
      <c r="U49" s="52">
        <v>0</v>
      </c>
      <c r="V49" s="66">
        <v>2</v>
      </c>
      <c r="W49" t="s">
        <v>1566</v>
      </c>
      <c r="AB49">
        <f t="array" aca="1" ref="AB49" ca="1">OFFSET($D$2,SMALL(IF($G$2:$G$142&gt;0,ROW($G$2:$G$142)-2,999),ROW(48:48)),)</f>
        <v>0</v>
      </c>
    </row>
    <row r="50" spans="1:28" x14ac:dyDescent="0.25">
      <c r="A50" s="38" t="s">
        <v>857</v>
      </c>
      <c r="B50" s="38" t="s">
        <v>908</v>
      </c>
      <c r="C50" s="38" t="s">
        <v>704</v>
      </c>
      <c r="D50" s="54" t="s">
        <v>319</v>
      </c>
      <c r="E50" t="s">
        <v>291</v>
      </c>
      <c r="G50" s="51">
        <v>0</v>
      </c>
      <c r="H50" s="78">
        <v>2</v>
      </c>
      <c r="I50" s="78">
        <v>0</v>
      </c>
      <c r="J50" s="78">
        <v>2</v>
      </c>
      <c r="K50" s="78">
        <v>0</v>
      </c>
      <c r="L50" s="51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2</v>
      </c>
      <c r="S50" s="78">
        <v>0</v>
      </c>
      <c r="T50" s="78">
        <v>0</v>
      </c>
      <c r="U50" s="52">
        <v>2</v>
      </c>
      <c r="V50" s="66">
        <v>4</v>
      </c>
      <c r="W50" t="s">
        <v>1637</v>
      </c>
      <c r="AB50">
        <f t="array" aca="1" ref="AB50" ca="1">OFFSET($D$2,SMALL(IF($G$2:$G$142&gt;0,ROW($G$2:$G$142)-2,999),ROW(49:49)),)</f>
        <v>0</v>
      </c>
    </row>
    <row r="51" spans="1:28" x14ac:dyDescent="0.25">
      <c r="A51" s="38" t="s">
        <v>858</v>
      </c>
      <c r="C51" s="38" t="s">
        <v>704</v>
      </c>
      <c r="D51" s="54" t="s">
        <v>321</v>
      </c>
      <c r="E51" t="s">
        <v>291</v>
      </c>
      <c r="G51" s="51">
        <v>1</v>
      </c>
      <c r="H51" s="78">
        <v>0</v>
      </c>
      <c r="I51" s="78">
        <v>0</v>
      </c>
      <c r="J51" s="78">
        <v>0</v>
      </c>
      <c r="K51" s="78">
        <v>0</v>
      </c>
      <c r="L51" s="51">
        <v>0</v>
      </c>
      <c r="M51" s="78">
        <v>0</v>
      </c>
      <c r="N51" s="78">
        <v>0</v>
      </c>
      <c r="O51" s="78">
        <v>0</v>
      </c>
      <c r="P51" s="78">
        <v>0</v>
      </c>
      <c r="Q51" s="78">
        <v>0</v>
      </c>
      <c r="R51" s="78">
        <v>0</v>
      </c>
      <c r="S51" s="78">
        <v>0</v>
      </c>
      <c r="T51" s="78">
        <v>0</v>
      </c>
      <c r="U51" s="52">
        <v>1</v>
      </c>
      <c r="V51" s="66">
        <v>1</v>
      </c>
      <c r="W51" t="s">
        <v>1587</v>
      </c>
      <c r="AB51">
        <f t="array" aca="1" ref="AB51" ca="1">OFFSET($D$2,SMALL(IF($G$2:$G$142&gt;0,ROW($G$2:$G$142)-2,999),ROW(50:50)),)</f>
        <v>0</v>
      </c>
    </row>
    <row r="52" spans="1:28" x14ac:dyDescent="0.25">
      <c r="A52" s="38" t="s">
        <v>859</v>
      </c>
      <c r="C52" s="38" t="s">
        <v>704</v>
      </c>
      <c r="D52" s="54" t="s">
        <v>323</v>
      </c>
      <c r="E52" t="s">
        <v>279</v>
      </c>
      <c r="G52" s="51">
        <v>0</v>
      </c>
      <c r="H52" s="78">
        <v>1</v>
      </c>
      <c r="I52" s="78">
        <v>0</v>
      </c>
      <c r="J52" s="78">
        <v>0</v>
      </c>
      <c r="K52" s="78">
        <v>0</v>
      </c>
      <c r="L52" s="51">
        <v>0</v>
      </c>
      <c r="M52" s="78">
        <v>0</v>
      </c>
      <c r="N52" s="78">
        <v>0</v>
      </c>
      <c r="O52" s="78">
        <v>0</v>
      </c>
      <c r="P52" s="78">
        <v>0</v>
      </c>
      <c r="Q52" s="78">
        <v>1</v>
      </c>
      <c r="R52" s="78">
        <v>0</v>
      </c>
      <c r="S52" s="78">
        <v>0</v>
      </c>
      <c r="T52" s="78">
        <v>0</v>
      </c>
      <c r="U52" s="52">
        <v>0</v>
      </c>
      <c r="V52" s="66">
        <v>1</v>
      </c>
      <c r="W52" t="s">
        <v>1503</v>
      </c>
      <c r="AB52">
        <f t="array" aca="1" ref="AB52" ca="1">OFFSET($D$2,SMALL(IF($G$2:$G$142&gt;0,ROW($G$2:$G$142)-2,999),ROW(51:51)),)</f>
        <v>0</v>
      </c>
    </row>
    <row r="53" spans="1:28" x14ac:dyDescent="0.25">
      <c r="A53" s="38" t="s">
        <v>887</v>
      </c>
      <c r="C53" s="38" t="s">
        <v>706</v>
      </c>
      <c r="D53" s="54" t="s">
        <v>598</v>
      </c>
      <c r="G53" s="51">
        <v>0</v>
      </c>
      <c r="H53" s="78">
        <v>0</v>
      </c>
      <c r="I53" s="78">
        <v>0</v>
      </c>
      <c r="J53" s="78">
        <v>1</v>
      </c>
      <c r="K53" s="78">
        <v>0</v>
      </c>
      <c r="L53" s="51">
        <v>1</v>
      </c>
      <c r="M53" s="78">
        <v>0</v>
      </c>
      <c r="N53" s="78">
        <v>0</v>
      </c>
      <c r="O53" s="78">
        <v>0</v>
      </c>
      <c r="P53" s="78">
        <v>0</v>
      </c>
      <c r="Q53" s="78">
        <v>0</v>
      </c>
      <c r="R53" s="78">
        <v>0</v>
      </c>
      <c r="S53" s="78">
        <v>0</v>
      </c>
      <c r="T53" s="78">
        <v>0</v>
      </c>
      <c r="U53" s="52">
        <v>0</v>
      </c>
      <c r="V53" s="66">
        <v>1</v>
      </c>
      <c r="W53" t="s">
        <v>1473</v>
      </c>
      <c r="AB53">
        <f t="array" aca="1" ref="AB53" ca="1">OFFSET($D$2,SMALL(IF($G$2:$G$142&gt;0,ROW($G$2:$G$142)-2,999),ROW(52:52)),)</f>
        <v>0</v>
      </c>
    </row>
    <row r="54" spans="1:28" x14ac:dyDescent="0.25">
      <c r="A54" s="38" t="s">
        <v>888</v>
      </c>
      <c r="B54" s="38" t="s">
        <v>906</v>
      </c>
      <c r="C54" s="38" t="s">
        <v>706</v>
      </c>
      <c r="D54" s="54" t="s">
        <v>326</v>
      </c>
      <c r="G54" s="51">
        <v>0</v>
      </c>
      <c r="H54" s="78">
        <v>4</v>
      </c>
      <c r="I54" s="78">
        <v>2</v>
      </c>
      <c r="J54" s="78">
        <v>2</v>
      </c>
      <c r="K54" s="78">
        <v>0</v>
      </c>
      <c r="L54" s="51">
        <v>1</v>
      </c>
      <c r="M54" s="78">
        <v>2</v>
      </c>
      <c r="N54" s="78">
        <v>0</v>
      </c>
      <c r="O54" s="78">
        <v>0</v>
      </c>
      <c r="P54" s="78">
        <v>2</v>
      </c>
      <c r="Q54" s="78">
        <v>1</v>
      </c>
      <c r="R54" s="78">
        <v>0</v>
      </c>
      <c r="S54" s="78">
        <v>1</v>
      </c>
      <c r="T54" s="78">
        <v>0</v>
      </c>
      <c r="U54" s="52">
        <v>1</v>
      </c>
      <c r="V54" s="66">
        <v>8</v>
      </c>
      <c r="W54" t="s">
        <v>1638</v>
      </c>
      <c r="AB54">
        <f t="array" aca="1" ref="AB54" ca="1">OFFSET($D$2,SMALL(IF($G$2:$G$142&gt;0,ROW($G$2:$G$142)-2,999),ROW(53:53)),)</f>
        <v>0</v>
      </c>
    </row>
    <row r="55" spans="1:28" x14ac:dyDescent="0.25">
      <c r="A55" s="38" t="s">
        <v>889</v>
      </c>
      <c r="C55" s="38" t="s">
        <v>706</v>
      </c>
      <c r="D55" s="55" t="s">
        <v>327</v>
      </c>
      <c r="G55" s="51">
        <v>0</v>
      </c>
      <c r="H55" s="78">
        <v>2</v>
      </c>
      <c r="I55" s="78">
        <v>0</v>
      </c>
      <c r="J55" s="78">
        <v>3</v>
      </c>
      <c r="K55" s="78">
        <v>0</v>
      </c>
      <c r="L55" s="51">
        <v>1</v>
      </c>
      <c r="M55" s="78">
        <v>2</v>
      </c>
      <c r="N55" s="78">
        <v>0</v>
      </c>
      <c r="O55" s="78">
        <v>1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52">
        <v>1</v>
      </c>
      <c r="V55" s="66">
        <v>5</v>
      </c>
      <c r="W55" t="s">
        <v>1639</v>
      </c>
      <c r="AB55">
        <f t="array" aca="1" ref="AB55" ca="1">OFFSET($D$2,SMALL(IF($G$2:$G$142&gt;0,ROW($G$2:$G$142)-2,999),ROW(54:54)),)</f>
        <v>0</v>
      </c>
    </row>
    <row r="56" spans="1:28" x14ac:dyDescent="0.25">
      <c r="A56" s="38" t="s">
        <v>890</v>
      </c>
      <c r="C56" s="38" t="s">
        <v>707</v>
      </c>
      <c r="D56" s="54" t="s">
        <v>583</v>
      </c>
      <c r="E56" t="s">
        <v>291</v>
      </c>
      <c r="G56" s="51">
        <v>0</v>
      </c>
      <c r="H56" s="78">
        <v>1</v>
      </c>
      <c r="I56" s="78">
        <v>0</v>
      </c>
      <c r="J56" s="78">
        <v>0</v>
      </c>
      <c r="K56" s="78">
        <v>0</v>
      </c>
      <c r="L56" s="51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52">
        <v>1</v>
      </c>
      <c r="V56" s="66">
        <v>1</v>
      </c>
      <c r="W56" t="s">
        <v>1514</v>
      </c>
      <c r="AB56">
        <f t="array" aca="1" ref="AB56" ca="1">OFFSET($D$2,SMALL(IF($G$2:$G$142&gt;0,ROW($G$2:$G$142)-2,999),ROW(55:55)),)</f>
        <v>0</v>
      </c>
    </row>
    <row r="57" spans="1:28" x14ac:dyDescent="0.25">
      <c r="A57" s="38" t="s">
        <v>891</v>
      </c>
      <c r="C57" s="38" t="s">
        <v>707</v>
      </c>
      <c r="D57" s="54" t="s">
        <v>599</v>
      </c>
      <c r="E57" t="s">
        <v>280</v>
      </c>
      <c r="G57" s="51">
        <v>0</v>
      </c>
      <c r="H57" s="78">
        <v>0</v>
      </c>
      <c r="I57" s="78">
        <v>1</v>
      </c>
      <c r="J57" s="78">
        <v>0</v>
      </c>
      <c r="K57" s="78">
        <v>0</v>
      </c>
      <c r="L57" s="51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1</v>
      </c>
      <c r="S57" s="78">
        <v>0</v>
      </c>
      <c r="T57" s="78">
        <v>0</v>
      </c>
      <c r="U57" s="52">
        <v>0</v>
      </c>
      <c r="V57" s="66">
        <v>1</v>
      </c>
      <c r="W57" t="s">
        <v>1558</v>
      </c>
      <c r="AB57">
        <f t="array" aca="1" ref="AB57" ca="1">OFFSET($D$2,SMALL(IF($G$2:$G$142&gt;0,ROW($G$2:$G$142)-2,999),ROW(56:56)),)</f>
        <v>0</v>
      </c>
    </row>
    <row r="58" spans="1:28" x14ac:dyDescent="0.25">
      <c r="A58" s="38" t="s">
        <v>892</v>
      </c>
      <c r="C58" s="38" t="s">
        <v>707</v>
      </c>
      <c r="D58" s="55" t="s">
        <v>328</v>
      </c>
      <c r="G58" s="51">
        <v>0</v>
      </c>
      <c r="H58" s="78">
        <v>0</v>
      </c>
      <c r="I58" s="78">
        <v>2</v>
      </c>
      <c r="J58" s="78">
        <v>1</v>
      </c>
      <c r="K58" s="78">
        <v>0</v>
      </c>
      <c r="L58" s="51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1</v>
      </c>
      <c r="S58" s="78">
        <v>0</v>
      </c>
      <c r="T58" s="78">
        <v>0</v>
      </c>
      <c r="U58" s="52">
        <v>2</v>
      </c>
      <c r="V58" s="66">
        <v>3</v>
      </c>
      <c r="W58" t="s">
        <v>1595</v>
      </c>
      <c r="AB58">
        <f t="array" aca="1" ref="AB58" ca="1">OFFSET($D$2,SMALL(IF($G$2:$G$142&gt;0,ROW($G$2:$G$142)-2,999),ROW(57:57)),)</f>
        <v>0</v>
      </c>
    </row>
    <row r="59" spans="1:28" x14ac:dyDescent="0.25">
      <c r="A59" s="38" t="s">
        <v>893</v>
      </c>
      <c r="C59" s="38" t="s">
        <v>707</v>
      </c>
      <c r="D59" s="54" t="s">
        <v>600</v>
      </c>
      <c r="E59" t="s">
        <v>280</v>
      </c>
      <c r="G59" s="51">
        <v>0</v>
      </c>
      <c r="H59" s="78">
        <v>0</v>
      </c>
      <c r="I59" s="78">
        <v>1</v>
      </c>
      <c r="J59" s="78">
        <v>0</v>
      </c>
      <c r="K59" s="78">
        <v>0</v>
      </c>
      <c r="L59" s="51">
        <v>0</v>
      </c>
      <c r="M59" s="78">
        <v>0</v>
      </c>
      <c r="N59" s="78">
        <v>0</v>
      </c>
      <c r="O59" s="78">
        <v>0</v>
      </c>
      <c r="P59" s="78">
        <v>0</v>
      </c>
      <c r="Q59" s="78">
        <v>0</v>
      </c>
      <c r="R59" s="78">
        <v>1</v>
      </c>
      <c r="S59" s="78">
        <v>0</v>
      </c>
      <c r="T59" s="78">
        <v>0</v>
      </c>
      <c r="U59" s="52">
        <v>0</v>
      </c>
      <c r="V59" s="66">
        <v>1</v>
      </c>
      <c r="W59" t="s">
        <v>1558</v>
      </c>
      <c r="AB59">
        <f t="array" aca="1" ref="AB59" ca="1">OFFSET($D$2,SMALL(IF($G$2:$G$142&gt;0,ROW($G$2:$G$142)-2,999),ROW(58:58)),)</f>
        <v>0</v>
      </c>
    </row>
    <row r="60" spans="1:28" x14ac:dyDescent="0.25">
      <c r="A60" s="38" t="s">
        <v>894</v>
      </c>
      <c r="C60" s="38" t="s">
        <v>707</v>
      </c>
      <c r="D60" s="54" t="s">
        <v>330</v>
      </c>
      <c r="G60" s="51">
        <v>0</v>
      </c>
      <c r="H60" s="78">
        <v>0</v>
      </c>
      <c r="I60" s="78">
        <v>1</v>
      </c>
      <c r="J60" s="78">
        <v>1</v>
      </c>
      <c r="K60" s="78">
        <v>0</v>
      </c>
      <c r="L60" s="51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1</v>
      </c>
      <c r="S60" s="78">
        <v>0</v>
      </c>
      <c r="T60" s="78">
        <v>0</v>
      </c>
      <c r="U60" s="52">
        <v>1</v>
      </c>
      <c r="V60" s="66">
        <v>2</v>
      </c>
      <c r="W60" t="s">
        <v>1640</v>
      </c>
      <c r="AB60">
        <f t="array" aca="1" ref="AB60" ca="1">OFFSET($D$2,SMALL(IF($G$2:$G$142&gt;0,ROW($G$2:$G$142)-2,999),ROW(59:59)),)</f>
        <v>0</v>
      </c>
    </row>
    <row r="61" spans="1:28" x14ac:dyDescent="0.25">
      <c r="A61" s="38" t="s">
        <v>895</v>
      </c>
      <c r="C61" s="38" t="s">
        <v>395</v>
      </c>
      <c r="D61" s="54" t="s">
        <v>332</v>
      </c>
      <c r="G61" s="51">
        <v>0</v>
      </c>
      <c r="H61" s="78">
        <v>0</v>
      </c>
      <c r="I61" s="78">
        <v>2</v>
      </c>
      <c r="J61" s="78">
        <v>1</v>
      </c>
      <c r="K61" s="78">
        <v>0</v>
      </c>
      <c r="L61" s="51">
        <v>1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1</v>
      </c>
      <c r="S61" s="78">
        <v>0</v>
      </c>
      <c r="T61" s="78">
        <v>0</v>
      </c>
      <c r="U61" s="52">
        <v>1</v>
      </c>
      <c r="V61" s="66">
        <v>3</v>
      </c>
      <c r="W61" t="s">
        <v>1641</v>
      </c>
      <c r="AB61">
        <f t="array" aca="1" ref="AB61" ca="1">OFFSET($D$2,SMALL(IF($G$2:$G$142&gt;0,ROW($G$2:$G$142)-2,999),ROW(60:60)),)</f>
        <v>0</v>
      </c>
    </row>
    <row r="62" spans="1:28" x14ac:dyDescent="0.25">
      <c r="A62" s="38" t="s">
        <v>896</v>
      </c>
      <c r="B62" s="38" t="s">
        <v>907</v>
      </c>
      <c r="C62" s="38" t="s">
        <v>395</v>
      </c>
      <c r="D62" s="54" t="s">
        <v>333</v>
      </c>
      <c r="E62" t="s">
        <v>280</v>
      </c>
      <c r="G62" s="51">
        <v>0</v>
      </c>
      <c r="H62" s="78">
        <v>1</v>
      </c>
      <c r="I62" s="78">
        <v>0</v>
      </c>
      <c r="J62" s="78">
        <v>0</v>
      </c>
      <c r="K62" s="78">
        <v>0</v>
      </c>
      <c r="L62" s="51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1</v>
      </c>
      <c r="S62" s="78">
        <v>0</v>
      </c>
      <c r="T62" s="78">
        <v>0</v>
      </c>
      <c r="U62" s="52">
        <v>0</v>
      </c>
      <c r="V62" s="66">
        <v>1</v>
      </c>
      <c r="W62" t="s">
        <v>1506</v>
      </c>
      <c r="AB62">
        <f t="array" aca="1" ref="AB62" ca="1">OFFSET($D$2,SMALL(IF($G$2:$G$142&gt;0,ROW($G$2:$G$142)-2,999),ROW(61:61)),)</f>
        <v>0</v>
      </c>
    </row>
    <row r="63" spans="1:28" x14ac:dyDescent="0.25">
      <c r="A63" s="38" t="s">
        <v>897</v>
      </c>
      <c r="B63" s="38" t="s">
        <v>910</v>
      </c>
      <c r="C63" s="38" t="s">
        <v>395</v>
      </c>
      <c r="D63" s="54" t="s">
        <v>335</v>
      </c>
      <c r="G63" s="51">
        <v>1</v>
      </c>
      <c r="H63" s="78">
        <v>1</v>
      </c>
      <c r="I63" s="78">
        <v>4</v>
      </c>
      <c r="J63" s="78">
        <v>0</v>
      </c>
      <c r="K63" s="78">
        <v>0</v>
      </c>
      <c r="L63" s="51">
        <v>2</v>
      </c>
      <c r="M63" s="78">
        <v>0</v>
      </c>
      <c r="N63" s="78">
        <v>0</v>
      </c>
      <c r="O63" s="78">
        <v>0</v>
      </c>
      <c r="P63" s="78">
        <v>0</v>
      </c>
      <c r="Q63" s="78">
        <v>2</v>
      </c>
      <c r="R63" s="78">
        <v>1</v>
      </c>
      <c r="S63" s="78">
        <v>0</v>
      </c>
      <c r="T63" s="78">
        <v>0</v>
      </c>
      <c r="U63" s="52">
        <v>1</v>
      </c>
      <c r="V63" s="66">
        <v>6</v>
      </c>
      <c r="W63" t="s">
        <v>1642</v>
      </c>
      <c r="AB63">
        <f t="array" aca="1" ref="AB63" ca="1">OFFSET($D$2,SMALL(IF($G$2:$G$142&gt;0,ROW($G$2:$G$142)-2,999),ROW(62:62)),)</f>
        <v>0</v>
      </c>
    </row>
    <row r="64" spans="1:28" x14ac:dyDescent="0.25">
      <c r="A64" s="38" t="s">
        <v>898</v>
      </c>
      <c r="C64" s="38" t="s">
        <v>395</v>
      </c>
      <c r="D64" s="54" t="s">
        <v>336</v>
      </c>
      <c r="G64" s="51">
        <v>0</v>
      </c>
      <c r="H64" s="78">
        <v>1</v>
      </c>
      <c r="I64" s="78">
        <v>2</v>
      </c>
      <c r="J64" s="78">
        <v>1</v>
      </c>
      <c r="K64" s="78">
        <v>0</v>
      </c>
      <c r="L64" s="51">
        <v>0</v>
      </c>
      <c r="M64" s="78">
        <v>0</v>
      </c>
      <c r="N64" s="78">
        <v>0</v>
      </c>
      <c r="O64" s="78">
        <v>0</v>
      </c>
      <c r="P64" s="78">
        <v>0</v>
      </c>
      <c r="Q64" s="78">
        <v>0</v>
      </c>
      <c r="R64" s="78">
        <v>2</v>
      </c>
      <c r="S64" s="78">
        <v>0</v>
      </c>
      <c r="T64" s="78">
        <v>0</v>
      </c>
      <c r="U64" s="52">
        <v>2</v>
      </c>
      <c r="V64" s="66">
        <v>4</v>
      </c>
      <c r="W64" t="s">
        <v>1643</v>
      </c>
      <c r="AB64">
        <f t="array" aca="1" ref="AB64" ca="1">OFFSET($D$2,SMALL(IF($G$2:$G$142&gt;0,ROW($G$2:$G$142)-2,999),ROW(63:63)),)</f>
        <v>0</v>
      </c>
    </row>
    <row r="65" spans="1:28" x14ac:dyDescent="0.25">
      <c r="A65" s="38" t="s">
        <v>899</v>
      </c>
      <c r="C65" s="38" t="s">
        <v>395</v>
      </c>
      <c r="D65" s="54" t="s">
        <v>325</v>
      </c>
      <c r="E65" t="s">
        <v>279</v>
      </c>
      <c r="G65" s="51">
        <v>0</v>
      </c>
      <c r="H65" s="78">
        <v>0</v>
      </c>
      <c r="I65" s="78">
        <v>1</v>
      </c>
      <c r="J65" s="78">
        <v>0</v>
      </c>
      <c r="K65" s="78">
        <v>0</v>
      </c>
      <c r="L65" s="51">
        <v>0</v>
      </c>
      <c r="M65" s="78">
        <v>0</v>
      </c>
      <c r="N65" s="78">
        <v>0</v>
      </c>
      <c r="O65" s="78">
        <v>0</v>
      </c>
      <c r="P65" s="78">
        <v>0</v>
      </c>
      <c r="Q65" s="78">
        <v>1</v>
      </c>
      <c r="R65" s="78">
        <v>0</v>
      </c>
      <c r="S65" s="78">
        <v>0</v>
      </c>
      <c r="T65" s="78">
        <v>0</v>
      </c>
      <c r="U65" s="52">
        <v>0</v>
      </c>
      <c r="V65" s="66">
        <v>1</v>
      </c>
      <c r="W65" t="s">
        <v>1481</v>
      </c>
      <c r="AB65">
        <f t="array" aca="1" ref="AB65" ca="1">OFFSET($D$2,SMALL(IF($G$2:$G$142&gt;0,ROW($G$2:$G$142)-2,999),ROW(64:64)),)</f>
        <v>0</v>
      </c>
    </row>
    <row r="66" spans="1:28" x14ac:dyDescent="0.25">
      <c r="A66" s="38" t="s">
        <v>900</v>
      </c>
      <c r="C66" s="38" t="s">
        <v>395</v>
      </c>
      <c r="D66" s="54" t="s">
        <v>338</v>
      </c>
      <c r="E66" t="s">
        <v>279</v>
      </c>
      <c r="G66" s="51">
        <v>0</v>
      </c>
      <c r="H66" s="78">
        <v>0</v>
      </c>
      <c r="I66" s="78">
        <v>1</v>
      </c>
      <c r="J66" s="78">
        <v>0</v>
      </c>
      <c r="K66" s="78">
        <v>0</v>
      </c>
      <c r="L66" s="51">
        <v>0</v>
      </c>
      <c r="M66" s="78">
        <v>0</v>
      </c>
      <c r="N66" s="78">
        <v>0</v>
      </c>
      <c r="O66" s="78">
        <v>0</v>
      </c>
      <c r="P66" s="78">
        <v>0</v>
      </c>
      <c r="Q66" s="78">
        <v>1</v>
      </c>
      <c r="R66" s="78">
        <v>0</v>
      </c>
      <c r="S66" s="78">
        <v>0</v>
      </c>
      <c r="T66" s="78">
        <v>0</v>
      </c>
      <c r="U66" s="52">
        <v>0</v>
      </c>
      <c r="V66" s="66">
        <v>1</v>
      </c>
      <c r="W66" t="s">
        <v>1481</v>
      </c>
      <c r="AB66">
        <f t="array" aca="1" ref="AB66" ca="1">OFFSET($D$2,SMALL(IF($G$2:$G$142&gt;0,ROW($G$2:$G$142)-2,999),ROW(65:65)),)</f>
        <v>0</v>
      </c>
    </row>
    <row r="67" spans="1:28" x14ac:dyDescent="0.25">
      <c r="A67" s="38" t="s">
        <v>901</v>
      </c>
      <c r="C67" s="38" t="s">
        <v>395</v>
      </c>
      <c r="D67" s="54" t="s">
        <v>340</v>
      </c>
      <c r="G67" s="51">
        <v>1</v>
      </c>
      <c r="H67" s="78">
        <v>7</v>
      </c>
      <c r="I67" s="78">
        <v>1</v>
      </c>
      <c r="J67" s="78">
        <v>0</v>
      </c>
      <c r="K67" s="78">
        <v>0</v>
      </c>
      <c r="L67" s="51">
        <v>3</v>
      </c>
      <c r="M67" s="78">
        <v>2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4</v>
      </c>
      <c r="T67" s="78">
        <v>0</v>
      </c>
      <c r="U67" s="52">
        <v>0</v>
      </c>
      <c r="V67" s="66">
        <v>9</v>
      </c>
      <c r="W67" t="s">
        <v>1644</v>
      </c>
      <c r="AB67">
        <f t="array" aca="1" ref="AB67" ca="1">OFFSET($D$2,SMALL(IF($G$2:$G$142&gt;0,ROW($G$2:$G$142)-2,999),ROW(66:66)),)</f>
        <v>0</v>
      </c>
    </row>
    <row r="68" spans="1:28" x14ac:dyDescent="0.25">
      <c r="A68" s="38" t="s">
        <v>902</v>
      </c>
      <c r="C68" s="38" t="s">
        <v>395</v>
      </c>
      <c r="D68" s="54" t="s">
        <v>341</v>
      </c>
      <c r="G68" s="51">
        <v>0</v>
      </c>
      <c r="H68" s="78">
        <v>0</v>
      </c>
      <c r="I68" s="78">
        <v>3</v>
      </c>
      <c r="J68" s="78">
        <v>1</v>
      </c>
      <c r="K68" s="78">
        <v>0</v>
      </c>
      <c r="L68" s="51">
        <v>0</v>
      </c>
      <c r="M68" s="78">
        <v>0</v>
      </c>
      <c r="N68" s="78">
        <v>0</v>
      </c>
      <c r="O68" s="78">
        <v>0</v>
      </c>
      <c r="P68" s="78">
        <v>0</v>
      </c>
      <c r="Q68" s="78">
        <v>3</v>
      </c>
      <c r="R68" s="78">
        <v>0</v>
      </c>
      <c r="S68" s="78">
        <v>1</v>
      </c>
      <c r="T68" s="78">
        <v>0</v>
      </c>
      <c r="U68" s="52">
        <v>0</v>
      </c>
      <c r="V68" s="66">
        <v>4</v>
      </c>
      <c r="W68" t="s">
        <v>1645</v>
      </c>
      <c r="AB68">
        <f t="array" aca="1" ref="AB68" ca="1">OFFSET($D$2,SMALL(IF($G$2:$G$142&gt;0,ROW($G$2:$G$142)-2,999),ROW(67:67)),)</f>
        <v>0</v>
      </c>
    </row>
    <row r="69" spans="1:28" x14ac:dyDescent="0.25">
      <c r="A69" s="38" t="s">
        <v>903</v>
      </c>
      <c r="C69" s="38" t="s">
        <v>395</v>
      </c>
      <c r="D69" s="54" t="s">
        <v>343</v>
      </c>
      <c r="G69" s="51">
        <v>0</v>
      </c>
      <c r="H69" s="78">
        <v>0</v>
      </c>
      <c r="I69" s="78">
        <v>2</v>
      </c>
      <c r="J69" s="78">
        <v>1</v>
      </c>
      <c r="K69" s="78">
        <v>0</v>
      </c>
      <c r="L69" s="51">
        <v>1</v>
      </c>
      <c r="M69" s="78">
        <v>0</v>
      </c>
      <c r="N69" s="78">
        <v>0</v>
      </c>
      <c r="O69" s="78">
        <v>0</v>
      </c>
      <c r="P69" s="78">
        <v>0</v>
      </c>
      <c r="Q69" s="78">
        <v>1</v>
      </c>
      <c r="R69" s="78">
        <v>0</v>
      </c>
      <c r="S69" s="78">
        <v>0</v>
      </c>
      <c r="T69" s="78">
        <v>0</v>
      </c>
      <c r="U69" s="52">
        <v>1</v>
      </c>
      <c r="V69" s="66">
        <v>3</v>
      </c>
      <c r="W69" t="s">
        <v>1646</v>
      </c>
      <c r="AB69">
        <f t="array" aca="1" ref="AB69" ca="1">OFFSET($D$2,SMALL(IF($G$2:$G$142&gt;0,ROW($G$2:$G$142)-2,999),ROW(68:68)),)</f>
        <v>0</v>
      </c>
    </row>
    <row r="70" spans="1:28" x14ac:dyDescent="0.25">
      <c r="A70" s="38" t="s">
        <v>860</v>
      </c>
      <c r="B70" s="38" t="s">
        <v>910</v>
      </c>
      <c r="C70" s="38" t="s">
        <v>395</v>
      </c>
      <c r="D70" s="54" t="s">
        <v>344</v>
      </c>
      <c r="G70" s="51">
        <v>1</v>
      </c>
      <c r="H70" s="78">
        <v>1</v>
      </c>
      <c r="I70" s="78">
        <v>1</v>
      </c>
      <c r="J70" s="78">
        <v>0</v>
      </c>
      <c r="K70" s="78">
        <v>0</v>
      </c>
      <c r="L70" s="51">
        <v>2</v>
      </c>
      <c r="M70" s="78">
        <v>0</v>
      </c>
      <c r="N70" s="78">
        <v>0</v>
      </c>
      <c r="O70" s="78">
        <v>0</v>
      </c>
      <c r="P70" s="78">
        <v>0</v>
      </c>
      <c r="Q70" s="78">
        <v>0</v>
      </c>
      <c r="R70" s="78">
        <v>1</v>
      </c>
      <c r="S70" s="78">
        <v>0</v>
      </c>
      <c r="T70" s="78">
        <v>0</v>
      </c>
      <c r="U70" s="52">
        <v>0</v>
      </c>
      <c r="V70" s="66">
        <v>3</v>
      </c>
      <c r="W70" t="s">
        <v>1647</v>
      </c>
      <c r="AB70">
        <f t="array" aca="1" ref="AB70" ca="1">OFFSET($D$2,SMALL(IF($G$2:$G$142&gt;0,ROW($G$2:$G$142)-2,999),ROW(69:69)),)</f>
        <v>0</v>
      </c>
    </row>
    <row r="71" spans="1:28" x14ac:dyDescent="0.25">
      <c r="A71" s="38" t="s">
        <v>861</v>
      </c>
      <c r="C71" s="38" t="s">
        <v>395</v>
      </c>
      <c r="D71" s="54" t="s">
        <v>345</v>
      </c>
      <c r="E71" t="s">
        <v>279</v>
      </c>
      <c r="G71" s="51">
        <v>0</v>
      </c>
      <c r="H71" s="78">
        <v>0</v>
      </c>
      <c r="I71" s="78">
        <v>1</v>
      </c>
      <c r="J71" s="78">
        <v>0</v>
      </c>
      <c r="K71" s="78">
        <v>0</v>
      </c>
      <c r="L71" s="51">
        <v>0</v>
      </c>
      <c r="M71" s="78">
        <v>0</v>
      </c>
      <c r="N71" s="78">
        <v>0</v>
      </c>
      <c r="O71" s="78">
        <v>0</v>
      </c>
      <c r="P71" s="78">
        <v>0</v>
      </c>
      <c r="Q71" s="78">
        <v>1</v>
      </c>
      <c r="R71" s="78">
        <v>0</v>
      </c>
      <c r="S71" s="78">
        <v>0</v>
      </c>
      <c r="T71" s="78">
        <v>0</v>
      </c>
      <c r="U71" s="52">
        <v>0</v>
      </c>
      <c r="V71" s="66">
        <v>1</v>
      </c>
      <c r="W71" t="s">
        <v>1482</v>
      </c>
      <c r="AB71">
        <f t="array" aca="1" ref="AB71" ca="1">OFFSET($D$2,SMALL(IF($G$2:$G$142&gt;0,ROW($G$2:$G$142)-2,999),ROW(70:70)),)</f>
        <v>0</v>
      </c>
    </row>
    <row r="72" spans="1:28" x14ac:dyDescent="0.25">
      <c r="A72" s="38" t="s">
        <v>862</v>
      </c>
      <c r="C72" s="38" t="s">
        <v>395</v>
      </c>
      <c r="D72" s="54" t="s">
        <v>347</v>
      </c>
      <c r="G72" s="51">
        <v>0</v>
      </c>
      <c r="H72" s="78">
        <v>0</v>
      </c>
      <c r="I72" s="78">
        <v>4</v>
      </c>
      <c r="J72" s="78">
        <v>1</v>
      </c>
      <c r="K72" s="78">
        <v>0</v>
      </c>
      <c r="L72" s="51">
        <v>0</v>
      </c>
      <c r="M72" s="78">
        <v>0</v>
      </c>
      <c r="N72" s="78">
        <v>0</v>
      </c>
      <c r="O72" s="78">
        <v>0</v>
      </c>
      <c r="P72" s="78">
        <v>0</v>
      </c>
      <c r="Q72" s="78">
        <v>3</v>
      </c>
      <c r="R72" s="78">
        <v>0</v>
      </c>
      <c r="S72" s="78">
        <v>0</v>
      </c>
      <c r="T72" s="78">
        <v>1</v>
      </c>
      <c r="U72" s="52">
        <v>1</v>
      </c>
      <c r="V72" s="66">
        <v>5</v>
      </c>
      <c r="W72" t="s">
        <v>1648</v>
      </c>
      <c r="AB72">
        <f t="array" aca="1" ref="AB72" ca="1">OFFSET($D$2,SMALL(IF($G$2:$G$142&gt;0,ROW($G$2:$G$142)-2,999),ROW(71:71)),)</f>
        <v>0</v>
      </c>
    </row>
    <row r="73" spans="1:28" x14ac:dyDescent="0.25">
      <c r="A73" s="38" t="s">
        <v>863</v>
      </c>
      <c r="C73" s="38" t="s">
        <v>395</v>
      </c>
      <c r="D73" s="54" t="s">
        <v>349</v>
      </c>
      <c r="G73" s="51">
        <v>0</v>
      </c>
      <c r="H73" s="78">
        <v>0</v>
      </c>
      <c r="I73" s="78">
        <v>2</v>
      </c>
      <c r="J73" s="78">
        <v>1</v>
      </c>
      <c r="K73" s="78">
        <v>0</v>
      </c>
      <c r="L73" s="51">
        <v>1</v>
      </c>
      <c r="M73" s="78">
        <v>0</v>
      </c>
      <c r="N73" s="78">
        <v>0</v>
      </c>
      <c r="O73" s="78">
        <v>0</v>
      </c>
      <c r="P73" s="78">
        <v>0</v>
      </c>
      <c r="Q73" s="78">
        <v>0</v>
      </c>
      <c r="R73" s="78">
        <v>1</v>
      </c>
      <c r="S73" s="78">
        <v>0</v>
      </c>
      <c r="T73" s="78">
        <v>0</v>
      </c>
      <c r="U73" s="52">
        <v>1</v>
      </c>
      <c r="V73" s="66">
        <v>3</v>
      </c>
      <c r="W73" t="s">
        <v>1641</v>
      </c>
      <c r="AB73">
        <f t="array" aca="1" ref="AB73" ca="1">OFFSET($D$2,SMALL(IF($G$2:$G$142&gt;0,ROW($G$2:$G$142)-2,999),ROW(72:72)),)</f>
        <v>0</v>
      </c>
    </row>
    <row r="74" spans="1:28" x14ac:dyDescent="0.25">
      <c r="A74" s="38" t="s">
        <v>864</v>
      </c>
      <c r="B74" s="38" t="s">
        <v>913</v>
      </c>
      <c r="C74" s="38" t="s">
        <v>395</v>
      </c>
      <c r="D74" s="54" t="s">
        <v>351</v>
      </c>
      <c r="E74" t="s">
        <v>275</v>
      </c>
      <c r="G74" s="51">
        <v>0</v>
      </c>
      <c r="H74" s="78">
        <v>1</v>
      </c>
      <c r="I74" s="78">
        <v>0</v>
      </c>
      <c r="J74" s="78">
        <v>0</v>
      </c>
      <c r="K74" s="78">
        <v>0</v>
      </c>
      <c r="L74" s="51">
        <v>0</v>
      </c>
      <c r="M74" s="78">
        <v>1</v>
      </c>
      <c r="N74" s="78">
        <v>0</v>
      </c>
      <c r="O74" s="78">
        <v>0</v>
      </c>
      <c r="P74" s="78">
        <v>0</v>
      </c>
      <c r="Q74" s="78">
        <v>0</v>
      </c>
      <c r="R74" s="78">
        <v>0</v>
      </c>
      <c r="S74" s="78">
        <v>0</v>
      </c>
      <c r="T74" s="78">
        <v>0</v>
      </c>
      <c r="U74" s="52">
        <v>0</v>
      </c>
      <c r="V74" s="66">
        <v>1</v>
      </c>
      <c r="W74" t="s">
        <v>1570</v>
      </c>
      <c r="AB74">
        <f t="array" aca="1" ref="AB74" ca="1">OFFSET($D$2,SMALL(IF($G$2:$G$142&gt;0,ROW($G$2:$G$142)-2,999),ROW(73:73)),)</f>
        <v>0</v>
      </c>
    </row>
    <row r="75" spans="1:28" x14ac:dyDescent="0.25">
      <c r="A75" s="38" t="s">
        <v>865</v>
      </c>
      <c r="C75" s="38" t="s">
        <v>395</v>
      </c>
      <c r="D75" s="54" t="s">
        <v>352</v>
      </c>
      <c r="G75" s="51">
        <v>0</v>
      </c>
      <c r="H75" s="78">
        <v>1</v>
      </c>
      <c r="I75" s="78">
        <v>1</v>
      </c>
      <c r="J75" s="78">
        <v>1</v>
      </c>
      <c r="K75" s="78">
        <v>0</v>
      </c>
      <c r="L75" s="51">
        <v>0</v>
      </c>
      <c r="M75" s="78">
        <v>1</v>
      </c>
      <c r="N75" s="78">
        <v>0</v>
      </c>
      <c r="O75" s="78">
        <v>0</v>
      </c>
      <c r="P75" s="78">
        <v>0</v>
      </c>
      <c r="Q75" s="78">
        <v>0</v>
      </c>
      <c r="R75" s="78">
        <v>1</v>
      </c>
      <c r="S75" s="78">
        <v>0</v>
      </c>
      <c r="T75" s="78">
        <v>0</v>
      </c>
      <c r="U75" s="52">
        <v>1</v>
      </c>
      <c r="V75" s="66">
        <v>3</v>
      </c>
      <c r="W75" t="s">
        <v>1649</v>
      </c>
      <c r="AB75">
        <f t="array" aca="1" ref="AB75" ca="1">OFFSET($D$2,SMALL(IF($G$2:$G$142&gt;0,ROW($G$2:$G$142)-2,999),ROW(74:74)),)</f>
        <v>0</v>
      </c>
    </row>
    <row r="76" spans="1:28" x14ac:dyDescent="0.25">
      <c r="A76" s="38" t="s">
        <v>866</v>
      </c>
      <c r="C76" s="38" t="s">
        <v>395</v>
      </c>
      <c r="D76" s="54" t="s">
        <v>354</v>
      </c>
      <c r="G76" s="51">
        <v>0</v>
      </c>
      <c r="H76" s="78">
        <v>1</v>
      </c>
      <c r="I76" s="78">
        <v>3</v>
      </c>
      <c r="J76" s="78">
        <v>1</v>
      </c>
      <c r="K76" s="78">
        <v>0</v>
      </c>
      <c r="L76" s="51">
        <v>1</v>
      </c>
      <c r="M76" s="78">
        <v>0</v>
      </c>
      <c r="N76" s="78">
        <v>0</v>
      </c>
      <c r="O76" s="78">
        <v>0</v>
      </c>
      <c r="P76" s="78">
        <v>0</v>
      </c>
      <c r="Q76" s="78">
        <v>0</v>
      </c>
      <c r="R76" s="78">
        <v>2</v>
      </c>
      <c r="S76" s="78">
        <v>0</v>
      </c>
      <c r="T76" s="78">
        <v>0</v>
      </c>
      <c r="U76" s="52">
        <v>2</v>
      </c>
      <c r="V76" s="66">
        <v>5</v>
      </c>
      <c r="W76" t="s">
        <v>1650</v>
      </c>
      <c r="AB76">
        <f t="array" aca="1" ref="AB76" ca="1">OFFSET($D$2,SMALL(IF($G$2:$G$142&gt;0,ROW($G$2:$G$142)-2,999),ROW(75:75)),)</f>
        <v>0</v>
      </c>
    </row>
    <row r="77" spans="1:28" x14ac:dyDescent="0.25">
      <c r="A77" s="38" t="s">
        <v>867</v>
      </c>
      <c r="C77" s="38" t="s">
        <v>395</v>
      </c>
      <c r="D77" s="54" t="s">
        <v>355</v>
      </c>
      <c r="E77" t="s">
        <v>279</v>
      </c>
      <c r="G77" s="51">
        <v>0</v>
      </c>
      <c r="H77" s="78">
        <v>0</v>
      </c>
      <c r="I77" s="78">
        <v>1</v>
      </c>
      <c r="J77" s="78">
        <v>0</v>
      </c>
      <c r="K77" s="78">
        <v>0</v>
      </c>
      <c r="L77" s="51">
        <v>0</v>
      </c>
      <c r="M77" s="78">
        <v>0</v>
      </c>
      <c r="N77" s="78">
        <v>0</v>
      </c>
      <c r="O77" s="78">
        <v>0</v>
      </c>
      <c r="P77" s="78">
        <v>0</v>
      </c>
      <c r="Q77" s="78">
        <v>1</v>
      </c>
      <c r="R77" s="78">
        <v>0</v>
      </c>
      <c r="S77" s="78">
        <v>0</v>
      </c>
      <c r="T77" s="78">
        <v>0</v>
      </c>
      <c r="U77" s="52">
        <v>0</v>
      </c>
      <c r="V77" s="66">
        <v>1</v>
      </c>
      <c r="W77" t="s">
        <v>1482</v>
      </c>
      <c r="AB77">
        <f t="array" aca="1" ref="AB77" ca="1">OFFSET($D$2,SMALL(IF($G$2:$G$142&gt;0,ROW($G$2:$G$142)-2,999),ROW(76:76)),)</f>
        <v>0</v>
      </c>
    </row>
    <row r="78" spans="1:28" x14ac:dyDescent="0.25">
      <c r="A78" s="38" t="s">
        <v>650</v>
      </c>
      <c r="B78" s="38" t="s">
        <v>1308</v>
      </c>
      <c r="C78" s="54" t="s">
        <v>702</v>
      </c>
      <c r="D78" s="54" t="s">
        <v>702</v>
      </c>
      <c r="G78" s="51">
        <v>2</v>
      </c>
      <c r="H78" s="78">
        <v>9</v>
      </c>
      <c r="I78" s="78">
        <v>1</v>
      </c>
      <c r="J78" s="78">
        <v>1</v>
      </c>
      <c r="K78" s="78">
        <v>0</v>
      </c>
      <c r="L78" s="51">
        <v>2</v>
      </c>
      <c r="M78" s="78">
        <v>1</v>
      </c>
      <c r="N78" s="78">
        <v>0</v>
      </c>
      <c r="O78" s="78">
        <v>0</v>
      </c>
      <c r="P78" s="78">
        <v>3</v>
      </c>
      <c r="Q78" s="78">
        <v>0</v>
      </c>
      <c r="R78" s="78">
        <v>0</v>
      </c>
      <c r="S78" s="78">
        <v>4</v>
      </c>
      <c r="T78" s="78">
        <v>1</v>
      </c>
      <c r="U78" s="52">
        <v>2</v>
      </c>
      <c r="V78" s="66">
        <v>13</v>
      </c>
      <c r="W78" t="s">
        <v>1591</v>
      </c>
      <c r="AB78">
        <f t="array" aca="1" ref="AB78" ca="1">OFFSET($D$2,SMALL(IF($G$2:$G$142&gt;0,ROW($G$2:$G$142)-2,999),ROW(77:77)),)</f>
        <v>0</v>
      </c>
    </row>
    <row r="79" spans="1:28" x14ac:dyDescent="0.25">
      <c r="A79" s="38" t="s">
        <v>1668</v>
      </c>
      <c r="B79" s="38" t="s">
        <v>1308</v>
      </c>
      <c r="C79" s="54" t="s">
        <v>703</v>
      </c>
      <c r="D79" s="54" t="s">
        <v>703</v>
      </c>
      <c r="G79" s="51">
        <v>1</v>
      </c>
      <c r="H79" s="78">
        <v>18</v>
      </c>
      <c r="I79" s="78">
        <v>2</v>
      </c>
      <c r="J79" s="78">
        <v>11</v>
      </c>
      <c r="K79" s="78">
        <v>1</v>
      </c>
      <c r="L79" s="51">
        <v>3</v>
      </c>
      <c r="M79" s="78">
        <v>4</v>
      </c>
      <c r="N79" s="78">
        <v>4</v>
      </c>
      <c r="O79" s="78">
        <v>4</v>
      </c>
      <c r="P79" s="78">
        <v>3</v>
      </c>
      <c r="Q79" s="78">
        <v>2</v>
      </c>
      <c r="R79" s="78">
        <v>1</v>
      </c>
      <c r="S79" s="78">
        <v>6</v>
      </c>
      <c r="T79" s="78">
        <v>3</v>
      </c>
      <c r="U79" s="52">
        <v>3</v>
      </c>
      <c r="V79" s="66">
        <v>33</v>
      </c>
      <c r="W79" t="s">
        <v>1592</v>
      </c>
      <c r="AB79">
        <f t="array" aca="1" ref="AB79" ca="1">OFFSET($D$2,SMALL(IF($G$2:$G$142&gt;0,ROW($G$2:$G$142)-2,999),ROW(78:78)),)</f>
        <v>0</v>
      </c>
    </row>
    <row r="80" spans="1:28" x14ac:dyDescent="0.25">
      <c r="A80" s="38" t="s">
        <v>1669</v>
      </c>
      <c r="B80" s="38" t="s">
        <v>1308</v>
      </c>
      <c r="C80" s="54" t="s">
        <v>704</v>
      </c>
      <c r="D80" s="54" t="s">
        <v>704</v>
      </c>
      <c r="G80" s="51">
        <v>1</v>
      </c>
      <c r="H80" s="78">
        <v>6</v>
      </c>
      <c r="I80" s="78">
        <v>1</v>
      </c>
      <c r="J80" s="78">
        <v>2</v>
      </c>
      <c r="K80" s="78">
        <v>0</v>
      </c>
      <c r="L80" s="51">
        <v>0</v>
      </c>
      <c r="M80" s="78">
        <v>1</v>
      </c>
      <c r="N80" s="78">
        <v>0</v>
      </c>
      <c r="O80" s="78">
        <v>0</v>
      </c>
      <c r="P80" s="78">
        <v>3</v>
      </c>
      <c r="Q80" s="78">
        <v>1</v>
      </c>
      <c r="R80" s="78">
        <v>1</v>
      </c>
      <c r="S80" s="78">
        <v>1</v>
      </c>
      <c r="T80" s="78">
        <v>0</v>
      </c>
      <c r="U80" s="52">
        <v>3</v>
      </c>
      <c r="V80" s="66">
        <v>10</v>
      </c>
      <c r="W80" t="s">
        <v>1593</v>
      </c>
      <c r="AB80">
        <f t="array" aca="1" ref="AB80" ca="1">OFFSET($D$2,SMALL(IF($G$2:$G$142&gt;0,ROW($G$2:$G$142)-2,999),ROW(79:79)),)</f>
        <v>0</v>
      </c>
    </row>
    <row r="81" spans="1:28" x14ac:dyDescent="0.25">
      <c r="A81" s="38" t="s">
        <v>1311</v>
      </c>
      <c r="B81" s="38" t="s">
        <v>1308</v>
      </c>
      <c r="C81" s="54" t="s">
        <v>705</v>
      </c>
      <c r="D81" s="54" t="s">
        <v>705</v>
      </c>
      <c r="G81" s="51">
        <v>0</v>
      </c>
      <c r="H81" s="78">
        <v>7</v>
      </c>
      <c r="I81" s="78">
        <v>2</v>
      </c>
      <c r="J81" s="78">
        <v>4</v>
      </c>
      <c r="K81" s="78">
        <v>0</v>
      </c>
      <c r="L81" s="51">
        <v>2</v>
      </c>
      <c r="M81" s="78">
        <v>3</v>
      </c>
      <c r="N81" s="78">
        <v>1</v>
      </c>
      <c r="O81" s="78">
        <v>1</v>
      </c>
      <c r="P81" s="78">
        <v>2</v>
      </c>
      <c r="Q81" s="78">
        <v>1</v>
      </c>
      <c r="R81" s="78">
        <v>0</v>
      </c>
      <c r="S81" s="78">
        <v>1</v>
      </c>
      <c r="T81" s="78">
        <v>0</v>
      </c>
      <c r="U81" s="52">
        <v>2</v>
      </c>
      <c r="V81" s="66">
        <v>13</v>
      </c>
      <c r="W81" t="s">
        <v>1594</v>
      </c>
      <c r="AB81">
        <f t="array" aca="1" ref="AB81" ca="1">OFFSET($D$2,SMALL(IF($G$2:$G$142&gt;0,ROW($G$2:$G$142)-2,999),ROW(80:80)),)</f>
        <v>0</v>
      </c>
    </row>
    <row r="82" spans="1:28" x14ac:dyDescent="0.25">
      <c r="A82" s="38" t="s">
        <v>1312</v>
      </c>
      <c r="B82" s="38" t="s">
        <v>1308</v>
      </c>
      <c r="C82" s="54" t="s">
        <v>707</v>
      </c>
      <c r="D82" s="54" t="s">
        <v>707</v>
      </c>
      <c r="G82" s="51">
        <v>0</v>
      </c>
      <c r="H82" s="78">
        <v>0</v>
      </c>
      <c r="I82" s="78">
        <v>2</v>
      </c>
      <c r="J82" s="78">
        <v>1</v>
      </c>
      <c r="K82" s="78">
        <v>0</v>
      </c>
      <c r="L82" s="51">
        <v>0</v>
      </c>
      <c r="M82" s="78">
        <v>0</v>
      </c>
      <c r="N82" s="78">
        <v>0</v>
      </c>
      <c r="O82" s="78">
        <v>0</v>
      </c>
      <c r="P82" s="78">
        <v>0</v>
      </c>
      <c r="Q82" s="78">
        <v>0</v>
      </c>
      <c r="R82" s="78">
        <v>1</v>
      </c>
      <c r="S82" s="78">
        <v>0</v>
      </c>
      <c r="T82" s="78">
        <v>0</v>
      </c>
      <c r="U82" s="52">
        <v>2</v>
      </c>
      <c r="V82" s="66">
        <v>3</v>
      </c>
      <c r="W82" t="s">
        <v>1595</v>
      </c>
      <c r="AB82">
        <f t="array" aca="1" ref="AB82" ca="1">OFFSET($D$2,SMALL(IF($G$2:$G$142&gt;0,ROW($G$2:$G$142)-2,999),ROW(81:81)),)</f>
        <v>0</v>
      </c>
    </row>
    <row r="83" spans="1:28" x14ac:dyDescent="0.25">
      <c r="A83" s="38" t="s">
        <v>1313</v>
      </c>
      <c r="B83" s="38" t="s">
        <v>1308</v>
      </c>
      <c r="C83" s="54" t="s">
        <v>395</v>
      </c>
      <c r="D83" s="54" t="s">
        <v>395</v>
      </c>
      <c r="G83" s="51">
        <v>1</v>
      </c>
      <c r="H83" s="78">
        <v>8</v>
      </c>
      <c r="I83" s="78">
        <v>8</v>
      </c>
      <c r="J83" s="78">
        <v>3</v>
      </c>
      <c r="K83" s="78">
        <v>0</v>
      </c>
      <c r="L83" s="51">
        <v>3</v>
      </c>
      <c r="M83" s="78">
        <v>2</v>
      </c>
      <c r="N83" s="78">
        <v>0</v>
      </c>
      <c r="O83" s="78">
        <v>0</v>
      </c>
      <c r="P83" s="78">
        <v>0</v>
      </c>
      <c r="Q83" s="78">
        <v>4</v>
      </c>
      <c r="R83" s="78">
        <v>3</v>
      </c>
      <c r="S83" s="78">
        <v>5</v>
      </c>
      <c r="T83" s="78">
        <v>1</v>
      </c>
      <c r="U83" s="52">
        <v>2</v>
      </c>
      <c r="V83" s="66">
        <v>20</v>
      </c>
      <c r="W83" t="s">
        <v>1596</v>
      </c>
      <c r="AB83">
        <f t="array" aca="1" ref="AB83" ca="1">OFFSET($D$2,SMALL(IF($G$2:$G$142&gt;0,ROW($G$2:$G$142)-2,999),ROW(82:82)),)</f>
        <v>0</v>
      </c>
    </row>
    <row r="84" spans="1:28" x14ac:dyDescent="0.25">
      <c r="A84" s="38" t="s">
        <v>1314</v>
      </c>
      <c r="C84" s="53" t="s">
        <v>904</v>
      </c>
      <c r="D84" s="53" t="s">
        <v>357</v>
      </c>
      <c r="E84" t="s">
        <v>282</v>
      </c>
      <c r="G84" s="51">
        <v>0</v>
      </c>
      <c r="H84" s="78">
        <v>0</v>
      </c>
      <c r="I84" s="78">
        <v>1</v>
      </c>
      <c r="J84" s="78">
        <v>0</v>
      </c>
      <c r="K84" s="78">
        <v>0</v>
      </c>
      <c r="L84" s="51">
        <v>0</v>
      </c>
      <c r="M84" s="78">
        <v>0</v>
      </c>
      <c r="N84" s="78">
        <v>0</v>
      </c>
      <c r="O84" s="78">
        <v>0</v>
      </c>
      <c r="P84" s="78">
        <v>0</v>
      </c>
      <c r="Q84" s="78">
        <v>0</v>
      </c>
      <c r="R84" s="78">
        <v>0</v>
      </c>
      <c r="S84" s="78">
        <v>0</v>
      </c>
      <c r="T84" s="78">
        <v>1</v>
      </c>
      <c r="U84" s="52">
        <v>0</v>
      </c>
      <c r="V84" s="66">
        <v>1</v>
      </c>
      <c r="W84" t="s">
        <v>1486</v>
      </c>
      <c r="AB84">
        <f t="array" aca="1" ref="AB84" ca="1">OFFSET($D$2,SMALL(IF($G$2:$G$142&gt;0,ROW($G$2:$G$142)-2,999),ROW(83:83)),)</f>
        <v>0</v>
      </c>
    </row>
    <row r="85" spans="1:28" x14ac:dyDescent="0.25">
      <c r="A85" s="38" t="s">
        <v>1315</v>
      </c>
      <c r="C85" s="53" t="s">
        <v>904</v>
      </c>
      <c r="D85" s="53" t="s">
        <v>358</v>
      </c>
      <c r="E85" t="s">
        <v>276</v>
      </c>
      <c r="G85" s="51">
        <v>0</v>
      </c>
      <c r="H85" s="78">
        <v>1</v>
      </c>
      <c r="I85" s="78">
        <v>0</v>
      </c>
      <c r="J85" s="78">
        <v>0</v>
      </c>
      <c r="K85" s="78">
        <v>0</v>
      </c>
      <c r="L85" s="51">
        <v>0</v>
      </c>
      <c r="M85" s="78">
        <v>0</v>
      </c>
      <c r="N85" s="78">
        <v>1</v>
      </c>
      <c r="O85" s="78">
        <v>0</v>
      </c>
      <c r="P85" s="78">
        <v>0</v>
      </c>
      <c r="Q85" s="78">
        <v>0</v>
      </c>
      <c r="R85" s="78">
        <v>0</v>
      </c>
      <c r="S85" s="78">
        <v>0</v>
      </c>
      <c r="T85" s="78">
        <v>0</v>
      </c>
      <c r="U85" s="52">
        <v>0</v>
      </c>
      <c r="V85" s="66">
        <v>1</v>
      </c>
      <c r="W85" t="s">
        <v>1522</v>
      </c>
      <c r="AB85">
        <f t="array" aca="1" ref="AB85" ca="1">OFFSET($D$2,SMALL(IF($G$2:$G$142&gt;0,ROW($G$2:$G$142)-2,999),ROW(84:84)),)</f>
        <v>0</v>
      </c>
    </row>
    <row r="86" spans="1:28" x14ac:dyDescent="0.25">
      <c r="A86" s="38" t="s">
        <v>1316</v>
      </c>
      <c r="B86" s="38" t="s">
        <v>909</v>
      </c>
      <c r="C86" s="53" t="s">
        <v>904</v>
      </c>
      <c r="D86" s="53" t="s">
        <v>359</v>
      </c>
      <c r="G86" s="51">
        <v>0</v>
      </c>
      <c r="H86" s="78">
        <v>3</v>
      </c>
      <c r="I86" s="78">
        <v>0</v>
      </c>
      <c r="J86" s="78">
        <v>0</v>
      </c>
      <c r="K86" s="78">
        <v>0</v>
      </c>
      <c r="L86" s="51">
        <v>0</v>
      </c>
      <c r="M86" s="78">
        <v>0</v>
      </c>
      <c r="N86" s="78">
        <v>1</v>
      </c>
      <c r="O86" s="78">
        <v>1</v>
      </c>
      <c r="P86" s="78">
        <v>0</v>
      </c>
      <c r="Q86" s="78">
        <v>1</v>
      </c>
      <c r="R86" s="78">
        <v>0</v>
      </c>
      <c r="S86" s="78">
        <v>0</v>
      </c>
      <c r="T86" s="78">
        <v>0</v>
      </c>
      <c r="U86" s="52">
        <v>0</v>
      </c>
      <c r="V86" s="66">
        <v>3</v>
      </c>
      <c r="W86" t="s">
        <v>1536</v>
      </c>
      <c r="AB86">
        <f t="array" aca="1" ref="AB86" ca="1">OFFSET($D$2,SMALL(IF($G$2:$G$142&gt;0,ROW($G$2:$G$142)-2,999),ROW(85:85)),)</f>
        <v>0</v>
      </c>
    </row>
    <row r="87" spans="1:28" x14ac:dyDescent="0.25">
      <c r="A87" s="38" t="s">
        <v>1317</v>
      </c>
      <c r="C87" s="53" t="s">
        <v>904</v>
      </c>
      <c r="D87" s="53" t="s">
        <v>360</v>
      </c>
      <c r="G87" s="51">
        <v>0</v>
      </c>
      <c r="H87" s="78">
        <v>0</v>
      </c>
      <c r="I87" s="78">
        <v>1</v>
      </c>
      <c r="J87" s="78">
        <v>2</v>
      </c>
      <c r="K87" s="78">
        <v>0</v>
      </c>
      <c r="L87" s="51">
        <v>0</v>
      </c>
      <c r="M87" s="78">
        <v>0</v>
      </c>
      <c r="N87" s="78">
        <v>0</v>
      </c>
      <c r="O87" s="78">
        <v>0</v>
      </c>
      <c r="P87" s="78">
        <v>1</v>
      </c>
      <c r="Q87" s="78">
        <v>0</v>
      </c>
      <c r="R87" s="78">
        <v>0</v>
      </c>
      <c r="S87" s="78">
        <v>1</v>
      </c>
      <c r="T87" s="78">
        <v>1</v>
      </c>
      <c r="U87" s="52">
        <v>0</v>
      </c>
      <c r="V87" s="66">
        <v>3</v>
      </c>
      <c r="W87" t="s">
        <v>1597</v>
      </c>
      <c r="AB87">
        <f t="array" aca="1" ref="AB87" ca="1">OFFSET($D$2,SMALL(IF($G$2:$G$142&gt;0,ROW($G$2:$G$142)-2,999),ROW(86:86)),)</f>
        <v>0</v>
      </c>
    </row>
    <row r="88" spans="1:28" x14ac:dyDescent="0.25">
      <c r="A88" s="38" t="s">
        <v>1318</v>
      </c>
      <c r="C88" s="53" t="s">
        <v>904</v>
      </c>
      <c r="D88" s="53" t="s">
        <v>362</v>
      </c>
      <c r="E88" t="s">
        <v>282</v>
      </c>
      <c r="G88" s="51">
        <v>0</v>
      </c>
      <c r="H88" s="78">
        <v>0</v>
      </c>
      <c r="I88" s="78">
        <v>1</v>
      </c>
      <c r="J88" s="78">
        <v>0</v>
      </c>
      <c r="K88" s="78">
        <v>0</v>
      </c>
      <c r="L88" s="51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1</v>
      </c>
      <c r="U88" s="52">
        <v>0</v>
      </c>
      <c r="V88" s="66">
        <v>1</v>
      </c>
      <c r="W88" t="s">
        <v>1486</v>
      </c>
      <c r="AB88">
        <f t="array" aca="1" ref="AB88" ca="1">OFFSET($D$2,SMALL(IF($G$2:$G$142&gt;0,ROW($G$2:$G$142)-2,999),ROW(87:87)),)</f>
        <v>0</v>
      </c>
    </row>
    <row r="89" spans="1:28" x14ac:dyDescent="0.25">
      <c r="A89" s="38" t="s">
        <v>1319</v>
      </c>
      <c r="B89" s="38" t="s">
        <v>909</v>
      </c>
      <c r="C89" s="53" t="s">
        <v>904</v>
      </c>
      <c r="D89" s="53" t="s">
        <v>590</v>
      </c>
      <c r="G89" s="51">
        <v>0</v>
      </c>
      <c r="H89" s="78">
        <v>3</v>
      </c>
      <c r="I89" s="78">
        <v>0</v>
      </c>
      <c r="J89" s="78">
        <v>0</v>
      </c>
      <c r="K89" s="78">
        <v>0</v>
      </c>
      <c r="L89" s="51">
        <v>0</v>
      </c>
      <c r="M89" s="78">
        <v>0</v>
      </c>
      <c r="N89" s="78">
        <v>1</v>
      </c>
      <c r="O89" s="78">
        <v>1</v>
      </c>
      <c r="P89" s="78">
        <v>0</v>
      </c>
      <c r="Q89" s="78">
        <v>1</v>
      </c>
      <c r="R89" s="78">
        <v>0</v>
      </c>
      <c r="S89" s="78">
        <v>0</v>
      </c>
      <c r="T89" s="78">
        <v>0</v>
      </c>
      <c r="U89" s="52">
        <v>0</v>
      </c>
      <c r="V89" s="66">
        <v>3</v>
      </c>
      <c r="W89" t="s">
        <v>1536</v>
      </c>
      <c r="AB89">
        <f t="array" aca="1" ref="AB89" ca="1">OFFSET($D$2,SMALL(IF($G$2:$G$142&gt;0,ROW($G$2:$G$142)-2,999),ROW(88:88)),)</f>
        <v>0</v>
      </c>
    </row>
    <row r="90" spans="1:28" x14ac:dyDescent="0.25">
      <c r="A90" s="38" t="s">
        <v>1320</v>
      </c>
      <c r="C90" s="53" t="s">
        <v>904</v>
      </c>
      <c r="D90" s="53" t="s">
        <v>363</v>
      </c>
      <c r="E90" t="s">
        <v>273</v>
      </c>
      <c r="G90" s="51">
        <v>0</v>
      </c>
      <c r="H90" s="78">
        <v>0</v>
      </c>
      <c r="I90" s="78">
        <v>0</v>
      </c>
      <c r="J90" s="78">
        <v>1</v>
      </c>
      <c r="K90" s="78">
        <v>0</v>
      </c>
      <c r="L90" s="51">
        <v>1</v>
      </c>
      <c r="M90" s="78">
        <v>0</v>
      </c>
      <c r="N90" s="78">
        <v>0</v>
      </c>
      <c r="O90" s="78">
        <v>0</v>
      </c>
      <c r="P90" s="78">
        <v>0</v>
      </c>
      <c r="Q90" s="78">
        <v>0</v>
      </c>
      <c r="R90" s="78">
        <v>0</v>
      </c>
      <c r="S90" s="78">
        <v>0</v>
      </c>
      <c r="T90" s="78">
        <v>0</v>
      </c>
      <c r="U90" s="52">
        <v>0</v>
      </c>
      <c r="V90" s="66">
        <v>1</v>
      </c>
      <c r="W90" t="s">
        <v>1473</v>
      </c>
      <c r="AB90">
        <f t="array" aca="1" ref="AB90" ca="1">OFFSET($D$2,SMALL(IF($G$2:$G$142&gt;0,ROW($G$2:$G$142)-2,999),ROW(89:89)),)</f>
        <v>0</v>
      </c>
    </row>
    <row r="91" spans="1:28" x14ac:dyDescent="0.25">
      <c r="A91" s="38" t="s">
        <v>1321</v>
      </c>
      <c r="B91" s="38" t="s">
        <v>910</v>
      </c>
      <c r="C91" s="53" t="s">
        <v>904</v>
      </c>
      <c r="D91" s="53" t="s">
        <v>364</v>
      </c>
      <c r="E91" t="s">
        <v>282</v>
      </c>
      <c r="G91" s="51">
        <v>0</v>
      </c>
      <c r="H91" s="78">
        <v>0</v>
      </c>
      <c r="I91" s="78">
        <v>0</v>
      </c>
      <c r="J91" s="78">
        <v>1</v>
      </c>
      <c r="K91" s="78">
        <v>0</v>
      </c>
      <c r="L91" s="51">
        <v>0</v>
      </c>
      <c r="M91" s="78">
        <v>0</v>
      </c>
      <c r="N91" s="78">
        <v>0</v>
      </c>
      <c r="O91" s="78">
        <v>0</v>
      </c>
      <c r="P91" s="78">
        <v>0</v>
      </c>
      <c r="Q91" s="78">
        <v>0</v>
      </c>
      <c r="R91" s="78">
        <v>0</v>
      </c>
      <c r="S91" s="78">
        <v>0</v>
      </c>
      <c r="T91" s="78">
        <v>1</v>
      </c>
      <c r="U91" s="52">
        <v>0</v>
      </c>
      <c r="V91" s="66">
        <v>1</v>
      </c>
      <c r="W91" t="s">
        <v>1464</v>
      </c>
      <c r="AB91">
        <f t="array" aca="1" ref="AB91" ca="1">OFFSET($D$2,SMALL(IF($G$2:$G$142&gt;0,ROW($G$2:$G$142)-2,999),ROW(90:90)),)</f>
        <v>0</v>
      </c>
    </row>
    <row r="92" spans="1:28" x14ac:dyDescent="0.25">
      <c r="A92" s="38" t="s">
        <v>1322</v>
      </c>
      <c r="C92" s="53" t="s">
        <v>904</v>
      </c>
      <c r="D92" s="53" t="s">
        <v>591</v>
      </c>
      <c r="E92" t="s">
        <v>279</v>
      </c>
      <c r="G92" s="51">
        <v>0</v>
      </c>
      <c r="H92" s="78">
        <v>0</v>
      </c>
      <c r="I92" s="78">
        <v>1</v>
      </c>
      <c r="J92" s="78">
        <v>0</v>
      </c>
      <c r="K92" s="78">
        <v>0</v>
      </c>
      <c r="L92" s="51">
        <v>0</v>
      </c>
      <c r="M92" s="78">
        <v>0</v>
      </c>
      <c r="N92" s="78">
        <v>0</v>
      </c>
      <c r="O92" s="78">
        <v>0</v>
      </c>
      <c r="P92" s="78">
        <v>0</v>
      </c>
      <c r="Q92" s="78">
        <v>1</v>
      </c>
      <c r="R92" s="78">
        <v>0</v>
      </c>
      <c r="S92" s="78">
        <v>0</v>
      </c>
      <c r="T92" s="78">
        <v>0</v>
      </c>
      <c r="U92" s="52">
        <v>0</v>
      </c>
      <c r="V92" s="66">
        <v>1</v>
      </c>
      <c r="W92" t="s">
        <v>1482</v>
      </c>
      <c r="AB92">
        <f t="array" aca="1" ref="AB92" ca="1">OFFSET($D$2,SMALL(IF($G$2:$G$142&gt;0,ROW($G$2:$G$142)-2,999),ROW(91:91)),)</f>
        <v>0</v>
      </c>
    </row>
    <row r="93" spans="1:28" x14ac:dyDescent="0.25">
      <c r="A93" s="38" t="s">
        <v>1323</v>
      </c>
      <c r="B93" s="38" t="s">
        <v>913</v>
      </c>
      <c r="C93" s="53" t="s">
        <v>904</v>
      </c>
      <c r="D93" s="53" t="s">
        <v>366</v>
      </c>
      <c r="E93" t="s">
        <v>280</v>
      </c>
      <c r="G93" s="51">
        <v>0</v>
      </c>
      <c r="H93" s="78">
        <v>1</v>
      </c>
      <c r="I93" s="78">
        <v>1</v>
      </c>
      <c r="J93" s="78">
        <v>0</v>
      </c>
      <c r="K93" s="78">
        <v>0</v>
      </c>
      <c r="L93" s="51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78">
        <v>2</v>
      </c>
      <c r="S93" s="78">
        <v>0</v>
      </c>
      <c r="T93" s="78">
        <v>0</v>
      </c>
      <c r="U93" s="52">
        <v>0</v>
      </c>
      <c r="V93" s="66">
        <v>2</v>
      </c>
      <c r="W93" t="s">
        <v>1598</v>
      </c>
      <c r="AB93">
        <f t="array" aca="1" ref="AB93" ca="1">OFFSET($D$2,SMALL(IF($G$2:$G$142&gt;0,ROW($G$2:$G$142)-2,999),ROW(92:92)),)</f>
        <v>0</v>
      </c>
    </row>
    <row r="94" spans="1:28" x14ac:dyDescent="0.25">
      <c r="A94" s="38" t="s">
        <v>1324</v>
      </c>
      <c r="C94" s="53" t="s">
        <v>904</v>
      </c>
      <c r="D94" s="53" t="s">
        <v>367</v>
      </c>
      <c r="E94" t="s">
        <v>280</v>
      </c>
      <c r="G94" s="51">
        <v>0</v>
      </c>
      <c r="H94" s="78">
        <v>1</v>
      </c>
      <c r="I94" s="78">
        <v>0</v>
      </c>
      <c r="J94" s="78">
        <v>0</v>
      </c>
      <c r="K94" s="78">
        <v>0</v>
      </c>
      <c r="L94" s="51">
        <v>0</v>
      </c>
      <c r="M94" s="78">
        <v>0</v>
      </c>
      <c r="N94" s="78">
        <v>0</v>
      </c>
      <c r="O94" s="78">
        <v>0</v>
      </c>
      <c r="P94" s="78">
        <v>0</v>
      </c>
      <c r="Q94" s="78">
        <v>0</v>
      </c>
      <c r="R94" s="78">
        <v>1</v>
      </c>
      <c r="S94" s="78">
        <v>0</v>
      </c>
      <c r="T94" s="78">
        <v>0</v>
      </c>
      <c r="U94" s="52">
        <v>0</v>
      </c>
      <c r="V94" s="66">
        <v>1</v>
      </c>
      <c r="W94" t="s">
        <v>1506</v>
      </c>
      <c r="AB94">
        <f t="array" aca="1" ref="AB94" ca="1">OFFSET($D$2,SMALL(IF($G$2:$G$142&gt;0,ROW($G$2:$G$142)-2,999),ROW(93:93)),)</f>
        <v>0</v>
      </c>
    </row>
    <row r="95" spans="1:28" x14ac:dyDescent="0.25">
      <c r="A95" s="38" t="s">
        <v>1325</v>
      </c>
      <c r="B95" s="38" t="s">
        <v>911</v>
      </c>
      <c r="C95" s="53" t="s">
        <v>904</v>
      </c>
      <c r="D95" s="53" t="s">
        <v>369</v>
      </c>
      <c r="E95" t="s">
        <v>280</v>
      </c>
      <c r="G95" s="51">
        <v>0</v>
      </c>
      <c r="H95" s="78">
        <v>1</v>
      </c>
      <c r="I95" s="78">
        <v>0</v>
      </c>
      <c r="J95" s="78">
        <v>0</v>
      </c>
      <c r="K95" s="78">
        <v>0</v>
      </c>
      <c r="L95" s="51">
        <v>0</v>
      </c>
      <c r="M95" s="78">
        <v>0</v>
      </c>
      <c r="N95" s="78">
        <v>0</v>
      </c>
      <c r="O95" s="78">
        <v>0</v>
      </c>
      <c r="P95" s="78">
        <v>0</v>
      </c>
      <c r="Q95" s="78">
        <v>0</v>
      </c>
      <c r="R95" s="78">
        <v>1</v>
      </c>
      <c r="S95" s="78">
        <v>0</v>
      </c>
      <c r="T95" s="78">
        <v>0</v>
      </c>
      <c r="U95" s="52">
        <v>0</v>
      </c>
      <c r="V95" s="66">
        <v>1</v>
      </c>
      <c r="W95" t="s">
        <v>1506</v>
      </c>
      <c r="AB95">
        <f t="array" aca="1" ref="AB95" ca="1">OFFSET($D$2,SMALL(IF($G$2:$G$142&gt;0,ROW($G$2:$G$142)-2,999),ROW(94:94)),)</f>
        <v>0</v>
      </c>
    </row>
    <row r="96" spans="1:28" x14ac:dyDescent="0.25">
      <c r="A96" s="38" t="s">
        <v>1326</v>
      </c>
      <c r="C96" s="53" t="s">
        <v>904</v>
      </c>
      <c r="D96" s="53" t="s">
        <v>371</v>
      </c>
      <c r="E96" t="s">
        <v>280</v>
      </c>
      <c r="G96" s="51">
        <v>0</v>
      </c>
      <c r="H96" s="78">
        <v>1</v>
      </c>
      <c r="I96" s="78">
        <v>2</v>
      </c>
      <c r="J96" s="78">
        <v>0</v>
      </c>
      <c r="K96" s="78">
        <v>0</v>
      </c>
      <c r="L96" s="51">
        <v>0</v>
      </c>
      <c r="M96" s="78">
        <v>0</v>
      </c>
      <c r="N96" s="78">
        <v>0</v>
      </c>
      <c r="O96" s="78">
        <v>0</v>
      </c>
      <c r="P96" s="78">
        <v>0</v>
      </c>
      <c r="Q96" s="78">
        <v>1</v>
      </c>
      <c r="R96" s="78">
        <v>2</v>
      </c>
      <c r="S96" s="78">
        <v>0</v>
      </c>
      <c r="T96" s="78">
        <v>0</v>
      </c>
      <c r="U96" s="52">
        <v>0</v>
      </c>
      <c r="V96" s="66">
        <v>3</v>
      </c>
      <c r="W96" t="s">
        <v>1599</v>
      </c>
      <c r="AB96">
        <f t="array" aca="1" ref="AB96" ca="1">OFFSET($D$2,SMALL(IF($G$2:$G$142&gt;0,ROW($G$2:$G$142)-2,999),ROW(95:95)),)</f>
        <v>0</v>
      </c>
    </row>
    <row r="97" spans="1:28" x14ac:dyDescent="0.25">
      <c r="A97" s="38" t="s">
        <v>1327</v>
      </c>
      <c r="B97" s="38" t="s">
        <v>831</v>
      </c>
      <c r="C97" s="53" t="s">
        <v>904</v>
      </c>
      <c r="D97" s="53" t="s">
        <v>372</v>
      </c>
      <c r="E97" t="s">
        <v>275</v>
      </c>
      <c r="G97" s="51">
        <v>0</v>
      </c>
      <c r="H97" s="78">
        <v>1</v>
      </c>
      <c r="I97" s="78">
        <v>0</v>
      </c>
      <c r="J97" s="78">
        <v>0</v>
      </c>
      <c r="K97" s="78">
        <v>0</v>
      </c>
      <c r="L97" s="51">
        <v>0</v>
      </c>
      <c r="M97" s="78">
        <v>1</v>
      </c>
      <c r="N97" s="78">
        <v>0</v>
      </c>
      <c r="O97" s="78">
        <v>0</v>
      </c>
      <c r="P97" s="78">
        <v>0</v>
      </c>
      <c r="Q97" s="78">
        <v>0</v>
      </c>
      <c r="R97" s="78">
        <v>0</v>
      </c>
      <c r="S97" s="78">
        <v>0</v>
      </c>
      <c r="T97" s="78">
        <v>0</v>
      </c>
      <c r="U97" s="52">
        <v>0</v>
      </c>
      <c r="V97" s="66">
        <v>1</v>
      </c>
      <c r="W97" t="s">
        <v>1570</v>
      </c>
      <c r="AB97">
        <f t="array" aca="1" ref="AB97" ca="1">OFFSET($D$2,SMALL(IF($G$2:$G$142&gt;0,ROW($G$2:$G$142)-2,999),ROW(96:96)),)</f>
        <v>0</v>
      </c>
    </row>
    <row r="98" spans="1:28" x14ac:dyDescent="0.25">
      <c r="A98" s="38" t="s">
        <v>1328</v>
      </c>
      <c r="C98" s="53" t="s">
        <v>904</v>
      </c>
      <c r="D98" s="53" t="s">
        <v>373</v>
      </c>
      <c r="E98" t="s">
        <v>281</v>
      </c>
      <c r="G98" s="51">
        <v>0</v>
      </c>
      <c r="H98" s="78">
        <v>1</v>
      </c>
      <c r="I98" s="78">
        <v>0</v>
      </c>
      <c r="J98" s="78">
        <v>0</v>
      </c>
      <c r="K98" s="78">
        <v>0</v>
      </c>
      <c r="L98" s="51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78">
        <v>0</v>
      </c>
      <c r="S98" s="78">
        <v>1</v>
      </c>
      <c r="T98" s="78">
        <v>0</v>
      </c>
      <c r="U98" s="52">
        <v>0</v>
      </c>
      <c r="V98" s="66">
        <v>1</v>
      </c>
      <c r="W98" t="s">
        <v>1600</v>
      </c>
      <c r="AB98">
        <f t="array" aca="1" ref="AB98" ca="1">OFFSET($D$2,SMALL(IF($G$2:$G$142&gt;0,ROW($G$2:$G$142)-2,999),ROW(97:97)),)</f>
        <v>0</v>
      </c>
    </row>
    <row r="99" spans="1:28" x14ac:dyDescent="0.25">
      <c r="A99" s="38" t="s">
        <v>1329</v>
      </c>
      <c r="C99" s="53" t="s">
        <v>904</v>
      </c>
      <c r="D99" s="53" t="s">
        <v>374</v>
      </c>
      <c r="E99" t="s">
        <v>277</v>
      </c>
      <c r="G99" s="51">
        <v>0</v>
      </c>
      <c r="H99" s="78">
        <v>1</v>
      </c>
      <c r="I99" s="78">
        <v>0</v>
      </c>
      <c r="J99" s="78">
        <v>0</v>
      </c>
      <c r="K99" s="78">
        <v>0</v>
      </c>
      <c r="L99" s="51">
        <v>0</v>
      </c>
      <c r="M99" s="78">
        <v>0</v>
      </c>
      <c r="N99" s="78">
        <v>0</v>
      </c>
      <c r="O99" s="78">
        <v>1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52">
        <v>0</v>
      </c>
      <c r="V99" s="66">
        <v>1</v>
      </c>
      <c r="W99" t="s">
        <v>1484</v>
      </c>
      <c r="AB99">
        <f t="array" aca="1" ref="AB99" ca="1">OFFSET($D$2,SMALL(IF($G$2:$G$142&gt;0,ROW($G$2:$G$142)-2,999),ROW(98:98)),)</f>
        <v>0</v>
      </c>
    </row>
    <row r="100" spans="1:28" x14ac:dyDescent="0.25">
      <c r="A100" s="38" t="s">
        <v>1330</v>
      </c>
      <c r="B100" s="38" t="s">
        <v>913</v>
      </c>
      <c r="C100" s="53" t="s">
        <v>904</v>
      </c>
      <c r="D100" s="53" t="s">
        <v>376</v>
      </c>
      <c r="E100" t="s">
        <v>276</v>
      </c>
      <c r="G100" s="51">
        <v>0</v>
      </c>
      <c r="H100" s="78">
        <v>1</v>
      </c>
      <c r="I100" s="78">
        <v>0</v>
      </c>
      <c r="J100" s="78">
        <v>1</v>
      </c>
      <c r="K100" s="78">
        <v>0</v>
      </c>
      <c r="L100" s="51">
        <v>0</v>
      </c>
      <c r="M100" s="78">
        <v>0</v>
      </c>
      <c r="N100" s="78">
        <v>2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52">
        <v>0</v>
      </c>
      <c r="V100" s="66">
        <v>2</v>
      </c>
      <c r="W100" t="s">
        <v>1601</v>
      </c>
      <c r="AB100">
        <f t="array" aca="1" ref="AB100" ca="1">OFFSET($D$2,SMALL(IF($G$2:$G$142&gt;0,ROW($G$2:$G$142)-2,999),ROW(99:99)),)</f>
        <v>0</v>
      </c>
    </row>
    <row r="101" spans="1:28" x14ac:dyDescent="0.25">
      <c r="A101" s="38" t="s">
        <v>1331</v>
      </c>
      <c r="C101" s="53" t="s">
        <v>904</v>
      </c>
      <c r="D101" s="53" t="s">
        <v>468</v>
      </c>
      <c r="E101" t="s">
        <v>276</v>
      </c>
      <c r="G101" s="51">
        <v>0</v>
      </c>
      <c r="H101" s="78">
        <v>2</v>
      </c>
      <c r="I101" s="78">
        <v>0</v>
      </c>
      <c r="J101" s="78">
        <v>0</v>
      </c>
      <c r="K101" s="78">
        <v>0</v>
      </c>
      <c r="L101" s="51">
        <v>0</v>
      </c>
      <c r="M101" s="78">
        <v>1</v>
      </c>
      <c r="N101" s="78">
        <v>1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52">
        <v>0</v>
      </c>
      <c r="V101" s="66">
        <v>2</v>
      </c>
      <c r="W101" t="s">
        <v>1602</v>
      </c>
      <c r="AB101">
        <f t="array" aca="1" ref="AB101" ca="1">OFFSET($D$2,SMALL(IF($G$2:$G$142&gt;0,ROW($G$2:$G$142)-2,999),ROW(100:100)),)</f>
        <v>0</v>
      </c>
    </row>
    <row r="102" spans="1:28" x14ac:dyDescent="0.25">
      <c r="A102" s="38" t="s">
        <v>1332</v>
      </c>
      <c r="C102" s="53" t="s">
        <v>904</v>
      </c>
      <c r="D102" s="53" t="s">
        <v>560</v>
      </c>
      <c r="E102" t="s">
        <v>276</v>
      </c>
      <c r="G102" s="51">
        <v>0</v>
      </c>
      <c r="H102" s="78">
        <v>1</v>
      </c>
      <c r="I102" s="78">
        <v>0</v>
      </c>
      <c r="J102" s="78">
        <v>0</v>
      </c>
      <c r="K102" s="78">
        <v>0</v>
      </c>
      <c r="L102" s="51">
        <v>0</v>
      </c>
      <c r="M102" s="78">
        <v>0</v>
      </c>
      <c r="N102" s="78">
        <v>1</v>
      </c>
      <c r="O102" s="78">
        <v>0</v>
      </c>
      <c r="P102" s="78">
        <v>0</v>
      </c>
      <c r="Q102" s="78">
        <v>0</v>
      </c>
      <c r="R102" s="78">
        <v>0</v>
      </c>
      <c r="S102" s="78">
        <v>0</v>
      </c>
      <c r="T102" s="78">
        <v>0</v>
      </c>
      <c r="U102" s="52">
        <v>0</v>
      </c>
      <c r="V102" s="66">
        <v>1</v>
      </c>
      <c r="W102" t="s">
        <v>1561</v>
      </c>
      <c r="AB102">
        <f t="array" aca="1" ref="AB102" ca="1">OFFSET($D$2,SMALL(IF($G$2:$G$142&gt;0,ROW($G$2:$G$142)-2,999),ROW(101:101)),)</f>
        <v>0</v>
      </c>
    </row>
    <row r="103" spans="1:28" x14ac:dyDescent="0.25">
      <c r="A103" s="38" t="s">
        <v>1333</v>
      </c>
      <c r="C103" s="53" t="s">
        <v>904</v>
      </c>
      <c r="D103" s="53" t="s">
        <v>592</v>
      </c>
      <c r="E103" t="s">
        <v>278</v>
      </c>
      <c r="G103" s="51">
        <v>0</v>
      </c>
      <c r="H103" s="78">
        <v>0</v>
      </c>
      <c r="I103" s="78">
        <v>1</v>
      </c>
      <c r="J103" s="78">
        <v>0</v>
      </c>
      <c r="K103" s="78">
        <v>0</v>
      </c>
      <c r="L103" s="51">
        <v>0</v>
      </c>
      <c r="M103" s="78">
        <v>0</v>
      </c>
      <c r="N103" s="78">
        <v>0</v>
      </c>
      <c r="O103" s="78">
        <v>0</v>
      </c>
      <c r="P103" s="78">
        <v>1</v>
      </c>
      <c r="Q103" s="78">
        <v>0</v>
      </c>
      <c r="R103" s="78">
        <v>0</v>
      </c>
      <c r="S103" s="78">
        <v>0</v>
      </c>
      <c r="T103" s="78">
        <v>0</v>
      </c>
      <c r="U103" s="52">
        <v>0</v>
      </c>
      <c r="V103" s="66">
        <v>1</v>
      </c>
      <c r="W103" t="s">
        <v>1568</v>
      </c>
      <c r="AB103">
        <f t="array" aca="1" ref="AB103" ca="1">OFFSET($D$2,SMALL(IF($G$2:$G$142&gt;0,ROW($G$2:$G$142)-2,999),ROW(102:102)),)</f>
        <v>0</v>
      </c>
    </row>
    <row r="104" spans="1:28" x14ac:dyDescent="0.25">
      <c r="A104" s="38" t="s">
        <v>1334</v>
      </c>
      <c r="C104" s="53" t="s">
        <v>904</v>
      </c>
      <c r="D104" s="53" t="s">
        <v>469</v>
      </c>
      <c r="G104" s="51">
        <v>2</v>
      </c>
      <c r="H104" s="78">
        <v>22</v>
      </c>
      <c r="I104" s="78">
        <v>5</v>
      </c>
      <c r="J104" s="78">
        <v>5</v>
      </c>
      <c r="K104" s="78">
        <v>1</v>
      </c>
      <c r="L104" s="51">
        <v>7</v>
      </c>
      <c r="M104" s="78">
        <v>4</v>
      </c>
      <c r="N104" s="78">
        <v>3</v>
      </c>
      <c r="O104" s="78">
        <v>4</v>
      </c>
      <c r="P104" s="78">
        <v>1</v>
      </c>
      <c r="Q104" s="78">
        <v>2</v>
      </c>
      <c r="R104" s="78">
        <v>2</v>
      </c>
      <c r="S104" s="78">
        <v>6</v>
      </c>
      <c r="T104" s="78">
        <v>3</v>
      </c>
      <c r="U104" s="52">
        <v>3</v>
      </c>
      <c r="V104" s="66">
        <v>35</v>
      </c>
      <c r="W104" t="s">
        <v>1603</v>
      </c>
      <c r="AB104">
        <f t="array" aca="1" ref="AB104" ca="1">OFFSET($D$2,SMALL(IF($G$2:$G$142&gt;0,ROW($G$2:$G$142)-2,999),ROW(103:103)),)</f>
        <v>0</v>
      </c>
    </row>
    <row r="105" spans="1:28" x14ac:dyDescent="0.25">
      <c r="A105" s="38" t="s">
        <v>1335</v>
      </c>
      <c r="C105" s="53" t="s">
        <v>904</v>
      </c>
      <c r="D105" s="53" t="s">
        <v>470</v>
      </c>
      <c r="E105" t="s">
        <v>277</v>
      </c>
      <c r="G105" s="51">
        <v>0</v>
      </c>
      <c r="H105" s="78">
        <v>1</v>
      </c>
      <c r="I105" s="78">
        <v>0</v>
      </c>
      <c r="J105" s="78">
        <v>0</v>
      </c>
      <c r="K105" s="78">
        <v>0</v>
      </c>
      <c r="L105" s="51">
        <v>0</v>
      </c>
      <c r="M105" s="78">
        <v>0</v>
      </c>
      <c r="N105" s="78">
        <v>0</v>
      </c>
      <c r="O105" s="78">
        <v>1</v>
      </c>
      <c r="P105" s="78">
        <v>0</v>
      </c>
      <c r="Q105" s="78">
        <v>0</v>
      </c>
      <c r="R105" s="78">
        <v>0</v>
      </c>
      <c r="S105" s="78">
        <v>0</v>
      </c>
      <c r="T105" s="78">
        <v>0</v>
      </c>
      <c r="U105" s="52">
        <v>0</v>
      </c>
      <c r="V105" s="66">
        <v>1</v>
      </c>
      <c r="W105" t="s">
        <v>1484</v>
      </c>
      <c r="AB105">
        <f t="array" aca="1" ref="AB105" ca="1">OFFSET($D$2,SMALL(IF($G$2:$G$142&gt;0,ROW($G$2:$G$142)-2,999),ROW(104:104)),)</f>
        <v>0</v>
      </c>
    </row>
    <row r="106" spans="1:28" x14ac:dyDescent="0.25">
      <c r="A106" s="38" t="s">
        <v>1336</v>
      </c>
      <c r="C106" s="53" t="s">
        <v>904</v>
      </c>
      <c r="D106" s="53" t="s">
        <v>471</v>
      </c>
      <c r="E106" t="s">
        <v>277</v>
      </c>
      <c r="G106" s="51">
        <v>0</v>
      </c>
      <c r="H106" s="78">
        <v>1</v>
      </c>
      <c r="I106" s="78">
        <v>0</v>
      </c>
      <c r="J106" s="78">
        <v>0</v>
      </c>
      <c r="K106" s="78">
        <v>0</v>
      </c>
      <c r="L106" s="51">
        <v>0</v>
      </c>
      <c r="M106" s="78">
        <v>0</v>
      </c>
      <c r="N106" s="78">
        <v>0</v>
      </c>
      <c r="O106" s="78">
        <v>1</v>
      </c>
      <c r="P106" s="78">
        <v>0</v>
      </c>
      <c r="Q106" s="78">
        <v>0</v>
      </c>
      <c r="R106" s="78">
        <v>0</v>
      </c>
      <c r="S106" s="78">
        <v>0</v>
      </c>
      <c r="T106" s="78">
        <v>0</v>
      </c>
      <c r="U106" s="52">
        <v>0</v>
      </c>
      <c r="V106" s="66">
        <v>1</v>
      </c>
      <c r="W106" t="s">
        <v>1484</v>
      </c>
      <c r="AB106">
        <f t="array" aca="1" ref="AB106" ca="1">OFFSET($D$2,SMALL(IF($G$2:$G$142&gt;0,ROW($G$2:$G$142)-2,999),ROW(105:105)),)</f>
        <v>0</v>
      </c>
    </row>
    <row r="107" spans="1:28" x14ac:dyDescent="0.25">
      <c r="A107" s="38" t="s">
        <v>1337</v>
      </c>
      <c r="C107" s="53" t="s">
        <v>904</v>
      </c>
      <c r="D107" s="53" t="s">
        <v>472</v>
      </c>
      <c r="E107" t="s">
        <v>291</v>
      </c>
      <c r="G107" s="51">
        <v>0</v>
      </c>
      <c r="H107" s="78">
        <v>0</v>
      </c>
      <c r="I107" s="78">
        <v>1</v>
      </c>
      <c r="J107" s="78">
        <v>0</v>
      </c>
      <c r="K107" s="78">
        <v>0</v>
      </c>
      <c r="L107" s="51">
        <v>0</v>
      </c>
      <c r="M107" s="78">
        <v>0</v>
      </c>
      <c r="N107" s="78">
        <v>0</v>
      </c>
      <c r="O107" s="78">
        <v>0</v>
      </c>
      <c r="P107" s="78">
        <v>0</v>
      </c>
      <c r="Q107" s="78">
        <v>0</v>
      </c>
      <c r="R107" s="78">
        <v>0</v>
      </c>
      <c r="S107" s="78">
        <v>0</v>
      </c>
      <c r="T107" s="78">
        <v>0</v>
      </c>
      <c r="U107" s="52">
        <v>1</v>
      </c>
      <c r="V107" s="66">
        <v>1</v>
      </c>
      <c r="W107" t="s">
        <v>1604</v>
      </c>
      <c r="AB107">
        <f t="array" aca="1" ref="AB107" ca="1">OFFSET($D$2,SMALL(IF($G$2:$G$142&gt;0,ROW($G$2:$G$142)-2,999),ROW(106:106)),)</f>
        <v>0</v>
      </c>
    </row>
    <row r="108" spans="1:28" x14ac:dyDescent="0.25">
      <c r="A108" s="38" t="s">
        <v>1338</v>
      </c>
      <c r="C108" s="53" t="s">
        <v>904</v>
      </c>
      <c r="D108" s="53" t="s">
        <v>473</v>
      </c>
      <c r="E108" t="s">
        <v>277</v>
      </c>
      <c r="G108" s="51">
        <v>0</v>
      </c>
      <c r="H108" s="78">
        <v>1</v>
      </c>
      <c r="I108" s="78">
        <v>0</v>
      </c>
      <c r="J108" s="78">
        <v>0</v>
      </c>
      <c r="K108" s="78">
        <v>0</v>
      </c>
      <c r="L108" s="51">
        <v>0</v>
      </c>
      <c r="M108" s="78">
        <v>0</v>
      </c>
      <c r="N108" s="78">
        <v>0</v>
      </c>
      <c r="O108" s="78">
        <v>1</v>
      </c>
      <c r="P108" s="78">
        <v>0</v>
      </c>
      <c r="Q108" s="78">
        <v>0</v>
      </c>
      <c r="R108" s="78">
        <v>0</v>
      </c>
      <c r="S108" s="78">
        <v>0</v>
      </c>
      <c r="T108" s="78">
        <v>0</v>
      </c>
      <c r="U108" s="52">
        <v>0</v>
      </c>
      <c r="V108" s="66">
        <v>1</v>
      </c>
      <c r="W108" t="s">
        <v>1484</v>
      </c>
      <c r="AB108">
        <f t="array" aca="1" ref="AB108" ca="1">OFFSET($D$2,SMALL(IF($G$2:$G$142&gt;0,ROW($G$2:$G$142)-2,999),ROW(107:107)),)</f>
        <v>0</v>
      </c>
    </row>
    <row r="109" spans="1:28" x14ac:dyDescent="0.25">
      <c r="A109" s="38" t="s">
        <v>1339</v>
      </c>
      <c r="B109" s="38" t="s">
        <v>912</v>
      </c>
      <c r="C109" s="53" t="s">
        <v>904</v>
      </c>
      <c r="D109" s="53" t="s">
        <v>474</v>
      </c>
      <c r="E109" t="s">
        <v>279</v>
      </c>
      <c r="G109" s="51">
        <v>0</v>
      </c>
      <c r="H109" s="78">
        <v>0</v>
      </c>
      <c r="I109" s="78">
        <v>1</v>
      </c>
      <c r="J109" s="78">
        <v>0</v>
      </c>
      <c r="K109" s="78">
        <v>0</v>
      </c>
      <c r="L109" s="51">
        <v>0</v>
      </c>
      <c r="M109" s="78">
        <v>0</v>
      </c>
      <c r="N109" s="78">
        <v>0</v>
      </c>
      <c r="O109" s="78">
        <v>0</v>
      </c>
      <c r="P109" s="78">
        <v>0</v>
      </c>
      <c r="Q109" s="78">
        <v>1</v>
      </c>
      <c r="R109" s="78">
        <v>0</v>
      </c>
      <c r="S109" s="78">
        <v>0</v>
      </c>
      <c r="T109" s="78">
        <v>0</v>
      </c>
      <c r="U109" s="52">
        <v>0</v>
      </c>
      <c r="V109" s="66">
        <v>1</v>
      </c>
      <c r="W109" t="s">
        <v>1482</v>
      </c>
      <c r="AB109">
        <f t="array" aca="1" ref="AB109" ca="1">OFFSET($D$2,SMALL(IF($G$2:$G$142&gt;0,ROW($G$2:$G$142)-2,999),ROW(108:108)),)</f>
        <v>0</v>
      </c>
    </row>
    <row r="110" spans="1:28" x14ac:dyDescent="0.25">
      <c r="A110" s="38" t="s">
        <v>1340</v>
      </c>
      <c r="B110" s="38" t="s">
        <v>910</v>
      </c>
      <c r="C110" s="53" t="s">
        <v>904</v>
      </c>
      <c r="D110" s="53" t="s">
        <v>475</v>
      </c>
      <c r="E110" t="s">
        <v>273</v>
      </c>
      <c r="G110" s="51">
        <v>0</v>
      </c>
      <c r="H110" s="78">
        <v>0</v>
      </c>
      <c r="I110" s="78">
        <v>1</v>
      </c>
      <c r="J110" s="78">
        <v>0</v>
      </c>
      <c r="K110" s="78">
        <v>0</v>
      </c>
      <c r="L110" s="51">
        <v>1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78">
        <v>0</v>
      </c>
      <c r="T110" s="78">
        <v>0</v>
      </c>
      <c r="U110" s="52">
        <v>0</v>
      </c>
      <c r="V110" s="66">
        <v>1</v>
      </c>
      <c r="W110" t="s">
        <v>1550</v>
      </c>
      <c r="AB110">
        <f t="array" aca="1" ref="AB110" ca="1">OFFSET($D$2,SMALL(IF($G$2:$G$142&gt;0,ROW($G$2:$G$142)-2,999),ROW(109:109)),)</f>
        <v>0</v>
      </c>
    </row>
    <row r="111" spans="1:28" x14ac:dyDescent="0.25">
      <c r="A111" s="38" t="s">
        <v>1341</v>
      </c>
      <c r="C111" s="53" t="s">
        <v>904</v>
      </c>
      <c r="D111" s="53" t="s">
        <v>476</v>
      </c>
      <c r="G111" s="51">
        <v>0</v>
      </c>
      <c r="H111" s="78">
        <v>0</v>
      </c>
      <c r="I111" s="78">
        <v>0</v>
      </c>
      <c r="J111" s="78">
        <v>3</v>
      </c>
      <c r="K111" s="78">
        <v>0</v>
      </c>
      <c r="L111" s="51">
        <v>0</v>
      </c>
      <c r="M111" s="78">
        <v>1</v>
      </c>
      <c r="N111" s="78">
        <v>0</v>
      </c>
      <c r="O111" s="78">
        <v>0</v>
      </c>
      <c r="P111" s="78">
        <v>1</v>
      </c>
      <c r="Q111" s="78">
        <v>0</v>
      </c>
      <c r="R111" s="78">
        <v>0</v>
      </c>
      <c r="S111" s="78">
        <v>0</v>
      </c>
      <c r="T111" s="78">
        <v>1</v>
      </c>
      <c r="U111" s="52">
        <v>0</v>
      </c>
      <c r="V111" s="66">
        <v>3</v>
      </c>
      <c r="W111" t="s">
        <v>1605</v>
      </c>
      <c r="AB111">
        <f t="array" aca="1" ref="AB111" ca="1">OFFSET($D$2,SMALL(IF($G$2:$G$142&gt;0,ROW($G$2:$G$142)-2,999),ROW(110:110)),)</f>
        <v>0</v>
      </c>
    </row>
    <row r="112" spans="1:28" x14ac:dyDescent="0.25">
      <c r="A112" s="38" t="s">
        <v>1342</v>
      </c>
      <c r="B112" s="38" t="s">
        <v>910</v>
      </c>
      <c r="C112" s="53" t="s">
        <v>904</v>
      </c>
      <c r="D112" s="53" t="s">
        <v>477</v>
      </c>
      <c r="E112" t="s">
        <v>273</v>
      </c>
      <c r="G112" s="51">
        <v>0</v>
      </c>
      <c r="H112" s="78">
        <v>0</v>
      </c>
      <c r="I112" s="78">
        <v>1</v>
      </c>
      <c r="J112" s="78">
        <v>0</v>
      </c>
      <c r="K112" s="78">
        <v>0</v>
      </c>
      <c r="L112" s="51">
        <v>1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78">
        <v>0</v>
      </c>
      <c r="T112" s="78">
        <v>0</v>
      </c>
      <c r="U112" s="52">
        <v>0</v>
      </c>
      <c r="V112" s="66">
        <v>1</v>
      </c>
      <c r="W112" t="s">
        <v>1550</v>
      </c>
      <c r="AB112">
        <f t="array" aca="1" ref="AB112" ca="1">OFFSET($D$2,SMALL(IF($G$2:$G$142&gt;0,ROW($G$2:$G$142)-2,999),ROW(111:111)),)</f>
        <v>0</v>
      </c>
    </row>
    <row r="113" spans="1:28" x14ac:dyDescent="0.25">
      <c r="A113" s="38" t="s">
        <v>1343</v>
      </c>
      <c r="C113" s="53" t="s">
        <v>904</v>
      </c>
      <c r="D113" s="53" t="s">
        <v>478</v>
      </c>
      <c r="E113" t="s">
        <v>276</v>
      </c>
      <c r="G113" s="51">
        <v>0</v>
      </c>
      <c r="H113" s="78">
        <v>2</v>
      </c>
      <c r="I113" s="78">
        <v>0</v>
      </c>
      <c r="J113" s="78">
        <v>1</v>
      </c>
      <c r="K113" s="78">
        <v>0</v>
      </c>
      <c r="L113" s="51">
        <v>0</v>
      </c>
      <c r="M113" s="78">
        <v>0</v>
      </c>
      <c r="N113" s="78">
        <v>3</v>
      </c>
      <c r="O113" s="78">
        <v>0</v>
      </c>
      <c r="P113" s="78">
        <v>0</v>
      </c>
      <c r="Q113" s="78">
        <v>0</v>
      </c>
      <c r="R113" s="78">
        <v>0</v>
      </c>
      <c r="S113" s="78">
        <v>0</v>
      </c>
      <c r="T113" s="78">
        <v>0</v>
      </c>
      <c r="U113" s="52">
        <v>0</v>
      </c>
      <c r="V113" s="66">
        <v>3</v>
      </c>
      <c r="W113" t="s">
        <v>1606</v>
      </c>
      <c r="AB113">
        <f t="array" aca="1" ref="AB113" ca="1">OFFSET($D$2,SMALL(IF($G$2:$G$142&gt;0,ROW($G$2:$G$142)-2,999),ROW(112:112)),)</f>
        <v>0</v>
      </c>
    </row>
    <row r="114" spans="1:28" x14ac:dyDescent="0.25">
      <c r="A114" s="38" t="s">
        <v>1344</v>
      </c>
      <c r="C114" s="53" t="s">
        <v>904</v>
      </c>
      <c r="D114" s="53" t="s">
        <v>479</v>
      </c>
      <c r="G114" s="51">
        <v>2</v>
      </c>
      <c r="H114" s="78">
        <v>15</v>
      </c>
      <c r="I114" s="78">
        <v>4</v>
      </c>
      <c r="J114" s="78">
        <v>6</v>
      </c>
      <c r="K114" s="78">
        <v>1</v>
      </c>
      <c r="L114" s="51">
        <v>6</v>
      </c>
      <c r="M114" s="78">
        <v>1</v>
      </c>
      <c r="N114" s="78">
        <v>3</v>
      </c>
      <c r="O114" s="78">
        <v>1</v>
      </c>
      <c r="P114" s="78">
        <v>2</v>
      </c>
      <c r="Q114" s="78">
        <v>3</v>
      </c>
      <c r="R114" s="78">
        <v>3</v>
      </c>
      <c r="S114" s="78">
        <v>4</v>
      </c>
      <c r="T114" s="78">
        <v>1</v>
      </c>
      <c r="U114" s="52">
        <v>4</v>
      </c>
      <c r="V114" s="66">
        <v>28</v>
      </c>
      <c r="W114" t="s">
        <v>1607</v>
      </c>
      <c r="AB114">
        <f t="array" aca="1" ref="AB114" ca="1">OFFSET($D$2,SMALL(IF($G$2:$G$142&gt;0,ROW($G$2:$G$142)-2,999),ROW(113:113)),)</f>
        <v>0</v>
      </c>
    </row>
    <row r="115" spans="1:28" x14ac:dyDescent="0.25">
      <c r="A115" s="38" t="s">
        <v>1345</v>
      </c>
      <c r="C115" s="53" t="s">
        <v>904</v>
      </c>
      <c r="D115" s="53" t="s">
        <v>480</v>
      </c>
      <c r="E115" t="s">
        <v>279</v>
      </c>
      <c r="G115" s="51">
        <v>0</v>
      </c>
      <c r="H115" s="78">
        <v>1</v>
      </c>
      <c r="I115" s="78">
        <v>0</v>
      </c>
      <c r="J115" s="78">
        <v>0</v>
      </c>
      <c r="K115" s="78">
        <v>0</v>
      </c>
      <c r="L115" s="51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1</v>
      </c>
      <c r="R115" s="78">
        <v>0</v>
      </c>
      <c r="S115" s="78">
        <v>0</v>
      </c>
      <c r="T115" s="78">
        <v>0</v>
      </c>
      <c r="U115" s="52">
        <v>0</v>
      </c>
      <c r="V115" s="66">
        <v>1</v>
      </c>
      <c r="W115" t="s">
        <v>1503</v>
      </c>
      <c r="AB115">
        <f t="array" aca="1" ref="AB115" ca="1">OFFSET($D$2,SMALL(IF($G$2:$G$142&gt;0,ROW($G$2:$G$142)-2,999),ROW(114:114)),)</f>
        <v>0</v>
      </c>
    </row>
    <row r="116" spans="1:28" x14ac:dyDescent="0.25">
      <c r="A116" s="38" t="s">
        <v>1346</v>
      </c>
      <c r="B116" s="38" t="s">
        <v>909</v>
      </c>
      <c r="C116" s="53" t="s">
        <v>904</v>
      </c>
      <c r="D116" s="53" t="s">
        <v>481</v>
      </c>
      <c r="G116" s="51">
        <v>0</v>
      </c>
      <c r="H116" s="78">
        <v>3</v>
      </c>
      <c r="I116" s="78">
        <v>0</v>
      </c>
      <c r="J116" s="78">
        <v>0</v>
      </c>
      <c r="K116" s="78">
        <v>0</v>
      </c>
      <c r="L116" s="51">
        <v>0</v>
      </c>
      <c r="M116" s="78">
        <v>0</v>
      </c>
      <c r="N116" s="78">
        <v>1</v>
      </c>
      <c r="O116" s="78">
        <v>1</v>
      </c>
      <c r="P116" s="78">
        <v>0</v>
      </c>
      <c r="Q116" s="78">
        <v>1</v>
      </c>
      <c r="R116" s="78">
        <v>0</v>
      </c>
      <c r="S116" s="78">
        <v>0</v>
      </c>
      <c r="T116" s="78">
        <v>0</v>
      </c>
      <c r="U116" s="52">
        <v>0</v>
      </c>
      <c r="V116" s="66">
        <v>3</v>
      </c>
      <c r="W116" t="s">
        <v>1536</v>
      </c>
      <c r="AB116">
        <f t="array" aca="1" ref="AB116" ca="1">OFFSET($D$2,SMALL(IF($G$2:$G$142&gt;0,ROW($G$2:$G$142)-2,999),ROW(115:115)),)</f>
        <v>0</v>
      </c>
    </row>
    <row r="117" spans="1:28" x14ac:dyDescent="0.25">
      <c r="A117" s="38" t="s">
        <v>1347</v>
      </c>
      <c r="C117" s="53" t="s">
        <v>904</v>
      </c>
      <c r="D117" s="53" t="s">
        <v>482</v>
      </c>
      <c r="E117" t="s">
        <v>279</v>
      </c>
      <c r="G117" s="51">
        <v>0</v>
      </c>
      <c r="H117" s="78">
        <v>0</v>
      </c>
      <c r="I117" s="78">
        <v>1</v>
      </c>
      <c r="J117" s="78">
        <v>0</v>
      </c>
      <c r="K117" s="78">
        <v>0</v>
      </c>
      <c r="L117" s="51">
        <v>0</v>
      </c>
      <c r="M117" s="78">
        <v>0</v>
      </c>
      <c r="N117" s="78">
        <v>0</v>
      </c>
      <c r="O117" s="78">
        <v>0</v>
      </c>
      <c r="P117" s="78">
        <v>0</v>
      </c>
      <c r="Q117" s="78">
        <v>1</v>
      </c>
      <c r="R117" s="78">
        <v>0</v>
      </c>
      <c r="S117" s="78">
        <v>0</v>
      </c>
      <c r="T117" s="78">
        <v>0</v>
      </c>
      <c r="U117" s="52">
        <v>0</v>
      </c>
      <c r="V117" s="66">
        <v>1</v>
      </c>
      <c r="W117" t="s">
        <v>1555</v>
      </c>
      <c r="AB117">
        <f t="array" aca="1" ref="AB117" ca="1">OFFSET($D$2,SMALL(IF($G$2:$G$142&gt;0,ROW($G$2:$G$142)-2,999),ROW(116:116)),)</f>
        <v>0</v>
      </c>
    </row>
    <row r="118" spans="1:28" x14ac:dyDescent="0.25">
      <c r="A118" s="38" t="s">
        <v>1348</v>
      </c>
      <c r="B118" s="38" t="s">
        <v>913</v>
      </c>
      <c r="C118" s="53" t="s">
        <v>904</v>
      </c>
      <c r="D118" s="53" t="s">
        <v>483</v>
      </c>
      <c r="E118" t="s">
        <v>276</v>
      </c>
      <c r="G118" s="51">
        <v>0</v>
      </c>
      <c r="H118" s="78">
        <v>1</v>
      </c>
      <c r="I118" s="78">
        <v>0</v>
      </c>
      <c r="J118" s="78">
        <v>0</v>
      </c>
      <c r="K118" s="78">
        <v>0</v>
      </c>
      <c r="L118" s="51">
        <v>0</v>
      </c>
      <c r="M118" s="78">
        <v>0</v>
      </c>
      <c r="N118" s="78">
        <v>1</v>
      </c>
      <c r="O118" s="78">
        <v>0</v>
      </c>
      <c r="P118" s="78">
        <v>0</v>
      </c>
      <c r="Q118" s="78">
        <v>0</v>
      </c>
      <c r="R118" s="78">
        <v>0</v>
      </c>
      <c r="S118" s="78">
        <v>0</v>
      </c>
      <c r="T118" s="78">
        <v>0</v>
      </c>
      <c r="U118" s="52">
        <v>0</v>
      </c>
      <c r="V118" s="66">
        <v>1</v>
      </c>
      <c r="W118" t="s">
        <v>1561</v>
      </c>
      <c r="AB118">
        <f t="array" aca="1" ref="AB118" ca="1">OFFSET($D$2,SMALL(IF($G$2:$G$142&gt;0,ROW($G$2:$G$142)-2,999),ROW(117:117)),)</f>
        <v>0</v>
      </c>
    </row>
    <row r="119" spans="1:28" x14ac:dyDescent="0.25">
      <c r="A119" s="38" t="s">
        <v>1349</v>
      </c>
      <c r="C119" s="53" t="s">
        <v>904</v>
      </c>
      <c r="D119" s="53" t="s">
        <v>484</v>
      </c>
      <c r="G119" s="51">
        <v>0</v>
      </c>
      <c r="H119" s="78">
        <v>0</v>
      </c>
      <c r="I119" s="78">
        <v>1</v>
      </c>
      <c r="J119" s="78">
        <v>1</v>
      </c>
      <c r="K119" s="78">
        <v>0</v>
      </c>
      <c r="L119" s="51">
        <v>0</v>
      </c>
      <c r="M119" s="78">
        <v>0</v>
      </c>
      <c r="N119" s="78">
        <v>0</v>
      </c>
      <c r="O119" s="78">
        <v>0</v>
      </c>
      <c r="P119" s="78">
        <v>1</v>
      </c>
      <c r="Q119" s="78">
        <v>1</v>
      </c>
      <c r="R119" s="78">
        <v>0</v>
      </c>
      <c r="S119" s="78">
        <v>0</v>
      </c>
      <c r="T119" s="78">
        <v>0</v>
      </c>
      <c r="U119" s="52">
        <v>0</v>
      </c>
      <c r="V119" s="66">
        <v>2</v>
      </c>
      <c r="W119" t="s">
        <v>1608</v>
      </c>
      <c r="AB119">
        <f t="array" aca="1" ref="AB119" ca="1">OFFSET($D$2,SMALL(IF($G$2:$G$142&gt;0,ROW($G$2:$G$142)-2,999),ROW(118:118)),)</f>
        <v>0</v>
      </c>
    </row>
    <row r="120" spans="1:28" x14ac:dyDescent="0.25">
      <c r="A120" s="38" t="s">
        <v>1350</v>
      </c>
      <c r="B120" s="38" t="s">
        <v>911</v>
      </c>
      <c r="C120" s="53" t="s">
        <v>904</v>
      </c>
      <c r="D120" s="53" t="s">
        <v>485</v>
      </c>
      <c r="E120" t="s">
        <v>275</v>
      </c>
      <c r="G120" s="51">
        <v>0</v>
      </c>
      <c r="H120" s="78">
        <v>1</v>
      </c>
      <c r="I120" s="78">
        <v>0</v>
      </c>
      <c r="J120" s="78">
        <v>0</v>
      </c>
      <c r="K120" s="78">
        <v>0</v>
      </c>
      <c r="L120" s="51">
        <v>0</v>
      </c>
      <c r="M120" s="78">
        <v>1</v>
      </c>
      <c r="N120" s="78">
        <v>0</v>
      </c>
      <c r="O120" s="78">
        <v>0</v>
      </c>
      <c r="P120" s="78">
        <v>0</v>
      </c>
      <c r="Q120" s="78">
        <v>0</v>
      </c>
      <c r="R120" s="78">
        <v>0</v>
      </c>
      <c r="S120" s="78">
        <v>0</v>
      </c>
      <c r="T120" s="78">
        <v>0</v>
      </c>
      <c r="U120" s="52">
        <v>0</v>
      </c>
      <c r="V120" s="66">
        <v>1</v>
      </c>
      <c r="W120" t="s">
        <v>1562</v>
      </c>
      <c r="AB120">
        <f t="array" aca="1" ref="AB120" ca="1">OFFSET($D$2,SMALL(IF($G$2:$G$142&gt;0,ROW($G$2:$G$142)-2,999),ROW(119:119)),)</f>
        <v>0</v>
      </c>
    </row>
    <row r="121" spans="1:28" x14ac:dyDescent="0.25">
      <c r="A121" s="38" t="s">
        <v>1351</v>
      </c>
      <c r="C121" s="53" t="s">
        <v>904</v>
      </c>
      <c r="D121" s="53" t="s">
        <v>486</v>
      </c>
      <c r="G121" s="51">
        <v>0</v>
      </c>
      <c r="H121" s="78">
        <v>4</v>
      </c>
      <c r="I121" s="78">
        <v>4</v>
      </c>
      <c r="J121" s="78">
        <v>4</v>
      </c>
      <c r="K121" s="78">
        <v>0</v>
      </c>
      <c r="L121" s="51">
        <v>1</v>
      </c>
      <c r="M121" s="78">
        <v>0</v>
      </c>
      <c r="N121" s="78">
        <v>3</v>
      </c>
      <c r="O121" s="78">
        <v>2</v>
      </c>
      <c r="P121" s="78">
        <v>0</v>
      </c>
      <c r="Q121" s="78">
        <v>3</v>
      </c>
      <c r="R121" s="78">
        <v>2</v>
      </c>
      <c r="S121" s="78">
        <v>1</v>
      </c>
      <c r="T121" s="78">
        <v>0</v>
      </c>
      <c r="U121" s="52">
        <v>0</v>
      </c>
      <c r="V121" s="66">
        <v>12</v>
      </c>
      <c r="W121" t="s">
        <v>1609</v>
      </c>
      <c r="AB121">
        <f t="array" aca="1" ref="AB121" ca="1">OFFSET($D$2,SMALL(IF($G$2:$G$142&gt;0,ROW($G$2:$G$142)-2,999),ROW(120:120)),)</f>
        <v>0</v>
      </c>
    </row>
    <row r="122" spans="1:28" x14ac:dyDescent="0.25">
      <c r="A122" s="38" t="s">
        <v>1352</v>
      </c>
      <c r="C122" s="53" t="s">
        <v>904</v>
      </c>
      <c r="D122" s="53" t="s">
        <v>487</v>
      </c>
      <c r="E122" t="s">
        <v>280</v>
      </c>
      <c r="G122" s="51">
        <v>0</v>
      </c>
      <c r="H122" s="78">
        <v>0</v>
      </c>
      <c r="I122" s="78">
        <v>1</v>
      </c>
      <c r="J122" s="78">
        <v>0</v>
      </c>
      <c r="K122" s="78">
        <v>0</v>
      </c>
      <c r="L122" s="51">
        <v>0</v>
      </c>
      <c r="M122" s="78">
        <v>0</v>
      </c>
      <c r="N122" s="78">
        <v>0</v>
      </c>
      <c r="O122" s="78">
        <v>0</v>
      </c>
      <c r="P122" s="78">
        <v>0</v>
      </c>
      <c r="Q122" s="78">
        <v>0</v>
      </c>
      <c r="R122" s="78">
        <v>1</v>
      </c>
      <c r="S122" s="78">
        <v>0</v>
      </c>
      <c r="T122" s="78">
        <v>0</v>
      </c>
      <c r="U122" s="52">
        <v>0</v>
      </c>
      <c r="V122" s="66">
        <v>1</v>
      </c>
      <c r="W122" t="s">
        <v>1558</v>
      </c>
      <c r="AB122">
        <f t="array" aca="1" ref="AB122" ca="1">OFFSET($D$2,SMALL(IF($G$2:$G$142&gt;0,ROW($G$2:$G$142)-2,999),ROW(121:121)),)</f>
        <v>0</v>
      </c>
    </row>
    <row r="123" spans="1:28" x14ac:dyDescent="0.25">
      <c r="A123" s="38" t="s">
        <v>1353</v>
      </c>
      <c r="C123" s="53" t="s">
        <v>904</v>
      </c>
      <c r="D123" s="53" t="s">
        <v>488</v>
      </c>
      <c r="E123" t="s">
        <v>281</v>
      </c>
      <c r="G123" s="51">
        <v>0</v>
      </c>
      <c r="H123" s="78">
        <v>1</v>
      </c>
      <c r="I123" s="78">
        <v>0</v>
      </c>
      <c r="J123" s="78">
        <v>0</v>
      </c>
      <c r="K123" s="78">
        <v>0</v>
      </c>
      <c r="L123" s="51">
        <v>0</v>
      </c>
      <c r="M123" s="78">
        <v>0</v>
      </c>
      <c r="N123" s="78">
        <v>0</v>
      </c>
      <c r="O123" s="78">
        <v>0</v>
      </c>
      <c r="P123" s="78">
        <v>0</v>
      </c>
      <c r="Q123" s="78">
        <v>0</v>
      </c>
      <c r="R123" s="78">
        <v>0</v>
      </c>
      <c r="S123" s="78">
        <v>1</v>
      </c>
      <c r="T123" s="78">
        <v>0</v>
      </c>
      <c r="U123" s="52">
        <v>0</v>
      </c>
      <c r="V123" s="66">
        <v>1</v>
      </c>
      <c r="W123" t="s">
        <v>1582</v>
      </c>
      <c r="AB123">
        <f t="array" aca="1" ref="AB123" ca="1">OFFSET($D$2,SMALL(IF($G$2:$G$142&gt;0,ROW($G$2:$G$142)-2,999),ROW(122:122)),)</f>
        <v>0</v>
      </c>
    </row>
    <row r="124" spans="1:28" x14ac:dyDescent="0.25">
      <c r="A124" s="38" t="s">
        <v>1354</v>
      </c>
      <c r="C124" s="53" t="s">
        <v>904</v>
      </c>
      <c r="D124" s="53" t="s">
        <v>489</v>
      </c>
      <c r="E124" t="s">
        <v>275</v>
      </c>
      <c r="G124" s="51">
        <v>0</v>
      </c>
      <c r="H124" s="78">
        <v>1</v>
      </c>
      <c r="I124" s="78">
        <v>0</v>
      </c>
      <c r="J124" s="78">
        <v>0</v>
      </c>
      <c r="K124" s="78">
        <v>0</v>
      </c>
      <c r="L124" s="51">
        <v>0</v>
      </c>
      <c r="M124" s="78">
        <v>1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78">
        <v>0</v>
      </c>
      <c r="T124" s="78">
        <v>0</v>
      </c>
      <c r="U124" s="52">
        <v>0</v>
      </c>
      <c r="V124" s="66">
        <v>1</v>
      </c>
      <c r="W124" t="s">
        <v>1570</v>
      </c>
      <c r="AB124">
        <f t="array" aca="1" ref="AB124" ca="1">OFFSET($D$2,SMALL(IF($G$2:$G$142&gt;0,ROW($G$2:$G$142)-2,999),ROW(123:123)),)</f>
        <v>0</v>
      </c>
    </row>
    <row r="125" spans="1:28" x14ac:dyDescent="0.25">
      <c r="A125" s="38" t="s">
        <v>1355</v>
      </c>
      <c r="B125" s="38" t="s">
        <v>913</v>
      </c>
      <c r="C125" s="53" t="s">
        <v>904</v>
      </c>
      <c r="D125" s="53" t="s">
        <v>490</v>
      </c>
      <c r="E125" t="s">
        <v>278</v>
      </c>
      <c r="G125" s="51">
        <v>0</v>
      </c>
      <c r="H125" s="78">
        <v>0</v>
      </c>
      <c r="I125" s="78">
        <v>1</v>
      </c>
      <c r="J125" s="78">
        <v>0</v>
      </c>
      <c r="K125" s="78">
        <v>0</v>
      </c>
      <c r="L125" s="51">
        <v>0</v>
      </c>
      <c r="M125" s="78">
        <v>0</v>
      </c>
      <c r="N125" s="78">
        <v>0</v>
      </c>
      <c r="O125" s="78">
        <v>0</v>
      </c>
      <c r="P125" s="78">
        <v>1</v>
      </c>
      <c r="Q125" s="78">
        <v>0</v>
      </c>
      <c r="R125" s="78">
        <v>0</v>
      </c>
      <c r="S125" s="78">
        <v>0</v>
      </c>
      <c r="T125" s="78">
        <v>0</v>
      </c>
      <c r="U125" s="52">
        <v>0</v>
      </c>
      <c r="V125" s="66">
        <v>1</v>
      </c>
      <c r="W125" t="s">
        <v>1568</v>
      </c>
      <c r="AB125">
        <f t="array" aca="1" ref="AB125" ca="1">OFFSET($D$2,SMALL(IF($G$2:$G$142&gt;0,ROW($G$2:$G$142)-2,999),ROW(124:124)),)</f>
        <v>0</v>
      </c>
    </row>
    <row r="126" spans="1:28" x14ac:dyDescent="0.25">
      <c r="A126" s="38" t="s">
        <v>1356</v>
      </c>
      <c r="C126" s="53" t="s">
        <v>904</v>
      </c>
      <c r="D126" s="53" t="s">
        <v>491</v>
      </c>
      <c r="E126" t="s">
        <v>279</v>
      </c>
      <c r="G126" s="51">
        <v>0</v>
      </c>
      <c r="H126" s="78">
        <v>0</v>
      </c>
      <c r="I126" s="78">
        <v>1</v>
      </c>
      <c r="J126" s="78">
        <v>0</v>
      </c>
      <c r="K126" s="78">
        <v>0</v>
      </c>
      <c r="L126" s="51">
        <v>0</v>
      </c>
      <c r="M126" s="78">
        <v>0</v>
      </c>
      <c r="N126" s="78">
        <v>0</v>
      </c>
      <c r="O126" s="78">
        <v>0</v>
      </c>
      <c r="P126" s="78">
        <v>0</v>
      </c>
      <c r="Q126" s="78">
        <v>1</v>
      </c>
      <c r="R126" s="78">
        <v>0</v>
      </c>
      <c r="S126" s="78">
        <v>0</v>
      </c>
      <c r="T126" s="78">
        <v>0</v>
      </c>
      <c r="U126" s="52">
        <v>0</v>
      </c>
      <c r="V126" s="66">
        <v>1</v>
      </c>
      <c r="W126" t="s">
        <v>1482</v>
      </c>
      <c r="AB126">
        <f t="array" aca="1" ref="AB126" ca="1">OFFSET($D$2,SMALL(IF($G$2:$G$142&gt;0,ROW($G$2:$G$142)-2,999),ROW(125:125)),)</f>
        <v>0</v>
      </c>
    </row>
    <row r="127" spans="1:28" x14ac:dyDescent="0.25">
      <c r="A127" s="38" t="s">
        <v>1357</v>
      </c>
      <c r="C127" s="53" t="s">
        <v>904</v>
      </c>
      <c r="D127" s="53" t="s">
        <v>492</v>
      </c>
      <c r="E127" t="s">
        <v>281</v>
      </c>
      <c r="G127" s="51">
        <v>0</v>
      </c>
      <c r="H127" s="78">
        <v>1</v>
      </c>
      <c r="I127" s="78">
        <v>0</v>
      </c>
      <c r="J127" s="78">
        <v>0</v>
      </c>
      <c r="K127" s="78">
        <v>0</v>
      </c>
      <c r="L127" s="51">
        <v>0</v>
      </c>
      <c r="M127" s="78">
        <v>0</v>
      </c>
      <c r="N127" s="78">
        <v>0</v>
      </c>
      <c r="O127" s="78">
        <v>0</v>
      </c>
      <c r="P127" s="78">
        <v>0</v>
      </c>
      <c r="Q127" s="78">
        <v>0</v>
      </c>
      <c r="R127" s="78">
        <v>0</v>
      </c>
      <c r="S127" s="78">
        <v>1</v>
      </c>
      <c r="T127" s="78">
        <v>0</v>
      </c>
      <c r="U127" s="52">
        <v>0</v>
      </c>
      <c r="V127" s="66">
        <v>1</v>
      </c>
      <c r="W127" t="s">
        <v>1610</v>
      </c>
      <c r="AB127">
        <f t="array" aca="1" ref="AB127" ca="1">OFFSET($D$2,SMALL(IF($G$2:$G$142&gt;0,ROW($G$2:$G$142)-2,999),ROW(126:126)),)</f>
        <v>0</v>
      </c>
    </row>
    <row r="128" spans="1:28" x14ac:dyDescent="0.25">
      <c r="A128" s="38" t="s">
        <v>1358</v>
      </c>
      <c r="C128" s="53" t="s">
        <v>904</v>
      </c>
      <c r="D128" s="53" t="s">
        <v>493</v>
      </c>
      <c r="E128" t="s">
        <v>276</v>
      </c>
      <c r="G128" s="51">
        <v>0</v>
      </c>
      <c r="H128" s="78">
        <v>1</v>
      </c>
      <c r="I128" s="78">
        <v>0</v>
      </c>
      <c r="J128" s="78">
        <v>1</v>
      </c>
      <c r="K128" s="78">
        <v>0</v>
      </c>
      <c r="L128" s="51">
        <v>0</v>
      </c>
      <c r="M128" s="78">
        <v>0</v>
      </c>
      <c r="N128" s="78">
        <v>2</v>
      </c>
      <c r="O128" s="78">
        <v>0</v>
      </c>
      <c r="P128" s="78">
        <v>0</v>
      </c>
      <c r="Q128" s="78">
        <v>0</v>
      </c>
      <c r="R128" s="78">
        <v>0</v>
      </c>
      <c r="S128" s="78">
        <v>0</v>
      </c>
      <c r="T128" s="78">
        <v>0</v>
      </c>
      <c r="U128" s="52">
        <v>0</v>
      </c>
      <c r="V128" s="66">
        <v>2</v>
      </c>
      <c r="W128" t="s">
        <v>1601</v>
      </c>
      <c r="AB128">
        <f t="array" aca="1" ref="AB128" ca="1">OFFSET($D$2,SMALL(IF($G$2:$G$142&gt;0,ROW($G$2:$G$142)-2,999),ROW(127:127)),)</f>
        <v>0</v>
      </c>
    </row>
    <row r="129" spans="1:28" x14ac:dyDescent="0.25">
      <c r="A129" s="38" t="s">
        <v>1359</v>
      </c>
      <c r="C129" s="53" t="s">
        <v>904</v>
      </c>
      <c r="D129" s="53" t="s">
        <v>494</v>
      </c>
      <c r="E129" t="s">
        <v>281</v>
      </c>
      <c r="G129" s="51">
        <v>0</v>
      </c>
      <c r="H129" s="78">
        <v>1</v>
      </c>
      <c r="I129" s="78">
        <v>0</v>
      </c>
      <c r="J129" s="78">
        <v>0</v>
      </c>
      <c r="K129" s="78">
        <v>0</v>
      </c>
      <c r="L129" s="51">
        <v>0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78">
        <v>1</v>
      </c>
      <c r="T129" s="78">
        <v>0</v>
      </c>
      <c r="U129" s="52">
        <v>0</v>
      </c>
      <c r="V129" s="66">
        <v>1</v>
      </c>
      <c r="W129" t="s">
        <v>1611</v>
      </c>
      <c r="AB129">
        <f t="array" aca="1" ref="AB129" ca="1">OFFSET($D$2,SMALL(IF($G$2:$G$142&gt;0,ROW($G$2:$G$142)-2,999),ROW(128:128)),)</f>
        <v>0</v>
      </c>
    </row>
    <row r="130" spans="1:28" x14ac:dyDescent="0.25">
      <c r="A130" s="38" t="s">
        <v>1360</v>
      </c>
      <c r="B130" s="38" t="s">
        <v>913</v>
      </c>
      <c r="C130" s="53" t="s">
        <v>904</v>
      </c>
      <c r="D130" s="53" t="s">
        <v>495</v>
      </c>
      <c r="E130" t="s">
        <v>276</v>
      </c>
      <c r="G130" s="51">
        <v>0</v>
      </c>
      <c r="H130" s="78">
        <v>1</v>
      </c>
      <c r="I130" s="78">
        <v>0</v>
      </c>
      <c r="J130" s="78">
        <v>0</v>
      </c>
      <c r="K130" s="78">
        <v>0</v>
      </c>
      <c r="L130" s="51">
        <v>0</v>
      </c>
      <c r="M130" s="78">
        <v>0</v>
      </c>
      <c r="N130" s="78">
        <v>1</v>
      </c>
      <c r="O130" s="78">
        <v>0</v>
      </c>
      <c r="P130" s="78">
        <v>0</v>
      </c>
      <c r="Q130" s="78">
        <v>0</v>
      </c>
      <c r="R130" s="78">
        <v>0</v>
      </c>
      <c r="S130" s="78">
        <v>0</v>
      </c>
      <c r="T130" s="78">
        <v>0</v>
      </c>
      <c r="U130" s="52">
        <v>0</v>
      </c>
      <c r="V130" s="66">
        <v>1</v>
      </c>
      <c r="W130" t="s">
        <v>1531</v>
      </c>
      <c r="AB130">
        <f t="array" aca="1" ref="AB130" ca="1">OFFSET($D$2,SMALL(IF($G$2:$G$142&gt;0,ROW($G$2:$G$142)-2,999),ROW(129:129)),)</f>
        <v>0</v>
      </c>
    </row>
    <row r="131" spans="1:28" x14ac:dyDescent="0.25">
      <c r="A131" s="38" t="s">
        <v>1361</v>
      </c>
      <c r="C131" s="53" t="s">
        <v>904</v>
      </c>
      <c r="D131" s="53" t="s">
        <v>496</v>
      </c>
      <c r="E131" t="s">
        <v>276</v>
      </c>
      <c r="G131" s="51">
        <v>0</v>
      </c>
      <c r="H131" s="78">
        <v>1</v>
      </c>
      <c r="I131" s="78">
        <v>0</v>
      </c>
      <c r="J131" s="78">
        <v>1</v>
      </c>
      <c r="K131" s="78">
        <v>0</v>
      </c>
      <c r="L131" s="51">
        <v>0</v>
      </c>
      <c r="M131" s="78">
        <v>0</v>
      </c>
      <c r="N131" s="78">
        <v>2</v>
      </c>
      <c r="O131" s="78">
        <v>0</v>
      </c>
      <c r="P131" s="78">
        <v>0</v>
      </c>
      <c r="Q131" s="78">
        <v>0</v>
      </c>
      <c r="R131" s="78">
        <v>0</v>
      </c>
      <c r="S131" s="78">
        <v>0</v>
      </c>
      <c r="T131" s="78">
        <v>0</v>
      </c>
      <c r="U131" s="52">
        <v>0</v>
      </c>
      <c r="V131" s="66">
        <v>2</v>
      </c>
      <c r="W131" t="s">
        <v>1601</v>
      </c>
      <c r="AB131">
        <f t="array" aca="1" ref="AB131" ca="1">OFFSET($D$2,SMALL(IF($G$2:$G$142&gt;0,ROW($G$2:$G$142)-2,999),ROW(130:130)),)</f>
        <v>0</v>
      </c>
    </row>
    <row r="132" spans="1:28" x14ac:dyDescent="0.25">
      <c r="A132" s="38" t="s">
        <v>1362</v>
      </c>
      <c r="B132" s="38" t="s">
        <v>911</v>
      </c>
      <c r="C132" s="53" t="s">
        <v>904</v>
      </c>
      <c r="D132" s="53" t="s">
        <v>497</v>
      </c>
      <c r="E132" t="s">
        <v>276</v>
      </c>
      <c r="G132" s="51">
        <v>0</v>
      </c>
      <c r="H132" s="78">
        <v>1</v>
      </c>
      <c r="I132" s="78">
        <v>0</v>
      </c>
      <c r="J132" s="78">
        <v>0</v>
      </c>
      <c r="K132" s="78">
        <v>0</v>
      </c>
      <c r="L132" s="51">
        <v>0</v>
      </c>
      <c r="M132" s="78">
        <v>0</v>
      </c>
      <c r="N132" s="78">
        <v>1</v>
      </c>
      <c r="O132" s="78">
        <v>0</v>
      </c>
      <c r="P132" s="78">
        <v>0</v>
      </c>
      <c r="Q132" s="78">
        <v>0</v>
      </c>
      <c r="R132" s="78">
        <v>0</v>
      </c>
      <c r="S132" s="78">
        <v>0</v>
      </c>
      <c r="T132" s="78">
        <v>0</v>
      </c>
      <c r="U132" s="52">
        <v>0</v>
      </c>
      <c r="V132" s="66">
        <v>1</v>
      </c>
      <c r="W132" t="s">
        <v>1522</v>
      </c>
      <c r="AB132">
        <f t="array" aca="1" ref="AB132" ca="1">OFFSET($D$2,SMALL(IF($G$2:$G$142&gt;0,ROW($G$2:$G$142)-2,999),ROW(131:131)),)</f>
        <v>0</v>
      </c>
    </row>
    <row r="133" spans="1:28" x14ac:dyDescent="0.25">
      <c r="A133" s="38" t="s">
        <v>1363</v>
      </c>
      <c r="B133" s="38" t="s">
        <v>911</v>
      </c>
      <c r="C133" s="53" t="s">
        <v>904</v>
      </c>
      <c r="D133" s="53" t="s">
        <v>594</v>
      </c>
      <c r="E133" t="s">
        <v>282</v>
      </c>
      <c r="G133" s="51">
        <v>0</v>
      </c>
      <c r="H133" s="78">
        <v>1</v>
      </c>
      <c r="I133" s="78">
        <v>0</v>
      </c>
      <c r="J133" s="78">
        <v>0</v>
      </c>
      <c r="K133" s="78">
        <v>0</v>
      </c>
      <c r="L133" s="51">
        <v>0</v>
      </c>
      <c r="M133" s="78">
        <v>0</v>
      </c>
      <c r="N133" s="78">
        <v>0</v>
      </c>
      <c r="O133" s="78">
        <v>0</v>
      </c>
      <c r="P133" s="78">
        <v>0</v>
      </c>
      <c r="Q133" s="78">
        <v>0</v>
      </c>
      <c r="R133" s="78">
        <v>0</v>
      </c>
      <c r="S133" s="78">
        <v>0</v>
      </c>
      <c r="T133" s="78">
        <v>1</v>
      </c>
      <c r="U133" s="52">
        <v>0</v>
      </c>
      <c r="V133" s="66">
        <v>1</v>
      </c>
      <c r="W133" t="s">
        <v>1463</v>
      </c>
      <c r="AB133">
        <f t="array" aca="1" ref="AB133" ca="1">OFFSET($D$2,SMALL(IF($G$2:$G$142&gt;0,ROW($G$2:$G$142)-2,999),ROW(132:132)),)</f>
        <v>0</v>
      </c>
    </row>
    <row r="134" spans="1:28" x14ac:dyDescent="0.25">
      <c r="A134" s="38" t="s">
        <v>1364</v>
      </c>
      <c r="B134" s="38" t="s">
        <v>823</v>
      </c>
      <c r="C134" s="53" t="s">
        <v>904</v>
      </c>
      <c r="D134" s="53" t="s">
        <v>498</v>
      </c>
      <c r="E134" t="s">
        <v>281</v>
      </c>
      <c r="G134" s="51">
        <v>0</v>
      </c>
      <c r="H134" s="78">
        <v>1</v>
      </c>
      <c r="I134" s="78">
        <v>0</v>
      </c>
      <c r="J134" s="78">
        <v>0</v>
      </c>
      <c r="K134" s="78">
        <v>0</v>
      </c>
      <c r="L134" s="51">
        <v>0</v>
      </c>
      <c r="M134" s="78">
        <v>0</v>
      </c>
      <c r="N134" s="78">
        <v>0</v>
      </c>
      <c r="O134" s="78">
        <v>0</v>
      </c>
      <c r="P134" s="78">
        <v>0</v>
      </c>
      <c r="Q134" s="78">
        <v>0</v>
      </c>
      <c r="R134" s="78">
        <v>0</v>
      </c>
      <c r="S134" s="78">
        <v>1</v>
      </c>
      <c r="T134" s="78">
        <v>0</v>
      </c>
      <c r="U134" s="52">
        <v>0</v>
      </c>
      <c r="V134" s="66">
        <v>1</v>
      </c>
      <c r="W134" t="s">
        <v>1600</v>
      </c>
      <c r="AB134">
        <f t="array" aca="1" ref="AB134" ca="1">OFFSET($D$2,SMALL(IF($G$2:$G$142&gt;0,ROW($G$2:$G$142)-2,999),ROW(133:133)),)</f>
        <v>0</v>
      </c>
    </row>
    <row r="135" spans="1:28" x14ac:dyDescent="0.25">
      <c r="A135" s="38" t="s">
        <v>1365</v>
      </c>
      <c r="B135" s="38" t="s">
        <v>823</v>
      </c>
      <c r="C135" s="53" t="s">
        <v>904</v>
      </c>
      <c r="D135" s="53" t="s">
        <v>499</v>
      </c>
      <c r="E135" t="s">
        <v>281</v>
      </c>
      <c r="G135" s="51">
        <v>0</v>
      </c>
      <c r="H135" s="78">
        <v>1</v>
      </c>
      <c r="I135" s="78">
        <v>0</v>
      </c>
      <c r="J135" s="78">
        <v>0</v>
      </c>
      <c r="K135" s="78">
        <v>0</v>
      </c>
      <c r="L135" s="51">
        <v>0</v>
      </c>
      <c r="M135" s="78">
        <v>0</v>
      </c>
      <c r="N135" s="78">
        <v>0</v>
      </c>
      <c r="O135" s="78">
        <v>0</v>
      </c>
      <c r="P135" s="78">
        <v>0</v>
      </c>
      <c r="Q135" s="78">
        <v>0</v>
      </c>
      <c r="R135" s="78">
        <v>0</v>
      </c>
      <c r="S135" s="78">
        <v>1</v>
      </c>
      <c r="T135" s="78">
        <v>0</v>
      </c>
      <c r="U135" s="52">
        <v>0</v>
      </c>
      <c r="V135" s="66">
        <v>1</v>
      </c>
      <c r="W135" t="s">
        <v>1600</v>
      </c>
      <c r="AB135">
        <f t="array" aca="1" ref="AB135" ca="1">OFFSET($D$2,SMALL(IF($G$2:$G$142&gt;0,ROW($G$2:$G$142)-2,999),ROW(134:134)),)</f>
        <v>0</v>
      </c>
    </row>
    <row r="136" spans="1:28" x14ac:dyDescent="0.25">
      <c r="A136" s="38" t="s">
        <v>1366</v>
      </c>
      <c r="B136" s="38" t="s">
        <v>823</v>
      </c>
      <c r="C136" s="53" t="s">
        <v>904</v>
      </c>
      <c r="D136" s="53" t="s">
        <v>500</v>
      </c>
      <c r="E136" t="s">
        <v>281</v>
      </c>
      <c r="G136" s="51">
        <v>0</v>
      </c>
      <c r="H136" s="78">
        <v>1</v>
      </c>
      <c r="I136" s="78">
        <v>0</v>
      </c>
      <c r="J136" s="78">
        <v>0</v>
      </c>
      <c r="K136" s="78">
        <v>0</v>
      </c>
      <c r="L136" s="51">
        <v>0</v>
      </c>
      <c r="M136" s="78">
        <v>0</v>
      </c>
      <c r="N136" s="78">
        <v>0</v>
      </c>
      <c r="O136" s="78">
        <v>0</v>
      </c>
      <c r="P136" s="78">
        <v>0</v>
      </c>
      <c r="Q136" s="78">
        <v>0</v>
      </c>
      <c r="R136" s="78">
        <v>0</v>
      </c>
      <c r="S136" s="78">
        <v>1</v>
      </c>
      <c r="T136" s="78">
        <v>0</v>
      </c>
      <c r="U136" s="52">
        <v>0</v>
      </c>
      <c r="V136" s="66">
        <v>1</v>
      </c>
      <c r="W136" t="s">
        <v>1600</v>
      </c>
      <c r="AB136">
        <f t="array" aca="1" ref="AB136" ca="1">OFFSET($D$2,SMALL(IF($G$2:$G$142&gt;0,ROW($G$2:$G$142)-2,999),ROW(135:135)),)</f>
        <v>0</v>
      </c>
    </row>
    <row r="137" spans="1:28" x14ac:dyDescent="0.25">
      <c r="A137" s="38" t="s">
        <v>1367</v>
      </c>
      <c r="C137" s="53" t="s">
        <v>904</v>
      </c>
      <c r="D137" s="53" t="s">
        <v>501</v>
      </c>
      <c r="E137" t="s">
        <v>278</v>
      </c>
      <c r="G137" s="51">
        <v>0</v>
      </c>
      <c r="H137" s="78">
        <v>1</v>
      </c>
      <c r="I137" s="78">
        <v>0</v>
      </c>
      <c r="J137" s="78">
        <v>0</v>
      </c>
      <c r="K137" s="78">
        <v>0</v>
      </c>
      <c r="L137" s="51">
        <v>0</v>
      </c>
      <c r="M137" s="78">
        <v>0</v>
      </c>
      <c r="N137" s="78">
        <v>0</v>
      </c>
      <c r="O137" s="78">
        <v>0</v>
      </c>
      <c r="P137" s="78">
        <v>1</v>
      </c>
      <c r="Q137" s="78">
        <v>0</v>
      </c>
      <c r="R137" s="78">
        <v>0</v>
      </c>
      <c r="S137" s="78">
        <v>0</v>
      </c>
      <c r="T137" s="78">
        <v>0</v>
      </c>
      <c r="U137" s="52">
        <v>0</v>
      </c>
      <c r="V137" s="66">
        <v>1</v>
      </c>
      <c r="W137" t="s">
        <v>1500</v>
      </c>
      <c r="AB137">
        <f t="array" aca="1" ref="AB137" ca="1">OFFSET($D$2,SMALL(IF($G$2:$G$142&gt;0,ROW($G$2:$G$142)-2,999),ROW(136:136)),)</f>
        <v>0</v>
      </c>
    </row>
    <row r="138" spans="1:28" x14ac:dyDescent="0.25">
      <c r="A138" s="38" t="s">
        <v>1368</v>
      </c>
      <c r="C138" s="53" t="s">
        <v>904</v>
      </c>
      <c r="D138" s="53" t="s">
        <v>502</v>
      </c>
      <c r="E138" t="s">
        <v>278</v>
      </c>
      <c r="G138" s="51">
        <v>0</v>
      </c>
      <c r="H138" s="78">
        <v>0</v>
      </c>
      <c r="I138" s="78">
        <v>0</v>
      </c>
      <c r="J138" s="78">
        <v>1</v>
      </c>
      <c r="K138" s="78">
        <v>0</v>
      </c>
      <c r="L138" s="51">
        <v>0</v>
      </c>
      <c r="M138" s="78">
        <v>0</v>
      </c>
      <c r="N138" s="78">
        <v>0</v>
      </c>
      <c r="O138" s="78">
        <v>0</v>
      </c>
      <c r="P138" s="78">
        <v>1</v>
      </c>
      <c r="Q138" s="78">
        <v>0</v>
      </c>
      <c r="R138" s="78">
        <v>0</v>
      </c>
      <c r="S138" s="78">
        <v>0</v>
      </c>
      <c r="T138" s="78">
        <v>0</v>
      </c>
      <c r="U138" s="52">
        <v>0</v>
      </c>
      <c r="V138" s="66">
        <v>1</v>
      </c>
      <c r="W138" t="s">
        <v>1477</v>
      </c>
      <c r="AB138">
        <f t="array" aca="1" ref="AB138" ca="1">OFFSET($D$2,SMALL(IF($G$2:$G$142&gt;0,ROW($G$2:$G$142)-2,999),ROW(137:137)),)</f>
        <v>0</v>
      </c>
    </row>
    <row r="139" spans="1:28" x14ac:dyDescent="0.25">
      <c r="A139" s="38" t="s">
        <v>1369</v>
      </c>
      <c r="B139" s="38" t="s">
        <v>909</v>
      </c>
      <c r="C139" s="53" t="s">
        <v>904</v>
      </c>
      <c r="D139" s="53" t="s">
        <v>503</v>
      </c>
      <c r="G139" s="51">
        <v>0</v>
      </c>
      <c r="H139" s="78">
        <v>2</v>
      </c>
      <c r="I139" s="78">
        <v>0</v>
      </c>
      <c r="J139" s="78">
        <v>0</v>
      </c>
      <c r="K139" s="78">
        <v>0</v>
      </c>
      <c r="L139" s="51">
        <v>0</v>
      </c>
      <c r="M139" s="78">
        <v>0</v>
      </c>
      <c r="N139" s="78">
        <v>1</v>
      </c>
      <c r="O139" s="78">
        <v>1</v>
      </c>
      <c r="P139" s="78">
        <v>0</v>
      </c>
      <c r="Q139" s="78">
        <v>0</v>
      </c>
      <c r="R139" s="78">
        <v>0</v>
      </c>
      <c r="S139" s="78">
        <v>0</v>
      </c>
      <c r="T139" s="78">
        <v>0</v>
      </c>
      <c r="U139" s="52">
        <v>0</v>
      </c>
      <c r="V139" s="66">
        <v>2</v>
      </c>
      <c r="W139" t="s">
        <v>1612</v>
      </c>
      <c r="AB139">
        <f t="array" aca="1" ref="AB139" ca="1">OFFSET($D$2,SMALL(IF($G$2:$G$142&gt;0,ROW($G$2:$G$142)-2,999),ROW(138:138)),)</f>
        <v>0</v>
      </c>
    </row>
    <row r="140" spans="1:28" x14ac:dyDescent="0.25">
      <c r="A140" s="38" t="s">
        <v>1370</v>
      </c>
      <c r="C140" s="53" t="s">
        <v>904</v>
      </c>
      <c r="D140" s="53" t="s">
        <v>504</v>
      </c>
      <c r="E140" t="s">
        <v>277</v>
      </c>
      <c r="G140" s="51">
        <v>0</v>
      </c>
      <c r="H140" s="78">
        <v>0</v>
      </c>
      <c r="I140" s="78">
        <v>0</v>
      </c>
      <c r="J140" s="78">
        <v>1</v>
      </c>
      <c r="K140" s="78">
        <v>0</v>
      </c>
      <c r="L140" s="51">
        <v>0</v>
      </c>
      <c r="M140" s="78">
        <v>0</v>
      </c>
      <c r="N140" s="78">
        <v>0</v>
      </c>
      <c r="O140" s="78">
        <v>1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52">
        <v>0</v>
      </c>
      <c r="V140" s="66">
        <v>1</v>
      </c>
      <c r="W140" t="s">
        <v>1483</v>
      </c>
      <c r="AB140">
        <f t="array" aca="1" ref="AB140" ca="1">OFFSET($D$2,SMALL(IF($G$2:$G$142&gt;0,ROW($G$2:$G$142)-2,999),ROW(139:139)),)</f>
        <v>0</v>
      </c>
    </row>
    <row r="141" spans="1:28" x14ac:dyDescent="0.25">
      <c r="A141" s="38" t="s">
        <v>1371</v>
      </c>
      <c r="C141" s="53" t="s">
        <v>904</v>
      </c>
      <c r="D141" s="53" t="s">
        <v>505</v>
      </c>
      <c r="E141" t="s">
        <v>279</v>
      </c>
      <c r="G141" s="51">
        <v>0</v>
      </c>
      <c r="H141" s="78">
        <v>0</v>
      </c>
      <c r="I141" s="78">
        <v>1</v>
      </c>
      <c r="J141" s="78">
        <v>0</v>
      </c>
      <c r="K141" s="78">
        <v>0</v>
      </c>
      <c r="L141" s="51">
        <v>0</v>
      </c>
      <c r="M141" s="78">
        <v>0</v>
      </c>
      <c r="N141" s="78">
        <v>0</v>
      </c>
      <c r="O141" s="78">
        <v>0</v>
      </c>
      <c r="P141" s="78">
        <v>0</v>
      </c>
      <c r="Q141" s="78">
        <v>1</v>
      </c>
      <c r="R141" s="78">
        <v>0</v>
      </c>
      <c r="S141" s="78">
        <v>0</v>
      </c>
      <c r="T141" s="78">
        <v>0</v>
      </c>
      <c r="U141" s="52">
        <v>0</v>
      </c>
      <c r="V141" s="66">
        <v>1</v>
      </c>
      <c r="W141" t="s">
        <v>1482</v>
      </c>
      <c r="AB141">
        <f t="array" aca="1" ref="AB141" ca="1">OFFSET($D$2,SMALL(IF($G$2:$G$142&gt;0,ROW($G$2:$G$142)-2,999),ROW(140:140)),)</f>
        <v>0</v>
      </c>
    </row>
    <row r="142" spans="1:28" x14ac:dyDescent="0.25">
      <c r="A142" s="38" t="s">
        <v>1372</v>
      </c>
      <c r="C142" s="53" t="s">
        <v>904</v>
      </c>
      <c r="D142" s="53" t="s">
        <v>506</v>
      </c>
      <c r="E142" t="s">
        <v>279</v>
      </c>
      <c r="G142" s="51">
        <v>0</v>
      </c>
      <c r="H142" s="78">
        <v>0</v>
      </c>
      <c r="I142" s="78">
        <v>2</v>
      </c>
      <c r="J142" s="78">
        <v>0</v>
      </c>
      <c r="K142" s="78">
        <v>0</v>
      </c>
      <c r="L142" s="51">
        <v>0</v>
      </c>
      <c r="M142" s="78">
        <v>0</v>
      </c>
      <c r="N142" s="78">
        <v>0</v>
      </c>
      <c r="O142" s="78">
        <v>0</v>
      </c>
      <c r="P142" s="78">
        <v>0</v>
      </c>
      <c r="Q142" s="78">
        <v>2</v>
      </c>
      <c r="R142" s="78">
        <v>0</v>
      </c>
      <c r="S142" s="78">
        <v>0</v>
      </c>
      <c r="T142" s="78">
        <v>0</v>
      </c>
      <c r="U142" s="52">
        <v>0</v>
      </c>
      <c r="V142" s="66">
        <v>2</v>
      </c>
      <c r="W142" t="s">
        <v>1613</v>
      </c>
      <c r="AB142">
        <f t="array" aca="1" ref="AB142" ca="1">OFFSET($D$2,SMALL(IF($G$2:$G$142&gt;0,ROW($G$2:$G$142)-2,999),ROW(141:141)),)</f>
        <v>0</v>
      </c>
    </row>
    <row r="143" spans="1:28" x14ac:dyDescent="0.25">
      <c r="V143" s="11">
        <v>454</v>
      </c>
    </row>
  </sheetData>
  <autoFilter ref="A1:AR143"/>
  <phoneticPr fontId="3" type="noConversion"/>
  <dataValidations count="3">
    <dataValidation type="list" allowBlank="1" showInputMessage="1" showErrorMessage="1" sqref="C1:C77 D78:D136 C143:C1048576">
      <formula1>i01_清單工具與技術</formula1>
    </dataValidation>
    <dataValidation type="list" allowBlank="1" showInputMessage="1" showErrorMessage="1" sqref="D1:D77 D137:D1048576 C137:C142">
      <formula1>i01_清單工具與技術元件</formula1>
    </dataValidation>
    <dataValidation type="list" allowBlank="1" showInputMessage="1" showErrorMessage="1" sqref="E1:E2 E5:E1048576">
      <formula1>i01_清單知識領域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O114"/>
  <sheetViews>
    <sheetView workbookViewId="0">
      <selection activeCell="J48" sqref="J48"/>
    </sheetView>
  </sheetViews>
  <sheetFormatPr defaultRowHeight="16.5" x14ac:dyDescent="0.25"/>
  <cols>
    <col min="7" max="7" width="16.875" customWidth="1"/>
  </cols>
  <sheetData>
    <row r="1" spans="1:14" x14ac:dyDescent="0.25">
      <c r="A1" t="s">
        <v>559</v>
      </c>
      <c r="B1" t="s">
        <v>966</v>
      </c>
      <c r="G1" t="s">
        <v>935</v>
      </c>
      <c r="H1" t="s">
        <v>1073</v>
      </c>
      <c r="M1" t="s">
        <v>934</v>
      </c>
      <c r="N1" t="s">
        <v>935</v>
      </c>
    </row>
    <row r="2" spans="1:14" x14ac:dyDescent="0.25">
      <c r="B2" t="s">
        <v>967</v>
      </c>
      <c r="H2" t="s">
        <v>1074</v>
      </c>
      <c r="N2" t="s">
        <v>936</v>
      </c>
    </row>
    <row r="3" spans="1:14" x14ac:dyDescent="0.25">
      <c r="B3" t="s">
        <v>968</v>
      </c>
      <c r="H3" t="s">
        <v>1075</v>
      </c>
      <c r="N3" t="s">
        <v>937</v>
      </c>
    </row>
    <row r="4" spans="1:14" x14ac:dyDescent="0.25">
      <c r="B4" t="s">
        <v>969</v>
      </c>
      <c r="H4" t="s">
        <v>1076</v>
      </c>
      <c r="N4" t="s">
        <v>938</v>
      </c>
    </row>
    <row r="5" spans="1:14" x14ac:dyDescent="0.25">
      <c r="B5" t="s">
        <v>970</v>
      </c>
      <c r="G5" t="s">
        <v>155</v>
      </c>
      <c r="H5" t="s">
        <v>954</v>
      </c>
      <c r="N5" t="s">
        <v>939</v>
      </c>
    </row>
    <row r="6" spans="1:14" x14ac:dyDescent="0.25">
      <c r="B6" t="s">
        <v>971</v>
      </c>
      <c r="H6" t="s">
        <v>953</v>
      </c>
      <c r="N6" t="s">
        <v>940</v>
      </c>
    </row>
    <row r="7" spans="1:14" x14ac:dyDescent="0.25">
      <c r="B7" t="s">
        <v>972</v>
      </c>
      <c r="H7" t="s">
        <v>955</v>
      </c>
      <c r="M7" t="s">
        <v>204</v>
      </c>
      <c r="N7" t="s">
        <v>956</v>
      </c>
    </row>
    <row r="8" spans="1:14" x14ac:dyDescent="0.25">
      <c r="B8" t="s">
        <v>973</v>
      </c>
      <c r="G8" s="160" t="s">
        <v>151</v>
      </c>
      <c r="H8" t="s">
        <v>951</v>
      </c>
      <c r="N8" t="s">
        <v>957</v>
      </c>
    </row>
    <row r="9" spans="1:14" x14ac:dyDescent="0.25">
      <c r="B9" t="s">
        <v>974</v>
      </c>
      <c r="H9" t="s">
        <v>949</v>
      </c>
      <c r="N9" t="s">
        <v>958</v>
      </c>
    </row>
    <row r="10" spans="1:14" x14ac:dyDescent="0.25">
      <c r="A10" t="s">
        <v>835</v>
      </c>
      <c r="B10" t="s">
        <v>969</v>
      </c>
      <c r="H10" t="s">
        <v>950</v>
      </c>
      <c r="N10" t="s">
        <v>959</v>
      </c>
    </row>
    <row r="11" spans="1:14" x14ac:dyDescent="0.25">
      <c r="B11" t="s">
        <v>983</v>
      </c>
      <c r="H11" t="s">
        <v>941</v>
      </c>
      <c r="N11" t="s">
        <v>960</v>
      </c>
    </row>
    <row r="12" spans="1:14" x14ac:dyDescent="0.25">
      <c r="B12" t="s">
        <v>968</v>
      </c>
      <c r="H12" t="s">
        <v>942</v>
      </c>
      <c r="N12" t="s">
        <v>961</v>
      </c>
    </row>
    <row r="13" spans="1:14" x14ac:dyDescent="0.25">
      <c r="B13" t="s">
        <v>984</v>
      </c>
      <c r="H13" t="s">
        <v>943</v>
      </c>
      <c r="N13" t="s">
        <v>962</v>
      </c>
    </row>
    <row r="14" spans="1:14" x14ac:dyDescent="0.25">
      <c r="B14" t="s">
        <v>972</v>
      </c>
      <c r="H14" t="s">
        <v>944</v>
      </c>
      <c r="M14" t="s">
        <v>1727</v>
      </c>
      <c r="N14" t="s">
        <v>1063</v>
      </c>
    </row>
    <row r="15" spans="1:14" x14ac:dyDescent="0.25">
      <c r="B15" t="s">
        <v>973</v>
      </c>
      <c r="H15" t="s">
        <v>946</v>
      </c>
      <c r="N15" t="s">
        <v>1064</v>
      </c>
    </row>
    <row r="16" spans="1:14" x14ac:dyDescent="0.25">
      <c r="B16" t="s">
        <v>974</v>
      </c>
      <c r="H16" t="s">
        <v>947</v>
      </c>
      <c r="N16" t="s">
        <v>1065</v>
      </c>
    </row>
    <row r="17" spans="1:14" x14ac:dyDescent="0.25">
      <c r="B17" t="s">
        <v>985</v>
      </c>
      <c r="H17" t="s">
        <v>1009</v>
      </c>
      <c r="N17" t="s">
        <v>1066</v>
      </c>
    </row>
    <row r="18" spans="1:14" x14ac:dyDescent="0.25">
      <c r="A18" t="s">
        <v>568</v>
      </c>
      <c r="B18" t="s">
        <v>987</v>
      </c>
      <c r="H18" t="s">
        <v>1008</v>
      </c>
      <c r="N18" t="s">
        <v>1067</v>
      </c>
    </row>
    <row r="19" spans="1:14" x14ac:dyDescent="0.25">
      <c r="B19" t="s">
        <v>988</v>
      </c>
      <c r="H19" t="s">
        <v>945</v>
      </c>
      <c r="N19" t="s">
        <v>1068</v>
      </c>
    </row>
    <row r="20" spans="1:14" x14ac:dyDescent="0.25">
      <c r="B20" t="s">
        <v>989</v>
      </c>
      <c r="H20" t="s">
        <v>952</v>
      </c>
      <c r="N20" t="s">
        <v>1069</v>
      </c>
    </row>
    <row r="21" spans="1:14" x14ac:dyDescent="0.25">
      <c r="B21" t="s">
        <v>990</v>
      </c>
      <c r="H21" t="s">
        <v>948</v>
      </c>
      <c r="M21" t="s">
        <v>308</v>
      </c>
      <c r="N21" t="s">
        <v>994</v>
      </c>
    </row>
    <row r="22" spans="1:14" x14ac:dyDescent="0.25">
      <c r="B22" t="s">
        <v>991</v>
      </c>
      <c r="G22" t="s">
        <v>109</v>
      </c>
      <c r="H22" t="s">
        <v>132</v>
      </c>
      <c r="N22" t="s">
        <v>995</v>
      </c>
    </row>
    <row r="23" spans="1:14" x14ac:dyDescent="0.25">
      <c r="B23" t="s">
        <v>992</v>
      </c>
      <c r="H23" t="s">
        <v>1716</v>
      </c>
      <c r="N23" t="s">
        <v>996</v>
      </c>
    </row>
    <row r="24" spans="1:14" x14ac:dyDescent="0.25">
      <c r="B24" t="s">
        <v>993</v>
      </c>
      <c r="H24" t="s">
        <v>1719</v>
      </c>
      <c r="N24" t="s">
        <v>1020</v>
      </c>
    </row>
    <row r="25" spans="1:14" x14ac:dyDescent="0.25">
      <c r="A25" t="s">
        <v>570</v>
      </c>
      <c r="B25" t="s">
        <v>998</v>
      </c>
      <c r="H25" t="s">
        <v>997</v>
      </c>
      <c r="M25" t="s">
        <v>1810</v>
      </c>
      <c r="N25" t="s">
        <v>1809</v>
      </c>
    </row>
    <row r="26" spans="1:14" x14ac:dyDescent="0.25">
      <c r="B26" t="s">
        <v>92</v>
      </c>
      <c r="H26" t="s">
        <v>1715</v>
      </c>
      <c r="N26" t="s">
        <v>1811</v>
      </c>
    </row>
    <row r="27" spans="1:14" x14ac:dyDescent="0.25">
      <c r="B27" t="s">
        <v>999</v>
      </c>
      <c r="G27" t="s">
        <v>132</v>
      </c>
      <c r="H27" t="s">
        <v>963</v>
      </c>
      <c r="N27" t="s">
        <v>1812</v>
      </c>
    </row>
    <row r="28" spans="1:14" x14ac:dyDescent="0.25">
      <c r="B28" t="s">
        <v>1000</v>
      </c>
      <c r="H28" t="s">
        <v>153</v>
      </c>
      <c r="N28" t="s">
        <v>1813</v>
      </c>
    </row>
    <row r="29" spans="1:14" x14ac:dyDescent="0.25">
      <c r="B29" t="s">
        <v>1001</v>
      </c>
      <c r="H29" t="s">
        <v>964</v>
      </c>
      <c r="M29" t="s">
        <v>1819</v>
      </c>
      <c r="N29" t="s">
        <v>1814</v>
      </c>
    </row>
    <row r="30" spans="1:14" x14ac:dyDescent="0.25">
      <c r="B30" t="s">
        <v>552</v>
      </c>
      <c r="H30" t="s">
        <v>965</v>
      </c>
      <c r="N30" t="s">
        <v>1815</v>
      </c>
    </row>
    <row r="31" spans="1:14" x14ac:dyDescent="0.25">
      <c r="B31" t="s">
        <v>1002</v>
      </c>
      <c r="G31" t="s">
        <v>431</v>
      </c>
      <c r="H31" t="s">
        <v>1132</v>
      </c>
      <c r="N31" t="s">
        <v>1816</v>
      </c>
    </row>
    <row r="32" spans="1:14" x14ac:dyDescent="0.25">
      <c r="B32" t="s">
        <v>1003</v>
      </c>
      <c r="H32" t="s">
        <v>1134</v>
      </c>
      <c r="N32" t="s">
        <v>1817</v>
      </c>
    </row>
    <row r="33" spans="1:14" x14ac:dyDescent="0.25">
      <c r="B33" t="s">
        <v>1004</v>
      </c>
      <c r="H33" t="s">
        <v>1133</v>
      </c>
      <c r="N33" t="s">
        <v>1818</v>
      </c>
    </row>
    <row r="34" spans="1:14" x14ac:dyDescent="0.25">
      <c r="A34" t="s">
        <v>566</v>
      </c>
      <c r="B34" t="s">
        <v>1014</v>
      </c>
      <c r="G34" s="154" t="s">
        <v>1734</v>
      </c>
      <c r="H34" t="s">
        <v>1735</v>
      </c>
      <c r="M34" t="s">
        <v>1820</v>
      </c>
      <c r="N34" t="s">
        <v>1821</v>
      </c>
    </row>
    <row r="35" spans="1:14" x14ac:dyDescent="0.25">
      <c r="B35" t="s">
        <v>1015</v>
      </c>
      <c r="G35" t="s">
        <v>261</v>
      </c>
      <c r="H35" t="s">
        <v>975</v>
      </c>
      <c r="N35" t="s">
        <v>1822</v>
      </c>
    </row>
    <row r="36" spans="1:14" x14ac:dyDescent="0.25">
      <c r="B36" t="s">
        <v>1016</v>
      </c>
      <c r="H36" t="s">
        <v>976</v>
      </c>
      <c r="N36" t="s">
        <v>1823</v>
      </c>
    </row>
    <row r="37" spans="1:14" x14ac:dyDescent="0.25">
      <c r="B37" t="s">
        <v>1017</v>
      </c>
      <c r="H37" t="s">
        <v>977</v>
      </c>
      <c r="N37" t="s">
        <v>1824</v>
      </c>
    </row>
    <row r="38" spans="1:14" x14ac:dyDescent="0.25">
      <c r="B38" t="s">
        <v>1018</v>
      </c>
      <c r="H38" t="s">
        <v>978</v>
      </c>
      <c r="N38" t="s">
        <v>1825</v>
      </c>
    </row>
    <row r="39" spans="1:14" x14ac:dyDescent="0.25">
      <c r="B39" t="s">
        <v>1019</v>
      </c>
      <c r="G39" t="s">
        <v>979</v>
      </c>
      <c r="H39" t="s">
        <v>1078</v>
      </c>
      <c r="I39" t="s">
        <v>980</v>
      </c>
      <c r="M39" t="s">
        <v>1826</v>
      </c>
      <c r="N39" t="s">
        <v>1827</v>
      </c>
    </row>
    <row r="40" spans="1:14" x14ac:dyDescent="0.25">
      <c r="B40" t="s">
        <v>1021</v>
      </c>
      <c r="H40" t="s">
        <v>1079</v>
      </c>
      <c r="N40" t="s">
        <v>1828</v>
      </c>
    </row>
    <row r="41" spans="1:14" x14ac:dyDescent="0.25">
      <c r="B41" t="s">
        <v>1022</v>
      </c>
      <c r="H41" t="s">
        <v>981</v>
      </c>
      <c r="N41" t="s">
        <v>1829</v>
      </c>
    </row>
    <row r="42" spans="1:14" x14ac:dyDescent="0.25">
      <c r="H42" t="s">
        <v>982</v>
      </c>
      <c r="M42" t="s">
        <v>1830</v>
      </c>
      <c r="N42" t="s">
        <v>1831</v>
      </c>
    </row>
    <row r="43" spans="1:14" x14ac:dyDescent="0.25">
      <c r="G43" t="s">
        <v>1083</v>
      </c>
      <c r="H43" t="s">
        <v>1084</v>
      </c>
      <c r="N43" t="s">
        <v>1832</v>
      </c>
    </row>
    <row r="44" spans="1:14" x14ac:dyDescent="0.25">
      <c r="G44" t="s">
        <v>111</v>
      </c>
      <c r="H44" t="s">
        <v>1790</v>
      </c>
      <c r="N44" t="s">
        <v>1833</v>
      </c>
    </row>
    <row r="45" spans="1:14" x14ac:dyDescent="0.25">
      <c r="H45" t="s">
        <v>986</v>
      </c>
      <c r="N45" t="s">
        <v>1834</v>
      </c>
    </row>
    <row r="46" spans="1:14" x14ac:dyDescent="0.25">
      <c r="G46" t="s">
        <v>231</v>
      </c>
      <c r="H46" t="s">
        <v>1729</v>
      </c>
      <c r="M46" t="s">
        <v>1835</v>
      </c>
      <c r="N46" t="s">
        <v>1836</v>
      </c>
    </row>
    <row r="47" spans="1:14" x14ac:dyDescent="0.25">
      <c r="H47" t="s">
        <v>1730</v>
      </c>
      <c r="N47" t="s">
        <v>1837</v>
      </c>
    </row>
    <row r="48" spans="1:14" x14ac:dyDescent="0.25">
      <c r="H48" t="s">
        <v>1731</v>
      </c>
      <c r="N48" t="s">
        <v>1838</v>
      </c>
    </row>
    <row r="49" spans="7:14" x14ac:dyDescent="0.25">
      <c r="G49" t="s">
        <v>1135</v>
      </c>
      <c r="H49" t="s">
        <v>1136</v>
      </c>
      <c r="M49" t="s">
        <v>1839</v>
      </c>
      <c r="N49" t="s">
        <v>1840</v>
      </c>
    </row>
    <row r="50" spans="7:14" x14ac:dyDescent="0.25">
      <c r="H50" t="s">
        <v>453</v>
      </c>
      <c r="N50" t="s">
        <v>1841</v>
      </c>
    </row>
    <row r="51" spans="7:14" x14ac:dyDescent="0.25">
      <c r="H51" t="s">
        <v>1137</v>
      </c>
      <c r="N51" t="s">
        <v>1842</v>
      </c>
    </row>
    <row r="52" spans="7:14" x14ac:dyDescent="0.25">
      <c r="G52" t="s">
        <v>540</v>
      </c>
      <c r="H52" t="s">
        <v>1005</v>
      </c>
      <c r="N52" t="s">
        <v>1843</v>
      </c>
    </row>
    <row r="53" spans="7:14" x14ac:dyDescent="0.25">
      <c r="H53" t="s">
        <v>1077</v>
      </c>
      <c r="M53" t="s">
        <v>1835</v>
      </c>
      <c r="N53" t="s">
        <v>1844</v>
      </c>
    </row>
    <row r="54" spans="7:14" x14ac:dyDescent="0.25">
      <c r="H54" t="s">
        <v>1006</v>
      </c>
      <c r="N54" t="s">
        <v>1845</v>
      </c>
    </row>
    <row r="55" spans="7:14" x14ac:dyDescent="0.25">
      <c r="H55" t="s">
        <v>1007</v>
      </c>
      <c r="N55" t="s">
        <v>1846</v>
      </c>
    </row>
    <row r="56" spans="7:14" x14ac:dyDescent="0.25">
      <c r="G56" t="s">
        <v>1896</v>
      </c>
      <c r="H56" t="s">
        <v>1894</v>
      </c>
      <c r="N56" t="s">
        <v>1847</v>
      </c>
    </row>
    <row r="57" spans="7:14" x14ac:dyDescent="0.25">
      <c r="H57" t="s">
        <v>1895</v>
      </c>
      <c r="N57" t="s">
        <v>1848</v>
      </c>
    </row>
    <row r="58" spans="7:14" x14ac:dyDescent="0.25">
      <c r="G58" t="s">
        <v>1897</v>
      </c>
      <c r="H58" t="s">
        <v>1717</v>
      </c>
      <c r="M58" t="s">
        <v>1849</v>
      </c>
      <c r="N58" t="s">
        <v>1850</v>
      </c>
    </row>
    <row r="59" spans="7:14" x14ac:dyDescent="0.25">
      <c r="G59" s="160" t="s">
        <v>187</v>
      </c>
      <c r="H59" t="s">
        <v>1725</v>
      </c>
      <c r="N59" t="s">
        <v>1851</v>
      </c>
    </row>
    <row r="60" spans="7:14" x14ac:dyDescent="0.25">
      <c r="H60" t="s">
        <v>1726</v>
      </c>
      <c r="N60" t="s">
        <v>1852</v>
      </c>
    </row>
    <row r="61" spans="7:14" x14ac:dyDescent="0.25">
      <c r="H61" t="s">
        <v>1080</v>
      </c>
      <c r="N61" t="s">
        <v>1853</v>
      </c>
    </row>
    <row r="62" spans="7:14" x14ac:dyDescent="0.25">
      <c r="H62" t="s">
        <v>1081</v>
      </c>
      <c r="N62" t="s">
        <v>1854</v>
      </c>
    </row>
    <row r="63" spans="7:14" x14ac:dyDescent="0.25">
      <c r="H63" t="s">
        <v>1082</v>
      </c>
      <c r="M63" t="s">
        <v>1855</v>
      </c>
      <c r="N63" t="s">
        <v>1856</v>
      </c>
    </row>
    <row r="64" spans="7:14" x14ac:dyDescent="0.25">
      <c r="H64" t="s">
        <v>1010</v>
      </c>
      <c r="N64" t="s">
        <v>1857</v>
      </c>
    </row>
    <row r="65" spans="7:14" x14ac:dyDescent="0.25">
      <c r="G65" s="161" t="s">
        <v>142</v>
      </c>
      <c r="H65" s="161" t="s">
        <v>1026</v>
      </c>
      <c r="N65" t="s">
        <v>1858</v>
      </c>
    </row>
    <row r="66" spans="7:14" x14ac:dyDescent="0.25">
      <c r="H66" t="s">
        <v>1028</v>
      </c>
      <c r="M66" t="s">
        <v>1859</v>
      </c>
      <c r="N66" t="s">
        <v>1860</v>
      </c>
    </row>
    <row r="67" spans="7:14" x14ac:dyDescent="0.25">
      <c r="H67" t="s">
        <v>1027</v>
      </c>
      <c r="N67" t="s">
        <v>1861</v>
      </c>
    </row>
    <row r="68" spans="7:14" x14ac:dyDescent="0.25">
      <c r="H68" t="s">
        <v>1029</v>
      </c>
      <c r="N68" t="s">
        <v>1862</v>
      </c>
    </row>
    <row r="69" spans="7:14" x14ac:dyDescent="0.25">
      <c r="H69" t="s">
        <v>1030</v>
      </c>
      <c r="N69" t="s">
        <v>1863</v>
      </c>
    </row>
    <row r="70" spans="7:14" x14ac:dyDescent="0.25">
      <c r="G70" s="160" t="s">
        <v>141</v>
      </c>
      <c r="H70" t="s">
        <v>1023</v>
      </c>
      <c r="N70" t="s">
        <v>1864</v>
      </c>
    </row>
    <row r="71" spans="7:14" x14ac:dyDescent="0.25">
      <c r="H71" t="s">
        <v>1024</v>
      </c>
      <c r="M71" t="s">
        <v>1865</v>
      </c>
      <c r="N71" t="s">
        <v>1866</v>
      </c>
    </row>
    <row r="72" spans="7:14" x14ac:dyDescent="0.25">
      <c r="H72" t="s">
        <v>1025</v>
      </c>
      <c r="N72" t="s">
        <v>1867</v>
      </c>
    </row>
    <row r="73" spans="7:14" x14ac:dyDescent="0.25">
      <c r="G73" t="s">
        <v>586</v>
      </c>
      <c r="H73" t="s">
        <v>1031</v>
      </c>
      <c r="N73" t="s">
        <v>1868</v>
      </c>
    </row>
    <row r="74" spans="7:14" x14ac:dyDescent="0.25">
      <c r="H74" t="s">
        <v>1032</v>
      </c>
      <c r="N74" t="s">
        <v>1869</v>
      </c>
    </row>
    <row r="75" spans="7:14" x14ac:dyDescent="0.25">
      <c r="H75" t="s">
        <v>1033</v>
      </c>
      <c r="M75" t="s">
        <v>1870</v>
      </c>
      <c r="N75" t="s">
        <v>1871</v>
      </c>
    </row>
    <row r="76" spans="7:14" x14ac:dyDescent="0.25">
      <c r="H76" t="s">
        <v>1034</v>
      </c>
      <c r="N76" t="s">
        <v>1872</v>
      </c>
    </row>
    <row r="77" spans="7:14" x14ac:dyDescent="0.25">
      <c r="H77" t="s">
        <v>1035</v>
      </c>
      <c r="N77" t="s">
        <v>1873</v>
      </c>
    </row>
    <row r="78" spans="7:14" x14ac:dyDescent="0.25">
      <c r="G78" t="s">
        <v>708</v>
      </c>
      <c r="H78" t="s">
        <v>1031</v>
      </c>
      <c r="M78" t="s">
        <v>1874</v>
      </c>
      <c r="N78" t="s">
        <v>1875</v>
      </c>
    </row>
    <row r="79" spans="7:14" x14ac:dyDescent="0.25">
      <c r="H79" t="s">
        <v>1036</v>
      </c>
      <c r="N79" t="s">
        <v>1876</v>
      </c>
    </row>
    <row r="80" spans="7:14" x14ac:dyDescent="0.25">
      <c r="H80" t="s">
        <v>1037</v>
      </c>
      <c r="N80" t="s">
        <v>1877</v>
      </c>
    </row>
    <row r="81" spans="7:14" x14ac:dyDescent="0.25">
      <c r="H81" t="s">
        <v>1038</v>
      </c>
      <c r="N81" t="s">
        <v>1878</v>
      </c>
    </row>
    <row r="82" spans="7:14" x14ac:dyDescent="0.25">
      <c r="H82" t="s">
        <v>1035</v>
      </c>
      <c r="N82" t="s">
        <v>1905</v>
      </c>
    </row>
    <row r="83" spans="7:14" x14ac:dyDescent="0.25">
      <c r="G83" t="s">
        <v>588</v>
      </c>
      <c r="H83" t="s">
        <v>1718</v>
      </c>
      <c r="N83" t="s">
        <v>1879</v>
      </c>
    </row>
    <row r="84" spans="7:14" x14ac:dyDescent="0.25">
      <c r="H84" t="s">
        <v>1039</v>
      </c>
      <c r="N84" t="s">
        <v>1880</v>
      </c>
    </row>
    <row r="85" spans="7:14" x14ac:dyDescent="0.25">
      <c r="H85" t="s">
        <v>1787</v>
      </c>
      <c r="N85" t="s">
        <v>1881</v>
      </c>
    </row>
    <row r="86" spans="7:14" x14ac:dyDescent="0.25">
      <c r="H86" t="s">
        <v>1035</v>
      </c>
      <c r="N86" t="s">
        <v>1882</v>
      </c>
    </row>
    <row r="87" spans="7:14" x14ac:dyDescent="0.25">
      <c r="G87" t="s">
        <v>1011</v>
      </c>
      <c r="H87" t="s">
        <v>1012</v>
      </c>
      <c r="N87" t="s">
        <v>1883</v>
      </c>
    </row>
    <row r="88" spans="7:14" x14ac:dyDescent="0.25">
      <c r="H88" t="s">
        <v>1013</v>
      </c>
      <c r="M88" t="s">
        <v>1884</v>
      </c>
      <c r="N88" t="s">
        <v>1885</v>
      </c>
    </row>
    <row r="89" spans="7:14" x14ac:dyDescent="0.25">
      <c r="G89" t="s">
        <v>1908</v>
      </c>
      <c r="H89" t="s">
        <v>1909</v>
      </c>
      <c r="M89" t="s">
        <v>1886</v>
      </c>
      <c r="N89" t="s">
        <v>1887</v>
      </c>
    </row>
    <row r="90" spans="7:14" x14ac:dyDescent="0.25">
      <c r="H90" t="s">
        <v>1910</v>
      </c>
      <c r="M90" t="s">
        <v>1888</v>
      </c>
      <c r="N90" t="s">
        <v>1889</v>
      </c>
    </row>
    <row r="91" spans="7:14" x14ac:dyDescent="0.25">
      <c r="H91" t="s">
        <v>1911</v>
      </c>
      <c r="M91" t="s">
        <v>1890</v>
      </c>
      <c r="N91" t="s">
        <v>1891</v>
      </c>
    </row>
    <row r="92" spans="7:14" x14ac:dyDescent="0.25">
      <c r="G92" s="160" t="s">
        <v>578</v>
      </c>
      <c r="H92" t="s">
        <v>1060</v>
      </c>
      <c r="M92" t="s">
        <v>1892</v>
      </c>
      <c r="N92" t="s">
        <v>1893</v>
      </c>
    </row>
    <row r="93" spans="7:14" x14ac:dyDescent="0.25">
      <c r="H93" t="s">
        <v>1061</v>
      </c>
    </row>
    <row r="94" spans="7:14" x14ac:dyDescent="0.25">
      <c r="H94" t="s">
        <v>1062</v>
      </c>
    </row>
    <row r="95" spans="7:14" x14ac:dyDescent="0.25">
      <c r="G95" s="160" t="s">
        <v>251</v>
      </c>
      <c r="H95" t="s">
        <v>1057</v>
      </c>
    </row>
    <row r="96" spans="7:14" x14ac:dyDescent="0.25">
      <c r="H96" t="s">
        <v>1058</v>
      </c>
    </row>
    <row r="97" spans="7:15" x14ac:dyDescent="0.25">
      <c r="H97" t="s">
        <v>1791</v>
      </c>
    </row>
    <row r="98" spans="7:15" x14ac:dyDescent="0.25">
      <c r="H98" t="s">
        <v>1059</v>
      </c>
    </row>
    <row r="99" spans="7:15" x14ac:dyDescent="0.25">
      <c r="G99" t="s">
        <v>577</v>
      </c>
      <c r="H99" t="s">
        <v>1051</v>
      </c>
    </row>
    <row r="100" spans="7:15" x14ac:dyDescent="0.25">
      <c r="H100" t="s">
        <v>1052</v>
      </c>
    </row>
    <row r="101" spans="7:15" x14ac:dyDescent="0.25">
      <c r="H101" t="s">
        <v>1053</v>
      </c>
    </row>
    <row r="102" spans="7:15" x14ac:dyDescent="0.25">
      <c r="H102" t="s">
        <v>1054</v>
      </c>
    </row>
    <row r="103" spans="7:15" x14ac:dyDescent="0.25">
      <c r="H103" t="s">
        <v>1055</v>
      </c>
    </row>
    <row r="104" spans="7:15" x14ac:dyDescent="0.25">
      <c r="H104" t="s">
        <v>1056</v>
      </c>
    </row>
    <row r="105" spans="7:15" x14ac:dyDescent="0.25">
      <c r="G105" t="s">
        <v>1040</v>
      </c>
      <c r="H105" t="s">
        <v>1042</v>
      </c>
      <c r="I105" t="s">
        <v>1041</v>
      </c>
    </row>
    <row r="106" spans="7:15" x14ac:dyDescent="0.25">
      <c r="I106" t="s">
        <v>1043</v>
      </c>
    </row>
    <row r="107" spans="7:15" x14ac:dyDescent="0.25">
      <c r="I107" t="s">
        <v>1044</v>
      </c>
    </row>
    <row r="108" spans="7:15" x14ac:dyDescent="0.25">
      <c r="H108" t="s">
        <v>1045</v>
      </c>
      <c r="I108" t="s">
        <v>1046</v>
      </c>
    </row>
    <row r="109" spans="7:15" x14ac:dyDescent="0.25">
      <c r="I109" t="s">
        <v>1047</v>
      </c>
      <c r="O109" t="s">
        <v>1788</v>
      </c>
    </row>
    <row r="110" spans="7:15" x14ac:dyDescent="0.25">
      <c r="I110" t="s">
        <v>1048</v>
      </c>
    </row>
    <row r="111" spans="7:15" x14ac:dyDescent="0.25">
      <c r="H111" t="s">
        <v>1049</v>
      </c>
      <c r="I111" t="s">
        <v>1050</v>
      </c>
    </row>
    <row r="112" spans="7:15" x14ac:dyDescent="0.25">
      <c r="G112" t="s">
        <v>1728</v>
      </c>
      <c r="H112" t="s">
        <v>1070</v>
      </c>
    </row>
    <row r="113" spans="8:8" x14ac:dyDescent="0.25">
      <c r="H113" t="s">
        <v>1071</v>
      </c>
    </row>
    <row r="114" spans="8:8" x14ac:dyDescent="0.25">
      <c r="H114" t="s">
        <v>1072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E86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75" sqref="E75"/>
    </sheetView>
  </sheetViews>
  <sheetFormatPr defaultRowHeight="16.5" x14ac:dyDescent="0.25"/>
  <cols>
    <col min="2" max="2" width="28.125" customWidth="1"/>
    <col min="3" max="3" width="12.5" customWidth="1"/>
    <col min="4" max="4" width="21.75" customWidth="1"/>
    <col min="5" max="5" width="15" customWidth="1"/>
    <col min="6" max="6" width="12.5" customWidth="1"/>
    <col min="8" max="8" width="12.5" customWidth="1"/>
  </cols>
  <sheetData>
    <row r="1" spans="1:5" x14ac:dyDescent="0.25">
      <c r="B1" t="s">
        <v>1722</v>
      </c>
      <c r="C1" t="s">
        <v>1723</v>
      </c>
      <c r="D1" t="s">
        <v>1724</v>
      </c>
      <c r="E1" t="s">
        <v>1738</v>
      </c>
    </row>
    <row r="2" spans="1:5" x14ac:dyDescent="0.25">
      <c r="A2" s="16" t="s">
        <v>782</v>
      </c>
      <c r="B2" s="16" t="s">
        <v>379</v>
      </c>
    </row>
    <row r="3" spans="1:5" x14ac:dyDescent="0.25">
      <c r="A3" s="155" t="s">
        <v>806</v>
      </c>
      <c r="B3" s="155" t="s">
        <v>379</v>
      </c>
    </row>
    <row r="4" spans="1:5" x14ac:dyDescent="0.25">
      <c r="A4" s="155" t="s">
        <v>812</v>
      </c>
      <c r="B4" s="155" t="s">
        <v>403</v>
      </c>
      <c r="C4" t="s">
        <v>1803</v>
      </c>
      <c r="D4" t="s">
        <v>1740</v>
      </c>
      <c r="E4" t="s">
        <v>1741</v>
      </c>
    </row>
    <row r="5" spans="1:5" x14ac:dyDescent="0.25">
      <c r="A5" s="157" t="s">
        <v>791</v>
      </c>
      <c r="B5" s="157" t="s">
        <v>397</v>
      </c>
      <c r="D5" t="s">
        <v>1771</v>
      </c>
      <c r="E5" t="s">
        <v>1741</v>
      </c>
    </row>
    <row r="6" spans="1:5" x14ac:dyDescent="0.25">
      <c r="A6" s="155" t="s">
        <v>769</v>
      </c>
      <c r="B6" s="155" t="s">
        <v>412</v>
      </c>
      <c r="D6" t="s">
        <v>1749</v>
      </c>
      <c r="E6" t="s">
        <v>1752</v>
      </c>
    </row>
    <row r="7" spans="1:5" x14ac:dyDescent="0.25">
      <c r="A7" s="155" t="s">
        <v>770</v>
      </c>
      <c r="B7" s="155" t="s">
        <v>413</v>
      </c>
      <c r="D7" t="s">
        <v>1748</v>
      </c>
      <c r="E7" t="s">
        <v>1750</v>
      </c>
    </row>
    <row r="8" spans="1:5" x14ac:dyDescent="0.25">
      <c r="A8" s="155" t="s">
        <v>771</v>
      </c>
      <c r="B8" s="155" t="s">
        <v>414</v>
      </c>
      <c r="D8" t="s">
        <v>1750</v>
      </c>
      <c r="E8" t="s">
        <v>1751</v>
      </c>
    </row>
    <row r="9" spans="1:5" x14ac:dyDescent="0.25">
      <c r="A9" s="155" t="s">
        <v>772</v>
      </c>
      <c r="B9" s="155" t="s">
        <v>415</v>
      </c>
      <c r="D9" t="s">
        <v>1739</v>
      </c>
    </row>
    <row r="10" spans="1:5" x14ac:dyDescent="0.25">
      <c r="A10" s="155" t="s">
        <v>765</v>
      </c>
      <c r="B10" s="155" t="s">
        <v>406</v>
      </c>
      <c r="D10" t="s">
        <v>1745</v>
      </c>
      <c r="E10" t="s">
        <v>1737</v>
      </c>
    </row>
    <row r="11" spans="1:5" x14ac:dyDescent="0.25">
      <c r="A11" s="155" t="s">
        <v>766</v>
      </c>
      <c r="B11" s="155" t="s">
        <v>409</v>
      </c>
      <c r="D11" t="s">
        <v>1737</v>
      </c>
      <c r="E11" t="s">
        <v>1746</v>
      </c>
    </row>
    <row r="12" spans="1:5" x14ac:dyDescent="0.25">
      <c r="A12" s="155" t="s">
        <v>767</v>
      </c>
      <c r="B12" s="155" t="s">
        <v>410</v>
      </c>
      <c r="D12" t="s">
        <v>1746</v>
      </c>
      <c r="E12" t="s">
        <v>1747</v>
      </c>
    </row>
    <row r="13" spans="1:5" x14ac:dyDescent="0.25">
      <c r="A13" s="155" t="s">
        <v>768</v>
      </c>
      <c r="B13" s="155" t="s">
        <v>411</v>
      </c>
      <c r="D13" t="s">
        <v>1739</v>
      </c>
    </row>
    <row r="14" spans="1:5" x14ac:dyDescent="0.25">
      <c r="A14" s="157" t="s">
        <v>792</v>
      </c>
      <c r="B14" s="157" t="s">
        <v>443</v>
      </c>
      <c r="D14" t="s">
        <v>1745</v>
      </c>
    </row>
    <row r="15" spans="1:5" x14ac:dyDescent="0.25">
      <c r="A15" s="16" t="s">
        <v>732</v>
      </c>
      <c r="B15" s="16" t="s">
        <v>390</v>
      </c>
      <c r="E15" t="s">
        <v>1779</v>
      </c>
    </row>
    <row r="16" spans="1:5" x14ac:dyDescent="0.25">
      <c r="A16" s="16" t="s">
        <v>733</v>
      </c>
      <c r="B16" s="16" t="s">
        <v>391</v>
      </c>
      <c r="E16" t="s">
        <v>1780</v>
      </c>
    </row>
    <row r="17" spans="1:5" x14ac:dyDescent="0.25">
      <c r="A17" s="155" t="s">
        <v>813</v>
      </c>
      <c r="B17" s="155" t="s">
        <v>407</v>
      </c>
      <c r="C17" t="s">
        <v>1804</v>
      </c>
      <c r="D17" t="s">
        <v>1743</v>
      </c>
      <c r="E17" t="s">
        <v>1742</v>
      </c>
    </row>
    <row r="18" spans="1:5" x14ac:dyDescent="0.25">
      <c r="A18" s="155" t="s">
        <v>814</v>
      </c>
      <c r="B18" s="155" t="s">
        <v>408</v>
      </c>
      <c r="D18" t="s">
        <v>1742</v>
      </c>
      <c r="E18" t="s">
        <v>1744</v>
      </c>
    </row>
    <row r="19" spans="1:5" x14ac:dyDescent="0.25">
      <c r="A19" s="157" t="s">
        <v>793</v>
      </c>
      <c r="B19" s="157" t="s">
        <v>439</v>
      </c>
      <c r="D19" t="s">
        <v>1772</v>
      </c>
    </row>
    <row r="20" spans="1:5" x14ac:dyDescent="0.25">
      <c r="A20" s="157" t="s">
        <v>795</v>
      </c>
      <c r="B20" s="157" t="s">
        <v>444</v>
      </c>
      <c r="D20" t="s">
        <v>1773</v>
      </c>
    </row>
    <row r="21" spans="1:5" x14ac:dyDescent="0.25">
      <c r="A21" s="155" t="s">
        <v>807</v>
      </c>
      <c r="B21" s="155" t="s">
        <v>378</v>
      </c>
    </row>
    <row r="22" spans="1:5" x14ac:dyDescent="0.25">
      <c r="A22" s="155" t="s">
        <v>808</v>
      </c>
      <c r="B22" s="155" t="s">
        <v>402</v>
      </c>
      <c r="C22" t="s">
        <v>1805</v>
      </c>
    </row>
    <row r="23" spans="1:5" x14ac:dyDescent="0.25">
      <c r="A23" s="157" t="s">
        <v>800</v>
      </c>
      <c r="B23" s="157" t="s">
        <v>467</v>
      </c>
      <c r="E23" t="s">
        <v>1776</v>
      </c>
    </row>
    <row r="24" spans="1:5" x14ac:dyDescent="0.25">
      <c r="A24" s="157" t="s">
        <v>801</v>
      </c>
      <c r="B24" s="157" t="s">
        <v>393</v>
      </c>
      <c r="E24" t="s">
        <v>1777</v>
      </c>
    </row>
    <row r="25" spans="1:5" x14ac:dyDescent="0.25">
      <c r="A25" s="155" t="s">
        <v>810</v>
      </c>
      <c r="B25" s="155" t="s">
        <v>404</v>
      </c>
    </row>
    <row r="26" spans="1:5" x14ac:dyDescent="0.25">
      <c r="A26" s="155" t="s">
        <v>811</v>
      </c>
      <c r="B26" s="155" t="s">
        <v>405</v>
      </c>
    </row>
    <row r="27" spans="1:5" x14ac:dyDescent="0.25">
      <c r="A27" s="155" t="s">
        <v>781</v>
      </c>
      <c r="B27" s="155" t="s">
        <v>429</v>
      </c>
    </row>
    <row r="28" spans="1:5" x14ac:dyDescent="0.25">
      <c r="A28" s="16" t="s">
        <v>783</v>
      </c>
      <c r="B28" s="16" t="s">
        <v>380</v>
      </c>
      <c r="D28" t="s">
        <v>1793</v>
      </c>
    </row>
    <row r="29" spans="1:5" x14ac:dyDescent="0.25">
      <c r="A29" s="16" t="s">
        <v>784</v>
      </c>
      <c r="B29" s="16" t="s">
        <v>381</v>
      </c>
      <c r="D29" t="s">
        <v>1793</v>
      </c>
    </row>
    <row r="30" spans="1:5" x14ac:dyDescent="0.25">
      <c r="A30" s="16" t="s">
        <v>738</v>
      </c>
      <c r="B30" s="16" t="s">
        <v>434</v>
      </c>
      <c r="C30" t="s">
        <v>1806</v>
      </c>
      <c r="E30" t="s">
        <v>1769</v>
      </c>
    </row>
    <row r="31" spans="1:5" x14ac:dyDescent="0.25">
      <c r="A31" s="16" t="s">
        <v>739</v>
      </c>
      <c r="B31" s="16" t="s">
        <v>435</v>
      </c>
      <c r="C31" t="s">
        <v>1807</v>
      </c>
      <c r="E31" t="s">
        <v>1770</v>
      </c>
    </row>
    <row r="32" spans="1:5" x14ac:dyDescent="0.25">
      <c r="A32" s="157" t="s">
        <v>796</v>
      </c>
      <c r="B32" s="157" t="s">
        <v>455</v>
      </c>
      <c r="D32" t="s">
        <v>1759</v>
      </c>
    </row>
    <row r="33" spans="1:5" x14ac:dyDescent="0.25">
      <c r="A33" s="157" t="s">
        <v>797</v>
      </c>
      <c r="B33" s="157" t="s">
        <v>456</v>
      </c>
      <c r="D33" t="s">
        <v>1759</v>
      </c>
      <c r="E33" t="s">
        <v>1794</v>
      </c>
    </row>
    <row r="34" spans="1:5" x14ac:dyDescent="0.25">
      <c r="A34" s="16" t="s">
        <v>1796</v>
      </c>
      <c r="B34" s="16" t="s">
        <v>430</v>
      </c>
      <c r="C34" t="s">
        <v>1792</v>
      </c>
      <c r="D34" t="s">
        <v>70</v>
      </c>
    </row>
    <row r="35" spans="1:5" x14ac:dyDescent="0.25">
      <c r="A35" s="157" t="s">
        <v>798</v>
      </c>
      <c r="B35" s="157" t="s">
        <v>451</v>
      </c>
      <c r="C35" t="s">
        <v>1795</v>
      </c>
      <c r="D35" t="s">
        <v>69</v>
      </c>
    </row>
    <row r="36" spans="1:5" x14ac:dyDescent="0.25">
      <c r="A36" s="16" t="s">
        <v>737</v>
      </c>
      <c r="B36" s="16" t="s">
        <v>433</v>
      </c>
      <c r="E36" t="s">
        <v>1732</v>
      </c>
    </row>
    <row r="37" spans="1:5" x14ac:dyDescent="0.25">
      <c r="A37" s="16" t="s">
        <v>785</v>
      </c>
      <c r="B37" s="16" t="s">
        <v>382</v>
      </c>
    </row>
    <row r="38" spans="1:5" x14ac:dyDescent="0.25">
      <c r="A38" s="16" t="s">
        <v>735</v>
      </c>
      <c r="B38" s="16" t="s">
        <v>431</v>
      </c>
      <c r="C38" t="s">
        <v>1721</v>
      </c>
      <c r="D38" t="s">
        <v>75</v>
      </c>
    </row>
    <row r="39" spans="1:5" x14ac:dyDescent="0.25">
      <c r="A39" s="157" t="s">
        <v>799</v>
      </c>
      <c r="B39" s="157" t="s">
        <v>436</v>
      </c>
      <c r="D39" t="s">
        <v>1758</v>
      </c>
    </row>
    <row r="40" spans="1:5" x14ac:dyDescent="0.25">
      <c r="A40" s="157" t="s">
        <v>741</v>
      </c>
      <c r="B40" s="157" t="s">
        <v>437</v>
      </c>
      <c r="D40" t="s">
        <v>1758</v>
      </c>
    </row>
    <row r="41" spans="1:5" x14ac:dyDescent="0.25">
      <c r="A41" s="157" t="s">
        <v>742</v>
      </c>
      <c r="B41" s="157" t="s">
        <v>445</v>
      </c>
      <c r="D41" t="s">
        <v>1758</v>
      </c>
    </row>
    <row r="42" spans="1:5" x14ac:dyDescent="0.25">
      <c r="A42" s="157" t="s">
        <v>743</v>
      </c>
      <c r="B42" s="157" t="s">
        <v>450</v>
      </c>
      <c r="D42" t="s">
        <v>1757</v>
      </c>
    </row>
    <row r="43" spans="1:5" x14ac:dyDescent="0.25">
      <c r="A43" s="157" t="s">
        <v>744</v>
      </c>
      <c r="B43" s="157" t="s">
        <v>438</v>
      </c>
      <c r="D43" t="s">
        <v>1774</v>
      </c>
    </row>
    <row r="44" spans="1:5" x14ac:dyDescent="0.25">
      <c r="A44" s="157" t="s">
        <v>745</v>
      </c>
      <c r="B44" s="157" t="s">
        <v>442</v>
      </c>
      <c r="D44" t="s">
        <v>74</v>
      </c>
    </row>
    <row r="45" spans="1:5" x14ac:dyDescent="0.25">
      <c r="A45" s="157" t="s">
        <v>746</v>
      </c>
      <c r="B45" s="157" t="s">
        <v>449</v>
      </c>
      <c r="C45" t="s">
        <v>1735</v>
      </c>
      <c r="D45" t="s">
        <v>75</v>
      </c>
    </row>
    <row r="46" spans="1:5" x14ac:dyDescent="0.25">
      <c r="A46" s="157" t="s">
        <v>747</v>
      </c>
      <c r="B46" s="157" t="s">
        <v>462</v>
      </c>
      <c r="D46" t="s">
        <v>75</v>
      </c>
      <c r="E46" t="s">
        <v>1760</v>
      </c>
    </row>
    <row r="47" spans="1:5" x14ac:dyDescent="0.25">
      <c r="A47" s="157" t="s">
        <v>748</v>
      </c>
      <c r="B47" s="157" t="s">
        <v>447</v>
      </c>
      <c r="D47" t="s">
        <v>1761</v>
      </c>
    </row>
    <row r="48" spans="1:5" x14ac:dyDescent="0.25">
      <c r="A48" s="157" t="s">
        <v>749</v>
      </c>
      <c r="B48" s="157" t="s">
        <v>463</v>
      </c>
      <c r="D48" t="s">
        <v>1760</v>
      </c>
    </row>
    <row r="49" spans="1:5" x14ac:dyDescent="0.25">
      <c r="A49" s="16" t="s">
        <v>786</v>
      </c>
      <c r="B49" s="16" t="s">
        <v>383</v>
      </c>
    </row>
    <row r="50" spans="1:5" x14ac:dyDescent="0.25">
      <c r="A50" s="16" t="s">
        <v>736</v>
      </c>
      <c r="B50" s="16" t="s">
        <v>432</v>
      </c>
      <c r="C50" t="s">
        <v>1720</v>
      </c>
      <c r="D50" t="s">
        <v>78</v>
      </c>
    </row>
    <row r="51" spans="1:5" x14ac:dyDescent="0.25">
      <c r="A51" s="157" t="s">
        <v>750</v>
      </c>
      <c r="B51" s="157" t="s">
        <v>440</v>
      </c>
      <c r="D51" t="s">
        <v>1775</v>
      </c>
    </row>
    <row r="52" spans="1:5" x14ac:dyDescent="0.25">
      <c r="A52" s="155" t="s">
        <v>774</v>
      </c>
      <c r="B52" s="155" t="s">
        <v>418</v>
      </c>
      <c r="C52" t="s">
        <v>1797</v>
      </c>
      <c r="D52" t="s">
        <v>1755</v>
      </c>
      <c r="E52" t="s">
        <v>1756</v>
      </c>
    </row>
    <row r="53" spans="1:5" x14ac:dyDescent="0.25">
      <c r="A53" s="157" t="s">
        <v>751</v>
      </c>
      <c r="B53" s="157" t="s">
        <v>441</v>
      </c>
      <c r="D53" t="s">
        <v>1756</v>
      </c>
    </row>
    <row r="54" spans="1:5" x14ac:dyDescent="0.25">
      <c r="A54" s="16" t="s">
        <v>787</v>
      </c>
      <c r="B54" s="16" t="s">
        <v>384</v>
      </c>
    </row>
    <row r="55" spans="1:5" x14ac:dyDescent="0.25">
      <c r="A55" s="157" t="s">
        <v>752</v>
      </c>
      <c r="B55" s="157" t="s">
        <v>396</v>
      </c>
      <c r="C55" t="s">
        <v>1798</v>
      </c>
      <c r="D55" t="s">
        <v>79</v>
      </c>
    </row>
    <row r="56" spans="1:5" x14ac:dyDescent="0.25">
      <c r="A56" s="157" t="s">
        <v>753</v>
      </c>
      <c r="B56" s="157" t="s">
        <v>454</v>
      </c>
      <c r="D56" t="s">
        <v>1736</v>
      </c>
      <c r="E56" t="s">
        <v>1762</v>
      </c>
    </row>
    <row r="57" spans="1:5" x14ac:dyDescent="0.25">
      <c r="A57" s="157" t="s">
        <v>754</v>
      </c>
      <c r="B57" s="157" t="s">
        <v>466</v>
      </c>
      <c r="D57" t="s">
        <v>1736</v>
      </c>
      <c r="E57" t="s">
        <v>1737</v>
      </c>
    </row>
    <row r="58" spans="1:5" x14ac:dyDescent="0.25">
      <c r="A58" s="157" t="s">
        <v>755</v>
      </c>
      <c r="B58" s="157" t="s">
        <v>134</v>
      </c>
      <c r="D58" t="s">
        <v>1737</v>
      </c>
      <c r="E58" t="s">
        <v>1747</v>
      </c>
    </row>
    <row r="59" spans="1:5" x14ac:dyDescent="0.25">
      <c r="A59" s="16" t="s">
        <v>788</v>
      </c>
      <c r="B59" s="16" t="s">
        <v>385</v>
      </c>
    </row>
    <row r="60" spans="1:5" x14ac:dyDescent="0.25">
      <c r="A60" s="157" t="s">
        <v>756</v>
      </c>
      <c r="B60" s="157" t="s">
        <v>465</v>
      </c>
      <c r="C60" t="s">
        <v>1799</v>
      </c>
      <c r="D60" t="s">
        <v>1763</v>
      </c>
      <c r="E60" t="s">
        <v>1764</v>
      </c>
    </row>
    <row r="61" spans="1:5" x14ac:dyDescent="0.25">
      <c r="A61" s="157" t="s">
        <v>757</v>
      </c>
      <c r="B61" s="157" t="s">
        <v>459</v>
      </c>
      <c r="D61" t="s">
        <v>1765</v>
      </c>
    </row>
    <row r="62" spans="1:5" x14ac:dyDescent="0.25">
      <c r="A62" s="157" t="s">
        <v>758</v>
      </c>
      <c r="B62" s="157" t="s">
        <v>138</v>
      </c>
      <c r="D62" t="s">
        <v>1765</v>
      </c>
    </row>
    <row r="63" spans="1:5" x14ac:dyDescent="0.25">
      <c r="A63" s="157" t="s">
        <v>759</v>
      </c>
      <c r="B63" s="157" t="s">
        <v>446</v>
      </c>
      <c r="D63" t="s">
        <v>1766</v>
      </c>
    </row>
    <row r="64" spans="1:5" x14ac:dyDescent="0.25">
      <c r="A64" s="157" t="s">
        <v>760</v>
      </c>
      <c r="B64" s="157" t="s">
        <v>452</v>
      </c>
      <c r="D64" t="s">
        <v>1766</v>
      </c>
    </row>
    <row r="65" spans="1:5" x14ac:dyDescent="0.25">
      <c r="A65" s="157" t="s">
        <v>761</v>
      </c>
      <c r="B65" s="157" t="s">
        <v>458</v>
      </c>
      <c r="D65" t="s">
        <v>1766</v>
      </c>
    </row>
    <row r="66" spans="1:5" x14ac:dyDescent="0.25">
      <c r="A66" s="155" t="s">
        <v>773</v>
      </c>
      <c r="B66" s="155" t="s">
        <v>416</v>
      </c>
      <c r="D66" t="s">
        <v>1753</v>
      </c>
      <c r="E66" t="s">
        <v>1754</v>
      </c>
    </row>
    <row r="67" spans="1:5" x14ac:dyDescent="0.25">
      <c r="A67" s="16" t="s">
        <v>789</v>
      </c>
      <c r="B67" s="16" t="s">
        <v>386</v>
      </c>
    </row>
    <row r="68" spans="1:5" x14ac:dyDescent="0.25">
      <c r="A68" s="157" t="s">
        <v>762</v>
      </c>
      <c r="B68" s="157" t="s">
        <v>448</v>
      </c>
      <c r="D68" t="s">
        <v>1767</v>
      </c>
      <c r="E68" t="s">
        <v>1768</v>
      </c>
    </row>
    <row r="69" spans="1:5" x14ac:dyDescent="0.25">
      <c r="A69" s="16" t="s">
        <v>790</v>
      </c>
      <c r="B69" s="16" t="s">
        <v>387</v>
      </c>
    </row>
    <row r="70" spans="1:5" x14ac:dyDescent="0.25">
      <c r="A70" s="157" t="s">
        <v>763</v>
      </c>
      <c r="B70" s="157" t="s">
        <v>460</v>
      </c>
      <c r="C70" t="s">
        <v>1800</v>
      </c>
      <c r="D70" t="s">
        <v>84</v>
      </c>
    </row>
    <row r="71" spans="1:5" x14ac:dyDescent="0.25">
      <c r="A71" s="157" t="s">
        <v>764</v>
      </c>
      <c r="B71" s="157" t="s">
        <v>461</v>
      </c>
      <c r="C71" t="s">
        <v>1802</v>
      </c>
      <c r="D71" t="s">
        <v>84</v>
      </c>
      <c r="E71" t="s">
        <v>1785</v>
      </c>
    </row>
    <row r="72" spans="1:5" x14ac:dyDescent="0.25">
      <c r="A72" s="16" t="s">
        <v>730</v>
      </c>
      <c r="B72" s="16" t="s">
        <v>388</v>
      </c>
      <c r="D72" t="s">
        <v>1778</v>
      </c>
    </row>
    <row r="73" spans="1:5" x14ac:dyDescent="0.25">
      <c r="A73" s="155" t="s">
        <v>776</v>
      </c>
      <c r="B73" s="155" t="s">
        <v>1783</v>
      </c>
      <c r="C73" s="192" t="s">
        <v>1912</v>
      </c>
      <c r="D73" t="s">
        <v>1778</v>
      </c>
    </row>
    <row r="74" spans="1:5" x14ac:dyDescent="0.25">
      <c r="A74" s="155" t="s">
        <v>777</v>
      </c>
      <c r="B74" s="155" t="s">
        <v>422</v>
      </c>
      <c r="C74" t="s">
        <v>1801</v>
      </c>
      <c r="D74" t="s">
        <v>1778</v>
      </c>
    </row>
    <row r="75" spans="1:5" x14ac:dyDescent="0.25">
      <c r="A75" s="155" t="s">
        <v>809</v>
      </c>
      <c r="B75" s="156" t="s">
        <v>159</v>
      </c>
      <c r="C75" t="s">
        <v>1913</v>
      </c>
      <c r="D75" t="s">
        <v>1778</v>
      </c>
      <c r="E75" t="s">
        <v>1914</v>
      </c>
    </row>
    <row r="76" spans="1:5" x14ac:dyDescent="0.25">
      <c r="A76" s="157" t="s">
        <v>802</v>
      </c>
      <c r="B76" s="158" t="s">
        <v>417</v>
      </c>
      <c r="D76" t="s">
        <v>1778</v>
      </c>
    </row>
    <row r="77" spans="1:5" x14ac:dyDescent="0.25">
      <c r="A77" s="157" t="s">
        <v>803</v>
      </c>
      <c r="B77" s="159" t="s">
        <v>420</v>
      </c>
      <c r="D77" t="s">
        <v>1778</v>
      </c>
    </row>
    <row r="78" spans="1:5" x14ac:dyDescent="0.25">
      <c r="A78" s="157" t="s">
        <v>804</v>
      </c>
      <c r="B78" s="159" t="s">
        <v>423</v>
      </c>
      <c r="D78" t="s">
        <v>1778</v>
      </c>
    </row>
    <row r="79" spans="1:5" x14ac:dyDescent="0.25">
      <c r="A79" s="157" t="s">
        <v>805</v>
      </c>
      <c r="B79" s="159" t="s">
        <v>425</v>
      </c>
      <c r="D79" t="s">
        <v>1778</v>
      </c>
      <c r="E79" t="s">
        <v>1773</v>
      </c>
    </row>
    <row r="80" spans="1:5" x14ac:dyDescent="0.25">
      <c r="A80" s="155" t="s">
        <v>778</v>
      </c>
      <c r="B80" s="155" t="s">
        <v>426</v>
      </c>
      <c r="E80" t="s">
        <v>1781</v>
      </c>
    </row>
    <row r="81" spans="1:5" x14ac:dyDescent="0.25">
      <c r="A81" s="155" t="s">
        <v>775</v>
      </c>
      <c r="B81" s="155" t="s">
        <v>1782</v>
      </c>
      <c r="D81" t="s">
        <v>1781</v>
      </c>
      <c r="E81" t="s">
        <v>1784</v>
      </c>
    </row>
    <row r="82" spans="1:5" x14ac:dyDescent="0.25">
      <c r="A82" s="155" t="s">
        <v>779</v>
      </c>
      <c r="B82" s="155" t="s">
        <v>427</v>
      </c>
      <c r="D82" t="s">
        <v>1781</v>
      </c>
    </row>
    <row r="83" spans="1:5" x14ac:dyDescent="0.25">
      <c r="A83" s="155" t="s">
        <v>780</v>
      </c>
      <c r="B83" s="155" t="s">
        <v>428</v>
      </c>
      <c r="D83" t="s">
        <v>1784</v>
      </c>
    </row>
    <row r="84" spans="1:5" x14ac:dyDescent="0.25">
      <c r="A84" s="16" t="s">
        <v>731</v>
      </c>
      <c r="B84" s="16" t="s">
        <v>389</v>
      </c>
    </row>
    <row r="85" spans="1:5" x14ac:dyDescent="0.25">
      <c r="A85" s="157" t="s">
        <v>794</v>
      </c>
      <c r="B85" s="157" t="s">
        <v>464</v>
      </c>
      <c r="C85" s="154" t="s">
        <v>1808</v>
      </c>
      <c r="D85" t="s">
        <v>1786</v>
      </c>
    </row>
    <row r="86" spans="1:5" x14ac:dyDescent="0.25">
      <c r="A86" s="16" t="s">
        <v>740</v>
      </c>
      <c r="B86" s="16" t="s">
        <v>574</v>
      </c>
    </row>
  </sheetData>
  <phoneticPr fontId="3" type="noConversion"/>
  <conditionalFormatting sqref="B66 B52 B2:B27 B72:B83">
    <cfRule type="expression" dxfId="1" priority="2">
      <formula>COUNTIF(s01_查找1,B2)</formula>
    </cfRule>
  </conditionalFormatting>
  <conditionalFormatting sqref="B23:B24 B2 B4:B20 B28:B86">
    <cfRule type="expression" dxfId="0" priority="1">
      <formula>B2=s01d_查找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30"/>
  <sheetViews>
    <sheetView workbookViewId="0"/>
  </sheetViews>
  <sheetFormatPr defaultRowHeight="16.5" x14ac:dyDescent="0.25"/>
  <cols>
    <col min="1" max="1" width="3.5" bestFit="1" customWidth="1"/>
    <col min="2" max="7" width="15.625" customWidth="1"/>
  </cols>
  <sheetData>
    <row r="1" spans="1:7" ht="17.25" thickBot="1" x14ac:dyDescent="0.3">
      <c r="A1" s="8"/>
      <c r="B1" s="9"/>
      <c r="C1" s="9"/>
      <c r="D1" s="9"/>
      <c r="E1" s="9"/>
      <c r="F1" s="9"/>
      <c r="G1" s="1"/>
    </row>
    <row r="2" spans="1:7" x14ac:dyDescent="0.25">
      <c r="A2" s="262" t="s">
        <v>0</v>
      </c>
      <c r="B2" s="263"/>
      <c r="C2" s="256" t="s">
        <v>2</v>
      </c>
      <c r="D2" s="256" t="s">
        <v>3</v>
      </c>
      <c r="E2" s="256" t="s">
        <v>4</v>
      </c>
      <c r="F2" s="256" t="s">
        <v>5</v>
      </c>
      <c r="G2" s="256" t="s">
        <v>6</v>
      </c>
    </row>
    <row r="3" spans="1:7" ht="17.25" thickBot="1" x14ac:dyDescent="0.3">
      <c r="A3" s="264" t="s">
        <v>1</v>
      </c>
      <c r="B3" s="265"/>
      <c r="C3" s="257"/>
      <c r="D3" s="257"/>
      <c r="E3" s="257"/>
      <c r="F3" s="257"/>
      <c r="G3" s="257"/>
    </row>
    <row r="4" spans="1:7" ht="24" x14ac:dyDescent="0.25">
      <c r="A4" s="258">
        <v>1</v>
      </c>
      <c r="B4" s="260" t="s">
        <v>7</v>
      </c>
      <c r="C4" s="260" t="s">
        <v>39</v>
      </c>
      <c r="D4" s="260" t="s">
        <v>40</v>
      </c>
      <c r="E4" s="260" t="s">
        <v>8</v>
      </c>
      <c r="F4" s="3" t="s">
        <v>9</v>
      </c>
      <c r="G4" s="260" t="s">
        <v>11</v>
      </c>
    </row>
    <row r="5" spans="1:7" ht="17.25" thickBot="1" x14ac:dyDescent="0.3">
      <c r="A5" s="259"/>
      <c r="B5" s="261"/>
      <c r="C5" s="261"/>
      <c r="D5" s="261"/>
      <c r="E5" s="261"/>
      <c r="F5" s="4" t="s">
        <v>10</v>
      </c>
      <c r="G5" s="261"/>
    </row>
    <row r="6" spans="1:7" x14ac:dyDescent="0.25">
      <c r="A6" s="258">
        <v>2</v>
      </c>
      <c r="B6" s="260" t="s">
        <v>12</v>
      </c>
      <c r="C6" s="260"/>
      <c r="D6" s="3" t="s">
        <v>41</v>
      </c>
      <c r="E6" s="260"/>
      <c r="F6" s="3" t="s">
        <v>13</v>
      </c>
      <c r="G6" s="260"/>
    </row>
    <row r="7" spans="1:7" x14ac:dyDescent="0.25">
      <c r="A7" s="266"/>
      <c r="B7" s="267"/>
      <c r="C7" s="267"/>
      <c r="D7" s="5" t="s">
        <v>42</v>
      </c>
      <c r="E7" s="267"/>
      <c r="F7" s="5" t="s">
        <v>14</v>
      </c>
      <c r="G7" s="267"/>
    </row>
    <row r="8" spans="1:7" x14ac:dyDescent="0.25">
      <c r="A8" s="266"/>
      <c r="B8" s="267"/>
      <c r="C8" s="267"/>
      <c r="D8" s="5" t="s">
        <v>43</v>
      </c>
      <c r="E8" s="267"/>
      <c r="F8" s="5"/>
      <c r="G8" s="267"/>
    </row>
    <row r="9" spans="1:7" ht="17.25" thickBot="1" x14ac:dyDescent="0.3">
      <c r="A9" s="259"/>
      <c r="B9" s="261"/>
      <c r="C9" s="261"/>
      <c r="D9" s="4" t="s">
        <v>44</v>
      </c>
      <c r="E9" s="261"/>
      <c r="F9" s="4"/>
      <c r="G9" s="261"/>
    </row>
    <row r="10" spans="1:7" x14ac:dyDescent="0.25">
      <c r="A10" s="258">
        <v>3</v>
      </c>
      <c r="B10" s="260" t="s">
        <v>15</v>
      </c>
      <c r="C10" s="260"/>
      <c r="D10" s="3" t="s">
        <v>45</v>
      </c>
      <c r="E10" s="260"/>
      <c r="F10" s="260" t="s">
        <v>16</v>
      </c>
      <c r="G10" s="260"/>
    </row>
    <row r="11" spans="1:7" x14ac:dyDescent="0.25">
      <c r="A11" s="266"/>
      <c r="B11" s="267"/>
      <c r="C11" s="267"/>
      <c r="D11" s="5" t="s">
        <v>46</v>
      </c>
      <c r="E11" s="267"/>
      <c r="F11" s="267"/>
      <c r="G11" s="267"/>
    </row>
    <row r="12" spans="1:7" x14ac:dyDescent="0.25">
      <c r="A12" s="266"/>
      <c r="B12" s="267"/>
      <c r="C12" s="267"/>
      <c r="D12" s="5" t="s">
        <v>47</v>
      </c>
      <c r="E12" s="267"/>
      <c r="F12" s="267"/>
      <c r="G12" s="267"/>
    </row>
    <row r="13" spans="1:7" x14ac:dyDescent="0.25">
      <c r="A13" s="266"/>
      <c r="B13" s="267"/>
      <c r="C13" s="267"/>
      <c r="D13" s="5" t="s">
        <v>48</v>
      </c>
      <c r="E13" s="267"/>
      <c r="F13" s="267"/>
      <c r="G13" s="267"/>
    </row>
    <row r="14" spans="1:7" x14ac:dyDescent="0.25">
      <c r="A14" s="266"/>
      <c r="B14" s="267"/>
      <c r="C14" s="267"/>
      <c r="D14" s="5" t="s">
        <v>49</v>
      </c>
      <c r="E14" s="267"/>
      <c r="F14" s="267"/>
      <c r="G14" s="267"/>
    </row>
    <row r="15" spans="1:7" ht="17.25" thickBot="1" x14ac:dyDescent="0.3">
      <c r="A15" s="259"/>
      <c r="B15" s="261"/>
      <c r="C15" s="261"/>
      <c r="D15" s="4" t="s">
        <v>50</v>
      </c>
      <c r="E15" s="261"/>
      <c r="F15" s="261"/>
      <c r="G15" s="261"/>
    </row>
    <row r="16" spans="1:7" x14ac:dyDescent="0.25">
      <c r="A16" s="258">
        <v>4</v>
      </c>
      <c r="B16" s="260" t="s">
        <v>17</v>
      </c>
      <c r="C16" s="260"/>
      <c r="D16" s="3" t="s">
        <v>51</v>
      </c>
      <c r="E16" s="260"/>
      <c r="F16" s="260" t="s">
        <v>18</v>
      </c>
      <c r="G16" s="260"/>
    </row>
    <row r="17" spans="1:7" x14ac:dyDescent="0.25">
      <c r="A17" s="266"/>
      <c r="B17" s="267"/>
      <c r="C17" s="267"/>
      <c r="D17" s="5" t="s">
        <v>52</v>
      </c>
      <c r="E17" s="267"/>
      <c r="F17" s="267"/>
      <c r="G17" s="267"/>
    </row>
    <row r="18" spans="1:7" ht="17.25" thickBot="1" x14ac:dyDescent="0.3">
      <c r="A18" s="259"/>
      <c r="B18" s="261"/>
      <c r="C18" s="261"/>
      <c r="D18" s="4" t="s">
        <v>53</v>
      </c>
      <c r="E18" s="261"/>
      <c r="F18" s="261"/>
      <c r="G18" s="261"/>
    </row>
    <row r="19" spans="1:7" ht="17.25" thickBot="1" x14ac:dyDescent="0.3">
      <c r="A19" s="6">
        <v>5</v>
      </c>
      <c r="B19" s="7" t="s">
        <v>19</v>
      </c>
      <c r="C19" s="7"/>
      <c r="D19" s="7" t="s">
        <v>54</v>
      </c>
      <c r="E19" s="7" t="s">
        <v>20</v>
      </c>
      <c r="F19" s="7" t="s">
        <v>21</v>
      </c>
      <c r="G19" s="7"/>
    </row>
    <row r="20" spans="1:7" x14ac:dyDescent="0.25">
      <c r="A20" s="258">
        <v>6</v>
      </c>
      <c r="B20" s="260" t="s">
        <v>22</v>
      </c>
      <c r="C20" s="260"/>
      <c r="D20" s="260" t="s">
        <v>55</v>
      </c>
      <c r="E20" s="3" t="s">
        <v>23</v>
      </c>
      <c r="F20" s="260"/>
      <c r="G20" s="260"/>
    </row>
    <row r="21" spans="1:7" x14ac:dyDescent="0.25">
      <c r="A21" s="266"/>
      <c r="B21" s="267"/>
      <c r="C21" s="267"/>
      <c r="D21" s="267"/>
      <c r="E21" s="5" t="s">
        <v>24</v>
      </c>
      <c r="F21" s="267"/>
      <c r="G21" s="267"/>
    </row>
    <row r="22" spans="1:7" ht="17.25" thickBot="1" x14ac:dyDescent="0.3">
      <c r="A22" s="259"/>
      <c r="B22" s="261"/>
      <c r="C22" s="261"/>
      <c r="D22" s="261"/>
      <c r="E22" s="4" t="s">
        <v>25</v>
      </c>
      <c r="F22" s="261"/>
      <c r="G22" s="261"/>
    </row>
    <row r="23" spans="1:7" ht="24" thickBot="1" x14ac:dyDescent="0.3">
      <c r="A23" s="6">
        <v>7</v>
      </c>
      <c r="B23" s="7" t="s">
        <v>26</v>
      </c>
      <c r="C23" s="7"/>
      <c r="D23" s="7" t="s">
        <v>56</v>
      </c>
      <c r="E23" s="7" t="s">
        <v>27</v>
      </c>
      <c r="F23" s="7" t="s">
        <v>28</v>
      </c>
      <c r="G23" s="7"/>
    </row>
    <row r="24" spans="1:7" ht="23.25" x14ac:dyDescent="0.25">
      <c r="A24" s="258">
        <v>8</v>
      </c>
      <c r="B24" s="260" t="s">
        <v>29</v>
      </c>
      <c r="C24" s="260"/>
      <c r="D24" s="3" t="s">
        <v>57</v>
      </c>
      <c r="E24" s="260"/>
      <c r="F24" s="260" t="s">
        <v>30</v>
      </c>
      <c r="G24" s="260"/>
    </row>
    <row r="25" spans="1:7" x14ac:dyDescent="0.25">
      <c r="A25" s="266"/>
      <c r="B25" s="267"/>
      <c r="C25" s="267"/>
      <c r="D25" s="5" t="s">
        <v>58</v>
      </c>
      <c r="E25" s="267"/>
      <c r="F25" s="267"/>
      <c r="G25" s="267"/>
    </row>
    <row r="26" spans="1:7" ht="23.25" x14ac:dyDescent="0.25">
      <c r="A26" s="266"/>
      <c r="B26" s="267"/>
      <c r="C26" s="267"/>
      <c r="D26" s="5" t="s">
        <v>59</v>
      </c>
      <c r="E26" s="267"/>
      <c r="F26" s="267"/>
      <c r="G26" s="267"/>
    </row>
    <row r="27" spans="1:7" ht="23.25" x14ac:dyDescent="0.25">
      <c r="A27" s="266"/>
      <c r="B27" s="267"/>
      <c r="C27" s="267"/>
      <c r="D27" s="5" t="s">
        <v>60</v>
      </c>
      <c r="E27" s="267"/>
      <c r="F27" s="267"/>
      <c r="G27" s="267"/>
    </row>
    <row r="28" spans="1:7" ht="17.25" thickBot="1" x14ac:dyDescent="0.3">
      <c r="A28" s="259"/>
      <c r="B28" s="261"/>
      <c r="C28" s="261"/>
      <c r="D28" s="4" t="s">
        <v>61</v>
      </c>
      <c r="E28" s="261"/>
      <c r="F28" s="261"/>
      <c r="G28" s="261"/>
    </row>
    <row r="29" spans="1:7" ht="24" thickBot="1" x14ac:dyDescent="0.3">
      <c r="A29" s="6">
        <v>9</v>
      </c>
      <c r="B29" s="7" t="s">
        <v>31</v>
      </c>
      <c r="C29" s="7"/>
      <c r="D29" s="7" t="s">
        <v>62</v>
      </c>
      <c r="E29" s="7" t="s">
        <v>32</v>
      </c>
      <c r="F29" s="7" t="s">
        <v>33</v>
      </c>
      <c r="G29" s="7" t="s">
        <v>34</v>
      </c>
    </row>
    <row r="30" spans="1:7" ht="24.75" thickBot="1" x14ac:dyDescent="0.3">
      <c r="A30" s="6">
        <v>10</v>
      </c>
      <c r="B30" s="7" t="s">
        <v>35</v>
      </c>
      <c r="C30" s="7" t="s">
        <v>36</v>
      </c>
      <c r="D30" s="7" t="s">
        <v>63</v>
      </c>
      <c r="E30" s="7" t="s">
        <v>37</v>
      </c>
      <c r="F30" s="7" t="s">
        <v>38</v>
      </c>
      <c r="G30" s="2"/>
    </row>
  </sheetData>
  <mergeCells count="42">
    <mergeCell ref="G24:G28"/>
    <mergeCell ref="A20:A22"/>
    <mergeCell ref="B20:B22"/>
    <mergeCell ref="C20:C22"/>
    <mergeCell ref="D20:D22"/>
    <mergeCell ref="F20:F22"/>
    <mergeCell ref="G20:G22"/>
    <mergeCell ref="A24:A28"/>
    <mergeCell ref="B24:B28"/>
    <mergeCell ref="C24:C28"/>
    <mergeCell ref="E24:E28"/>
    <mergeCell ref="F24:F28"/>
    <mergeCell ref="G10:G15"/>
    <mergeCell ref="A16:A18"/>
    <mergeCell ref="B16:B18"/>
    <mergeCell ref="C16:C18"/>
    <mergeCell ref="E16:E18"/>
    <mergeCell ref="F16:F18"/>
    <mergeCell ref="G16:G18"/>
    <mergeCell ref="A10:A15"/>
    <mergeCell ref="B10:B15"/>
    <mergeCell ref="C10:C15"/>
    <mergeCell ref="E10:E15"/>
    <mergeCell ref="F10:F15"/>
    <mergeCell ref="A6:A9"/>
    <mergeCell ref="B6:B9"/>
    <mergeCell ref="C6:C9"/>
    <mergeCell ref="E6:E9"/>
    <mergeCell ref="G6:G9"/>
    <mergeCell ref="G2:G3"/>
    <mergeCell ref="A4:A5"/>
    <mergeCell ref="B4:B5"/>
    <mergeCell ref="C4:C5"/>
    <mergeCell ref="D4:D5"/>
    <mergeCell ref="E4:E5"/>
    <mergeCell ref="G4:G5"/>
    <mergeCell ref="A2:B2"/>
    <mergeCell ref="A3:B3"/>
    <mergeCell ref="C2:C3"/>
    <mergeCell ref="D2:D3"/>
    <mergeCell ref="E2:E3"/>
    <mergeCell ref="F2:F3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已命名的範圍</vt:lpstr>
      </vt:variant>
      <vt:variant>
        <vt:i4>94</vt:i4>
      </vt:variant>
    </vt:vector>
  </HeadingPairs>
  <TitlesOfParts>
    <vt:vector size="110" baseType="lpstr">
      <vt:lpstr>s01data</vt:lpstr>
      <vt:lpstr>s01</vt:lpstr>
      <vt:lpstr>a00</vt:lpstr>
      <vt:lpstr>a01</vt:lpstr>
      <vt:lpstr>a02</vt:lpstr>
      <vt:lpstr>a03</vt:lpstr>
      <vt:lpstr>a04</vt:lpstr>
      <vt:lpstr>i01</vt:lpstr>
      <vt:lpstr>m01</vt:lpstr>
      <vt:lpstr>m02</vt:lpstr>
      <vt:lpstr>m03</vt:lpstr>
      <vt:lpstr>p01</vt:lpstr>
      <vt:lpstr>t01</vt:lpstr>
      <vt:lpstr>appendix</vt:lpstr>
      <vt:lpstr>筆記</vt:lpstr>
      <vt:lpstr>5.0</vt:lpstr>
      <vt:lpstr>a02_All</vt:lpstr>
      <vt:lpstr>a02_大</vt:lpstr>
      <vt:lpstr>a02_小</vt:lpstr>
      <vt:lpstr>a04_知識領域</vt:lpstr>
      <vt:lpstr>a04_過程組</vt:lpstr>
      <vt:lpstr>a04_過程組ITO</vt:lpstr>
      <vt:lpstr>a04_過程組組件</vt:lpstr>
      <vt:lpstr>a04_過程組資料寬度</vt:lpstr>
      <vt:lpstr>E</vt:lpstr>
      <vt:lpstr>F</vt:lpstr>
      <vt:lpstr>G</vt:lpstr>
      <vt:lpstr>H</vt:lpstr>
      <vt:lpstr>I</vt:lpstr>
      <vt:lpstr>i01_工具與技術元件清單開頭位置</vt:lpstr>
      <vt:lpstr>i01_工具與技術元件清單數量</vt:lpstr>
      <vt:lpstr>i01_工具與技術元件標誌碼</vt:lpstr>
      <vt:lpstr>i01_工具與技術標誌碼</vt:lpstr>
      <vt:lpstr>i01_投入與產出元件清單開頭位置</vt:lpstr>
      <vt:lpstr>i01_投入與產出元件清單數量</vt:lpstr>
      <vt:lpstr>i01_投產元件標誌碼</vt:lpstr>
      <vt:lpstr>i01_投產標誌碼</vt:lpstr>
      <vt:lpstr>i01_知識領域標誌碼</vt:lpstr>
      <vt:lpstr>i01_清單工具與技術</vt:lpstr>
      <vt:lpstr>i01_清單工具與技術元件</vt:lpstr>
      <vt:lpstr>i01_清單投入與產出</vt:lpstr>
      <vt:lpstr>i01_清單投入與產出元件</vt:lpstr>
      <vt:lpstr>i01_清單知識領域</vt:lpstr>
      <vt:lpstr>i01_清單商業文件</vt:lpstr>
      <vt:lpstr>i01_清單專案文件</vt:lpstr>
      <vt:lpstr>i01_清單專案管理計畫書</vt:lpstr>
      <vt:lpstr>i01_清單採購相關文件</vt:lpstr>
      <vt:lpstr>i01_清單過程</vt:lpstr>
      <vt:lpstr>i01_清單過程組</vt:lpstr>
      <vt:lpstr>i01_過程組知識領域</vt:lpstr>
      <vt:lpstr>i01_過程組過程</vt:lpstr>
      <vt:lpstr>i01_過程組標誌碼</vt:lpstr>
      <vt:lpstr>J</vt:lpstr>
      <vt:lpstr>K</vt:lpstr>
      <vt:lpstr>L</vt:lpstr>
      <vt:lpstr>M</vt:lpstr>
      <vt:lpstr>m01_All</vt:lpstr>
      <vt:lpstr>m01_ITO起點</vt:lpstr>
      <vt:lpstr>m01_全IOT</vt:lpstr>
      <vt:lpstr>m01_全ITO索引</vt:lpstr>
      <vt:lpstr>m01_投入索引</vt:lpstr>
      <vt:lpstr>m01_更新索引</vt:lpstr>
      <vt:lpstr>m01_產出索引</vt:lpstr>
      <vt:lpstr>m01_過程組I或O</vt:lpstr>
      <vt:lpstr>m01_過程組知識組建</vt:lpstr>
      <vt:lpstr>m02_全IOT</vt:lpstr>
      <vt:lpstr>m02_組件文字</vt:lpstr>
      <vt:lpstr>m03_All</vt:lpstr>
      <vt:lpstr>m03_全IOT</vt:lpstr>
      <vt:lpstr>m03_過程組知識組件</vt:lpstr>
      <vt:lpstr>N</vt:lpstr>
      <vt:lpstr>O</vt:lpstr>
      <vt:lpstr>P</vt:lpstr>
      <vt:lpstr>p01_投產與元件</vt:lpstr>
      <vt:lpstr>p01_知識過程組組件</vt:lpstr>
      <vt:lpstr>'a02'!Print_Titles</vt:lpstr>
      <vt:lpstr>Q</vt:lpstr>
      <vt:lpstr>RR</vt:lpstr>
      <vt:lpstr>S</vt:lpstr>
      <vt:lpstr>s01_工具_組件</vt:lpstr>
      <vt:lpstr>s01_工具1</vt:lpstr>
      <vt:lpstr>s01_工具2</vt:lpstr>
      <vt:lpstr>s01_查找1</vt:lpstr>
      <vt:lpstr>s01_查找2</vt:lpstr>
      <vt:lpstr>s01_查詢知識領域</vt:lpstr>
      <vt:lpstr>s01_查詢矩陣資料1</vt:lpstr>
      <vt:lpstr>s01_查詢矩陣資料2</vt:lpstr>
      <vt:lpstr>s01_查詢程序</vt:lpstr>
      <vt:lpstr>s01_查詢過程組</vt:lpstr>
      <vt:lpstr>s01d_工具</vt:lpstr>
      <vt:lpstr>s01d_工具2_組件</vt:lpstr>
      <vt:lpstr>s01d_查找</vt:lpstr>
      <vt:lpstr>s01d_查找_投入</vt:lpstr>
      <vt:lpstr>s01d_查找_更新</vt:lpstr>
      <vt:lpstr>s01d_查找_產出</vt:lpstr>
      <vt:lpstr>s01d_查找2_投入</vt:lpstr>
      <vt:lpstr>s01d_查找2_更新</vt:lpstr>
      <vt:lpstr>s01d_查找2_產出</vt:lpstr>
      <vt:lpstr>s01d_查找文字</vt:lpstr>
      <vt:lpstr>s01d_查找全</vt:lpstr>
      <vt:lpstr>T</vt:lpstr>
      <vt:lpstr>t01_工具與技術與元件</vt:lpstr>
      <vt:lpstr>t01_知識過程組組件</vt:lpstr>
      <vt:lpstr>test</vt:lpstr>
      <vt:lpstr>test2</vt:lpstr>
      <vt:lpstr>U</vt:lpstr>
      <vt:lpstr>V</vt:lpstr>
      <vt:lpstr>W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戴文揚</dc:creator>
  <cp:lastModifiedBy>Windows 使用者</cp:lastModifiedBy>
  <cp:lastPrinted>2019-03-26T08:35:52Z</cp:lastPrinted>
  <dcterms:created xsi:type="dcterms:W3CDTF">2019-03-06T05:05:04Z</dcterms:created>
  <dcterms:modified xsi:type="dcterms:W3CDTF">2020-02-11T12:31:14Z</dcterms:modified>
</cp:coreProperties>
</file>